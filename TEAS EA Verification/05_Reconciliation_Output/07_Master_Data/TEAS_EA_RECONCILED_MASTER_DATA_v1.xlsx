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a7234b665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5393a209364a7f"/>
    <x:sheet xmlns:r="http://schemas.openxmlformats.org/officeDocument/2006/relationships" name="Study_Master" sheetId="2" r:id="R70091db7657e488a"/>
    <x:sheet xmlns:r="http://schemas.openxmlformats.org/officeDocument/2006/relationships" name="Corrected_RoB2" sheetId="3" r:id="Re76de67fb93d4bce"/>
    <x:sheet xmlns:r="http://schemas.openxmlformats.org/officeDocument/2006/relationships" name="Audit_Issues" sheetId="4" r:id="R7566f439c7944b9f"/>
    <x:sheet xmlns:r="http://schemas.openxmlformats.org/officeDocument/2006/relationships" name="AG_Candidate_Data" sheetId="5" r:id="R029ff2b85bdd4211"/>
    <x:sheet xmlns:r="http://schemas.openxmlformats.org/officeDocument/2006/relationships" name="Summary" sheetId="6" r:id="R6f1a58f7631f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0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b9d0cdd844aef" /><Relationship Type="http://schemas.openxmlformats.org/officeDocument/2006/relationships/theme" Target="/xl/theme/theme1.xml" Id="Rc1e3521d1225410b" /><Relationship Type="http://schemas.openxmlformats.org/officeDocument/2006/relationships/sharedStrings" Target="/xl/sharedStrings.xml" Id="R34db3c661e404114" /><Relationship Type="http://schemas.openxmlformats.org/officeDocument/2006/relationships/worksheet" Target="/xl/worksheets/sheet1.xml" Id="R2d5393a209364a7f" /><Relationship Type="http://schemas.openxmlformats.org/officeDocument/2006/relationships/worksheet" Target="/xl/worksheets/sheet2.xml" Id="R70091db7657e488a" /><Relationship Type="http://schemas.openxmlformats.org/officeDocument/2006/relationships/worksheet" Target="/xl/worksheets/sheet3.xml" Id="Re76de67fb93d4bce" /><Relationship Type="http://schemas.openxmlformats.org/officeDocument/2006/relationships/worksheet" Target="/xl/worksheets/sheet4.xml" Id="R7566f439c7944b9f" /><Relationship Type="http://schemas.openxmlformats.org/officeDocument/2006/relationships/worksheet" Target="/xl/worksheets/sheet5.xml" Id="R029ff2b85bdd4211" /><Relationship Type="http://schemas.openxmlformats.org/officeDocument/2006/relationships/worksheet" Target="/xl/worksheets/sheet6.xml" Id="R6f1a58f7631f4a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bd8ea2e06c47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Study-level correction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bd8ea2e06c47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yMasterTable" displayName="StudyMasterTable" ref="A1:U64" headerRowCount="1" totalsRowCount="0" totalsRowShown="0">
  <x:tableColumns count="21">
    <x:tableColumn id="1" name="Canonical study"/>
    <x:tableColumn id="2" name="Reconciliation batch"/>
    <x:tableColumn id="3" name="Sol reconciliation status"/>
    <x:tableColumn id="4" name="Sol/source correction note"/>
    <x:tableColumn id="5" name="Identity correction"/>
    <x:tableColumn id="6" name="Antigravity study label"/>
    <x:tableColumn id="7" name="Antigravity study key"/>
    <x:tableColumn id="8" name="Covidence internal ID"/>
    <x:tableColumn id="9" name="Candidate source-result summary"/>
    <x:tableColumn id="10" name="Known fabricated-payload signature"/>
    <x:tableColumn id="11" name="Antigravity author-contact flag"/>
    <x:tableColumn id="12" name="Corrected RoB 2 complete"/>
    <x:tableColumn id="13" name="Corrected selected RoB result"/>
    <x:tableColumn id="14" name="Corrected result timepoint"/>
    <x:tableColumn id="15" name="Corrected overall RoB 2"/>
    <x:tableColumn id="16" name="Analysis readiness"/>
    <x:tableColumn id="17" name="Master use rule"/>
    <x:tableColumn id="18" name="Source-summary status"/>
    <x:tableColumn id="19" name="Source hierarchy"/>
    <x:tableColumn id="20" name="Project source folder"/>
    <x:tableColumn id="21" name="Reconciliation in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tedRoBTable" displayName="CorrectedRoBTable" ref="A1:P7" headerRowCount="1" totalsRowCount="0" totalsRowShown="0">
  <x:tableColumns count="16">
    <x:tableColumn id="1" name="Canonical study"/>
    <x:tableColumn id="2" name="Selected result"/>
    <x:tableColumn id="3" name="Comparison"/>
    <x:tableColumn id="4" name="Timepoint/window"/>
    <x:tableColumn id="5" name="Randomized n"/>
    <x:tableColumn id="6" name="Analyzed n"/>
    <x:tableColumn id="7" name="Corrected source result"/>
    <x:tableColumn id="8" name="Domain 1"/>
    <x:tableColumn id="9" name="Domain 2"/>
    <x:tableColumn id="10" name="Domain 3"/>
    <x:tableColumn id="11" name="Domain 4"/>
    <x:tableColumn id="12" name="Domain 5"/>
    <x:tableColumn id="13" name="Overall RoB 2"/>
    <x:tableColumn id="14" name="Correction source"/>
    <x:tableColumn id="15" name="Source folder"/>
    <x:tableColumn id="16" name="Corrected RoB fol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IssuesTable" displayName="AuditIssuesTable" ref="A1:F11" headerRowCount="1" totalsRowCount="0" totalsRowShown="0">
  <x:tableColumns count="6">
    <x:tableColumn id="1" name="Study/record"/>
    <x:tableColumn id="2" name="Issue type"/>
    <x:tableColumn id="3" name="Problem identified"/>
    <x:tableColumn id="4" name="Master decision"/>
    <x:tableColumn id="5" name="Severity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CandidateTable" displayName="AGCandidateTable" ref="A1:F64" headerRowCount="1" totalsRowCount="0" totalsRowShown="0">
  <x:tableColumns count="6">
    <x:tableColumn id="1" name="Canonical study"/>
    <x:tableColumn id="2" name="Antigravity label"/>
    <x:tableColumn id="3" name="Candidate source summary"/>
    <x:tableColumn id="4" name="Gemini/payload field from Antigravity report"/>
    <x:tableColumn id="5" name="Antigravity classification"/>
    <x:tableColumn id="6" name="Status in this mas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7b5972ff1e41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7fea9897da4a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b745ea694e44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c1cd40f2004e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ff4caf4cea04bb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5" t="str">
        <x:v>TEAS/EA Systematic Review — Reconciled Master Data v1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Version</x:v>
      </x:c>
      <x:c r="B3" s="18" t="str">
        <x:v>v1 — 2026-09-05</x:v>
      </x:c>
    </x:row>
    <x:row r="4">
      <x:c r="A4" s="13" t="str">
        <x:v>Purpose</x:v>
      </x:c>
      <x:c r="B4" s="18" t="str">
        <x:v>Canonical 63-study reconciliation master assembled from source-PDF audits, Sol source-grounded extractions, the attached Antigravity four-way audit, and corrected result-specific RoB 2 assessments.</x:v>
      </x:c>
    </x:row>
    <x:row r="5">
      <x:c r="A5" s="13" t="str">
        <x:v>Canonical inventory</x:v>
      </x:c>
      <x:c r="B5" s="18" t="str">
        <x:v>63 source studies/reports. The 61-PDF Sol master was supplemented with two distinct Chen 2015 trials. Antigravity's unsupported 'Gao 2018' row is excluded; Zhou 2025 is restored from its source-grounded extraction.</x:v>
      </x:c>
    </x:row>
    <x:row r="6">
      <x:c r="A6" s="13" t="str">
        <x:v>Source hierarchy</x:v>
      </x:c>
      <x:c r="B6" s="18" t="str">
        <x:v>Source PDF / supplement / protocol / registration &gt; reconciled source-grounded extraction &gt; derivative AI/model output &gt; Covidence shell/payload.</x:v>
      </x:c>
    </x:row>
    <x:row r="7">
      <x:c r="A7" s="13" t="str">
        <x:v>Critical rule</x:v>
      </x:c>
      <x:c r="B7" s="18" t="str">
        <x:v>No majority vote between models. Missing/unreported data remain missing. Graph-derived/calculated values must remain explicitly labelled as derived.</x:v>
      </x:c>
    </x:row>
    <x:row r="8">
      <x:c r="A8" s="13" t="str">
        <x:v>RoB 2</x:v>
      </x:c>
      <x:c r="B8" s="18" t="str">
        <x:v>RoB 2 is result-specific. Original stored RoB files are not analysis-ready. Corrected RoB judgments currently completed for 6 selected results; remaining invalid/re-adjudication cases are tracked in Study_Master.</x:v>
      </x:c>
    </x:row>
    <x:row r="9">
      <x:c r="A9" s="13" t="str">
        <x:v>Antigravity use</x:v>
      </x:c>
      <x:c r="B9" s="18" t="str">
        <x:v>Antigravity's forensic audit is retained as a comparison source, but its study/file mappings and payload values are not accepted automatically. Candidate source summaries remain visibly labelled.</x:v>
      </x:c>
    </x:row>
    <x:row r="10">
      <x:c r="A10" s="13" t="str">
        <x:v>Analysis readiness</x:v>
      </x:c>
      <x:c r="B10" s="18" t="str">
        <x:v>Rows marked NOT READY or SOURCE-QC REQUIRED must not be used as final meta-analysis/RoB inputs until the stated issue is resolved.</x:v>
      </x:c>
    </x:row>
    <x:row r="11">
      <x:c r="A11" s="13" t="str">
        <x:v>Project Drive</x:v>
      </x:c>
      <x:c r="B11" s="18" t="str">
        <x:v>https://drive.google.com/drive/folders/1Hpaqqh2FjNKSIm4jRTJWNOfoi3YfyUNj</x:v>
      </x:c>
    </x:row>
    <x:row r="12">
      <x:c r="A12" s="13" t="str">
        <x:v>Reconciliation index</x:v>
      </x:c>
      <x:c r="B12" s="18" t="str">
        <x:v>https://docs.google.com/document/d/1hR0UuZSmPpwZi384Vzn3sZt5Y5_ZwYxW6b3u4nq2-40/edit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48" hidden="0" customWidth="1"/>
    <x:col min="5" max="5" width="36" hidden="0" customWidth="1"/>
    <x:col min="6" max="6" width="24" hidden="0" customWidth="1"/>
    <x:col min="7" max="7" width="15" hidden="0" customWidth="1"/>
    <x:col min="8" max="8" width="20" hidden="0" customWidth="1"/>
    <x:col min="9" max="9" width="62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18" hidden="0" customWidth="1"/>
    <x:col min="16" max="16" width="34" hidden="0" customWidth="1"/>
    <x:col min="17" max="17" width="46" hidden="0" customWidth="1"/>
    <x:col min="18" max="18" width="38" hidden="0" customWidth="1"/>
    <x:col min="19" max="19" width="50" hidden="0" customWidth="1"/>
    <x:col min="20" max="20" width="44" hidden="0" customWidth="1"/>
    <x:col min="21" max="21" width="44" hidden="0" customWidth="1"/>
  </x:cols>
  <x:sheetData>
    <x:row r="1">
      <x:c r="A1" s="24" t="str">
        <x:v>Canonical study</x:v>
      </x:c>
      <x:c r="B1" s="24" t="str">
        <x:v>Reconciliation batch</x:v>
      </x:c>
      <x:c r="C1" s="24" t="str">
        <x:v>Sol reconciliation status</x:v>
      </x:c>
      <x:c r="D1" s="24" t="str">
        <x:v>Sol/source correction note</x:v>
      </x:c>
      <x:c r="E1" s="24" t="str">
        <x:v>Identity correction</x:v>
      </x:c>
      <x:c r="F1" s="24" t="str">
        <x:v>Antigravity study label</x:v>
      </x:c>
      <x:c r="G1" s="24" t="str">
        <x:v>Antigravity study key</x:v>
      </x:c>
      <x:c r="H1" s="24" t="str">
        <x:v>Covidence internal ID</x:v>
      </x:c>
      <x:c r="I1" s="24" t="str">
        <x:v>Candidate source-result summary</x:v>
      </x:c>
      <x:c r="J1" s="24" t="str">
        <x:v>Known fabricated-payload signature</x:v>
      </x:c>
      <x:c r="K1" s="24" t="str">
        <x:v>Antigravity author-contact flag</x:v>
      </x:c>
      <x:c r="L1" s="24" t="str">
        <x:v>Corrected RoB 2 complete</x:v>
      </x:c>
      <x:c r="M1" s="24" t="str">
        <x:v>Corrected selected RoB result</x:v>
      </x:c>
      <x:c r="N1" s="24" t="str">
        <x:v>Corrected result timepoint</x:v>
      </x:c>
      <x:c r="O1" s="24" t="str">
        <x:v>Corrected overall RoB 2</x:v>
      </x:c>
      <x:c r="P1" s="24" t="str">
        <x:v>Analysis readiness</x:v>
      </x:c>
      <x:c r="Q1" s="24" t="str">
        <x:v>Master use rule</x:v>
      </x:c>
      <x:c r="R1" s="24" t="str">
        <x:v>Source-summary status</x:v>
      </x:c>
      <x:c r="S1" s="24" t="str">
        <x:v>Source hierarchy</x:v>
      </x:c>
      <x:c r="T1" s="24" t="str">
        <x:v>Project source folder</x:v>
      </x:c>
      <x:c r="U1" s="24" t="str">
        <x:v>Reconciliation index</x:v>
      </x:c>
    </x:row>
    <x:row r="2">
      <x:c r="A2" s="18" t="str">
        <x:v>Zhu 2022</x:v>
      </x:c>
      <x:c r="B2" s="18" t="str">
        <x:v>Batch 19</x:v>
      </x:c>
      <x:c r="C2" s="18" t="str">
        <x:v>FULL REPLACEMENT</x:v>
      </x:c>
      <x:c r="D2" s="18" t="str">
        <x:v>Jin-labeled RoB is a different 103-patient morphine trial; true source is four-arm 413-randomized gynecologic EA/PONV study.</x:v>
      </x:c>
      <x:c r="E2" s="18" t="str"/>
      <x:c r="F2" s="18" t="str">
        <x:v>Zhu 2022</x:v>
      </x:c>
      <x:c r="G2" s="18" t="str">
        <x:v>381</x:v>
      </x:c>
      <x:c r="H2" s="18" t="str">
        <x:v>1879896528</x:v>
      </x:c>
      <x:c r="I2" s="18" t="str">
        <x:v>**Pain intensity during movement at 24h (NRS 0-10) (PRIMARY)**: Group Pre (n=101) 1.15 ± 1.02 vs Group 30 (n=98) 1.12 ± 1.03 vs Group Comb (n=100) 1.17 ± 1.1...</x:v>
      </x:c>
      <x:c r="J2" s="18" t="str">
        <x:v>Yes</x:v>
      </x:c>
      <x:c r="K2" s="18" t="str">
        <x:v>Yes</x:v>
      </x:c>
      <x:c r="L2" s="18" t="str">
        <x:v>No</x:v>
      </x:c>
      <x:c r="M2" s="18" t="str"/>
      <x:c r="N2" s="18" t="str"/>
      <x:c r="O2" s="18" t="str"/>
      <x:c r="P2" s="18" t="str">
        <x:v>NOT READY — RoB replacement/re-adjudication pending</x:v>
      </x:c>
      <x:c r="Q2" s="18" t="str">
        <x:v>Use source data; DO NOT use original stored RoB. Rebuild result-specific RoB.</x:v>
      </x:c>
      <x:c r="R2" s="18" t="str">
        <x:v>Candidate summary from Antigravity report; use only after source-level confirmation</x:v>
      </x:c>
      <x:c r="S2" s="18" t="str">
        <x:v>Source PDF / supplement / protocol / registration &gt; reconciled source extraction &gt; derivative model output</x:v>
      </x:c>
      <x:c r="T2" s="18" t="str">
        <x:v>https://drive.google.com/drive/folders/1EWdZyTQjPSuoxt8n1nIr1t8D98PC-mso</x:v>
      </x:c>
      <x:c r="U2" s="18" t="str">
        <x:v>https://docs.google.com/document/d/1hR0UuZSmPpwZi384Vzn3sZt5Y5_ZwYxW6b3u4nq2-40/edit</x:v>
      </x:c>
    </x:row>
    <x:row r="3">
      <x:c r="A3" s="18" t="str">
        <x:v>Zhou 2025</x:v>
      </x:c>
      <x:c r="B3" s="18" t="str">
        <x:v>Batch 16</x:v>
      </x:c>
      <x:c r="C3" s="18" t="str">
        <x:v>FULL REPLACEMENT</x:v>
      </x:c>
      <x:c r="D3" s="18" t="str">
        <x:v>Wrong analyzed n, acupoints/frequency, QoR-15 values and complete-data claim.</x:v>
      </x:c>
      <x:c r="E3" s="18" t="str">
        <x:v>Antigravity 'Gao 2018' row rejected; Zhou 2025 restored from source-grounded extraction</x:v>
      </x:c>
      <x:c r="F3" s="18" t="str">
        <x:v>(Antigravity matrix omitted/misidentified)</x:v>
      </x:c>
      <x:c r="G3" s="18" t="str"/>
      <x:c r="H3" s="18" t="str"/>
      <x:c r="I3" s="18" t="str">
        <x:v>Source-grounded correction: 100 randomized (50/group), 97 analyzed (48 TEAS, 49 sham). Primary QoR-15 on POD1: 112.00 ± 10.67 vs 107.62 ± 10.27 (P=0.042). POD1 resting VAS median 3 (3-4) vs 4 (4-5); POD1 PONV 10/48 vs 19/49. Exact 0-24 h opioid dose/MME not reported; rescue tramadol only reported as POD1-3 binary use 6/48 vs 13/49.</x:v>
      </x:c>
      <x:c r="J3" s="18" t="str">
        <x:v>No</x:v>
      </x:c>
      <x:c r="K3" s="18" t="str">
        <x:v>No</x:v>
      </x:c>
      <x:c r="L3" s="18" t="str">
        <x:v>No</x:v>
      </x:c>
      <x:c r="M3" s="18" t="str"/>
      <x:c r="N3" s="18" t="str"/>
      <x:c r="O3" s="18" t="str"/>
      <x:c r="P3" s="18" t="str">
        <x:v>NOT READY — RoB replacement/re-adjudication pending</x:v>
      </x:c>
      <x:c r="Q3" s="18" t="str">
        <x:v>Use source data; DO NOT use original stored RoB. Rebuild result-specific RoB.</x:v>
      </x:c>
      <x:c r="R3" s="18" t="str">
        <x:v>Source-grounded Sol extraction verified</x:v>
      </x:c>
      <x:c r="S3" s="18" t="str">
        <x:v>Source PDF / supplement / protocol / registration &gt; reconciled source extraction &gt; derivative model output</x:v>
      </x:c>
      <x:c r="T3" s="18" t="str">
        <x:v>https://drive.google.com/drive/folders/1EWdZyTQjPSuoxt8n1nIr1t8D98PC-mso</x:v>
      </x:c>
      <x:c r="U3" s="18" t="str">
        <x:v>https://docs.google.com/document/d/1hR0UuZSmPpwZi384Vzn3sZt5Y5_ZwYxW6b3u4nq2-40/edit</x:v>
      </x:c>
    </x:row>
    <x:row r="4">
      <x:c r="A4" s="18" t="str">
        <x:v>Zhou 2021</x:v>
      </x:c>
      <x:c r="B4" s="18" t="str">
        <x:v>Batch 9</x:v>
      </x:c>
      <x:c r="C4" s="18" t="str">
        <x:v>FULL REPLACEMENT</x:v>
      </x:c>
      <x:c r="D4" s="18" t="str">
        <x:v>Stored RoB changes journal/design/sham, intervention and flatus result.</x:v>
      </x:c>
      <x:c r="E4" s="18" t="str"/>
      <x:c r="F4" s="18" t="str">
        <x:v>Zhou 2021</x:v>
      </x:c>
      <x:c r="G4" s="18" t="str">
        <x:v>433</x:v>
      </x:c>
      <x:c r="H4" s="18" t="str">
        <x:v>1879896611</x:v>
      </x:c>
      <x:c r="I4" s="18" t="str">
        <x:v>**Cumulative postoperative systemic opioid consumption (equivalent dose of morphine in mg / IV MME) (PRIMARY)**: TG (n=41) 8.94 ± 3.66 mg vs CG Usual care (n...</x:v>
      </x:c>
      <x:c r="J4" s="18" t="str">
        <x:v>Yes</x:v>
      </x:c>
      <x:c r="K4" s="18" t="str">
        <x:v>Yes</x:v>
      </x:c>
      <x:c r="L4" s="18" t="str">
        <x:v>No</x:v>
      </x:c>
      <x:c r="M4" s="18" t="str"/>
      <x:c r="N4" s="18" t="str"/>
      <x:c r="O4" s="18" t="str"/>
      <x:c r="P4" s="18" t="str">
        <x:v>NOT READY — RoB replacement/re-adjudication pending</x:v>
      </x:c>
      <x:c r="Q4" s="18" t="str">
        <x:v>Use source data; DO NOT use original stored RoB. Rebuild result-specific RoB.</x:v>
      </x:c>
      <x:c r="R4" s="18" t="str">
        <x:v>Candidate summary from Antigravity report; use only after source-level confirmation</x:v>
      </x:c>
      <x:c r="S4" s="18" t="str">
        <x:v>Source PDF / supplement / protocol / registration &gt; reconciled source extraction &gt; derivative model output</x:v>
      </x:c>
      <x:c r="T4" s="18" t="str">
        <x:v>https://drive.google.com/drive/folders/1EWdZyTQjPSuoxt8n1nIr1t8D98PC-mso</x:v>
      </x:c>
      <x:c r="U4" s="18" t="str">
        <x:v>https://docs.google.com/document/d/1hR0UuZSmPpwZi384Vzn3sZt5Y5_ZwYxW6b3u4nq2-40/edit</x:v>
      </x:c>
    </x:row>
    <x:row r="5">
      <x:c r="A5" s="18" t="str">
        <x:v>Zheng 2025</x:v>
      </x:c>
      <x:c r="B5" s="18" t="str">
        <x:v>Batch 15</x:v>
      </x:c>
      <x:c r="C5" s="18" t="str">
        <x:v>FULL REPLACEMENT</x:v>
      </x:c>
      <x:c r="D5" s="18" t="str">
        <x:v>Invented 80/80 complete trial, postoperative session and PONV counts.</x:v>
      </x:c>
      <x:c r="E5" s="18" t="str"/>
      <x:c r="F5" s="18" t="str">
        <x:v>Zheng 2025</x:v>
      </x:c>
      <x:c r="G5" s="18" t="str">
        <x:v>72</x:v>
      </x:c>
      <x:c r="H5" s="18" t="str">
        <x:v>1879896014</x:v>
      </x:c>
      <x:c r="I5" s="18" t="str">
        <x:v>**Pain intensity at rest at 24h (NRS 0-10) (PRIMARY)**: TEAS (n=42) 1.70 ± 0.80 vs Sham TEAS (n=43) 2.20 ± 1.10 (P = 0.042*) [MD -0.50, 95% CI -0.91 to -0.09...</x:v>
      </x:c>
      <x:c r="J5" s="18" t="str">
        <x:v>Yes</x:v>
      </x:c>
      <x:c r="K5" s="18" t="str">
        <x:v>Yes</x:v>
      </x:c>
      <x:c r="L5" s="18" t="str">
        <x:v>No</x:v>
      </x:c>
      <x:c r="M5" s="18" t="str"/>
      <x:c r="N5" s="18" t="str"/>
      <x:c r="O5" s="18" t="str"/>
      <x:c r="P5" s="18" t="str">
        <x:v>NOT READY — RoB replacement/re-adjudication pending</x:v>
      </x:c>
      <x:c r="Q5" s="18" t="str">
        <x:v>Use source data; DO NOT use original stored RoB. Rebuild result-specific RoB.</x:v>
      </x:c>
      <x:c r="R5" s="18" t="str">
        <x:v>Candidate summary from Antigravity report; use only after source-level confirmation</x:v>
      </x:c>
      <x:c r="S5" s="18" t="str">
        <x:v>Source PDF / supplement / protocol / registration &gt; reconciled source extraction &gt; derivative model output</x:v>
      </x:c>
      <x:c r="T5" s="18" t="str">
        <x:v>https://drive.google.com/drive/folders/1EWdZyTQjPSuoxt8n1nIr1t8D98PC-mso</x:v>
      </x:c>
      <x:c r="U5" s="18" t="str">
        <x:v>https://docs.google.com/document/d/1hR0UuZSmPpwZi384Vzn3sZt5Y5_ZwYxW6b3u4nq2-40/edit</x:v>
      </x:c>
    </x:row>
    <x:row r="6">
      <x:c r="A6" s="18" t="str">
        <x:v>Zhan 2020</x:v>
      </x:c>
      <x:c r="B6" s="18" t="str">
        <x:v>Batch 6</x:v>
      </x:c>
      <x:c r="C6" s="18" t="str">
        <x:v>FULL REPLACEMENT</x:v>
      </x:c>
      <x:c r="D6" s="18" t="str">
        <x:v>Stored RoB invents sham structure and 24-h sufentanil endpoint not reported by source.</x:v>
      </x:c>
      <x:c r="E6" s="18" t="str"/>
      <x:c r="F6" s="18" t="str">
        <x:v>Zhan 2020</x:v>
      </x:c>
      <x:c r="G6" s="18" t="str">
        <x:v>1389</x:v>
      </x:c>
      <x:c r="H6" s="18" t="str">
        <x:v>1881841076</x:v>
      </x:c>
      <x:c r="I6" s="18" t="str">
        <x:v>**Pain intensity at rest at 24h (VAS 0-10) (PRIMARY)**: TAP+TEAS (n=30) 1.70 ± 2.20 vs TAP Control (n=30) 2.00 ± 3.00 (P = 0.03*) [MD -0.30, 95% CI -1.63 to ...</x:v>
      </x:c>
      <x:c r="J6" s="18" t="str">
        <x:v>Yes</x:v>
      </x:c>
      <x:c r="K6" s="18" t="str">
        <x:v>Yes</x:v>
      </x:c>
      <x:c r="L6" s="18" t="str">
        <x:v>No</x:v>
      </x:c>
      <x:c r="M6" s="18" t="str"/>
      <x:c r="N6" s="18" t="str"/>
      <x:c r="O6" s="18" t="str"/>
      <x:c r="P6" s="18" t="str">
        <x:v>NOT READY — RoB replacement/re-adjudication pending</x:v>
      </x:c>
      <x:c r="Q6" s="18" t="str">
        <x:v>Use source data; DO NOT use original stored RoB. Rebuild result-specific RoB.</x:v>
      </x:c>
      <x:c r="R6" s="18" t="str">
        <x:v>Candidate summary from Antigravity report; use only after source-level confirmation</x:v>
      </x:c>
      <x:c r="S6" s="18" t="str">
        <x:v>Source PDF / supplement / protocol / registration &gt; reconciled source extraction &gt; derivative model output</x:v>
      </x:c>
      <x:c r="T6" s="18" t="str">
        <x:v>https://drive.google.com/drive/folders/1EWdZyTQjPSuoxt8n1nIr1t8D98PC-mso</x:v>
      </x:c>
      <x:c r="U6" s="18" t="str">
        <x:v>https://docs.google.com/document/d/1hR0UuZSmPpwZi384Vzn3sZt5Y5_ZwYxW6b3u4nq2-40/edit</x:v>
      </x:c>
    </x:row>
    <x:row r="7">
      <x:c r="A7" s="18" t="str">
        <x:v>Zhang 2025</x:v>
      </x:c>
      <x:c r="B7" s="18" t="str">
        <x:v>Batch 15</x:v>
      </x:c>
      <x:c r="C7" s="18" t="str">
        <x:v>FULL REPLACEMENT</x:v>
      </x:c>
      <x:c r="D7" s="18" t="str">
        <x:v>Changes surgery, sample, acupoints/schedule and pain/opioid results.</x:v>
      </x:c>
      <x:c r="E7" s="18" t="str"/>
      <x:c r="F7" s="18" t="str">
        <x:v>Zhang 2025</x:v>
      </x:c>
      <x:c r="G7" s="18" t="str">
        <x:v>71</x:v>
      </x:c>
      <x:c r="H7" s="18" t="str">
        <x:v>1879896013</x:v>
      </x:c>
      <x:c r="I7" s="18" t="str">
        <x:v>**Cumulative postoperative systemic opioid consumption at 24h (total sufentanil in IV MME) (PRIMARY)**: TEAS (n=45) 50.53 ± 4.46 mg vs Control Sham TEAS (n=4...</x:v>
      </x:c>
      <x:c r="J7" s="18" t="str">
        <x:v>Yes</x:v>
      </x:c>
      <x:c r="K7" s="18" t="str">
        <x:v>Yes</x:v>
      </x:c>
      <x:c r="L7" s="18" t="str">
        <x:v>No</x:v>
      </x:c>
      <x:c r="M7" s="18" t="str"/>
      <x:c r="N7" s="18" t="str"/>
      <x:c r="O7" s="18" t="str"/>
      <x:c r="P7" s="18" t="str">
        <x:v>NOT READY — RoB replacement/re-adjudication pending</x:v>
      </x:c>
      <x:c r="Q7" s="18" t="str">
        <x:v>Use source data; DO NOT use original stored RoB. Rebuild result-specific RoB.</x:v>
      </x:c>
      <x:c r="R7" s="18" t="str">
        <x:v>Candidate summary from Antigravity report; use only after source-level confirmation</x:v>
      </x:c>
      <x:c r="S7" s="18" t="str">
        <x:v>Source PDF / supplement / protocol / registration &gt; reconciled source extraction &gt; derivative model output</x:v>
      </x:c>
      <x:c r="T7" s="18" t="str">
        <x:v>https://drive.google.com/drive/folders/1EWdZyTQjPSuoxt8n1nIr1t8D98PC-mso</x:v>
      </x:c>
      <x:c r="U7" s="18" t="str">
        <x:v>https://docs.google.com/document/d/1hR0UuZSmPpwZi384Vzn3sZt5Y5_ZwYxW6b3u4nq2-40/edit</x:v>
      </x:c>
    </x:row>
    <x:row r="8">
      <x:c r="A8" s="18" t="str">
        <x:v>Zhang 2023</x:v>
      </x:c>
      <x:c r="B8" s="18" t="str">
        <x:v>Batch 12</x:v>
      </x:c>
      <x:c r="C8" s="18" t="str">
        <x:v>FULL REPLACEMENT</x:v>
      </x:c>
      <x:c r="D8" s="18" t="str">
        <x:v>Changes sample/analysis/intervention and fabricates first-voiding result.</x:v>
      </x:c>
      <x:c r="E8" s="18" t="str"/>
      <x:c r="F8" s="18" t="str">
        <x:v>Zhang 2023</x:v>
      </x:c>
      <x:c r="G8" s="18" t="str">
        <x:v>308</x:v>
      </x:c>
      <x:c r="H8" s="18" t="str">
        <x:v>1879896412</x:v>
      </x:c>
      <x:c r="I8" s="18" t="str">
        <x:v>**Cumulative postoperative systemic opioid consumption within 48h (IV MME)**: TEAS (n=922) median 110.0 mg (IQR 80.0-110.0) vs Sham TEAS (n=916) median 110.0...</x:v>
      </x:c>
      <x:c r="J8" s="18" t="str">
        <x:v>Yes</x:v>
      </x:c>
      <x:c r="K8" s="18" t="str">
        <x:v>Yes</x:v>
      </x:c>
      <x:c r="L8" s="18" t="str">
        <x:v>No</x:v>
      </x:c>
      <x:c r="M8" s="18" t="str"/>
      <x:c r="N8" s="18" t="str"/>
      <x:c r="O8" s="18" t="str"/>
      <x:c r="P8" s="18" t="str">
        <x:v>NOT READY — RoB replacement/re-adjudication pending</x:v>
      </x:c>
      <x:c r="Q8" s="18" t="str">
        <x:v>Use source data; DO NOT use original stored RoB. Rebuild result-specific RoB.</x:v>
      </x:c>
      <x:c r="R8" s="18" t="str">
        <x:v>Candidate summary from Antigravity report; use only after source-level confirmation</x:v>
      </x:c>
      <x:c r="S8" s="18" t="str">
        <x:v>Source PDF / supplement / protocol / registration &gt; reconciled source extraction &gt; derivative model output</x:v>
      </x:c>
      <x:c r="T8" s="18" t="str">
        <x:v>https://drive.google.com/drive/folders/1EWdZyTQjPSuoxt8n1nIr1t8D98PC-mso</x:v>
      </x:c>
      <x:c r="U8" s="18" t="str">
        <x:v>https://docs.google.com/document/d/1hR0UuZSmPpwZi384Vzn3sZt5Y5_ZwYxW6b3u4nq2-40/edit</x:v>
      </x:c>
    </x:row>
    <x:row r="9">
      <x:c r="A9" s="18" t="str">
        <x:v>Zhang 2014</x:v>
      </x:c>
      <x:c r="B9" s="18" t="str">
        <x:v>Batch 4</x:v>
      </x:c>
      <x:c r="C9" s="18" t="str">
        <x:v>FULL REPLACEMENT</x:v>
      </x:c>
      <x:c r="D9" s="18" t="str">
        <x:v>RoB describes a different trial and QoR-40 endpoint.</x:v>
      </x:c>
      <x:c r="E9" s="18" t="str"/>
      <x:c r="F9" s="18" t="str">
        <x:v>Zhang 2014</x:v>
      </x:c>
      <x:c r="G9" s="18" t="str">
        <x:v>711</x:v>
      </x:c>
      <x:c r="H9" s="18" t="str">
        <x:v>1879897091</x:v>
      </x:c>
      <x:c r="I9" s="18" t="str">
        <x:v>**Intraoperative systemic remifentanil consumption rate (µg/kg/min)**: TEAS (n=33) 0.06 ± 0.02 vs Sham TEAS (n=32) 0.09 ± 0.03 (P = 0.01*) [MD -0.03, 95% CI ...</x:v>
      </x:c>
      <x:c r="J9" s="18" t="str">
        <x:v>Yes</x:v>
      </x:c>
      <x:c r="K9" s="18" t="str">
        <x:v>Yes</x:v>
      </x:c>
      <x:c r="L9" s="18" t="str">
        <x:v>No</x:v>
      </x:c>
      <x:c r="M9" s="18" t="str"/>
      <x:c r="N9" s="18" t="str"/>
      <x:c r="O9" s="18" t="str"/>
      <x:c r="P9" s="18" t="str">
        <x:v>NOT READY — RoB replacement/re-adjudication pending</x:v>
      </x:c>
      <x:c r="Q9" s="18" t="str">
        <x:v>Use source data; DO NOT use original stored RoB. Rebuild result-specific RoB.</x:v>
      </x:c>
      <x:c r="R9" s="18" t="str">
        <x:v>Candidate summary from Antigravity report; use only after source-level confirmation</x:v>
      </x:c>
      <x:c r="S9" s="18" t="str">
        <x:v>Source PDF / supplement / protocol / registration &gt; reconciled source extraction &gt; derivative model output</x:v>
      </x:c>
      <x:c r="T9" s="18" t="str">
        <x:v>https://drive.google.com/drive/folders/1EWdZyTQjPSuoxt8n1nIr1t8D98PC-mso</x:v>
      </x:c>
      <x:c r="U9" s="18" t="str">
        <x:v>https://docs.google.com/document/d/1hR0UuZSmPpwZi384Vzn3sZt5Y5_ZwYxW6b3u4nq2-40/edit</x:v>
      </x:c>
    </x:row>
    <x:row r="10">
      <x:c r="A10" s="18" t="str">
        <x:v>Yu 2020</x:v>
      </x:c>
      <x:c r="B10" s="18" t="str">
        <x:v>Batch 6</x:v>
      </x:c>
      <x:c r="C10" s="18" t="str">
        <x:v>FULL REPLACEMENT</x:v>
      </x:c>
      <x:c r="D10" s="18" t="str">
        <x:v>Changes protocol/result and incorrectly treats retrospective registration as prospective.</x:v>
      </x:c>
      <x:c r="E10" s="18" t="str"/>
      <x:c r="F10" s="18" t="str">
        <x:v>Yu 2020</x:v>
      </x:c>
      <x:c r="G10" s="18" t="str">
        <x:v>483</x:v>
      </x:c>
      <x:c r="H10" s="18" t="str">
        <x:v>1879896692</x:v>
      </x:c>
      <x:c r="I10" s="18" t="str">
        <x:v>**Pain intensity at rest at 24h (VAS 0-10) (PRIMARY)**: TEAS (n=30) 3.70 ± 1.53 vs Con Sham TEAS (n=30) 4.73 ± 1.53 (P &lt; 0.05*) [MD -1.03, 95% CI -1.81 to -0...</x:v>
      </x:c>
      <x:c r="J10" s="18" t="str">
        <x:v>Yes</x:v>
      </x:c>
      <x:c r="K10" s="18" t="str">
        <x:v>Yes</x:v>
      </x:c>
      <x:c r="L10" s="18" t="str">
        <x:v>Yes</x:v>
      </x:c>
      <x:c r="M10" s="18" t="str">
        <x:v>Global QoR-40</x:v>
      </x:c>
      <x:c r="N10" s="18" t="str">
        <x:v>POD1 (~24 h)</x:v>
      </x:c>
      <x:c r="O10" s="18" t="str">
        <x:v>High</x:v>
      </x:c>
      <x:c r="P10" s="18" t="str">
        <x:v>PARTIALLY READY — corrected RoB available for one selected result; confirm outcome matches planned synthesis</x:v>
      </x:c>
      <x:c r="Q10" s="18" t="str">
        <x:v>Use source data; DO NOT use original stored RoB. Rebuild result-specific RoB.</x:v>
      </x:c>
      <x:c r="R10" s="18" t="str">
        <x:v>Candidate summary from Antigravity report; use only after source-level confirmation</x:v>
      </x:c>
      <x:c r="S10" s="18" t="str">
        <x:v>Source PDF / supplement / protocol / registration &gt; reconciled source extraction &gt; derivative model output</x:v>
      </x:c>
      <x:c r="T10" s="18" t="str">
        <x:v>https://drive.google.com/drive/folders/1EWdZyTQjPSuoxt8n1nIr1t8D98PC-mso</x:v>
      </x:c>
      <x:c r="U10" s="18" t="str">
        <x:v>https://docs.google.com/document/d/1hR0UuZSmPpwZi384Vzn3sZt5Y5_ZwYxW6b3u4nq2-40/edit</x:v>
      </x:c>
    </x:row>
    <x:row r="11">
      <x:c r="A11" s="18" t="str">
        <x:v>Yeh 2010</x:v>
      </x:c>
      <x:c r="B11" s="18" t="str">
        <x:v>Batch 2</x:v>
      </x:c>
      <x:c r="C11" s="18" t="str">
        <x:v>SPECIAL / SOURCE-QC</x:v>
      </x:c>
      <x:c r="D11" s="18" t="str">
        <x:v>Probable/possible cohort overlap with Yeh 2011; epidural morphine route requires clarification before systemic MME use.</x:v>
      </x:c>
      <x:c r="E11" s="18" t="str"/>
      <x:c r="F11" s="18" t="str">
        <x:v>Yeh 2010</x:v>
      </x:c>
      <x:c r="G11" s="18" t="str">
        <x:v>828</x:v>
      </x:c>
      <x:c r="H11" s="18" t="str">
        <x:v>1879897280</x:v>
      </x:c>
      <x:c r="I11" s="18" t="str">
        <x:v>**Cumulative postoperative systemic opioid consumption at 24h (PRIMARY)**: AES (n=30) 19.3 ± 9.7 mg vs Sham AES (n=30) 21.6 ± 13.1 mg (P = 0.443) [MD -2.30 m...</x:v>
      </x:c>
      <x:c r="J11" s="18" t="str">
        <x:v>Yes</x:v>
      </x:c>
      <x:c r="K11" s="18" t="str">
        <x:v>Yes</x:v>
      </x:c>
      <x:c r="L11" s="18" t="str">
        <x:v>No</x:v>
      </x:c>
      <x:c r="M11" s="18" t="str"/>
      <x:c r="N11" s="18" t="str"/>
      <x:c r="O11" s="18" t="str"/>
      <x:c r="P11" s="18" t="str">
        <x:v>SOURCE-QC REQUIRED</x:v>
      </x:c>
      <x:c r="Q11" s="18" t="str">
        <x:v>Follow study-specific source-QC note before analysis; do not assume original derivative is safe.</x:v>
      </x:c>
      <x:c r="R11" s="18" t="str">
        <x:v>Candidate summary from Antigravity report; use only after source-level confirmation</x:v>
      </x:c>
      <x:c r="S11" s="18" t="str">
        <x:v>Source PDF / supplement / protocol / registration &gt; reconciled source extraction &gt; derivative model output</x:v>
      </x:c>
      <x:c r="T11" s="18" t="str">
        <x:v>https://drive.google.com/drive/folders/1EWdZyTQjPSuoxt8n1nIr1t8D98PC-mso</x:v>
      </x:c>
      <x:c r="U11" s="18" t="str">
        <x:v>https://docs.google.com/document/d/1hR0UuZSmPpwZi384Vzn3sZt5Y5_ZwYxW6b3u4nq2-40/edit</x:v>
      </x:c>
    </x:row>
    <x:row r="12">
      <x:c r="A12" s="18" t="str">
        <x:v>Yeh 2011</x:v>
      </x:c>
      <x:c r="B12" s="18" t="str">
        <x:v>Batch 2</x:v>
      </x:c>
      <x:c r="C12" s="18" t="str">
        <x:v>SPECIAL / SOURCE-QC</x:v>
      </x:c>
      <x:c r="D12" s="18" t="str">
        <x:v>Possible cohort overlap with Yeh 2010; do not count both as independent until resolved.</x:v>
      </x:c>
      <x:c r="E12" s="18" t="str">
        <x:v>Yeh 2010 (ATHM) → Yeh 2011</x:v>
      </x:c>
      <x:c r="F12" s="18" t="str">
        <x:v>Yeh 2010 (ATHM)</x:v>
      </x:c>
      <x:c r="G12" s="18" t="str">
        <x:v>823</x:v>
      </x:c>
      <x:c r="H12" s="18" t="str">
        <x:v>1879897273</x:v>
      </x:c>
      <x:c r="I12" s="18" t="str">
        <x:v>**Cumulative postoperative systemic opioid consumption at 24h (PRIMARY)**: EG1 True AES (n=33) 18.6 ± 9.7 mg vs EG2 Sham AES (n=30) 21.6 ± 13.1 mg (P = 0.364...</x:v>
      </x:c>
      <x:c r="J12" s="18" t="str">
        <x:v>Yes</x:v>
      </x:c>
      <x:c r="K12" s="18" t="str">
        <x:v>Yes</x:v>
      </x:c>
      <x:c r="L12" s="18" t="str">
        <x:v>No</x:v>
      </x:c>
      <x:c r="M12" s="18" t="str"/>
      <x:c r="N12" s="18" t="str"/>
      <x:c r="O12" s="18" t="str"/>
      <x:c r="P12" s="18" t="str">
        <x:v>SOURCE-QC REQUIRED</x:v>
      </x:c>
      <x:c r="Q12" s="18" t="str">
        <x:v>Follow study-specific source-QC note before analysis; do not assume original derivative is safe.</x:v>
      </x:c>
      <x:c r="R12" s="18" t="str">
        <x:v>Candidate summary from Antigravity report; use only after source-level confirmation</x:v>
      </x:c>
      <x:c r="S12" s="18" t="str">
        <x:v>Source PDF / supplement / protocol / registration &gt; reconciled source extraction &gt; derivative model output</x:v>
      </x:c>
      <x:c r="T12" s="18" t="str">
        <x:v>https://drive.google.com/drive/folders/1EWdZyTQjPSuoxt8n1nIr1t8D98PC-mso</x:v>
      </x:c>
      <x:c r="U12" s="18" t="str">
        <x:v>https://docs.google.com/document/d/1hR0UuZSmPpwZi384Vzn3sZt5Y5_ZwYxW6b3u4nq2-40/edit</x:v>
      </x:c>
    </x:row>
    <x:row r="13">
      <x:c r="A13" s="18" t="str">
        <x:v>Yao 2015</x:v>
      </x:c>
      <x:c r="B13" s="18" t="str">
        <x:v>Batch 4</x:v>
      </x:c>
      <x:c r="C13" s="18" t="str">
        <x:v>FULL REPLACEMENT</x:v>
      </x:c>
      <x:c r="D13" s="18" t="str">
        <x:v>RoB changes sample, intervention and QoR-40 values.</x:v>
      </x:c>
      <x:c r="E13" s="18" t="str"/>
      <x:c r="F13" s="18" t="str">
        <x:v>Yao 2015</x:v>
      </x:c>
      <x:c r="G13" s="18" t="str">
        <x:v>671</x:v>
      </x:c>
      <x:c r="H13" s="18" t="str">
        <x:v>1879897026</x:v>
      </x:c>
      <x:c r="I13" s="18" t="str">
        <x:v>**Quality of recovery (QoR-40 global score at 24h) (PRIMARY)**: TEAS (n=35) 176.5 ± 10.2 vs Sham TEAS (n=36) 164.8 ± 14.7 (P &lt; 0.001*) [MD 11.70, 95% CI 5.80...</x:v>
      </x:c>
      <x:c r="J13" s="18" t="str">
        <x:v>Yes</x:v>
      </x:c>
      <x:c r="K13" s="18" t="str">
        <x:v>Yes</x:v>
      </x:c>
      <x:c r="L13" s="18" t="str">
        <x:v>Yes</x:v>
      </x:c>
      <x:c r="M13" s="18" t="str">
        <x:v>Global QoR-40</x:v>
      </x:c>
      <x:c r="N13" s="18" t="str">
        <x:v>24 h</x:v>
      </x:c>
      <x:c r="O13" s="18" t="str">
        <x:v>High</x:v>
      </x:c>
      <x:c r="P13" s="18" t="str">
        <x:v>PARTIALLY READY — corrected RoB available for one selected result; confirm outcome matches planned synthesis</x:v>
      </x:c>
      <x:c r="Q13" s="18" t="str">
        <x:v>Use source data; DO NOT use original stored RoB. Rebuild result-specific RoB.</x:v>
      </x:c>
      <x:c r="R13" s="18" t="str">
        <x:v>Candidate summary from Antigravity report; use only after source-level confirmation</x:v>
      </x:c>
      <x:c r="S13" s="18" t="str">
        <x:v>Source PDF / supplement / protocol / registration &gt; reconciled source extraction &gt; derivative model output</x:v>
      </x:c>
      <x:c r="T13" s="18" t="str">
        <x:v>https://drive.google.com/drive/folders/1EWdZyTQjPSuoxt8n1nIr1t8D98PC-mso</x:v>
      </x:c>
      <x:c r="U13" s="18" t="str">
        <x:v>https://docs.google.com/document/d/1hR0UuZSmPpwZi384Vzn3sZt5Y5_ZwYxW6b3u4nq2-40/edit</x:v>
      </x:c>
    </x:row>
    <x:row r="14">
      <x:c r="A14" s="18" t="str">
        <x:v>Yang 2020</x:v>
      </x:c>
      <x:c r="B14" s="18" t="str">
        <x:v>Batch 20</x:v>
      </x:c>
      <x:c r="C14" s="18" t="str">
        <x:v>FULL REPLACEMENT</x:v>
      </x:c>
      <x:c r="D14" s="18" t="str">
        <x:v>Wang-labeled RoB is a fabricated laparoscopic-cholecystectomy sham trial; true source is open-label VATS EA/usual-care study.</x:v>
      </x:c>
      <x:c r="E14" s="18" t="str"/>
      <x:c r="F14" s="18" t="str">
        <x:v>Yang 2020</x:v>
      </x:c>
      <x:c r="G14" s="18" t="str">
        <x:v>464</x:v>
      </x:c>
      <x:c r="H14" s="18" t="str">
        <x:v>1879896661</x:v>
      </x:c>
      <x:c r="I14" s="18" t="str">
        <x:v>**Postoperative nausea incidence 0-24h (PRIMARY)**: EA (n=29) 8/29 (27.59%) vs Usual care (n=28) 8/28 (28.57%) (P = 0.934) [RR 0.97, 95% CI 0.42 to 2.24]. **...</x:v>
      </x:c>
      <x:c r="J14" s="18" t="str">
        <x:v>Yes</x:v>
      </x:c>
      <x:c r="K14" s="18" t="str">
        <x:v>Yes</x:v>
      </x:c>
      <x:c r="L14" s="18" t="str">
        <x:v>Yes</x:v>
      </x:c>
      <x:c r="M14" s="18" t="str">
        <x:v>Time to first postoperative flatus</x:v>
      </x:c>
      <x:c r="N14" s="18" t="str">
        <x:v>Time to event</x:v>
      </x:c>
      <x:c r="O14" s="18" t="str">
        <x:v>Some concerns</x:v>
      </x:c>
      <x:c r="P14" s="18" t="str">
        <x:v>PARTIALLY READY — corrected RoB available for one selected result; confirm outcome matches planned synthesis</x:v>
      </x:c>
      <x:c r="Q14" s="18" t="str">
        <x:v>Use source data; DO NOT use original stored RoB. Rebuild result-specific RoB.</x:v>
      </x:c>
      <x:c r="R14" s="18" t="str">
        <x:v>Candidate summary from Antigravity report; use only after source-level confirmation</x:v>
      </x:c>
      <x:c r="S14" s="18" t="str">
        <x:v>Source PDF / supplement / protocol / registration &gt; reconciled source extraction &gt; derivative model output</x:v>
      </x:c>
      <x:c r="T14" s="18" t="str">
        <x:v>https://drive.google.com/drive/folders/1EWdZyTQjPSuoxt8n1nIr1t8D98PC-mso</x:v>
      </x:c>
      <x:c r="U14" s="18" t="str">
        <x:v>https://docs.google.com/document/d/1hR0UuZSmPpwZi384Vzn3sZt5Y5_ZwYxW6b3u4nq2-40/edit</x:v>
      </x:c>
    </x:row>
    <x:row r="15">
      <x:c r="A15" s="18" t="str">
        <x:v>Yang 2024</x:v>
      </x:c>
      <x:c r="B15" s="18" t="str">
        <x:v>Batch 14</x:v>
      </x:c>
      <x:c r="C15" s="18" t="str">
        <x:v>FULL REPLACEMENT</x:v>
      </x:c>
      <x:c r="D15" s="18" t="str">
        <x:v>Zhang-labeled RoB changes study identity, surgery, comparator, blinding and PONV result.</x:v>
      </x:c>
      <x:c r="E15" s="18" t="str">
        <x:v>Yang 2023 → Yang 2024</x:v>
      </x:c>
      <x:c r="F15" s="18" t="str">
        <x:v>Yang 2023</x:v>
      </x:c>
      <x:c r="G15" s="18" t="str">
        <x:v>252</x:v>
      </x:c>
      <x:c r="H15" s="18" t="str">
        <x:v>1879896323</x:v>
      </x:c>
      <x:c r="I15" s="18" t="str">
        <x:v>**Cumulative postoperative systemic opioid consumption on POD 1 (24h) (PRIMARY)**: EA (n=90) 43.7 ± 4.7 mg vs Usual care (n=90) 44.0 ± 4.9 mg (P = 0.733) [MD...</x:v>
      </x:c>
      <x:c r="J15" s="18" t="str">
        <x:v>Yes</x:v>
      </x:c>
      <x:c r="K15" s="18" t="str">
        <x:v>Yes</x:v>
      </x:c>
      <x:c r="L15" s="18" t="str">
        <x:v>No</x:v>
      </x:c>
      <x:c r="M15" s="18" t="str"/>
      <x:c r="N15" s="18" t="str"/>
      <x:c r="O15" s="18" t="str"/>
      <x:c r="P15" s="18" t="str">
        <x:v>NOT READY — RoB replacement/re-adjudication pending</x:v>
      </x:c>
      <x:c r="Q15" s="18" t="str">
        <x:v>Use source data; DO NOT use original stored RoB. Rebuild result-specific RoB.</x:v>
      </x:c>
      <x:c r="R15" s="18" t="str">
        <x:v>Candidate summary from Antigravity report; use only after source-level confirmation</x:v>
      </x:c>
      <x:c r="S15" s="18" t="str">
        <x:v>Source PDF / supplement / protocol / registration &gt; reconciled source extraction &gt; derivative model output</x:v>
      </x:c>
      <x:c r="T15" s="18" t="str">
        <x:v>https://drive.google.com/drive/folders/1EWdZyTQjPSuoxt8n1nIr1t8D98PC-mso</x:v>
      </x:c>
      <x:c r="U15" s="18" t="str">
        <x:v>https://docs.google.com/document/d/1hR0UuZSmPpwZi384Vzn3sZt5Y5_ZwYxW6b3u4nq2-40/edit</x:v>
      </x:c>
    </x:row>
    <x:row r="16">
      <x:c r="A16" s="18" t="str">
        <x:v>Xiong 2021</x:v>
      </x:c>
      <x:c r="B16" s="18" t="str">
        <x:v>Batch 7</x:v>
      </x:c>
      <x:c r="C16" s="18" t="str">
        <x:v>RE-ADJUDICATE</x:v>
      </x:c>
      <x:c r="D16" s="18" t="str">
        <x:v>Correct study/result, but cointervention doses, caregiver awareness, baseline evidence and prespecification handling are wrong.</x:v>
      </x:c>
      <x:c r="E16" s="18" t="str"/>
      <x:c r="F16" s="18" t="str">
        <x:v>Xiong 2021</x:v>
      </x:c>
      <x:c r="G16" s="18" t="str">
        <x:v>431</x:v>
      </x:c>
      <x:c r="H16" s="18" t="str">
        <x:v>1879896608</x:v>
      </x:c>
      <x:c r="I16" s="18" t="str">
        <x:v>**Composite PONV incidence 0-24h (PRIMARY)**: TEAS (n=31) 12/31 (38.7%) vs Sham TEAS (n=31) 24/31 (77.4%) (P = 0.002*) [RR 0.50, 95% CI 0.31 to 0.81]. **Comp...</x:v>
      </x:c>
      <x:c r="J16" s="18" t="str">
        <x:v>Yes</x:v>
      </x:c>
      <x:c r="K16" s="18" t="str">
        <x:v>Yes</x:v>
      </x:c>
      <x:c r="L16" s="18" t="str">
        <x:v>No</x:v>
      </x:c>
      <x:c r="M16" s="18" t="str"/>
      <x:c r="N16" s="18" t="str"/>
      <x:c r="O16" s="18" t="str"/>
      <x:c r="P16" s="18" t="str">
        <x:v>NOT READY — RoB replacement/re-adjudication pending</x:v>
      </x:c>
      <x:c r="Q16" s="18" t="str">
        <x:v>Retain source-matched study/result scaffold only; redo signaling questions and final judgment.</x:v>
      </x:c>
      <x:c r="R16" s="18" t="str">
        <x:v>Candidate summary from Antigravity report; use only after source-level confirmation</x:v>
      </x:c>
      <x:c r="S16" s="18" t="str">
        <x:v>Source PDF / supplement / protocol / registration &gt; reconciled source extraction &gt; derivative model output</x:v>
      </x:c>
      <x:c r="T16" s="18" t="str">
        <x:v>https://drive.google.com/drive/folders/1EWdZyTQjPSuoxt8n1nIr1t8D98PC-mso</x:v>
      </x:c>
      <x:c r="U16" s="18" t="str">
        <x:v>https://docs.google.com/document/d/1hR0UuZSmPpwZi384Vzn3sZt5Y5_ZwYxW6b3u4nq2-40/edit</x:v>
      </x:c>
    </x:row>
    <x:row r="17">
      <x:c r="A17" s="18" t="str">
        <x:v>Xing 2022</x:v>
      </x:c>
      <x:c r="B17" s="18" t="str">
        <x:v>Batch 10</x:v>
      </x:c>
      <x:c r="C17" s="18" t="str">
        <x:v>FULL REPLACEMENT</x:v>
      </x:c>
      <x:c r="D17" s="18" t="str">
        <x:v>Attached Wang RoB is a different colorectal trial with fabricated flatus values.</x:v>
      </x:c>
      <x:c r="E17" s="18" t="str"/>
      <x:c r="F17" s="18" t="str">
        <x:v>Xing 2022</x:v>
      </x:c>
      <x:c r="G17" s="18" t="str">
        <x:v>338</x:v>
      </x:c>
      <x:c r="H17" s="18" t="str">
        <x:v>1879896460</x:v>
      </x:c>
      <x:c r="I17" s="18" t="str">
        <x:v>**Pain intensity at rest at 24h (PRIMARY)**: TEAS+TAPB (n=29) 1.18 ± 0.42 vs Sham TEAS+TAPB (n=29) 1.40 ± 0.52 (P &lt; 0.05*) [MD -0.22, 95% CI -0.46 to 0.02]; ...</x:v>
      </x:c>
      <x:c r="J17" s="18" t="str">
        <x:v>Yes</x:v>
      </x:c>
      <x:c r="K17" s="18" t="str">
        <x:v>Yes</x:v>
      </x:c>
      <x:c r="L17" s="18" t="str">
        <x:v>No</x:v>
      </x:c>
      <x:c r="M17" s="18" t="str"/>
      <x:c r="N17" s="18" t="str"/>
      <x:c r="O17" s="18" t="str"/>
      <x:c r="P17" s="18" t="str">
        <x:v>NOT READY — RoB replacement/re-adjudication pending</x:v>
      </x:c>
      <x:c r="Q17" s="18" t="str">
        <x:v>Use source data; DO NOT use original stored RoB. Rebuild result-specific RoB.</x:v>
      </x:c>
      <x:c r="R17" s="18" t="str">
        <x:v>Candidate summary from Antigravity report; use only after source-level confirmation</x:v>
      </x:c>
      <x:c r="S17" s="18" t="str">
        <x:v>Source PDF / supplement / protocol / registration &gt; reconciled source extraction &gt; derivative model output</x:v>
      </x:c>
      <x:c r="T17" s="18" t="str">
        <x:v>https://drive.google.com/drive/folders/1EWdZyTQjPSuoxt8n1nIr1t8D98PC-mso</x:v>
      </x:c>
      <x:c r="U17" s="18" t="str">
        <x:v>https://docs.google.com/document/d/1hR0UuZSmPpwZi384Vzn3sZt5Y5_ZwYxW6b3u4nq2-40/edit</x:v>
      </x:c>
    </x:row>
    <x:row r="18">
      <x:c r="A18" s="18" t="str">
        <x:v>Xie 2014</x:v>
      </x:c>
      <x:c r="B18" s="18" t="str">
        <x:v>Batch 4</x:v>
      </x:c>
      <x:c r="C18" s="18" t="str">
        <x:v>FULL REPLACEMENT</x:v>
      </x:c>
      <x:c r="D18" s="18" t="str">
        <x:v>Stored RoB describes a different laparoscopic-cholecystectomy trial/result.</x:v>
      </x:c>
      <x:c r="E18" s="18" t="str"/>
      <x:c r="F18" s="18" t="str">
        <x:v>Xie 2014</x:v>
      </x:c>
      <x:c r="G18" s="18" t="str">
        <x:v>701</x:v>
      </x:c>
      <x:c r="H18" s="18" t="str">
        <x:v>1879897074</x:v>
      </x:c>
      <x:c r="I18" s="18" t="str">
        <x:v>**Cumulative postoperative systemic opioid consumption through POD 3 (PRIMARY)**: EAS (n=20) 115.0 ± 6.0 µg vs Sham EA (n=20) 133.5 ± 7.0 µg (P &lt; 0.05*) [MD ...</x:v>
      </x:c>
      <x:c r="J18" s="18" t="str">
        <x:v>Yes</x:v>
      </x:c>
      <x:c r="K18" s="18" t="str">
        <x:v>Yes</x:v>
      </x:c>
      <x:c r="L18" s="18" t="str">
        <x:v>No</x:v>
      </x:c>
      <x:c r="M18" s="18" t="str"/>
      <x:c r="N18" s="18" t="str"/>
      <x:c r="O18" s="18" t="str"/>
      <x:c r="P18" s="18" t="str">
        <x:v>NOT READY — RoB replacement/re-adjudication pending</x:v>
      </x:c>
      <x:c r="Q18" s="18" t="str">
        <x:v>Use source data; DO NOT use original stored RoB. Rebuild result-specific RoB.</x:v>
      </x:c>
      <x:c r="R18" s="18" t="str">
        <x:v>Candidate summary from Antigravity report; use only after source-level confirmation</x:v>
      </x:c>
      <x:c r="S18" s="18" t="str">
        <x:v>Source PDF / supplement / protocol / registration &gt; reconciled source extraction &gt; derivative model output</x:v>
      </x:c>
      <x:c r="T18" s="18" t="str">
        <x:v>https://drive.google.com/drive/folders/1EWdZyTQjPSuoxt8n1nIr1t8D98PC-mso</x:v>
      </x:c>
      <x:c r="U18" s="18" t="str">
        <x:v>https://docs.google.com/document/d/1hR0UuZSmPpwZi384Vzn3sZt5Y5_ZwYxW6b3u4nq2-40/edit</x:v>
      </x:c>
    </x:row>
    <x:row r="19">
      <x:c r="A19" s="18" t="str">
        <x:v>Wu 2022</x:v>
      </x:c>
      <x:c r="B19" s="18" t="str">
        <x:v>Batch 9</x:v>
      </x:c>
      <x:c r="C19" s="18" t="str">
        <x:v>FULL REPLACEMENT</x:v>
      </x:c>
      <x:c r="D19" s="18" t="str">
        <x:v>Gemini and attached Xiao RoB are cross-contaminated with different studies.</x:v>
      </x:c>
      <x:c r="E19" s="18" t="str"/>
      <x:c r="F19" s="18" t="str">
        <x:v>Wu 2022</x:v>
      </x:c>
      <x:c r="G19" s="18" t="str">
        <x:v>332</x:v>
      </x:c>
      <x:c r="H19" s="18" t="str">
        <x:v>1879896450</x:v>
      </x:c>
      <x:c r="I19" s="18" t="str">
        <x:v>**Pain intensity at 24h (PRIMARY)**: pTEAS (n=44) 1.77 ± 0.91 vs Control (n=40) 2.25 ± 0.71 (P = 0.009*) [MD -0.48, 95% CI -0.83 to -0.13]. **Pain intensity ...</x:v>
      </x:c>
      <x:c r="J19" s="18" t="str">
        <x:v>Yes</x:v>
      </x:c>
      <x:c r="K19" s="18" t="str">
        <x:v>Yes</x:v>
      </x:c>
      <x:c r="L19" s="18" t="str">
        <x:v>No</x:v>
      </x:c>
      <x:c r="M19" s="18" t="str"/>
      <x:c r="N19" s="18" t="str"/>
      <x:c r="O19" s="18" t="str"/>
      <x:c r="P19" s="18" t="str">
        <x:v>NOT READY — RoB replacement/re-adjudication pending</x:v>
      </x:c>
      <x:c r="Q19" s="18" t="str">
        <x:v>Use source data; DO NOT use original stored RoB. Rebuild result-specific RoB.</x:v>
      </x:c>
      <x:c r="R19" s="18" t="str">
        <x:v>Candidate summary from Antigravity report; use only after source-level confirmation</x:v>
      </x:c>
      <x:c r="S19" s="18" t="str">
        <x:v>Source PDF / supplement / protocol / registration &gt; reconciled source extraction &gt; derivative model output</x:v>
      </x:c>
      <x:c r="T19" s="18" t="str">
        <x:v>https://drive.google.com/drive/folders/1EWdZyTQjPSuoxt8n1nIr1t8D98PC-mso</x:v>
      </x:c>
      <x:c r="U19" s="18" t="str">
        <x:v>https://docs.google.com/document/d/1hR0UuZSmPpwZi384Vzn3sZt5Y5_ZwYxW6b3u4nq2-40/edit</x:v>
      </x:c>
    </x:row>
    <x:row r="20">
      <x:c r="A20" s="18" t="str">
        <x:v>Wu 2025</x:v>
      </x:c>
      <x:c r="B20" s="18" t="str">
        <x:v>Batch 15</x:v>
      </x:c>
      <x:c r="C20" s="18" t="str">
        <x:v>FULL REPLACEMENT</x:v>
      </x:c>
      <x:c r="D20" s="18" t="str">
        <x:v>Changes surgery/protocol, pain values and falsely claims complete 24-h follow-up.</x:v>
      </x:c>
      <x:c r="E20" s="18" t="str"/>
      <x:c r="F20" s="18" t="str">
        <x:v>Wu 2025</x:v>
      </x:c>
      <x:c r="G20" s="18" t="str">
        <x:v>122</x:v>
      </x:c>
      <x:c r="H20" s="18" t="str">
        <x:v>1879896116</x:v>
      </x:c>
      <x:c r="I20" s="18" t="str">
        <x:v>**Pain intensity at rest at 24h (PRIMARY)**: TEAS (n=50) 1.7 ± 0.9 vs Sham TEAS (n=50) 4.0 ± 1.4 (P &lt; 0.001*) [MD -2.30, 95% CI -2.76 to -1.84]. **Pain inten...</x:v>
      </x:c>
      <x:c r="J20" s="18" t="str">
        <x:v>Yes</x:v>
      </x:c>
      <x:c r="K20" s="18" t="str">
        <x:v>Yes</x:v>
      </x:c>
      <x:c r="L20" s="18" t="str">
        <x:v>No</x:v>
      </x:c>
      <x:c r="M20" s="18" t="str"/>
      <x:c r="N20" s="18" t="str"/>
      <x:c r="O20" s="18" t="str"/>
      <x:c r="P20" s="18" t="str">
        <x:v>NOT READY — RoB replacement/re-adjudication pending</x:v>
      </x:c>
      <x:c r="Q20" s="18" t="str">
        <x:v>Use source data; DO NOT use original stored RoB. Rebuild result-specific RoB.</x:v>
      </x:c>
      <x:c r="R20" s="18" t="str">
        <x:v>Candidate summary from Antigravity report; use only after source-level confirmation</x:v>
      </x:c>
      <x:c r="S20" s="18" t="str">
        <x:v>Source PDF / supplement / protocol / registration &gt; reconciled source extraction &gt; derivative model output</x:v>
      </x:c>
      <x:c r="T20" s="18" t="str">
        <x:v>https://drive.google.com/drive/folders/1EWdZyTQjPSuoxt8n1nIr1t8D98PC-mso</x:v>
      </x:c>
      <x:c r="U20" s="18" t="str">
        <x:v>https://docs.google.com/document/d/1hR0UuZSmPpwZi384Vzn3sZt5Y5_ZwYxW6b3u4nq2-40/edit</x:v>
      </x:c>
    </x:row>
    <x:row r="21">
      <x:c r="A21" s="18" t="str">
        <x:v>Wong 2006</x:v>
      </x:c>
      <x:c r="B21" s="18" t="str">
        <x:v>Batch 3</x:v>
      </x:c>
      <x:c r="C21" s="18" t="str">
        <x:v>SPECIAL / SOURCE-QC</x:v>
      </x:c>
      <x:c r="D21" s="18" t="str">
        <x:v>POD labels are not exact 0–24-h intervals; two sham-only post-randomization exclusions; scheduled non-morphine opioid exposure.</x:v>
      </x:c>
      <x:c r="E21" s="18" t="str"/>
      <x:c r="F21" s="18" t="str">
        <x:v>Wong 2006</x:v>
      </x:c>
      <x:c r="G21" s="18" t="str">
        <x:v>912</x:v>
      </x:c>
      <x:c r="H21" s="18" t="str">
        <x:v>1879897414</x:v>
      </x:c>
      <x:c r="I21" s="18" t="str">
        <x:v>**Postoperative systemic opioid consumption Day 1 (24h) (PRIMARY)**: EA (n=13) 18.0 ± 8.8 mg vs Sham EA (n=12) 18.8 ± 9.8 mg [MD -0.80 mg, 95% CI -8.14 to 6....</x:v>
      </x:c>
      <x:c r="J21" s="18" t="str">
        <x:v>Yes</x:v>
      </x:c>
      <x:c r="K21" s="18" t="str">
        <x:v>Yes</x:v>
      </x:c>
      <x:c r="L21" s="18" t="str">
        <x:v>No</x:v>
      </x:c>
      <x:c r="M21" s="18" t="str"/>
      <x:c r="N21" s="18" t="str"/>
      <x:c r="O21" s="18" t="str"/>
      <x:c r="P21" s="18" t="str">
        <x:v>SOURCE-QC REQUIRED</x:v>
      </x:c>
      <x:c r="Q21" s="18" t="str">
        <x:v>Follow study-specific source-QC note before analysis; do not assume original derivative is safe.</x:v>
      </x:c>
      <x:c r="R21" s="18" t="str">
        <x:v>Candidate summary from Antigravity report; use only after source-level confirmation</x:v>
      </x:c>
      <x:c r="S21" s="18" t="str">
        <x:v>Source PDF / supplement / protocol / registration &gt; reconciled source extraction &gt; derivative model output</x:v>
      </x:c>
      <x:c r="T21" s="18" t="str">
        <x:v>https://drive.google.com/drive/folders/1EWdZyTQjPSuoxt8n1nIr1t8D98PC-mso</x:v>
      </x:c>
      <x:c r="U21" s="18" t="str">
        <x:v>https://docs.google.com/document/d/1hR0UuZSmPpwZi384Vzn3sZt5Y5_ZwYxW6b3u4nq2-40/edit</x:v>
      </x:c>
    </x:row>
    <x:row r="22">
      <x:c r="A22" s="18" t="str">
        <x:v>Wang 2023</x:v>
      </x:c>
      <x:c r="B22" s="18" t="str">
        <x:v>Batch 12</x:v>
      </x:c>
      <x:c r="C22" s="18" t="str">
        <x:v>FULL REPLACEMENT</x:v>
      </x:c>
      <x:c r="D22" s="18" t="str">
        <x:v>Stored sleep RoB changes sample, protocol and invents exact graph-only AIS values.</x:v>
      </x:c>
      <x:c r="E22" s="18" t="str"/>
      <x:c r="F22" s="18" t="str">
        <x:v>Wang 2023</x:v>
      </x:c>
      <x:c r="G22" s="18" t="str">
        <x:v>297</x:v>
      </x:c>
      <x:c r="H22" s="18" t="str">
        <x:v>1879896394</x:v>
      </x:c>
      <x:c r="I22" s="18" t="str">
        <x:v>**Pain intensity during activity at 24h (PRIMARY)**: TEAS (n=40) 5.06 ± 0.91 vs Sham TEAS (n=43) 6.04 ± 1.05 (P &lt; 0.05*) [MD -0.98, 95% CI -1.40 to -0.56]. *...</x:v>
      </x:c>
      <x:c r="J22" s="18" t="str">
        <x:v>Yes</x:v>
      </x:c>
      <x:c r="K22" s="18" t="str">
        <x:v>Yes</x:v>
      </x:c>
      <x:c r="L22" s="18" t="str">
        <x:v>No</x:v>
      </x:c>
      <x:c r="M22" s="18" t="str"/>
      <x:c r="N22" s="18" t="str"/>
      <x:c r="O22" s="18" t="str"/>
      <x:c r="P22" s="18" t="str">
        <x:v>NOT READY — RoB replacement/re-adjudication pending</x:v>
      </x:c>
      <x:c r="Q22" s="18" t="str">
        <x:v>Use source data; DO NOT use original stored RoB. Rebuild result-specific RoB.</x:v>
      </x:c>
      <x:c r="R22" s="18" t="str">
        <x:v>Candidate summary from Antigravity report; use only after source-level confirmation</x:v>
      </x:c>
      <x:c r="S22" s="18" t="str">
        <x:v>Source PDF / supplement / protocol / registration &gt; reconciled source extraction &gt; derivative model output</x:v>
      </x:c>
      <x:c r="T22" s="18" t="str">
        <x:v>https://drive.google.com/drive/folders/1EWdZyTQjPSuoxt8n1nIr1t8D98PC-mso</x:v>
      </x:c>
      <x:c r="U22" s="18" t="str">
        <x:v>https://docs.google.com/document/d/1hR0UuZSmPpwZi384Vzn3sZt5Y5_ZwYxW6b3u4nq2-40/edit</x:v>
      </x:c>
    </x:row>
    <x:row r="23">
      <x:c r="A23" s="18" t="str">
        <x:v>Wang 2024</x:v>
      </x:c>
      <x:c r="B23" s="18" t="str">
        <x:v>Batch 13</x:v>
      </x:c>
      <x:c r="C23" s="18" t="str">
        <x:v>FULL REPLACEMENT</x:v>
      </x:c>
      <x:c r="D23" s="18" t="str">
        <x:v>RoB collapses stratified randomized contrasts and fabricates pooled 24-h PONV result.</x:v>
      </x:c>
      <x:c r="E23" s="18" t="str"/>
      <x:c r="F23" s="18" t="str">
        <x:v>Wang 2024</x:v>
      </x:c>
      <x:c r="G23" s="18" t="str">
        <x:v>212</x:v>
      </x:c>
      <x:c r="H23" s="18" t="str">
        <x:v>1879896259</x:v>
      </x:c>
      <x:c r="I23" s="18" t="str">
        <x:v>**Composite PONV incidence 0–24h (PRIMARY)**: TEAS pooled (n=68) 19/68 (27.9%) vs Sham TEAS pooled (n=70) 30/70 (42.9%) (P = 0.065) [RR 0.65, 95% CI 0.41 to ...</x:v>
      </x:c>
      <x:c r="J23" s="18" t="str">
        <x:v>Yes</x:v>
      </x:c>
      <x:c r="K23" s="18" t="str">
        <x:v>Yes</x:v>
      </x:c>
      <x:c r="L23" s="18" t="str">
        <x:v>No</x:v>
      </x:c>
      <x:c r="M23" s="18" t="str"/>
      <x:c r="N23" s="18" t="str"/>
      <x:c r="O23" s="18" t="str"/>
      <x:c r="P23" s="18" t="str">
        <x:v>NOT READY — RoB replacement/re-adjudication pending</x:v>
      </x:c>
      <x:c r="Q23" s="18" t="str">
        <x:v>Use source data; DO NOT use original stored RoB. Rebuild result-specific RoB.</x:v>
      </x:c>
      <x:c r="R23" s="18" t="str">
        <x:v>Candidate summary from Antigravity report; use only after source-level confirmation</x:v>
      </x:c>
      <x:c r="S23" s="18" t="str">
        <x:v>Source PDF / supplement / protocol / registration &gt; reconciled source extraction &gt; derivative model output</x:v>
      </x:c>
      <x:c r="T23" s="18" t="str">
        <x:v>https://drive.google.com/drive/folders/1EWdZyTQjPSuoxt8n1nIr1t8D98PC-mso</x:v>
      </x:c>
      <x:c r="U23" s="18" t="str">
        <x:v>https://docs.google.com/document/d/1hR0UuZSmPpwZi384Vzn3sZt5Y5_ZwYxW6b3u4nq2-40/edit</x:v>
      </x:c>
    </x:row>
    <x:row r="24">
      <x:c r="A24" s="18" t="str">
        <x:v>Tu 2024</x:v>
      </x:c>
      <x:c r="B24" s="18" t="str">
        <x:v>Batch 13</x:v>
      </x:c>
      <x:c r="C24" s="18" t="str">
        <x:v>RE-ADJUDICATE</x:v>
      </x:c>
      <x:c r="D24" s="18" t="str">
        <x:v>Source-correct study/results; Domains 3 and 5 too optimistic given post-randomization exclusions and unverified exact prespecification.</x:v>
      </x:c>
      <x:c r="E24" s="18" t="str">
        <x:v>Tu 2023 → Tu 2024</x:v>
      </x:c>
      <x:c r="F24" s="18" t="str">
        <x:v>Tu 2023</x:v>
      </x:c>
      <x:c r="G24" s="18" t="str">
        <x:v>244</x:v>
      </x:c>
      <x:c r="H24" s="18" t="str">
        <x:v>1879896309</x:v>
      </x:c>
      <x:c r="I24" s="18" t="str">
        <x:v>**Postoperative pain intensity at 6–24h (PRIMARY)**: TEAS (n=57) median 2 (IQR 0.5 to 3) [Wan mean 1.83 ± 1.85] vs Sham TEAS (n=58) median 4 (IQR 3 to 4) [Wa...</x:v>
      </x:c>
      <x:c r="J24" s="18" t="str">
        <x:v>Yes</x:v>
      </x:c>
      <x:c r="K24" s="18" t="str">
        <x:v>Yes</x:v>
      </x:c>
      <x:c r="L24" s="18" t="str">
        <x:v>No</x:v>
      </x:c>
      <x:c r="M24" s="18" t="str"/>
      <x:c r="N24" s="18" t="str"/>
      <x:c r="O24" s="18" t="str"/>
      <x:c r="P24" s="18" t="str">
        <x:v>NOT READY — RoB replacement/re-adjudication pending</x:v>
      </x:c>
      <x:c r="Q24" s="18" t="str">
        <x:v>Retain source-matched study/result scaffold only; redo signaling questions and final judgment.</x:v>
      </x:c>
      <x:c r="R24" s="18" t="str">
        <x:v>Candidate summary from Antigravity report; use only after source-level confirmation</x:v>
      </x:c>
      <x:c r="S24" s="18" t="str">
        <x:v>Source PDF / supplement / protocol / registration &gt; reconciled source extraction &gt; derivative model output</x:v>
      </x:c>
      <x:c r="T24" s="18" t="str">
        <x:v>https://drive.google.com/drive/folders/1EWdZyTQjPSuoxt8n1nIr1t8D98PC-mso</x:v>
      </x:c>
      <x:c r="U24" s="18" t="str">
        <x:v>https://docs.google.com/document/d/1hR0UuZSmPpwZi384Vzn3sZt5Y5_ZwYxW6b3u4nq2-40/edit</x:v>
      </x:c>
    </x:row>
    <x:row r="25">
      <x:c r="A25" s="18" t="str">
        <x:v>Sun 2017</x:v>
      </x:c>
      <x:c r="B25" s="18" t="str">
        <x:v>Batch 5</x:v>
      </x:c>
      <x:c r="C25" s="18" t="str">
        <x:v>RE-ADJUDICATE</x:v>
      </x:c>
      <x:c r="D25" s="18" t="str">
        <x:v>Correct study family but stored result is misclassified as 24-h opioid consumption; sham and attrition details need fresh assessment.</x:v>
      </x:c>
      <x:c r="E25" s="18" t="str"/>
      <x:c r="F25" s="18" t="str">
        <x:v>Sun 2017</x:v>
      </x:c>
      <x:c r="G25" s="18" t="str">
        <x:v>632</x:v>
      </x:c>
      <x:c r="H25" s="18" t="str">
        <x:v>1879896963</x:v>
      </x:c>
      <x:c r="I25" s="18" t="str">
        <x:v>**Pain intensity on movement 24h (PRIMARY)**: Group TST (n=89) median 3.0 (IQR 3.0 to 4.0) [Wan mean 3.33 ± 0.74] vs Group SSS (n=90) median 4.0 (IQR 3.8 to ...</x:v>
      </x:c>
      <x:c r="J25" s="18" t="str">
        <x:v>Yes</x:v>
      </x:c>
      <x:c r="K25" s="18" t="str">
        <x:v>Yes</x:v>
      </x:c>
      <x:c r="L25" s="18" t="str">
        <x:v>No</x:v>
      </x:c>
      <x:c r="M25" s="18" t="str"/>
      <x:c r="N25" s="18" t="str"/>
      <x:c r="O25" s="18" t="str"/>
      <x:c r="P25" s="18" t="str">
        <x:v>NOT READY — RoB replacement/re-adjudication pending</x:v>
      </x:c>
      <x:c r="Q25" s="18" t="str">
        <x:v>Retain source-matched study/result scaffold only; redo signaling questions and final judgment.</x:v>
      </x:c>
      <x:c r="R25" s="18" t="str">
        <x:v>Candidate summary from Antigravity report; use only after source-level confirmation</x:v>
      </x:c>
      <x:c r="S25" s="18" t="str">
        <x:v>Source PDF / supplement / protocol / registration &gt; reconciled source extraction &gt; derivative model output</x:v>
      </x:c>
      <x:c r="T25" s="18" t="str">
        <x:v>https://drive.google.com/drive/folders/1EWdZyTQjPSuoxt8n1nIr1t8D98PC-mso</x:v>
      </x:c>
      <x:c r="U25" s="18" t="str">
        <x:v>https://docs.google.com/document/d/1hR0UuZSmPpwZi384Vzn3sZt5Y5_ZwYxW6b3u4nq2-40/edit</x:v>
      </x:c>
    </x:row>
    <x:row r="26">
      <x:c r="A26" s="18" t="str">
        <x:v>Sim 2002</x:v>
      </x:c>
      <x:c r="B26" s="18" t="str">
        <x:v>Batch 3</x:v>
      </x:c>
      <x:c r="C26" s="18" t="str">
        <x:v>SPECIAL / SOURCE-QC</x:v>
      </x:c>
      <x:c r="D26" s="18" t="str">
        <x:v>Three randomized timing arms must remain separate; do not merge pre- and postoperative EA.</x:v>
      </x:c>
      <x:c r="E26" s="18" t="str"/>
      <x:c r="F26" s="18" t="str">
        <x:v>Sim 2002</x:v>
      </x:c>
      <x:c r="G26" s="18" t="str">
        <x:v>952</x:v>
      </x:c>
      <x:c r="H26" s="18" t="str">
        <x:v>1879897479</x:v>
      </x:c>
      <x:c r="I26" s="18" t="str">
        <x:v>**Cumulative 24h postoperative PCA morphine consumption (PRIMARY)**: Group II Preop EA (n=30) 0.52 ± 0.19 mg/kg (31.20 ± 11.40 mg) vs Group I Placebo EA (n=3...</x:v>
      </x:c>
      <x:c r="J26" s="18" t="str">
        <x:v>Yes</x:v>
      </x:c>
      <x:c r="K26" s="18" t="str">
        <x:v>Yes</x:v>
      </x:c>
      <x:c r="L26" s="18" t="str">
        <x:v>No</x:v>
      </x:c>
      <x:c r="M26" s="18" t="str"/>
      <x:c r="N26" s="18" t="str"/>
      <x:c r="O26" s="18" t="str"/>
      <x:c r="P26" s="18" t="str">
        <x:v>SOURCE-QC REQUIRED</x:v>
      </x:c>
      <x:c r="Q26" s="18" t="str">
        <x:v>Follow study-specific source-QC note before analysis; do not assume original derivative is safe.</x:v>
      </x:c>
      <x:c r="R26" s="18" t="str">
        <x:v>Candidate summary from Antigravity report; use only after source-level confirmation</x:v>
      </x:c>
      <x:c r="S26" s="18" t="str">
        <x:v>Source PDF / supplement / protocol / registration &gt; reconciled source extraction &gt; derivative model output</x:v>
      </x:c>
      <x:c r="T26" s="18" t="str">
        <x:v>https://drive.google.com/drive/folders/1EWdZyTQjPSuoxt8n1nIr1t8D98PC-mso</x:v>
      </x:c>
      <x:c r="U26" s="18" t="str">
        <x:v>https://docs.google.com/document/d/1hR0UuZSmPpwZi384Vzn3sZt5Y5_ZwYxW6b3u4nq2-40/edit</x:v>
      </x:c>
    </x:row>
    <x:row r="27">
      <x:c r="A27" s="18" t="str">
        <x:v>Seevaunnamtum 2016</x:v>
      </x:c>
      <x:c r="B27" s="18" t="str">
        <x:v>Batch 20</x:v>
      </x:c>
      <x:c r="C27" s="18" t="str">
        <x:v>FULL REPLACEMENT</x:v>
      </x:c>
      <x:c r="D27" s="18" t="str">
        <x:v>Correct article identity but wrong acupoints and wrong primary 24-h control morphine mean/SD/P value.</x:v>
      </x:c>
      <x:c r="E27" s="18" t="str">
        <x:v>PraveenaSeevaunnamtum 2016 → Seevaunnamtum 2016</x:v>
      </x:c>
      <x:c r="F27" s="18" t="str">
        <x:v>PraveenaSeevaunnamtum 2016</x:v>
      </x:c>
      <x:c r="G27" s="18" t="str">
        <x:v>596</x:v>
      </x:c>
      <x:c r="H27" s="18" t="str">
        <x:v>1879896891</x:v>
      </x:c>
      <x:c r="I27" s="18" t="str">
        <x:v>**Cumulative 24h postoperative PCA morphine consumption (mg) (PRIMARY)**: EA Group (n=32) 21.38 ± 14.38 vs Control Group (n=32) 33.94 ± 20.24 (P = 0.006*) [M...</x:v>
      </x:c>
      <x:c r="J27" s="18" t="str">
        <x:v>Yes</x:v>
      </x:c>
      <x:c r="K27" s="18" t="str">
        <x:v>Yes</x:v>
      </x:c>
      <x:c r="L27" s="18" t="str">
        <x:v>Yes</x:v>
      </x:c>
      <x:c r="M27" s="18" t="str">
        <x:v>Cumulative IV PCA morphine</x:v>
      </x:c>
      <x:c r="N27" s="18" t="str">
        <x:v>0-24 h</x:v>
      </x:c>
      <x:c r="O27" s="18" t="str">
        <x:v>Some concerns</x:v>
      </x:c>
      <x:c r="P27" s="18" t="str">
        <x:v>PARTIALLY READY — corrected RoB available for one selected result; confirm outcome matches planned synthesis</x:v>
      </x:c>
      <x:c r="Q27" s="18" t="str">
        <x:v>Use source data; DO NOT use original stored RoB. Rebuild result-specific RoB.</x:v>
      </x:c>
      <x:c r="R27" s="18" t="str">
        <x:v>Candidate summary from Antigravity report; use only after source-level confirmation</x:v>
      </x:c>
      <x:c r="S27" s="18" t="str">
        <x:v>Source PDF / supplement / protocol / registration &gt; reconciled source extraction &gt; derivative model output</x:v>
      </x:c>
      <x:c r="T27" s="18" t="str">
        <x:v>https://drive.google.com/drive/folders/1EWdZyTQjPSuoxt8n1nIr1t8D98PC-mso</x:v>
      </x:c>
      <x:c r="U27" s="18" t="str">
        <x:v>https://docs.google.com/document/d/1hR0UuZSmPpwZi384Vzn3sZt5Y5_ZwYxW6b3u4nq2-40/edit</x:v>
      </x:c>
    </x:row>
    <x:row r="28">
      <x:c r="A28" s="18" t="str">
        <x:v>Pan 2023</x:v>
      </x:c>
      <x:c r="B28" s="18" t="str">
        <x:v>Batch 10</x:v>
      </x:c>
      <x:c r="C28" s="18" t="str">
        <x:v>FULL REPLACEMENT</x:v>
      </x:c>
      <x:c r="D28" s="18" t="str">
        <x:v>Changes randomized n, sham structure, intervention and flatus distribution; ignores 15 post-randomization exclusions.</x:v>
      </x:c>
      <x:c r="E28" s="18" t="str"/>
      <x:c r="F28" s="18" t="str">
        <x:v>Pan 2023</x:v>
      </x:c>
      <x:c r="G28" s="18" t="str">
        <x:v>298</x:v>
      </x:c>
      <x:c r="H28" s="18" t="str">
        <x:v>1879896396</x:v>
      </x:c>
      <x:c r="I28" s="18" t="str">
        <x:v>**Pain intensity on movement 24h (PRIMARY)**: Group T (TEAS, n=52) median 2 (IQR 2, 3) [Wan mean 2.33 ± 0.74] vs Group C (Control, n=53) median 3 (IQR 3, 4) ...</x:v>
      </x:c>
      <x:c r="J28" s="18" t="str">
        <x:v>Yes</x:v>
      </x:c>
      <x:c r="K28" s="18" t="str">
        <x:v>Yes</x:v>
      </x:c>
      <x:c r="L28" s="18" t="str">
        <x:v>Yes</x:v>
      </x:c>
      <x:c r="M28" s="18" t="str">
        <x:v>Time to first postoperative flatus</x:v>
      </x:c>
      <x:c r="N28" s="18" t="str">
        <x:v>Time to event</x:v>
      </x:c>
      <x:c r="O28" s="18" t="str">
        <x:v>High</x:v>
      </x:c>
      <x:c r="P28" s="18" t="str">
        <x:v>PARTIALLY READY — corrected RoB available for one selected result; confirm outcome matches planned synthesis</x:v>
      </x:c>
      <x:c r="Q28" s="18" t="str">
        <x:v>Use source data; DO NOT use original stored RoB. Rebuild result-specific RoB.</x:v>
      </x:c>
      <x:c r="R28" s="18" t="str">
        <x:v>Candidate summary from Antigravity report; use only after source-level confirmation</x:v>
      </x:c>
      <x:c r="S28" s="18" t="str">
        <x:v>Source PDF / supplement / protocol / registration &gt; reconciled source extraction &gt; derivative model output</x:v>
      </x:c>
      <x:c r="T28" s="18" t="str">
        <x:v>https://drive.google.com/drive/folders/1EWdZyTQjPSuoxt8n1nIr1t8D98PC-mso</x:v>
      </x:c>
      <x:c r="U28" s="18" t="str">
        <x:v>https://docs.google.com/document/d/1hR0UuZSmPpwZi384Vzn3sZt5Y5_ZwYxW6b3u4nq2-40/edit</x:v>
      </x:c>
    </x:row>
    <x:row r="29">
      <x:c r="A29" s="18" t="str">
        <x:v>Ntritsou 2014</x:v>
      </x:c>
      <x:c r="B29" s="18" t="str">
        <x:v>Batch 3</x:v>
      </x:c>
      <x:c r="C29" s="18" t="str">
        <x:v>SPECIAL / SOURCE-QC</x:v>
      </x:c>
      <x:c r="D29" s="18" t="str">
        <x:v>Distinguish total tramadol exposure from rescue analgesia; five clinically relevant post-randomization exclusions.</x:v>
      </x:c>
      <x:c r="E29" s="18" t="str"/>
      <x:c r="F29" s="18" t="str">
        <x:v>Ntritsou 2014</x:v>
      </x:c>
      <x:c r="G29" s="18" t="str">
        <x:v>729</x:v>
      </x:c>
      <x:c r="H29" s="18" t="str">
        <x:v>1879897120</x:v>
      </x:c>
      <x:c r="I29" s="18" t="str">
        <x:v>**Cumulative 24h postoperative tramadol consumption (mg) (PRIMARY)**: EA group (n=35) 443.7 ± 67.4 vs Sham group (n=35) 461.5 ± 63.2 (P = 0.257) [MD -17.80 m...</x:v>
      </x:c>
      <x:c r="J29" s="18" t="str">
        <x:v>Yes</x:v>
      </x:c>
      <x:c r="K29" s="18" t="str">
        <x:v>Yes</x:v>
      </x:c>
      <x:c r="L29" s="18" t="str">
        <x:v>No</x:v>
      </x:c>
      <x:c r="M29" s="18" t="str"/>
      <x:c r="N29" s="18" t="str"/>
      <x:c r="O29" s="18" t="str"/>
      <x:c r="P29" s="18" t="str">
        <x:v>SOURCE-QC REQUIRED</x:v>
      </x:c>
      <x:c r="Q29" s="18" t="str">
        <x:v>Follow study-specific source-QC note before analysis; do not assume original derivative is safe.</x:v>
      </x:c>
      <x:c r="R29" s="18" t="str">
        <x:v>Candidate summary from Antigravity report; use only after source-level confirmation</x:v>
      </x:c>
      <x:c r="S29" s="18" t="str">
        <x:v>Source PDF / supplement / protocol / registration &gt; reconciled source extraction &gt; derivative model output</x:v>
      </x:c>
      <x:c r="T29" s="18" t="str">
        <x:v>https://drive.google.com/drive/folders/1EWdZyTQjPSuoxt8n1nIr1t8D98PC-mso</x:v>
      </x:c>
      <x:c r="U29" s="18" t="str">
        <x:v>https://docs.google.com/document/d/1hR0UuZSmPpwZi384Vzn3sZt5Y5_ZwYxW6b3u4nq2-40/edit</x:v>
      </x:c>
    </x:row>
    <x:row r="30">
      <x:c r="A30" s="18" t="str">
        <x:v>Ng 2013</x:v>
      </x:c>
      <x:c r="B30" s="18" t="str">
        <x:v>Batch 2</x:v>
      </x:c>
      <x:c r="C30" s="18" t="str">
        <x:v>SPECIAL / SOURCE-QC</x:v>
      </x:c>
      <x:c r="D30" s="18" t="str">
        <x:v>No defensible exact cumulative 0–24-h opioid endpoint in source; preserve as secondary/descriptive unless exact window found.</x:v>
      </x:c>
      <x:c r="E30" s="18" t="str">
        <x:v>Ng 2012 / 2013 → Ng 2013</x:v>
      </x:c>
      <x:c r="F30" s="18" t="str">
        <x:v>Ng 2012 / 2013</x:v>
      </x:c>
      <x:c r="G30" s="18" t="str">
        <x:v>775</x:v>
      </x:c>
      <x:c r="H30" s="18" t="str">
        <x:v>1879897195</x:v>
      </x:c>
      <x:c r="I30" s="18" t="str">
        <x:v>**Pain intensity Day 1 (~24h point assessment) (PRIMARY)**: EA group (n=55) 5.6 ± 2.0 vs Sham group (n=55) 5.8 ± 1.9 vs Usual care (n=55) 5.5 ± 2.3 (P = 0.65...</x:v>
      </x:c>
      <x:c r="J30" s="18" t="str">
        <x:v>Yes</x:v>
      </x:c>
      <x:c r="K30" s="18" t="str">
        <x:v>Yes</x:v>
      </x:c>
      <x:c r="L30" s="18" t="str">
        <x:v>No</x:v>
      </x:c>
      <x:c r="M30" s="18" t="str"/>
      <x:c r="N30" s="18" t="str"/>
      <x:c r="O30" s="18" t="str"/>
      <x:c r="P30" s="18" t="str">
        <x:v>SOURCE-QC REQUIRED</x:v>
      </x:c>
      <x:c r="Q30" s="18" t="str">
        <x:v>Follow study-specific source-QC note before analysis; do not assume original derivative is safe.</x:v>
      </x:c>
      <x:c r="R30" s="18" t="str">
        <x:v>Candidate summary from Antigravity report; use only after source-level confirmation</x:v>
      </x:c>
      <x:c r="S30" s="18" t="str">
        <x:v>Source PDF / supplement / protocol / registration &gt; reconciled source extraction &gt; derivative model output</x:v>
      </x:c>
      <x:c r="T30" s="18" t="str">
        <x:v>https://drive.google.com/drive/folders/1EWdZyTQjPSuoxt8n1nIr1t8D98PC-mso</x:v>
      </x:c>
      <x:c r="U30" s="18" t="str">
        <x:v>https://docs.google.com/document/d/1hR0UuZSmPpwZi384Vzn3sZt5Y5_ZwYxW6b3u4nq2-40/edit</x:v>
      </x:c>
    </x:row>
    <x:row r="31">
      <x:c r="A31" s="18" t="str">
        <x:v>Ma 2026</x:v>
      </x:c>
      <x:c r="B31" s="18" t="str">
        <x:v>Batch 17</x:v>
      </x:c>
      <x:c r="C31" s="18" t="str">
        <x:v>FULL REPLACEMENT</x:v>
      </x:c>
      <x:c r="D31" s="18" t="str">
        <x:v>Partially randomized design converted into a conventional sham RCT; fabricated pain outcomes.</x:v>
      </x:c>
      <x:c r="E31" s="18" t="str"/>
      <x:c r="F31" s="18" t="str">
        <x:v>Ma 2026</x:v>
      </x:c>
      <x:c r="G31" s="18" t="str">
        <x:v>2</x:v>
      </x:c>
      <x:c r="H31" s="18" t="str">
        <x:v>1879895855</x:v>
      </x:c>
      <x:c r="I31" s="18" t="str">
        <x:v>**Resting NRS pain 24h (PRIMARY)**: Group T (TEAS, n=17) 1.76 ± 0.67 vs Group S (Control, n=16) 2.64 ± 0.72 (P &lt; 0.05) [MD -0.88, 95% CI -1.36 to -0.40]. **R...</x:v>
      </x:c>
      <x:c r="J31" s="18" t="str">
        <x:v>Yes</x:v>
      </x:c>
      <x:c r="K31" s="18" t="str">
        <x:v>Yes</x:v>
      </x:c>
      <x:c r="L31" s="18" t="str">
        <x:v>No</x:v>
      </x:c>
      <x:c r="M31" s="18" t="str"/>
      <x:c r="N31" s="18" t="str"/>
      <x:c r="O31" s="18" t="str"/>
      <x:c r="P31" s="18" t="str">
        <x:v>NOT READY — RoB replacement/re-adjudication pending</x:v>
      </x:c>
      <x:c r="Q31" s="18" t="str">
        <x:v>Use source data; DO NOT use original stored RoB. Rebuild result-specific RoB.</x:v>
      </x:c>
      <x:c r="R31" s="18" t="str">
        <x:v>Candidate summary from Antigravity report; use only after source-level confirmation</x:v>
      </x:c>
      <x:c r="S31" s="18" t="str">
        <x:v>Source PDF / supplement / protocol / registration &gt; reconciled source extraction &gt; derivative model output</x:v>
      </x:c>
      <x:c r="T31" s="18" t="str">
        <x:v>https://drive.google.com/drive/folders/1EWdZyTQjPSuoxt8n1nIr1t8D98PC-mso</x:v>
      </x:c>
      <x:c r="U31" s="18" t="str">
        <x:v>https://docs.google.com/document/d/1hR0UuZSmPpwZi384Vzn3sZt5Y5_ZwYxW6b3u4nq2-40/edit</x:v>
      </x:c>
    </x:row>
    <x:row r="32">
      <x:c r="A32" s="18" t="str">
        <x:v>Lu 2021</x:v>
      </x:c>
      <x:c r="B32" s="18" t="str">
        <x:v>Batch 8</x:v>
      </x:c>
      <x:c r="C32" s="18" t="str">
        <x:v>FULL REPLACEMENT</x:v>
      </x:c>
      <x:c r="D32" s="18" t="str">
        <x:v>Changes 576-patient three-arm chronic-pain trial into fabricated 24-h pain result.</x:v>
      </x:c>
      <x:c r="E32" s="18" t="str"/>
      <x:c r="F32" s="18" t="str">
        <x:v>Lu 2021</x:v>
      </x:c>
      <x:c r="G32" s="18" t="str">
        <x:v>414</x:v>
      </x:c>
      <x:c r="H32" s="18" t="str">
        <x:v>1879896580</x:v>
      </x:c>
      <x:c r="I32" s="18" t="str">
        <x:v>**Resting NRS pain 24h (PRIMARY)**: Combined TEAS (n=190) median 1.0 (IQR 0, 1.0) [Wan mean 1.0 ± 0.7] vs Single TEAS (n=198) median 0.9 (IQR 0, 1.3) [Wan me...</x:v>
      </x:c>
      <x:c r="J32" s="18" t="str">
        <x:v>Yes</x:v>
      </x:c>
      <x:c r="K32" s="18" t="str">
        <x:v>Yes</x:v>
      </x:c>
      <x:c r="L32" s="18" t="str">
        <x:v>No</x:v>
      </x:c>
      <x:c r="M32" s="18" t="str"/>
      <x:c r="N32" s="18" t="str"/>
      <x:c r="O32" s="18" t="str"/>
      <x:c r="P32" s="18" t="str">
        <x:v>NOT READY — RoB replacement/re-adjudication pending</x:v>
      </x:c>
      <x:c r="Q32" s="18" t="str">
        <x:v>Use source data; DO NOT use original stored RoB. Rebuild result-specific RoB.</x:v>
      </x:c>
      <x:c r="R32" s="18" t="str">
        <x:v>Candidate summary from Antigravity report; use only after source-level confirmation</x:v>
      </x:c>
      <x:c r="S32" s="18" t="str">
        <x:v>Source PDF / supplement / protocol / registration &gt; reconciled source extraction &gt; derivative model output</x:v>
      </x:c>
      <x:c r="T32" s="18" t="str">
        <x:v>https://drive.google.com/drive/folders/1EWdZyTQjPSuoxt8n1nIr1t8D98PC-mso</x:v>
      </x:c>
      <x:c r="U32" s="18" t="str">
        <x:v>https://docs.google.com/document/d/1hR0UuZSmPpwZi384Vzn3sZt5Y5_ZwYxW6b3u4nq2-40/edit</x:v>
      </x:c>
    </x:row>
    <x:row r="33">
      <x:c r="A33" s="18" t="str">
        <x:v>Lu 2022</x:v>
      </x:c>
      <x:c r="B33" s="18" t="str">
        <x:v>Batch 10</x:v>
      </x:c>
      <x:c r="C33" s="18" t="str">
        <x:v>FULL REPLACEMENT</x:v>
      </x:c>
      <x:c r="D33" s="18" t="str">
        <x:v>Changes 100/94 sample to 240 complete, intervention schedule and flatus result.</x:v>
      </x:c>
      <x:c r="E33" s="18" t="str"/>
      <x:c r="F33" s="18" t="str">
        <x:v>Lu 2022</x:v>
      </x:c>
      <x:c r="G33" s="18" t="str">
        <x:v>317</x:v>
      </x:c>
      <x:c r="H33" s="18" t="str">
        <x:v>1879896426</x:v>
      </x:c>
      <x:c r="I33" s="18" t="str">
        <x:v>**Resting VAS pain 24h (PRIMARY)**: TEAS group (n=47) median 2.2 (0.0, 10.0) [estimated mean 2.2 ± 2.5] vs Control group (n=47) median 1.2 (0.0, 8.1) [estima...</x:v>
      </x:c>
      <x:c r="J33" s="18" t="str">
        <x:v>Yes</x:v>
      </x:c>
      <x:c r="K33" s="18" t="str">
        <x:v>Yes</x:v>
      </x:c>
      <x:c r="L33" s="18" t="str">
        <x:v>No</x:v>
      </x:c>
      <x:c r="M33" s="18" t="str"/>
      <x:c r="N33" s="18" t="str"/>
      <x:c r="O33" s="18" t="str"/>
      <x:c r="P33" s="18" t="str">
        <x:v>NOT READY — RoB replacement/re-adjudication pending</x:v>
      </x:c>
      <x:c r="Q33" s="18" t="str">
        <x:v>Use source data; DO NOT use original stored RoB. Rebuild result-specific RoB.</x:v>
      </x:c>
      <x:c r="R33" s="18" t="str">
        <x:v>Candidate summary from Antigravity report; use only after source-level confirmation</x:v>
      </x:c>
      <x:c r="S33" s="18" t="str">
        <x:v>Source PDF / supplement / protocol / registration &gt; reconciled source extraction &gt; derivative model output</x:v>
      </x:c>
      <x:c r="T33" s="18" t="str">
        <x:v>https://drive.google.com/drive/folders/1EWdZyTQjPSuoxt8n1nIr1t8D98PC-mso</x:v>
      </x:c>
      <x:c r="U33" s="18" t="str">
        <x:v>https://docs.google.com/document/d/1hR0UuZSmPpwZi384Vzn3sZt5Y5_ZwYxW6b3u4nq2-40/edit</x:v>
      </x:c>
    </x:row>
    <x:row r="34">
      <x:c r="A34" s="18" t="str">
        <x:v>Luo 2026</x:v>
      </x:c>
      <x:c r="B34" s="18" t="str">
        <x:v>Batch 18</x:v>
      </x:c>
      <x:c r="C34" s="18" t="str">
        <x:v>RE-ADJUDICATE</x:v>
      </x:c>
      <x:c r="D34" s="18" t="str">
        <x:v>Study/result scaffolding source-matched; incomplete sensory masking and exact outcome definition require fresh signaling logic.</x:v>
      </x:c>
      <x:c r="E34" s="18" t="str"/>
      <x:c r="F34" s="18" t="str">
        <x:v>Luo 2026</x:v>
      </x:c>
      <x:c r="G34" s="18" t="str">
        <x:v>35</x:v>
      </x:c>
      <x:c r="H34" s="18" t="str">
        <x:v>1879895932</x:v>
      </x:c>
      <x:c r="I34" s="18" t="str">
        <x:v>**Postoperative pain NRS 24h (PRIMARY)**: TEAS group (n=138) 1.30 ± 0.92 vs Sham TEAS group (n=139) 1.65 ± 0.95 (P &lt; 0.01) [MD -0.35, 95% CI -0.57 to -0.13]....</x:v>
      </x:c>
      <x:c r="J34" s="18" t="str">
        <x:v>Yes</x:v>
      </x:c>
      <x:c r="K34" s="18" t="str">
        <x:v>Yes</x:v>
      </x:c>
      <x:c r="L34" s="18" t="str">
        <x:v>No</x:v>
      </x:c>
      <x:c r="M34" s="18" t="str"/>
      <x:c r="N34" s="18" t="str"/>
      <x:c r="O34" s="18" t="str"/>
      <x:c r="P34" s="18" t="str">
        <x:v>NOT READY — RoB replacement/re-adjudication pending</x:v>
      </x:c>
      <x:c r="Q34" s="18" t="str">
        <x:v>Retain source-matched study/result scaffold only; redo signaling questions and final judgment.</x:v>
      </x:c>
      <x:c r="R34" s="18" t="str">
        <x:v>Candidate summary from Antigravity report; use only after source-level confirmation</x:v>
      </x:c>
      <x:c r="S34" s="18" t="str">
        <x:v>Source PDF / supplement / protocol / registration &gt; reconciled source extraction &gt; derivative model output</x:v>
      </x:c>
      <x:c r="T34" s="18" t="str">
        <x:v>https://drive.google.com/drive/folders/1EWdZyTQjPSuoxt8n1nIr1t8D98PC-mso</x:v>
      </x:c>
      <x:c r="U34" s="18" t="str">
        <x:v>https://docs.google.com/document/d/1hR0UuZSmPpwZi384Vzn3sZt5Y5_ZwYxW6b3u4nq2-40/edit</x:v>
      </x:c>
    </x:row>
    <x:row r="35">
      <x:c r="A35" s="18" t="str">
        <x:v>Long 2025</x:v>
      </x:c>
      <x:c r="B35" s="18" t="str">
        <x:v>Batch 16</x:v>
      </x:c>
      <x:c r="C35" s="18" t="str">
        <x:v>FULL REPLACEMENT</x:v>
      </x:c>
      <x:c r="D35" s="18" t="str">
        <x:v>Invents 160/160, sham/masking and PND result; source has 60 randomized/53 analyzed and denominator inconsistencies.</x:v>
      </x:c>
      <x:c r="E35" s="18" t="str"/>
      <x:c r="F35" s="18" t="str">
        <x:v>Long 2025</x:v>
      </x:c>
      <x:c r="G35" s="18" t="str">
        <x:v>106</x:v>
      </x:c>
      <x:c r="H35" s="18" t="str">
        <x:v>1879896090</x:v>
      </x:c>
      <x:c r="I35" s="18" t="str">
        <x:v>**Resting VAS pain 24h (PRIMARY)**: Group A (EA, n=27) 2.78 ± 0.97 vs Group C (Sham, n=26) 3.96 ± 0.96 (P &lt; 0.001) [MD -1.18, 95% CI -1.70 to -0.66]. **Resti...</x:v>
      </x:c>
      <x:c r="J35" s="18" t="str">
        <x:v>Yes</x:v>
      </x:c>
      <x:c r="K35" s="18" t="str">
        <x:v>Yes</x:v>
      </x:c>
      <x:c r="L35" s="18" t="str">
        <x:v>No</x:v>
      </x:c>
      <x:c r="M35" s="18" t="str"/>
      <x:c r="N35" s="18" t="str"/>
      <x:c r="O35" s="18" t="str"/>
      <x:c r="P35" s="18" t="str">
        <x:v>NOT READY — RoB replacement/re-adjudication pending</x:v>
      </x:c>
      <x:c r="Q35" s="18" t="str">
        <x:v>Use source data; DO NOT use original stored RoB. Rebuild result-specific RoB.</x:v>
      </x:c>
      <x:c r="R35" s="18" t="str">
        <x:v>Candidate summary from Antigravity report; use only after source-level confirmation</x:v>
      </x:c>
      <x:c r="S35" s="18" t="str">
        <x:v>Source PDF / supplement / protocol / registration &gt; reconciled source extraction &gt; derivative model output</x:v>
      </x:c>
      <x:c r="T35" s="18" t="str">
        <x:v>https://drive.google.com/drive/folders/1EWdZyTQjPSuoxt8n1nIr1t8D98PC-mso</x:v>
      </x:c>
      <x:c r="U35" s="18" t="str">
        <x:v>https://docs.google.com/document/d/1hR0UuZSmPpwZi384Vzn3sZt5Y5_ZwYxW6b3u4nq2-40/edit</x:v>
      </x:c>
    </x:row>
    <x:row r="36">
      <x:c r="A36" s="18" t="str">
        <x:v>Li 2021</x:v>
      </x:c>
      <x:c r="B36" s="18" t="str">
        <x:v>Batch 7</x:v>
      </x:c>
      <x:c r="C36" s="18" t="str">
        <x:v>FULL REPLACEMENT</x:v>
      </x:c>
      <x:c r="D36" s="18" t="str">
        <x:v>Changes 306 randomized/280 PP trial to 120/120 and fabricates mean/SD flatus result.</x:v>
      </x:c>
      <x:c r="E36" s="18" t="str"/>
      <x:c r="F36" s="18" t="str">
        <x:v>Li 2021</x:v>
      </x:c>
      <x:c r="G36" s="18" t="str">
        <x:v>437</x:v>
      </x:c>
      <x:c r="H36" s="18" t="str">
        <x:v>1879896618</x:v>
      </x:c>
      <x:c r="I36" s="18" t="str">
        <x:v>**Length of hospital stay (days)**: TEAS group (n=140) 6.2 ± 3.3 vs Sham TEAS group (n=140) 8.1 ± 3.6 (P &lt; 0.01) [MD -1.90, 95% CI -2.71 to -1.09]. **Postope...</x:v>
      </x:c>
      <x:c r="J36" s="18" t="str">
        <x:v>Yes</x:v>
      </x:c>
      <x:c r="K36" s="18" t="str">
        <x:v>Yes</x:v>
      </x:c>
      <x:c r="L36" s="18" t="str">
        <x:v>No</x:v>
      </x:c>
      <x:c r="M36" s="18" t="str"/>
      <x:c r="N36" s="18" t="str"/>
      <x:c r="O36" s="18" t="str"/>
      <x:c r="P36" s="18" t="str">
        <x:v>NOT READY — RoB replacement/re-adjudication pending</x:v>
      </x:c>
      <x:c r="Q36" s="18" t="str">
        <x:v>Use source data; DO NOT use original stored RoB. Rebuild result-specific RoB.</x:v>
      </x:c>
      <x:c r="R36" s="18" t="str">
        <x:v>Candidate summary from Antigravity report; use only after source-level confirmation</x:v>
      </x:c>
      <x:c r="S36" s="18" t="str">
        <x:v>Source PDF / supplement / protocol / registration &gt; reconciled source extraction &gt; derivative model output</x:v>
      </x:c>
      <x:c r="T36" s="18" t="str">
        <x:v>https://drive.google.com/drive/folders/1EWdZyTQjPSuoxt8n1nIr1t8D98PC-mso</x:v>
      </x:c>
      <x:c r="U36" s="18" t="str">
        <x:v>https://docs.google.com/document/d/1hR0UuZSmPpwZi384Vzn3sZt5Y5_ZwYxW6b3u4nq2-40/edit</x:v>
      </x:c>
    </x:row>
    <x:row r="37">
      <x:c r="A37" s="18" t="str">
        <x:v>Liu 2026 (ESD)</x:v>
      </x:c>
      <x:c r="B37" s="18" t="str">
        <x:v>Batch 18</x:v>
      </x:c>
      <x:c r="C37" s="18" t="str">
        <x:v>FULL REPLACEMENT</x:v>
      </x:c>
      <x:c r="D37" s="18" t="str">
        <x:v>False 129/129 complete analysis and fabricated primary event counts/propofol values.</x:v>
      </x:c>
      <x:c r="E37" s="18" t="str">
        <x:v>Liu 2025 → Liu 2026 (ESD)</x:v>
      </x:c>
      <x:c r="F37" s="18" t="str">
        <x:v>Liu 2025</x:v>
      </x:c>
      <x:c r="G37" s="18" t="str">
        <x:v>69</x:v>
      </x:c>
      <x:c r="H37" s="18" t="str">
        <x:v>1879896009</x:v>
      </x:c>
      <x:c r="I37" s="18" t="str">
        <x:v>**Resting pain NRS 24h (PRIMARY)**: TEAS group (n=58) 1.2 ± 1.3 vs Sham TEAS group (n=62) 2.8 ± 1.9 (P &lt; 0.01) [MD -1.60, 95% CI -2.18 to -1.02]. **Resting p...</x:v>
      </x:c>
      <x:c r="J37" s="18" t="str">
        <x:v>Yes</x:v>
      </x:c>
      <x:c r="K37" s="18" t="str">
        <x:v>Yes</x:v>
      </x:c>
      <x:c r="L37" s="18" t="str">
        <x:v>No</x:v>
      </x:c>
      <x:c r="M37" s="18" t="str"/>
      <x:c r="N37" s="18" t="str"/>
      <x:c r="O37" s="18" t="str"/>
      <x:c r="P37" s="18" t="str">
        <x:v>NOT READY — RoB replacement/re-adjudication pending</x:v>
      </x:c>
      <x:c r="Q37" s="18" t="str">
        <x:v>Use source data; DO NOT use original stored RoB. Rebuild result-specific RoB.</x:v>
      </x:c>
      <x:c r="R37" s="18" t="str">
        <x:v>Candidate summary from Antigravity report; use only after source-level confirmation</x:v>
      </x:c>
      <x:c r="S37" s="18" t="str">
        <x:v>Source PDF / supplement / protocol / registration &gt; reconciled source extraction &gt; derivative model output</x:v>
      </x:c>
      <x:c r="T37" s="18" t="str">
        <x:v>https://drive.google.com/drive/folders/1EWdZyTQjPSuoxt8n1nIr1t8D98PC-mso</x:v>
      </x:c>
      <x:c r="U37" s="18" t="str">
        <x:v>https://docs.google.com/document/d/1hR0UuZSmPpwZi384Vzn3sZt5Y5_ZwYxW6b3u4nq2-40/edit</x:v>
      </x:c>
    </x:row>
    <x:row r="38">
      <x:c r="A38" s="18" t="str">
        <x:v>Liu 2021</x:v>
      </x:c>
      <x:c r="B38" s="18" t="str">
        <x:v>Batch 8</x:v>
      </x:c>
      <x:c r="C38" s="18" t="str">
        <x:v>FULL REPLACEMENT</x:v>
      </x:c>
      <x:c r="D38" s="18" t="str">
        <x:v>Changes sample, acupoints, schedule, POCD definition/timepoint and numerical result.</x:v>
      </x:c>
      <x:c r="E38" s="18" t="str"/>
      <x:c r="F38" s="18" t="str">
        <x:v>Liu 2021</x:v>
      </x:c>
      <x:c r="G38" s="18" t="str">
        <x:v>424</x:v>
      </x:c>
      <x:c r="H38" s="18" t="str">
        <x:v>1879896597</x:v>
      </x:c>
      <x:c r="I38" s="18" t="str">
        <x:v>**Resting VAS pain 24h (PRIMARY)**: TEAS group (n=50) 2.52 ± 0.505 vs Control group (n=50) 2.66 ± 0.626 (P = 0.221) [MD -0.14, 95% CI -0.36 to 0.08]. **Movem...</x:v>
      </x:c>
      <x:c r="J38" s="18" t="str">
        <x:v>Yes</x:v>
      </x:c>
      <x:c r="K38" s="18" t="str">
        <x:v>Yes</x:v>
      </x:c>
      <x:c r="L38" s="18" t="str">
        <x:v>No</x:v>
      </x:c>
      <x:c r="M38" s="18" t="str"/>
      <x:c r="N38" s="18" t="str"/>
      <x:c r="O38" s="18" t="str"/>
      <x:c r="P38" s="18" t="str">
        <x:v>NOT READY — RoB replacement/re-adjudication pending</x:v>
      </x:c>
      <x:c r="Q38" s="18" t="str">
        <x:v>Use source data; DO NOT use original stored RoB. Rebuild result-specific RoB.</x:v>
      </x:c>
      <x:c r="R38" s="18" t="str">
        <x:v>Candidate summary from Antigravity report; use only after source-level confirmation</x:v>
      </x:c>
      <x:c r="S38" s="18" t="str">
        <x:v>Source PDF / supplement / protocol / registration &gt; reconciled source extraction &gt; derivative model output</x:v>
      </x:c>
      <x:c r="T38" s="18" t="str">
        <x:v>https://drive.google.com/drive/folders/1EWdZyTQjPSuoxt8n1nIr1t8D98PC-mso</x:v>
      </x:c>
      <x:c r="U38" s="18" t="str">
        <x:v>https://docs.google.com/document/d/1hR0UuZSmPpwZi384Vzn3sZt5Y5_ZwYxW6b3u4nq2-40/edit</x:v>
      </x:c>
    </x:row>
    <x:row r="39">
      <x:c r="A39" s="18" t="str">
        <x:v>Liu 2026 (burn)</x:v>
      </x:c>
      <x:c r="B39" s="18" t="str">
        <x:v>Batch 18</x:v>
      </x:c>
      <x:c r="C39" s="18" t="str">
        <x:v>FULL REPLACEMENT</x:v>
      </x:c>
      <x:c r="D39" s="18" t="str">
        <x:v>Misnamed Zhou 2026 RoB; entirely different invented colorectal/flatus trial.</x:v>
      </x:c>
      <x:c r="E39" s="18" t="str">
        <x:v>Liu 2026 → Liu 2026 (burn)</x:v>
      </x:c>
      <x:c r="F39" s="18" t="str">
        <x:v>Liu 2026</x:v>
      </x:c>
      <x:c r="G39" s="18" t="str">
        <x:v>48</x:v>
      </x:c>
      <x:c r="H39" s="18" t="str">
        <x:v>1879895960</x:v>
      </x:c>
      <x:c r="I39" s="18" t="str">
        <x:v>**Composite PONV 0-24h (PRIMARY)**: TEAS group (n=43) 7/43 (16.3%) vs Sham TEAS group (n=43) 16/43 (37.2%) (P = 0.028) [RR 0.44, 95% CI 0.20 to 0.96]. **Part...</x:v>
      </x:c>
      <x:c r="J39" s="18" t="str">
        <x:v>Yes</x:v>
      </x:c>
      <x:c r="K39" s="18" t="str">
        <x:v>Yes</x:v>
      </x:c>
      <x:c r="L39" s="18" t="str">
        <x:v>No</x:v>
      </x:c>
      <x:c r="M39" s="18" t="str"/>
      <x:c r="N39" s="18" t="str"/>
      <x:c r="O39" s="18" t="str"/>
      <x:c r="P39" s="18" t="str">
        <x:v>NOT READY — RoB replacement/re-adjudication pending</x:v>
      </x:c>
      <x:c r="Q39" s="18" t="str">
        <x:v>Use source data; DO NOT use original stored RoB. Rebuild result-specific RoB.</x:v>
      </x:c>
      <x:c r="R39" s="18" t="str">
        <x:v>Candidate summary from Antigravity report; use only after source-level confirmation</x:v>
      </x:c>
      <x:c r="S39" s="18" t="str">
        <x:v>Source PDF / supplement / protocol / registration &gt; reconciled source extraction &gt; derivative model output</x:v>
      </x:c>
      <x:c r="T39" s="18" t="str">
        <x:v>https://drive.google.com/drive/folders/1EWdZyTQjPSuoxt8n1nIr1t8D98PC-mso</x:v>
      </x:c>
      <x:c r="U39" s="18" t="str">
        <x:v>https://docs.google.com/document/d/1hR0UuZSmPpwZi384Vzn3sZt5Y5_ZwYxW6b3u4nq2-40/edit</x:v>
      </x:c>
    </x:row>
    <x:row r="40">
      <x:c r="A40" s="18" t="str">
        <x:v>Liu 2025</x:v>
      </x:c>
      <x:c r="B40" s="18" t="str">
        <x:v>Batch 16</x:v>
      </x:c>
      <x:c r="C40" s="18" t="str">
        <x:v>FULL REPLACEMENT</x:v>
      </x:c>
      <x:c r="D40" s="18" t="str">
        <x:v>Changes sample, acupoints/schedule, sleep instrument and arrhythmia/sleep results.</x:v>
      </x:c>
      <x:c r="E40" s="18" t="str"/>
      <x:c r="F40" s="18" t="str">
        <x:v>Liu 2025</x:v>
      </x:c>
      <x:c r="G40" s="18" t="str">
        <x:v>75</x:v>
      </x:c>
      <x:c r="H40" s="18" t="str">
        <x:v>1879896021</x:v>
      </x:c>
      <x:c r="I40" s="18" t="str">
        <x:v>**Pain VAS 24h (PRIMARY)**: Depicted graphically in Figure 2 (~2.0/10 in both groups, requires author contact for numeric mean ± SD). **Intraop remifentanil ...</x:v>
      </x:c>
      <x:c r="J40" s="18" t="str">
        <x:v>Yes</x:v>
      </x:c>
      <x:c r="K40" s="18" t="str">
        <x:v>Yes</x:v>
      </x:c>
      <x:c r="L40" s="18" t="str">
        <x:v>No</x:v>
      </x:c>
      <x:c r="M40" s="18" t="str"/>
      <x:c r="N40" s="18" t="str"/>
      <x:c r="O40" s="18" t="str"/>
      <x:c r="P40" s="18" t="str">
        <x:v>NOT READY — RoB replacement/re-adjudication pending</x:v>
      </x:c>
      <x:c r="Q40" s="18" t="str">
        <x:v>Use source data; DO NOT use original stored RoB. Rebuild result-specific RoB.</x:v>
      </x:c>
      <x:c r="R40" s="18" t="str">
        <x:v>Candidate summary from Antigravity report; use only after source-level confirmation</x:v>
      </x:c>
      <x:c r="S40" s="18" t="str">
        <x:v>Source PDF / supplement / protocol / registration &gt; reconciled source extraction &gt; derivative model output</x:v>
      </x:c>
      <x:c r="T40" s="18" t="str">
        <x:v>https://drive.google.com/drive/folders/1EWdZyTQjPSuoxt8n1nIr1t8D98PC-mso</x:v>
      </x:c>
      <x:c r="U40" s="18" t="str">
        <x:v>https://docs.google.com/document/d/1hR0UuZSmPpwZi384Vzn3sZt5Y5_ZwYxW6b3u4nq2-40/edit</x:v>
      </x:c>
    </x:row>
    <x:row r="41">
      <x:c r="A41" s="18" t="str">
        <x:v>Li 2022</x:v>
      </x:c>
      <x:c r="B41" s="18" t="str">
        <x:v>Batch 19</x:v>
      </x:c>
      <x:c r="C41" s="18" t="str">
        <x:v>FULL REPLACEMENT</x:v>
      </x:c>
      <x:c r="D41" s="18" t="str">
        <x:v>Changes EA protocol/dropout arm and fabricates significant 24-h mechanical-threshold and sufentanil results.</x:v>
      </x:c>
      <x:c r="E41" s="18" t="str"/>
      <x:c r="F41" s="18" t="str">
        <x:v>Li 2022</x:v>
      </x:c>
      <x:c r="G41" s="18" t="str">
        <x:v>359</x:v>
      </x:c>
      <x:c r="H41" s="18" t="str">
        <x:v>1879896493</x:v>
      </x:c>
      <x:c r="I41" s="18" t="str">
        <x:v>**Pain NRS 24h (PRIMARY)**: EA group (n=39) median 1.5 (1.0-3.0) vs Sham EA group (n=40) median 1.6 (1.0-3.0) (P = 0.223) (requires author contact for parame...</x:v>
      </x:c>
      <x:c r="J41" s="18" t="str">
        <x:v>Yes</x:v>
      </x:c>
      <x:c r="K41" s="18" t="str">
        <x:v>Yes</x:v>
      </x:c>
      <x:c r="L41" s="18" t="str">
        <x:v>No</x:v>
      </x:c>
      <x:c r="M41" s="18" t="str"/>
      <x:c r="N41" s="18" t="str"/>
      <x:c r="O41" s="18" t="str"/>
      <x:c r="P41" s="18" t="str">
        <x:v>NOT READY — RoB replacement/re-adjudication pending</x:v>
      </x:c>
      <x:c r="Q41" s="18" t="str">
        <x:v>Use source data; DO NOT use original stored RoB. Rebuild result-specific RoB.</x:v>
      </x:c>
      <x:c r="R41" s="18" t="str">
        <x:v>Candidate summary from Antigravity report; use only after source-level confirmation</x:v>
      </x:c>
      <x:c r="S41" s="18" t="str">
        <x:v>Source PDF / supplement / protocol / registration &gt; reconciled source extraction &gt; derivative model output</x:v>
      </x:c>
      <x:c r="T41" s="18" t="str">
        <x:v>https://drive.google.com/drive/folders/1EWdZyTQjPSuoxt8n1nIr1t8D98PC-mso</x:v>
      </x:c>
      <x:c r="U41" s="18" t="str">
        <x:v>https://docs.google.com/document/d/1hR0UuZSmPpwZi384Vzn3sZt5Y5_ZwYxW6b3u4nq2-40/edit</x:v>
      </x:c>
    </x:row>
    <x:row r="42">
      <x:c r="A42" s="18" t="str">
        <x:v>Lin 2002</x:v>
      </x:c>
      <x:c r="B42" s="18" t="str">
        <x:v>Batch 20</x:v>
      </x:c>
      <x:c r="C42" s="18" t="str">
        <x:v>FULL REPLACEMENT</x:v>
      </x:c>
      <x:c r="D42" s="18" t="str">
        <x:v>Changes ST36-only preop EA to ST36+SP6/intraoperative; wrong PCA settings and fabricated 24-h morphine means.</x:v>
      </x:c>
      <x:c r="E42" s="18" t="str"/>
      <x:c r="F42" s="18" t="str">
        <x:v>Lin 2002</x:v>
      </x:c>
      <x:c r="G42" s="18" t="str">
        <x:v>951</x:v>
      </x:c>
      <x:c r="H42" s="18" t="str">
        <x:v>1879897477</x:v>
      </x:c>
      <x:c r="I42" s="18" t="str">
        <x:v>**Cumulative 24h PCA morphine (mg) (PRIMARY)**: High-EA 100 Hz (Group IV, n=25) 15.0 ± 10.7 mg vs Sham-EA (Group II, n=25) 30.2 ± 14.4 mg vs Control (Group I...</x:v>
      </x:c>
      <x:c r="J42" s="18" t="str">
        <x:v>Yes</x:v>
      </x:c>
      <x:c r="K42" s="18" t="str">
        <x:v>Yes</x:v>
      </x:c>
      <x:c r="L42" s="18" t="str">
        <x:v>Yes</x:v>
      </x:c>
      <x:c r="M42" s="18" t="str">
        <x:v>Cumulative IV PCA morphine delivered</x:v>
      </x:c>
      <x:c r="N42" s="18" t="str">
        <x:v>24-h test period</x:v>
      </x:c>
      <x:c r="O42" s="18" t="str">
        <x:v>Some concerns</x:v>
      </x:c>
      <x:c r="P42" s="18" t="str">
        <x:v>PARTIALLY READY — corrected RoB available for one selected result; confirm outcome matches planned synthesis</x:v>
      </x:c>
      <x:c r="Q42" s="18" t="str">
        <x:v>Use source data; DO NOT use original stored RoB. Rebuild result-specific RoB.</x:v>
      </x:c>
      <x:c r="R42" s="18" t="str">
        <x:v>Candidate summary from Antigravity report; use only after source-level confirmation</x:v>
      </x:c>
      <x:c r="S42" s="18" t="str">
        <x:v>Source PDF / supplement / protocol / registration &gt; reconciled source extraction &gt; derivative model output</x:v>
      </x:c>
      <x:c r="T42" s="18" t="str">
        <x:v>https://drive.google.com/drive/folders/1EWdZyTQjPSuoxt8n1nIr1t8D98PC-mso</x:v>
      </x:c>
      <x:c r="U42" s="18" t="str">
        <x:v>https://docs.google.com/document/d/1hR0UuZSmPpwZi384Vzn3sZt5Y5_ZwYxW6b3u4nq2-40/edit</x:v>
      </x:c>
    </x:row>
    <x:row r="43">
      <x:c r="A43" s="18" t="str">
        <x:v>Liang 2021</x:v>
      </x:c>
      <x:c r="B43" s="18" t="str">
        <x:v>Batch 8</x:v>
      </x:c>
      <x:c r="C43" s="18" t="str">
        <x:v>FULL REPLACEMENT</x:v>
      </x:c>
      <x:c r="D43" s="18" t="str">
        <x:v>Changes anesthesia/acupoints/timing, ignores 75 randomized/70 analyzed, invents unreported 6-h CRBD result.</x:v>
      </x:c>
      <x:c r="E43" s="18" t="str"/>
      <x:c r="F43" s="18" t="str">
        <x:v>Liang 2021</x:v>
      </x:c>
      <x:c r="G43" s="18" t="str">
        <x:v>432</x:v>
      </x:c>
      <x:c r="H43" s="18" t="str">
        <x:v>1879896610</x:v>
      </x:c>
      <x:c r="I43" s="18" t="str">
        <x:v>**QoR-40 at 24h (PRIMARY)**: TEAS group (n=35) 191.7 ± 4.4 vs Control group (n=35) 189.1 ± 4.3 (P = 0.007) [MD 2.6, 95% CI 0.6 to 4.6]. **QoR-40 at 48h**: TE...</x:v>
      </x:c>
      <x:c r="J43" s="18" t="str">
        <x:v>Yes</x:v>
      </x:c>
      <x:c r="K43" s="18" t="str">
        <x:v>Yes</x:v>
      </x:c>
      <x:c r="L43" s="18" t="str">
        <x:v>No</x:v>
      </x:c>
      <x:c r="M43" s="18" t="str"/>
      <x:c r="N43" s="18" t="str"/>
      <x:c r="O43" s="18" t="str"/>
      <x:c r="P43" s="18" t="str">
        <x:v>NOT READY — RoB replacement/re-adjudication pending</x:v>
      </x:c>
      <x:c r="Q43" s="18" t="str">
        <x:v>Use source data; DO NOT use original stored RoB. Rebuild result-specific RoB.</x:v>
      </x:c>
      <x:c r="R43" s="18" t="str">
        <x:v>Candidate summary from Antigravity report; use only after source-level confirmation</x:v>
      </x:c>
      <x:c r="S43" s="18" t="str">
        <x:v>Source PDF / supplement / protocol / registration &gt; reconciled source extraction &gt; derivative model output</x:v>
      </x:c>
      <x:c r="T43" s="18" t="str">
        <x:v>https://drive.google.com/drive/folders/1EWdZyTQjPSuoxt8n1nIr1t8D98PC-mso</x:v>
      </x:c>
      <x:c r="U43" s="18" t="str">
        <x:v>https://docs.google.com/document/d/1hR0UuZSmPpwZi384Vzn3sZt5Y5_ZwYxW6b3u4nq2-40/edit</x:v>
      </x:c>
    </x:row>
    <x:row r="44">
      <x:c r="A44" s="18" t="str">
        <x:v>Lee 2011</x:v>
      </x:c>
      <x:c r="B44" s="18" t="str">
        <x:v>Batch 2</x:v>
      </x:c>
      <x:c r="C44" s="18" t="str">
        <x:v>SPECIAL / SOURCE-QC</x:v>
      </x:c>
      <x:c r="D44" s="18" t="str">
        <x:v>Four-arm trial; preserve direct cumulative Table 8 values; source interval/cumulative inconsistency and two low-frequency-arm exclusions.</x:v>
      </x:c>
      <x:c r="E44" s="18" t="str"/>
      <x:c r="F44" s="18" t="str">
        <x:v>Lee 2011</x:v>
      </x:c>
      <x:c r="G44" s="18" t="str">
        <x:v>812</x:v>
      </x:c>
      <x:c r="H44" s="18" t="str">
        <x:v>1879897255</x:v>
      </x:c>
      <x:c r="I44" s="18" t="str">
        <x:v>**Cumulative 24h PCA morphine (mg) (PRIMARY)**: Dense-sparse TEAS (Group 4, n=10) 29.29 ± 8.89 mg vs Sham TEAS (Group 2, n=12) 34.20 ± 6.40 mg vs Control (Gr...</x:v>
      </x:c>
      <x:c r="J44" s="18" t="str">
        <x:v>Yes</x:v>
      </x:c>
      <x:c r="K44" s="18" t="str">
        <x:v>No</x:v>
      </x:c>
      <x:c r="L44" s="18" t="str">
        <x:v>No</x:v>
      </x:c>
      <x:c r="M44" s="18" t="str"/>
      <x:c r="N44" s="18" t="str"/>
      <x:c r="O44" s="18" t="str"/>
      <x:c r="P44" s="18" t="str">
        <x:v>SOURCE-QC REQUIRED</x:v>
      </x:c>
      <x:c r="Q44" s="18" t="str">
        <x:v>Follow study-specific source-QC note before analysis; do not assume original derivative is safe.</x:v>
      </x:c>
      <x:c r="R44" s="18" t="str">
        <x:v>Candidate summary from Antigravity report; use only after source-level confirmation</x:v>
      </x:c>
      <x:c r="S44" s="18" t="str">
        <x:v>Source PDF / supplement / protocol / registration &gt; reconciled source extraction &gt; derivative model output</x:v>
      </x:c>
      <x:c r="T44" s="18" t="str">
        <x:v>https://drive.google.com/drive/folders/1EWdZyTQjPSuoxt8n1nIr1t8D98PC-mso</x:v>
      </x:c>
      <x:c r="U44" s="18" t="str">
        <x:v>https://docs.google.com/document/d/1hR0UuZSmPpwZi384Vzn3sZt5Y5_ZwYxW6b3u4nq2-40/edit</x:v>
      </x:c>
    </x:row>
    <x:row r="45">
      <x:c r="A45" s="18" t="str">
        <x:v>Jin 2023</x:v>
      </x:c>
      <x:c r="B45" s="18" t="str">
        <x:v>Batch 11</x:v>
      </x:c>
      <x:c r="C45" s="18" t="str">
        <x:v>FULL REPLACEMENT</x:v>
      </x:c>
      <x:c r="D45" s="18" t="str">
        <x:v>Collapses three arms, invents anesthesia/schedule, complete follow-up and pump/fentanyl results.</x:v>
      </x:c>
      <x:c r="E45" s="18" t="str">
        <x:v>Jin 2022 → Jin 2023</x:v>
      </x:c>
      <x:c r="F45" s="18" t="str">
        <x:v>Jin 2022</x:v>
      </x:c>
      <x:c r="G45" s="18" t="str">
        <x:v>326</x:v>
      </x:c>
      <x:c r="H45" s="18" t="str">
        <x:v>1879896440</x:v>
      </x:c>
      <x:c r="I45" s="18" t="str">
        <x:v>**Cumulative 24h PCIA fentanyl volume (mL) (PRIMARY)**: 2-Hz EA (n=53) 39.31 ± 15.58 mL vs 20/100-Hz EA (n=53) 45.72 ± 16.92 mL vs Sham EA (n=52) 56.54 ± 12....</x:v>
      </x:c>
      <x:c r="J45" s="18" t="str">
        <x:v>Yes</x:v>
      </x:c>
      <x:c r="K45" s="18" t="str">
        <x:v>Yes</x:v>
      </x:c>
      <x:c r="L45" s="18" t="str">
        <x:v>No</x:v>
      </x:c>
      <x:c r="M45" s="18" t="str"/>
      <x:c r="N45" s="18" t="str"/>
      <x:c r="O45" s="18" t="str"/>
      <x:c r="P45" s="18" t="str">
        <x:v>NOT READY — RoB replacement/re-adjudication pending</x:v>
      </x:c>
      <x:c r="Q45" s="18" t="str">
        <x:v>Use source data; DO NOT use original stored RoB. Rebuild result-specific RoB.</x:v>
      </x:c>
      <x:c r="R45" s="18" t="str">
        <x:v>Candidate summary from Antigravity report; use only after source-level confirmation</x:v>
      </x:c>
      <x:c r="S45" s="18" t="str">
        <x:v>Source PDF / supplement / protocol / registration &gt; reconciled source extraction &gt; derivative model output</x:v>
      </x:c>
      <x:c r="T45" s="18" t="str">
        <x:v>https://drive.google.com/drive/folders/1EWdZyTQjPSuoxt8n1nIr1t8D98PC-mso</x:v>
      </x:c>
      <x:c r="U45" s="18" t="str">
        <x:v>https://docs.google.com/document/d/1hR0UuZSmPpwZi384Vzn3sZt5Y5_ZwYxW6b3u4nq2-40/edit</x:v>
      </x:c>
    </x:row>
    <x:row r="46">
      <x:c r="A46" s="18" t="str">
        <x:v>Jiang 2026</x:v>
      </x:c>
      <x:c r="B46" s="18" t="str">
        <x:v>Batch 17</x:v>
      </x:c>
      <x:c r="C46" s="18" t="str">
        <x:v>FULL REPLACEMENT</x:v>
      </x:c>
      <x:c r="D46" s="18" t="str">
        <x:v>Treats PP 587 as randomized/ITT, changes protocol and flatus value/HR.</x:v>
      </x:c>
      <x:c r="E46" s="18" t="str"/>
      <x:c r="F46" s="18" t="str">
        <x:v>Jiang 2026</x:v>
      </x:c>
      <x:c r="G46" s="18" t="str">
        <x:v>4</x:v>
      </x:c>
      <x:c r="H46" s="18" t="str">
        <x:v>1879895860</x:v>
      </x:c>
      <x:c r="I46" s="18" t="str">
        <x:v>**24h PONV incidence (PRIMARY)**: TEAS group (n=294) 44/294 (15.0%) vs Sham-TEAS group (n=293) 67/293 (22.9%) (P = 0.015) [RR 0.59, 95% CI 0.39 to 0.90]. **T...</x:v>
      </x:c>
      <x:c r="J46" s="18" t="str">
        <x:v>Yes</x:v>
      </x:c>
      <x:c r="K46" s="18" t="str">
        <x:v>Yes</x:v>
      </x:c>
      <x:c r="L46" s="18" t="str">
        <x:v>No</x:v>
      </x:c>
      <x:c r="M46" s="18" t="str"/>
      <x:c r="N46" s="18" t="str"/>
      <x:c r="O46" s="18" t="str"/>
      <x:c r="P46" s="18" t="str">
        <x:v>NOT READY — RoB replacement/re-adjudication pending</x:v>
      </x:c>
      <x:c r="Q46" s="18" t="str">
        <x:v>Use source data; DO NOT use original stored RoB. Rebuild result-specific RoB.</x:v>
      </x:c>
      <x:c r="R46" s="18" t="str">
        <x:v>Candidate summary from Antigravity report; use only after source-level confirmation</x:v>
      </x:c>
      <x:c r="S46" s="18" t="str">
        <x:v>Source PDF / supplement / protocol / registration &gt; reconciled source extraction &gt; derivative model output</x:v>
      </x:c>
      <x:c r="T46" s="18" t="str">
        <x:v>https://drive.google.com/drive/folders/1EWdZyTQjPSuoxt8n1nIr1t8D98PC-mso</x:v>
      </x:c>
      <x:c r="U46" s="18" t="str">
        <x:v>https://docs.google.com/document/d/1hR0UuZSmPpwZi384Vzn3sZt5Y5_ZwYxW6b3u4nq2-40/edit</x:v>
      </x:c>
    </x:row>
    <x:row r="47">
      <x:c r="A47" s="18" t="str">
        <x:v>Huang 2025</x:v>
      </x:c>
      <x:c r="B47" s="18" t="str">
        <x:v>Batch 16</x:v>
      </x:c>
      <x:c r="C47" s="18" t="str">
        <x:v>FULL REPLACEMENT</x:v>
      </x:c>
      <x:c r="D47" s="18" t="str">
        <x:v>Invents three-arm colorectal trial and 24-h sufentanil values; source is two-arm postoperative EA with 13 exclusions.</x:v>
      </x:c>
      <x:c r="E47" s="18" t="str"/>
      <x:c r="F47" s="18" t="str">
        <x:v>Huang 2025</x:v>
      </x:c>
      <x:c r="G47" s="18" t="str">
        <x:v>131</x:v>
      </x:c>
      <x:c r="H47" s="18" t="str">
        <x:v>1879896131</x:v>
      </x:c>
      <x:c r="I47" s="18" t="str">
        <x:v>**Time to first flatus (hours) (PRIMARY)**: EA group (n=43) 36.4 ± 8.0 vs Standard care group (n=45) 42.2 ± 8.5 (P &lt; 0.001) [MD -5.8 h, HR 1.9, 95% CI 1.2 to...</x:v>
      </x:c>
      <x:c r="J47" s="18" t="str">
        <x:v>Yes</x:v>
      </x:c>
      <x:c r="K47" s="18" t="str">
        <x:v>Yes</x:v>
      </x:c>
      <x:c r="L47" s="18" t="str">
        <x:v>No</x:v>
      </x:c>
      <x:c r="M47" s="18" t="str"/>
      <x:c r="N47" s="18" t="str"/>
      <x:c r="O47" s="18" t="str"/>
      <x:c r="P47" s="18" t="str">
        <x:v>NOT READY — RoB replacement/re-adjudication pending</x:v>
      </x:c>
      <x:c r="Q47" s="18" t="str">
        <x:v>Use source data; DO NOT use original stored RoB. Rebuild result-specific RoB.</x:v>
      </x:c>
      <x:c r="R47" s="18" t="str">
        <x:v>Candidate summary from Antigravity report; use only after source-level confirmation</x:v>
      </x:c>
      <x:c r="S47" s="18" t="str">
        <x:v>Source PDF / supplement / protocol / registration &gt; reconciled source extraction &gt; derivative model output</x:v>
      </x:c>
      <x:c r="T47" s="18" t="str">
        <x:v>https://drive.google.com/drive/folders/1EWdZyTQjPSuoxt8n1nIr1t8D98PC-mso</x:v>
      </x:c>
      <x:c r="U47" s="18" t="str">
        <x:v>https://docs.google.com/document/d/1hR0UuZSmPpwZi384Vzn3sZt5Y5_ZwYxW6b3u4nq2-40/edit</x:v>
      </x:c>
    </x:row>
    <x:row r="48">
      <x:c r="A48" s="18" t="str">
        <x:v>Huang 2017</x:v>
      </x:c>
      <x:c r="B48" s="18" t="str">
        <x:v>Batch 5</x:v>
      </x:c>
      <x:c r="C48" s="18" t="str">
        <x:v>NO MATCHING RoB</x:v>
      </x:c>
      <x:c r="D48" s="18" t="str">
        <x:v>Source extraction/Gemini reconciled; four-arm frequency trial with ambiguous postoperative dose window; fresh result-specific RoB needed.</x:v>
      </x:c>
      <x:c r="E48" s="18" t="str"/>
      <x:c r="F48" s="18" t="str">
        <x:v>Huang 2017</x:v>
      </x:c>
      <x:c r="G48" s="18" t="str">
        <x:v>3811</x:v>
      </x:c>
      <x:c r="H48" s="18" t="str">
        <x:v>1882881457</x:v>
      </x:c>
      <x:c r="I48" s="18" t="str">
        <x:v>**Intraop remifentanil (PRIMARY)**: Control (n=20) 0.1617 ± 0.037 µg/kg/min vs 2/100 Hz TEAS (n=20) 0.1128 ± 0.034 µg/kg/min (P &lt;= 0.001) [MD -0.0489]. **PAC...</x:v>
      </x:c>
      <x:c r="J48" s="18" t="str">
        <x:v>Yes</x:v>
      </x:c>
      <x:c r="K48" s="18" t="str">
        <x:v>Yes</x:v>
      </x:c>
      <x:c r="L48" s="18" t="str">
        <x:v>No</x:v>
      </x:c>
      <x:c r="M48" s="18" t="str"/>
      <x:c r="N48" s="18" t="str"/>
      <x:c r="O48" s="18" t="str"/>
      <x:c r="P48" s="18" t="str">
        <x:v>SOURCE-QC REQUIRED</x:v>
      </x:c>
      <x:c r="Q48" s="18" t="str">
        <x:v>Source data may be used if verified; create fresh result-specific RoB if outcome enters synthesis.</x:v>
      </x:c>
      <x:c r="R48" s="18" t="str">
        <x:v>Candidate summary from Antigravity report; use only after source-level confirmation</x:v>
      </x:c>
      <x:c r="S48" s="18" t="str">
        <x:v>Source PDF / supplement / protocol / registration &gt; reconciled source extraction &gt; derivative model output</x:v>
      </x:c>
      <x:c r="T48" s="18" t="str">
        <x:v>https://drive.google.com/drive/folders/1EWdZyTQjPSuoxt8n1nIr1t8D98PC-mso</x:v>
      </x:c>
      <x:c r="U48" s="18" t="str">
        <x:v>https://docs.google.com/document/d/1hR0UuZSmPpwZi384Vzn3sZt5Y5_ZwYxW6b3u4nq2-40/edit</x:v>
      </x:c>
    </x:row>
    <x:row r="49">
      <x:c r="A49" s="18" t="str">
        <x:v>Huang 2024</x:v>
      </x:c>
      <x:c r="B49" s="18" t="str">
        <x:v>Batch 13</x:v>
      </x:c>
      <x:c r="C49" s="18" t="str">
        <x:v>FULL REPLACEMENT</x:v>
      </x:c>
      <x:c r="D49" s="18" t="str">
        <x:v>Attached Liu RoB is unrelated colorectal/TEAS trial with fabricated flatus endpoint.</x:v>
      </x:c>
      <x:c r="E49" s="18" t="str">
        <x:v>Huang 2023 → Huang 2024</x:v>
      </x:c>
      <x:c r="F49" s="18" t="str">
        <x:v>Huang 2023</x:v>
      </x:c>
      <x:c r="G49" s="18" t="str">
        <x:v>245</x:v>
      </x:c>
      <x:c r="H49" s="18" t="str">
        <x:v>1879896311</x:v>
      </x:c>
      <x:c r="I49" s="18" t="str">
        <x:v>**Pain VAS 24h movement (PRIMARY)**: Contralateral EA (n=38) 53.16 ± 9.99 vs Ipsilateral EA (n=38) 53.50 ± 10.79 vs Sham EA (n=38) 56.71 ± 9.84 (0-100 scale)...</x:v>
      </x:c>
      <x:c r="J49" s="18" t="str">
        <x:v>Yes</x:v>
      </x:c>
      <x:c r="K49" s="18" t="str">
        <x:v>Yes</x:v>
      </x:c>
      <x:c r="L49" s="18" t="str">
        <x:v>No</x:v>
      </x:c>
      <x:c r="M49" s="18" t="str"/>
      <x:c r="N49" s="18" t="str"/>
      <x:c r="O49" s="18" t="str"/>
      <x:c r="P49" s="18" t="str">
        <x:v>NOT READY — RoB replacement/re-adjudication pending</x:v>
      </x:c>
      <x:c r="Q49" s="18" t="str">
        <x:v>Use source data; DO NOT use original stored RoB. Rebuild result-specific RoB.</x:v>
      </x:c>
      <x:c r="R49" s="18" t="str">
        <x:v>Candidate summary from Antigravity report; use only after source-level confirmation</x:v>
      </x:c>
      <x:c r="S49" s="18" t="str">
        <x:v>Source PDF / supplement / protocol / registration &gt; reconciled source extraction &gt; derivative model output</x:v>
      </x:c>
      <x:c r="T49" s="18" t="str">
        <x:v>https://drive.google.com/drive/folders/1EWdZyTQjPSuoxt8n1nIr1t8D98PC-mso</x:v>
      </x:c>
      <x:c r="U49" s="18" t="str">
        <x:v>https://docs.google.com/document/d/1hR0UuZSmPpwZi384Vzn3sZt5Y5_ZwYxW6b3u4nq2-40/edit</x:v>
      </x:c>
    </x:row>
    <x:row r="50">
      <x:c r="A50" s="18" t="str">
        <x:v>Hou 2023</x:v>
      </x:c>
      <x:c r="B50" s="18" t="str">
        <x:v>Batch 11</x:v>
      </x:c>
      <x:c r="C50" s="18" t="str">
        <x:v>FULL REPLACEMENT</x:v>
      </x:c>
      <x:c r="D50" s="18" t="str">
        <x:v>Stored RoB invents 186-woman gynecologic trial and 24-h sufentanil outcome not reported.</x:v>
      </x:c>
      <x:c r="E50" s="18" t="str"/>
      <x:c r="F50" s="18" t="str">
        <x:v>Hou 2023</x:v>
      </x:c>
      <x:c r="G50" s="18" t="str">
        <x:v>295</x:v>
      </x:c>
      <x:c r="H50" s="18" t="str">
        <x:v>1879896391</x:v>
      </x:c>
      <x:c r="I50" s="18" t="str">
        <x:v>**PONV 0-24h (PRIMARY)**: TEAS group (n=36) 4/36 (11.1%) vs Sham TEAS group (n=36) 12/36 (33.3%) (P = 0.023) [RR 0.33, 95% CI 0.12 to 0.92]. **Participants r...</x:v>
      </x:c>
      <x:c r="J50" s="18" t="str">
        <x:v>Yes</x:v>
      </x:c>
      <x:c r="K50" s="18" t="str">
        <x:v>Yes</x:v>
      </x:c>
      <x:c r="L50" s="18" t="str">
        <x:v>No</x:v>
      </x:c>
      <x:c r="M50" s="18" t="str"/>
      <x:c r="N50" s="18" t="str"/>
      <x:c r="O50" s="18" t="str"/>
      <x:c r="P50" s="18" t="str">
        <x:v>NOT READY — RoB replacement/re-adjudication pending</x:v>
      </x:c>
      <x:c r="Q50" s="18" t="str">
        <x:v>Use source data; DO NOT use original stored RoB. Rebuild result-specific RoB.</x:v>
      </x:c>
      <x:c r="R50" s="18" t="str">
        <x:v>Candidate summary from Antigravity report; use only after source-level confirmation</x:v>
      </x:c>
      <x:c r="S50" s="18" t="str">
        <x:v>Source PDF / supplement / protocol / registration &gt; reconciled source extraction &gt; derivative model output</x:v>
      </x:c>
      <x:c r="T50" s="18" t="str">
        <x:v>https://drive.google.com/drive/folders/1EWdZyTQjPSuoxt8n1nIr1t8D98PC-mso</x:v>
      </x:c>
      <x:c r="U50" s="18" t="str">
        <x:v>https://docs.google.com/document/d/1hR0UuZSmPpwZi384Vzn3sZt5Y5_ZwYxW6b3u4nq2-40/edit</x:v>
      </x:c>
    </x:row>
    <x:row r="51">
      <x:c r="A51" s="18" t="str">
        <x:v>He 2026 (hepatectomy/JIS)</x:v>
      </x:c>
      <x:c r="B51" s="18" t="str">
        <x:v>Batch 17</x:v>
      </x:c>
      <x:c r="C51" s="18" t="str">
        <x:v>FULL REPLACEMENT</x:v>
      </x:c>
      <x:c r="D51" s="18" t="str">
        <x:v>Replaces multicenter PC6/PONV trial with fabricated colorectal/flatus trial.</x:v>
      </x:c>
      <x:c r="E51" s="18" t="str">
        <x:v>He 2026 (Hepatectomy) → He 2026 (hepatectomy/JIS)</x:v>
      </x:c>
      <x:c r="F51" s="18" t="str">
        <x:v>He 2026 (Hepatectomy)</x:v>
      </x:c>
      <x:c r="G51" s="18" t="str">
        <x:v>25</x:v>
      </x:c>
      <x:c r="H51" s="18" t="str">
        <x:v>1879895909</x:v>
      </x:c>
      <x:c r="I51" s="18" t="str">
        <x:v>**Opioid 0-24h (PRIMARY)**: TEAS group (n=80) 20.0 ± 2.5 mg IV MME vs Control group (n=79) 20.6 ± 4.5 mg IV MME (P = 0.30) [MD -0.6 mg, 95% CI -1.7 to 0.5]. ...</x:v>
      </x:c>
      <x:c r="J51" s="18" t="str">
        <x:v>Yes</x:v>
      </x:c>
      <x:c r="K51" s="18" t="str">
        <x:v>No</x:v>
      </x:c>
      <x:c r="L51" s="18" t="str">
        <x:v>No</x:v>
      </x:c>
      <x:c r="M51" s="18" t="str"/>
      <x:c r="N51" s="18" t="str"/>
      <x:c r="O51" s="18" t="str"/>
      <x:c r="P51" s="18" t="str">
        <x:v>NOT READY — RoB replacement/re-adjudication pending</x:v>
      </x:c>
      <x:c r="Q51" s="18" t="str">
        <x:v>Use source data; DO NOT use original stored RoB. Rebuild result-specific RoB.</x:v>
      </x:c>
      <x:c r="R51" s="18" t="str">
        <x:v>Candidate summary from Antigravity report; use only after source-level confirmation</x:v>
      </x:c>
      <x:c r="S51" s="18" t="str">
        <x:v>Source PDF / supplement / protocol / registration &gt; reconciled source extraction &gt; derivative model output</x:v>
      </x:c>
      <x:c r="T51" s="18" t="str">
        <x:v>https://drive.google.com/drive/folders/1EWdZyTQjPSuoxt8n1nIr1t8D98PC-mso</x:v>
      </x:c>
      <x:c r="U51" s="18" t="str">
        <x:v>https://docs.google.com/document/d/1hR0UuZSmPpwZi384Vzn3sZt5Y5_ZwYxW6b3u4nq2-40/edit</x:v>
      </x:c>
    </x:row>
    <x:row r="52">
      <x:c r="A52" s="18" t="str">
        <x:v>He 2026 (breast/WJCO)</x:v>
      </x:c>
      <x:c r="B52" s="18" t="str">
        <x:v>Batch 17</x:v>
      </x:c>
      <x:c r="C52" s="18" t="str">
        <x:v>FULL REPLACEMENT</x:v>
      </x:c>
      <x:c r="D52" s="18" t="str">
        <x:v>Changes cancer type, invasive EA protocol and pain result; invents concealment and other outcomes.</x:v>
      </x:c>
      <x:c r="E52" s="18" t="str">
        <x:v>He 2026 → He 2026 (breast/WJCO)</x:v>
      </x:c>
      <x:c r="F52" s="18" t="str">
        <x:v>He 2026</x:v>
      </x:c>
      <x:c r="G52" s="18" t="str">
        <x:v>41</x:v>
      </x:c>
      <x:c r="H52" s="18" t="str">
        <x:v>1879895945</x:v>
      </x:c>
      <x:c r="I52" s="18" t="str">
        <x:v>**Pain VAS 24h at rest (PRIMARY)**: EA group (n=65) 1.789 ± 0.174 vs Control group (n=65) 2.692 ± 0.174 (P &lt; 0.01) [MD -0.903]. **Pain VAS 24h during movemen...</x:v>
      </x:c>
      <x:c r="J52" s="18" t="str">
        <x:v>Yes</x:v>
      </x:c>
      <x:c r="K52" s="18" t="str">
        <x:v>Yes</x:v>
      </x:c>
      <x:c r="L52" s="18" t="str">
        <x:v>No</x:v>
      </x:c>
      <x:c r="M52" s="18" t="str"/>
      <x:c r="N52" s="18" t="str"/>
      <x:c r="O52" s="18" t="str"/>
      <x:c r="P52" s="18" t="str">
        <x:v>NOT READY — RoB replacement/re-adjudication pending</x:v>
      </x:c>
      <x:c r="Q52" s="18" t="str">
        <x:v>Use source data; DO NOT use original stored RoB. Rebuild result-specific RoB.</x:v>
      </x:c>
      <x:c r="R52" s="18" t="str">
        <x:v>Candidate summary from Antigravity report; use only after source-level confirmation</x:v>
      </x:c>
      <x:c r="S52" s="18" t="str">
        <x:v>Source PDF / supplement / protocol / registration &gt; reconciled source extraction &gt; derivative model output</x:v>
      </x:c>
      <x:c r="T52" s="18" t="str">
        <x:v>https://drive.google.com/drive/folders/1EWdZyTQjPSuoxt8n1nIr1t8D98PC-mso</x:v>
      </x:c>
      <x:c r="U52" s="18" t="str">
        <x:v>https://docs.google.com/document/d/1hR0UuZSmPpwZi384Vzn3sZt5Y5_ZwYxW6b3u4nq2-40/edit</x:v>
      </x:c>
    </x:row>
    <x:row r="53">
      <x:c r="A53" s="18" t="str">
        <x:v>Gu 2019</x:v>
      </x:c>
      <x:c r="B53" s="18" t="str">
        <x:v>Batch 6</x:v>
      </x:c>
      <x:c r="C53" s="18" t="str">
        <x:v>FULL REPLACEMENT</x:v>
      </x:c>
      <x:c r="D53" s="18" t="str">
        <x:v>Stored RoB invents three arms, wrong treatment schedule/denominators and flatus values.</x:v>
      </x:c>
      <x:c r="E53" s="18" t="str"/>
      <x:c r="F53" s="18" t="str">
        <x:v>Gu 2019</x:v>
      </x:c>
      <x:c r="G53" s="18" t="str">
        <x:v>848</x:v>
      </x:c>
      <x:c r="H53" s="18" t="str">
        <x:v>1881841223</x:v>
      </x:c>
      <x:c r="I53" s="18" t="str">
        <x:v>**Pain VAS 24h at rest (PRIMARY)**: L-TEAS (n=58) 1.98 ± 0.39 vs C-TEAS (n=59) 2.72 ± 0.73 (P &lt; 0.05) [MD -0.74]. **PONV 0-24h (PRIMARY)**: L-TEAS 7/58 (12.1...</x:v>
      </x:c>
      <x:c r="J53" s="18" t="str">
        <x:v>Yes</x:v>
      </x:c>
      <x:c r="K53" s="18" t="str">
        <x:v>Yes</x:v>
      </x:c>
      <x:c r="L53" s="18" t="str">
        <x:v>No</x:v>
      </x:c>
      <x:c r="M53" s="18" t="str"/>
      <x:c r="N53" s="18" t="str"/>
      <x:c r="O53" s="18" t="str"/>
      <x:c r="P53" s="18" t="str">
        <x:v>NOT READY — RoB replacement/re-adjudication pending</x:v>
      </x:c>
      <x:c r="Q53" s="18" t="str">
        <x:v>Use source data; DO NOT use original stored RoB. Rebuild result-specific RoB.</x:v>
      </x:c>
      <x:c r="R53" s="18" t="str">
        <x:v>Candidate summary from Antigravity report; use only after source-level confirmation</x:v>
      </x:c>
      <x:c r="S53" s="18" t="str">
        <x:v>Source PDF / supplement / protocol / registration &gt; reconciled source extraction &gt; derivative model output</x:v>
      </x:c>
      <x:c r="T53" s="18" t="str">
        <x:v>https://drive.google.com/drive/folders/1EWdZyTQjPSuoxt8n1nIr1t8D98PC-mso</x:v>
      </x:c>
      <x:c r="U53" s="18" t="str">
        <x:v>https://docs.google.com/document/d/1hR0UuZSmPpwZi384Vzn3sZt5Y5_ZwYxW6b3u4nq2-40/edit</x:v>
      </x:c>
    </x:row>
    <x:row r="54">
      <x:c r="A54" s="18" t="str">
        <x:v>Guo 2023</x:v>
      </x:c>
      <x:c r="B54" s="18" t="str">
        <x:v>Batch 11</x:v>
      </x:c>
      <x:c r="C54" s="18" t="str">
        <x:v>FULL REPLACEMENT</x:v>
      </x:c>
      <x:c r="D54" s="18" t="str">
        <x:v>Replaces cognition-focused lung-cancer trial with fabricated bariatric GI-recovery trial.</x:v>
      </x:c>
      <x:c r="E54" s="18" t="str"/>
      <x:c r="F54" s="18" t="str">
        <x:v>Guo 2023</x:v>
      </x:c>
      <x:c r="G54" s="18" t="str">
        <x:v>260</x:v>
      </x:c>
      <x:c r="H54" s="18" t="str">
        <x:v>1879896335</x:v>
      </x:c>
      <x:c r="I54" s="18" t="str">
        <x:v>**Intraop remifentanil**: TEAS (n=55) 0.87 ± 0.30 mg vs Sham-TEAS (n=55) 1.01 ± 0.39 mg (P = 0.040). **Intraop sufentanil**: TEAS 29.42 ± 7.62 µg vs Sham-TEA...</x:v>
      </x:c>
      <x:c r="J54" s="18" t="str">
        <x:v>Yes</x:v>
      </x:c>
      <x:c r="K54" s="18" t="str">
        <x:v>Yes</x:v>
      </x:c>
      <x:c r="L54" s="18" t="str">
        <x:v>No</x:v>
      </x:c>
      <x:c r="M54" s="18" t="str"/>
      <x:c r="N54" s="18" t="str"/>
      <x:c r="O54" s="18" t="str"/>
      <x:c r="P54" s="18" t="str">
        <x:v>NOT READY — RoB replacement/re-adjudication pending</x:v>
      </x:c>
      <x:c r="Q54" s="18" t="str">
        <x:v>Use source data; DO NOT use original stored RoB. Rebuild result-specific RoB.</x:v>
      </x:c>
      <x:c r="R54" s="18" t="str">
        <x:v>Candidate summary from Antigravity report; use only after source-level confirmation</x:v>
      </x:c>
      <x:c r="S54" s="18" t="str">
        <x:v>Source PDF / supplement / protocol / registration &gt; reconciled source extraction &gt; derivative model output</x:v>
      </x:c>
      <x:c r="T54" s="18" t="str">
        <x:v>https://drive.google.com/drive/folders/1EWdZyTQjPSuoxt8n1nIr1t8D98PC-mso</x:v>
      </x:c>
      <x:c r="U54" s="18" t="str">
        <x:v>https://docs.google.com/document/d/1hR0UuZSmPpwZi384Vzn3sZt5Y5_ZwYxW6b3u4nq2-40/edit</x:v>
      </x:c>
    </x:row>
    <x:row r="55">
      <x:c r="A55" s="18" t="str">
        <x:v>Grech 2016</x:v>
      </x:c>
      <x:c r="B55" s="18" t="str">
        <x:v>Batch 5</x:v>
      </x:c>
      <x:c r="C55" s="18" t="str">
        <x:v>FULL REPLACEMENT</x:v>
      </x:c>
      <x:c r="D55" s="18" t="str">
        <x:v>Stored RoB describes a different 40-patient abdominal-surgery morphine trial.</x:v>
      </x:c>
      <x:c r="E55" s="18" t="str"/>
      <x:c r="F55" s="18" t="str">
        <x:v>Grech 2016</x:v>
      </x:c>
      <x:c r="G55" s="18" t="str">
        <x:v>619</x:v>
      </x:c>
      <x:c r="H55" s="18" t="str">
        <x:v>1879896952</x:v>
      </x:c>
      <x:c r="I55" s="18" t="str">
        <x:v>**Opioid 0-24h (PRIMARY)**: Measured-not-reported numerically in text/tables (graph-only in Fig 1, converted to missing_data: true, N=10 EA vs N=9 Control). ...</x:v>
      </x:c>
      <x:c r="J55" s="18" t="str">
        <x:v>Yes</x:v>
      </x:c>
      <x:c r="K55" s="18" t="str">
        <x:v>Yes</x:v>
      </x:c>
      <x:c r="L55" s="18" t="str">
        <x:v>No</x:v>
      </x:c>
      <x:c r="M55" s="18" t="str"/>
      <x:c r="N55" s="18" t="str"/>
      <x:c r="O55" s="18" t="str"/>
      <x:c r="P55" s="18" t="str">
        <x:v>NOT READY — RoB replacement/re-adjudication pending</x:v>
      </x:c>
      <x:c r="Q55" s="18" t="str">
        <x:v>Use source data; DO NOT use original stored RoB. Rebuild result-specific RoB.</x:v>
      </x:c>
      <x:c r="R55" s="18" t="str">
        <x:v>Candidate summary from Antigravity report; use only after source-level confirmation</x:v>
      </x:c>
      <x:c r="S55" s="18" t="str">
        <x:v>Source PDF / supplement / protocol / registration &gt; reconciled source extraction &gt; derivative model output</x:v>
      </x:c>
      <x:c r="T55" s="18" t="str">
        <x:v>https://drive.google.com/drive/folders/1EWdZyTQjPSuoxt8n1nIr1t8D98PC-mso</x:v>
      </x:c>
      <x:c r="U55" s="18" t="str">
        <x:v>https://docs.google.com/document/d/1hR0UuZSmPpwZi384Vzn3sZt5Y5_ZwYxW6b3u4nq2-40/edit</x:v>
      </x:c>
    </x:row>
    <x:row r="56">
      <x:c r="A56" s="18" t="str">
        <x:v>Gao 2021</x:v>
      </x:c>
      <x:c r="B56" s="18" t="str">
        <x:v>Batch 7</x:v>
      </x:c>
      <x:c r="C56" s="18" t="str">
        <x:v>FULL REPLACEMENT</x:v>
      </x:c>
      <x:c r="D56" s="18" t="str">
        <x:v>Changes 610-person 10-center postoperative TEAS trial to 400-person fabricated design/result.</x:v>
      </x:c>
      <x:c r="E56" s="18" t="str"/>
      <x:c r="F56" s="18" t="str">
        <x:v>Gao 2021</x:v>
      </x:c>
      <x:c r="G56" s="18" t="str">
        <x:v>400</x:v>
      </x:c>
      <x:c r="H56" s="18" t="str">
        <x:v>1879896559</x:v>
      </x:c>
      <x:c r="I56" s="18" t="str">
        <x:v>**Opioid 0-24h (PRIMARY)**: Measured-not-reported (requires author contact). **Intraop sufentanil**: TEAS (n=303) 30.0 µg (IQR 25.0-35.0) [mean ~30.00 ± 7.41...</x:v>
      </x:c>
      <x:c r="J56" s="18" t="str">
        <x:v>Yes</x:v>
      </x:c>
      <x:c r="K56" s="18" t="str">
        <x:v>Yes</x:v>
      </x:c>
      <x:c r="L56" s="18" t="str">
        <x:v>No</x:v>
      </x:c>
      <x:c r="M56" s="18" t="str"/>
      <x:c r="N56" s="18" t="str"/>
      <x:c r="O56" s="18" t="str"/>
      <x:c r="P56" s="18" t="str">
        <x:v>NOT READY — RoB replacement/re-adjudication pending</x:v>
      </x:c>
      <x:c r="Q56" s="18" t="str">
        <x:v>Use source data; DO NOT use original stored RoB. Rebuild result-specific RoB.</x:v>
      </x:c>
      <x:c r="R56" s="18" t="str">
        <x:v>Candidate summary from Antigravity report; use only after source-level confirmation</x:v>
      </x:c>
      <x:c r="S56" s="18" t="str">
        <x:v>Source PDF / supplement / protocol / registration &gt; reconciled source extraction &gt; derivative model output</x:v>
      </x:c>
      <x:c r="T56" s="18" t="str">
        <x:v>https://drive.google.com/drive/folders/1EWdZyTQjPSuoxt8n1nIr1t8D98PC-mso</x:v>
      </x:c>
      <x:c r="U56" s="18" t="str">
        <x:v>https://docs.google.com/document/d/1hR0UuZSmPpwZi384Vzn3sZt5Y5_ZwYxW6b3u4nq2-40/edit</x:v>
      </x:c>
    </x:row>
    <x:row r="57">
      <x:c r="A57" s="18" t="str">
        <x:v>El-Rakshy 2009</x:v>
      </x:c>
      <x:c r="B57" s="18" t="str">
        <x:v>Batch 2</x:v>
      </x:c>
      <x:c r="C57" s="18" t="str">
        <x:v>SPECIAL / SOURCE-QC</x:v>
      </x:c>
      <x:c r="D57" s="18" t="str">
        <x:v>Publication has irreconcilable allocation/analyzed denominators; preserve outcome-specific n and direct published morphine values.</x:v>
      </x:c>
      <x:c r="E57" s="18" t="str"/>
      <x:c r="F57" s="18" t="str">
        <x:v>El-Rakshy 2009</x:v>
      </x:c>
      <x:c r="G57" s="18" t="str">
        <x:v>837</x:v>
      </x:c>
      <x:c r="H57" s="18" t="str">
        <x:v>1879897344</x:v>
      </x:c>
      <x:c r="I57" s="18" t="str">
        <x:v>**Opioid 0-24h (PRIMARY)**: PCA + acupuncture EA (n=42) 35.3 ± 18.0 mg morphine vs PCA alone (n=53) 36.9 ± 18.0 mg morphine (P = 0.961). **Opioid 0-4h**: EA ...</x:v>
      </x:c>
      <x:c r="J57" s="18" t="str">
        <x:v>Yes</x:v>
      </x:c>
      <x:c r="K57" s="18" t="str">
        <x:v>Yes</x:v>
      </x:c>
      <x:c r="L57" s="18" t="str">
        <x:v>No</x:v>
      </x:c>
      <x:c r="M57" s="18" t="str"/>
      <x:c r="N57" s="18" t="str"/>
      <x:c r="O57" s="18" t="str"/>
      <x:c r="P57" s="18" t="str">
        <x:v>SOURCE-QC REQUIRED</x:v>
      </x:c>
      <x:c r="Q57" s="18" t="str">
        <x:v>Follow study-specific source-QC note before analysis; do not assume original derivative is safe.</x:v>
      </x:c>
      <x:c r="R57" s="18" t="str">
        <x:v>Candidate summary from Antigravity report; use only after source-level confirmation</x:v>
      </x:c>
      <x:c r="S57" s="18" t="str">
        <x:v>Source PDF / supplement / protocol / registration &gt; reconciled source extraction &gt; derivative model output</x:v>
      </x:c>
      <x:c r="T57" s="18" t="str">
        <x:v>https://drive.google.com/drive/folders/1EWdZyTQjPSuoxt8n1nIr1t8D98PC-mso</x:v>
      </x:c>
      <x:c r="U57" s="18" t="str">
        <x:v>https://docs.google.com/document/d/1hR0UuZSmPpwZi384Vzn3sZt5Y5_ZwYxW6b3u4nq2-40/edit</x:v>
      </x:c>
    </x:row>
    <x:row r="58">
      <x:c r="A58" s="18" t="str">
        <x:v>Coura 2011</x:v>
      </x:c>
      <x:c r="B58" s="18" t="str">
        <x:v>Batch 1</x:v>
      </x:c>
      <x:c r="C58" s="18" t="str">
        <x:v>SPECIAL / SOURCE-QC</x:v>
      </x:c>
      <x:c r="D58" s="18" t="str">
        <x:v>10/32 post-randomization exclusions; exact 24-h pain point unresolved; supplemental opioid inclusion unclear.</x:v>
      </x:c>
      <x:c r="E58" s="18" t="str"/>
      <x:c r="F58" s="18" t="str">
        <x:v>Coura 2011</x:v>
      </x:c>
      <x:c r="G58" s="18" t="str">
        <x:v>838</x:v>
      </x:c>
      <x:c r="H58" s="18" t="str">
        <x:v>1879897266</x:v>
      </x:c>
      <x:c r="I58" s="18" t="str">
        <x:v>**Opioid 0-24h (PRIMARY)**: Treatment EA (n=13) 13.1 ± 2.2 µg/kg fentanyl vs Control Sham (n=9) 16.3 ± 1.6 µg/kg fentanyl (P &lt; 0.002) [PCA bolus: 4.1 ± 2.0 v...</x:v>
      </x:c>
      <x:c r="J58" s="18" t="str">
        <x:v>Yes</x:v>
      </x:c>
      <x:c r="K58" s="18" t="str">
        <x:v>Yes</x:v>
      </x:c>
      <x:c r="L58" s="18" t="str">
        <x:v>No</x:v>
      </x:c>
      <x:c r="M58" s="18" t="str"/>
      <x:c r="N58" s="18" t="str"/>
      <x:c r="O58" s="18" t="str"/>
      <x:c r="P58" s="18" t="str">
        <x:v>SOURCE-QC REQUIRED</x:v>
      </x:c>
      <x:c r="Q58" s="18" t="str">
        <x:v>Follow study-specific source-QC note before analysis; do not assume original derivative is safe.</x:v>
      </x:c>
      <x:c r="R58" s="18" t="str">
        <x:v>Candidate summary from Antigravity report; use only after source-level confirmation</x:v>
      </x:c>
      <x:c r="S58" s="18" t="str">
        <x:v>Source PDF / supplement / protocol / registration &gt; reconciled source extraction &gt; derivative model output</x:v>
      </x:c>
      <x:c r="T58" s="18" t="str">
        <x:v>https://drive.google.com/drive/folders/1EWdZyTQjPSuoxt8n1nIr1t8D98PC-mso</x:v>
      </x:c>
      <x:c r="U58" s="18" t="str">
        <x:v>https://docs.google.com/document/d/1hR0UuZSmPpwZi384Vzn3sZt5Y5_ZwYxW6b3u4nq2-40/edit</x:v>
      </x:c>
    </x:row>
    <x:row r="59">
      <x:c r="A59" s="18" t="str">
        <x:v>Chen 1998</x:v>
      </x:c>
      <x:c r="B59" s="18" t="str">
        <x:v>Batch 1</x:v>
      </x:c>
      <x:c r="C59" s="18" t="str">
        <x:v>SPECIAL / SOURCE-QC</x:v>
      </x:c>
      <x:c r="D59" s="18" t="str">
        <x:v>Four-arm RCT; locked two-arm Covidence structure is invalid; preserve all arms and direct 24-h hydromorphone values.</x:v>
      </x:c>
      <x:c r="E59" s="18" t="str"/>
      <x:c r="F59" s="18" t="str">
        <x:v>Chen 1998</x:v>
      </x:c>
      <x:c r="G59" s="18" t="str">
        <x:v>969</x:v>
      </x:c>
      <x:c r="H59" s="18" t="str">
        <x:v>1879897506</x:v>
      </x:c>
      <x:c r="I59" s="18" t="str">
        <x:v>**Opioid 0-24h (PRIMARY)**: Group IV Acupoint TEAS (n=25) 6.5 ± 3.5 mg hydromorphone vs Group I Sham TEAS (n=25) 10.7 ± 5.0 mg (P &lt; 0.05) [OME: 130 mg vs 214...</x:v>
      </x:c>
      <x:c r="J59" s="18" t="str">
        <x:v>Yes</x:v>
      </x:c>
      <x:c r="K59" s="18" t="str">
        <x:v>Yes</x:v>
      </x:c>
      <x:c r="L59" s="18" t="str">
        <x:v>No</x:v>
      </x:c>
      <x:c r="M59" s="18" t="str"/>
      <x:c r="N59" s="18" t="str"/>
      <x:c r="O59" s="18" t="str"/>
      <x:c r="P59" s="18" t="str">
        <x:v>SOURCE-QC REQUIRED</x:v>
      </x:c>
      <x:c r="Q59" s="18" t="str">
        <x:v>Follow study-specific source-QC note before analysis; do not assume original derivative is safe.</x:v>
      </x:c>
      <x:c r="R59" s="18" t="str">
        <x:v>Candidate summary from Antigravity report; use only after source-level confirmation</x:v>
      </x:c>
      <x:c r="S59" s="18" t="str">
        <x:v>Source PDF / supplement / protocol / registration &gt; reconciled source extraction &gt; derivative model output</x:v>
      </x:c>
      <x:c r="T59" s="18" t="str">
        <x:v>https://drive.google.com/drive/folders/1EWdZyTQjPSuoxt8n1nIr1t8D98PC-mso</x:v>
      </x:c>
      <x:c r="U59" s="18" t="str">
        <x:v>https://docs.google.com/document/d/1hR0UuZSmPpwZi384Vzn3sZt5Y5_ZwYxW6b3u4nq2-40/edit</x:v>
      </x:c>
    </x:row>
    <x:row r="60">
      <x:c r="A60" s="18" t="str">
        <x:v>Chen 2020</x:v>
      </x:c>
      <x:c r="B60" s="18" t="str">
        <x:v>Batch 1</x:v>
      </x:c>
      <x:c r="C60" s="18" t="str">
        <x:v>SPECIAL / SOURCE-QC</x:v>
      </x:c>
      <x:c r="D60" s="18" t="str">
        <x:v>Core source extraction verified; cross-contaminated Gemini RoB derivative must be excluded/re-extracted; correct sham has pre/post 4 mA and intraoperative 0 mA.</x:v>
      </x:c>
      <x:c r="E60" s="18" t="str"/>
      <x:c r="F60" s="18" t="str">
        <x:v>Chen 2020</x:v>
      </x:c>
      <x:c r="G60" s="18" t="str">
        <x:v>480</x:v>
      </x:c>
      <x:c r="H60" s="18" t="str">
        <x:v>1879896688</x:v>
      </x:c>
      <x:c r="I60" s="18" t="str">
        <x:v>**Opioid 0-24h (PRIMARY)**: TEAS (n=40) 72.43 ± 4.78 µg sufentanil vs Sham TEAS (n=40) 100.62 ± 10.20 µg (P &lt; 0.001) [MD -28.19 µg]. **Opioid 0-48h**: TEAS 1...</x:v>
      </x:c>
      <x:c r="J60" s="18" t="str">
        <x:v>Yes</x:v>
      </x:c>
      <x:c r="K60" s="18" t="str">
        <x:v>No</x:v>
      </x:c>
      <x:c r="L60" s="18" t="str">
        <x:v>No</x:v>
      </x:c>
      <x:c r="M60" s="18" t="str"/>
      <x:c r="N60" s="18" t="str"/>
      <x:c r="O60" s="18" t="str"/>
      <x:c r="P60" s="18" t="str">
        <x:v>SOURCE-QC REQUIRED</x:v>
      </x:c>
      <x:c r="Q60" s="18" t="str">
        <x:v>Follow study-specific source-QC note before analysis; do not assume original derivative is safe.</x:v>
      </x:c>
      <x:c r="R60" s="18" t="str">
        <x:v>Candidate summary from Antigravity report; use only after source-level confirmation</x:v>
      </x:c>
      <x:c r="S60" s="18" t="str">
        <x:v>Source PDF / supplement / protocol / registration &gt; reconciled source extraction &gt; derivative model output</x:v>
      </x:c>
      <x:c r="T60" s="18" t="str">
        <x:v>https://drive.google.com/drive/folders/1EWdZyTQjPSuoxt8n1nIr1t8D98PC-mso</x:v>
      </x:c>
      <x:c r="U60" s="18" t="str">
        <x:v>https://docs.google.com/document/d/1hR0UuZSmPpwZi384Vzn3sZt5Y5_ZwYxW6b3u4nq2-40/edit</x:v>
      </x:c>
    </x:row>
    <x:row r="61">
      <x:c r="A61" s="18" t="str">
        <x:v>Ao 2021</x:v>
      </x:c>
      <x:c r="B61" s="18" t="str">
        <x:v>Batches 1 and 9</x:v>
      </x:c>
      <x:c r="C61" s="18" t="str">
        <x:v>FULL REPLACEMENT</x:v>
      </x:c>
      <x:c r="D61" s="18" t="str">
        <x:v>Source 70 randomized/65 analyzed; stored RoB invents 90/90 and exact graph-only 24-h VAS.</x:v>
      </x:c>
      <x:c r="E61" s="18" t="str"/>
      <x:c r="F61" s="18" t="str">
        <x:v>Ao 2021</x:v>
      </x:c>
      <x:c r="G61" s="18" t="str">
        <x:v>438</x:v>
      </x:c>
      <x:c r="H61" s="18" t="str">
        <x:v>1879896620</x:v>
      </x:c>
      <x:c r="I61" s="18" t="str">
        <x:v>**Opioid 0-48h**: TEAS (n=32) 102.8 ± 7.4 ml vs Sham TEAS (n=33) 120.6 ± 9.2 ml (sufentanil 1.5 µg/kg in 150 ml NS). **Opioid 0-24h**: Measured-not-reported ...</x:v>
      </x:c>
      <x:c r="J61" s="18" t="str">
        <x:v>Yes</x:v>
      </x:c>
      <x:c r="K61" s="18" t="str">
        <x:v>Yes</x:v>
      </x:c>
      <x:c r="L61" s="18" t="str">
        <x:v>No</x:v>
      </x:c>
      <x:c r="M61" s="18" t="str"/>
      <x:c r="N61" s="18" t="str"/>
      <x:c r="O61" s="18" t="str"/>
      <x:c r="P61" s="18" t="str">
        <x:v>NOT READY — RoB replacement/re-adjudication pending</x:v>
      </x:c>
      <x:c r="Q61" s="18" t="str">
        <x:v>Use source data; DO NOT use original stored RoB. Rebuild result-specific RoB.</x:v>
      </x:c>
      <x:c r="R61" s="18" t="str">
        <x:v>Candidate summary from Antigravity report; use only after source-level confirmation</x:v>
      </x:c>
      <x:c r="S61" s="18" t="str">
        <x:v>Source PDF / supplement / protocol / registration &gt; reconciled source extraction &gt; derivative model output</x:v>
      </x:c>
      <x:c r="T61" s="18" t="str">
        <x:v>https://drive.google.com/drive/folders/1EWdZyTQjPSuoxt8n1nIr1t8D98PC-mso</x:v>
      </x:c>
      <x:c r="U61" s="18" t="str">
        <x:v>https://docs.google.com/document/d/1hR0UuZSmPpwZi384Vzn3sZt5Y5_ZwYxW6b3u4nq2-40/edit</x:v>
      </x:c>
    </x:row>
    <x:row r="62">
      <x:c r="A62" s="18" t="str">
        <x:v>An 2014</x:v>
      </x:c>
      <x:c r="B62" s="18" t="str">
        <x:v>Batch 20</x:v>
      </x:c>
      <x:c r="C62" s="18" t="str">
        <x:v>FULL REPLACEMENT</x:v>
      </x:c>
      <x:c r="D62" s="18" t="str">
        <x:v>Stored RoB invents 90-patient three-arm sham trial and 24-h morphine result; true source is 88-randomized two-arm EA/control with fentanyl PCIA.</x:v>
      </x:c>
      <x:c r="E62" s="18" t="str"/>
      <x:c r="F62" s="18" t="str">
        <x:v>An 2014</x:v>
      </x:c>
      <x:c r="G62" s="18" t="str">
        <x:v>698</x:v>
      </x:c>
      <x:c r="H62" s="18" t="str">
        <x:v>1879897069</x:v>
      </x:c>
      <x:c r="I62" s="18" t="str">
        <x:v>**Opioid 0-48h**: EA (n=41) 0.67 ± 0.09 mg fentanyl; Control (n=40) 0.73 ± 0.12 mg fentanyl. **Opioid 0-24h**: Measured-not-reported (requires author contact...</x:v>
      </x:c>
      <x:c r="J62" s="18" t="str">
        <x:v>No</x:v>
      </x:c>
      <x:c r="K62" s="18" t="str">
        <x:v>Yes</x:v>
      </x:c>
      <x:c r="L62" s="18" t="str">
        <x:v>No</x:v>
      </x:c>
      <x:c r="M62" s="18" t="str"/>
      <x:c r="N62" s="18" t="str"/>
      <x:c r="O62" s="18" t="str"/>
      <x:c r="P62" s="18" t="str">
        <x:v>NOT READY — RoB replacement/re-adjudication pending</x:v>
      </x:c>
      <x:c r="Q62" s="18" t="str">
        <x:v>Use source data; DO NOT use original stored RoB. Rebuild result-specific RoB.</x:v>
      </x:c>
      <x:c r="R62" s="18" t="str">
        <x:v>Candidate summary from Antigravity report; use only after source-level confirmation</x:v>
      </x:c>
      <x:c r="S62" s="18" t="str">
        <x:v>Source PDF / supplement / protocol / registration &gt; reconciled source extraction &gt; derivative model output</x:v>
      </x:c>
      <x:c r="T62" s="18" t="str">
        <x:v>https://drive.google.com/drive/folders/1EWdZyTQjPSuoxt8n1nIr1t8D98PC-mso</x:v>
      </x:c>
      <x:c r="U62" s="18" t="str">
        <x:v>https://docs.google.com/document/d/1hR0UuZSmPpwZi384Vzn3sZt5Y5_ZwYxW6b3u4nq2-40/edit</x:v>
      </x:c>
    </x:row>
    <x:row r="63">
      <x:c r="A63" s="18" t="str">
        <x:v>Chen 2015</x:v>
      </x:c>
      <x:c r="B63" s="18" t="str">
        <x:v>Batch 5</x:v>
      </x:c>
      <x:c r="C63" s="18" t="str">
        <x:v>FULL REPLACEMENT</x:v>
      </x:c>
      <x:c r="D63" s="18" t="str">
        <x:v>Distinct QoR-40 thyroidectomy trial (NCT02333747); stored RoB changes sample/intervention/outcome and requires complete replacement.</x:v>
      </x:c>
      <x:c r="E63" s="18" t="str"/>
      <x:c r="F63" s="18" t="str">
        <x:v>Chen 2015</x:v>
      </x:c>
      <x:c r="G63" s="18" t="str">
        <x:v>657</x:v>
      </x:c>
      <x:c r="H63" s="18" t="str">
        <x:v>1879897004</x:v>
      </x:c>
      <x:c r="I63" s="18" t="str">
        <x:v>**Opioid 0-24h (PRIMARY)**: TEAS (n=41) median 1 dose (IQR 1-3) [mean ~3.0 ± 2.96 mg morphine] vs Control (n=42) median 3.5 doses (IQR 2-7) [mean ~8.0 ± 7.41...</x:v>
      </x:c>
      <x:c r="J63" s="18" t="str">
        <x:v>Yes</x:v>
      </x:c>
      <x:c r="K63" s="18" t="str">
        <x:v>Yes</x:v>
      </x:c>
      <x:c r="L63" s="18" t="str">
        <x:v>No</x:v>
      </x:c>
      <x:c r="M63" s="18" t="str"/>
      <x:c r="N63" s="18" t="str"/>
      <x:c r="O63" s="18" t="str"/>
      <x:c r="P63" s="18" t="str">
        <x:v>NOT READY — RoB replacement/re-adjudication pending</x:v>
      </x:c>
      <x:c r="Q63" s="18" t="str">
        <x:v>Use source data; DO NOT use original stored RoB. Rebuild result-specific RoB.</x:v>
      </x:c>
      <x:c r="R63" s="18" t="str">
        <x:v>Candidate summary from Antigravity report; use only after source-level confirmation</x:v>
      </x:c>
      <x:c r="S63" s="18" t="str">
        <x:v>Source PDF / supplement / protocol / registration &gt; reconciled source extraction &gt; derivative model output</x:v>
      </x:c>
      <x:c r="T63" s="18" t="str">
        <x:v>https://drive.google.com/drive/folders/1EWdZyTQjPSuoxt8n1nIr1t8D98PC-mso</x:v>
      </x:c>
      <x:c r="U63" s="18" t="str">
        <x:v>https://docs.google.com/document/d/1hR0UuZSmPpwZi384Vzn3sZt5Y5_ZwYxW6b3u4nq2-40/edit</x:v>
      </x:c>
    </x:row>
    <x:row r="64">
      <x:c r="A64" s="18" t="str">
        <x:v>Chen 2015 (Hyperalgesia)</x:v>
      </x:c>
      <x:c r="B64" s="18" t="str">
        <x:v>Batch 4</x:v>
      </x:c>
      <x:c r="C64" s="18" t="str">
        <x:v>FULL REPLACEMENT</x:v>
      </x:c>
      <x:c r="D64" s="18" t="str">
        <x:v>Distinct thyroidectomy remifentanil-hyperalgesia/mechanical-threshold trial; stored RoB contains material study/result mismatches and requires complete replacement.</x:v>
      </x:c>
      <x:c r="E64" s="18" t="str"/>
      <x:c r="F64" s="18" t="str">
        <x:v>Chen 2015 (Hyperalgesia)</x:v>
      </x:c>
      <x:c r="G64" s="18" t="str">
        <x:v>632</x:v>
      </x:c>
      <x:c r="H64" s="18" t="str">
        <x:v>1879897029</x:v>
      </x:c>
      <x:c r="I64" s="18" t="str">
        <x:v>**Opioid 0-24h (PRIMARY)**: TEAS (n=29) median 3 boluses (IQR 2-4) [mean ~8.66 ± 4.27 µg sufentanil] vs Control median 7 boluses (IQR 6-8) [mean ~19.88 ± 4.2...</x:v>
      </x:c>
      <x:c r="J64" s="18" t="str">
        <x:v>Yes</x:v>
      </x:c>
      <x:c r="K64" s="18" t="str">
        <x:v>Yes</x:v>
      </x:c>
      <x:c r="L64" s="18" t="str">
        <x:v>No</x:v>
      </x:c>
      <x:c r="M64" s="18" t="str"/>
      <x:c r="N64" s="18" t="str"/>
      <x:c r="O64" s="18" t="str"/>
      <x:c r="P64" s="18" t="str">
        <x:v>NOT READY — RoB replacement/re-adjudication pending</x:v>
      </x:c>
      <x:c r="Q64" s="18" t="str">
        <x:v>Use source data; DO NOT use original stored RoB. Rebuild result-specific RoB.</x:v>
      </x:c>
      <x:c r="R64" s="18" t="str">
        <x:v>Candidate summary from Antigravity report; use only after source-level confirmation</x:v>
      </x:c>
      <x:c r="S64" s="18" t="str">
        <x:v>Source PDF / supplement / protocol / registration &gt; reconciled source extraction &gt; derivative model output</x:v>
      </x:c>
      <x:c r="T64" s="18" t="str">
        <x:v>https://drive.google.com/drive/folders/1EWdZyTQjPSuoxt8n1nIr1t8D98PC-mso</x:v>
      </x:c>
      <x:c r="U64" s="18" t="str">
        <x:v>https://docs.google.com/document/d/1hR0UuZSmPpwZi384Vzn3sZt5Y5_ZwYxW6b3u4nq2-40/edit</x:v>
      </x:c>
    </x:row>
  </x:sheetData>
  <x:conditionalFormatting sqref="C2:C64">
    <x:cfRule type="expression" dxfId="0" priority="1">
      <x:formula>C2="FULL REPLACEMENT"</x:formula>
    </x:cfRule>
    <x:cfRule type="expression" dxfId="1" priority="2">
      <x:formula>C2="RE-ADJUDICATE"</x:formula>
    </x:cfRule>
    <x:cfRule type="expression" dxfId="2" priority="3">
      <x:formula>C2="SPECIAL / SOURCE-QC"</x:formula>
    </x:cfRule>
    <x:cfRule type="expression" dxfId="3" priority="4">
      <x:formula>C2="NO MATCHING RoB"</x:formula>
    </x:cfRule>
  </x:conditionalFormatting>
  <x:conditionalFormatting sqref="J2:J64">
    <x:cfRule type="expression" dxfId="4" priority="5">
      <x:formula>J2="Yes"</x:formula>
    </x:cfRule>
  </x:conditionalFormatting>
  <x:conditionalFormatting sqref="O2:O64">
    <x:cfRule type="expression" dxfId="5" priority="6">
      <x:formula>O2="High"</x:formula>
    </x:cfRule>
    <x:cfRule type="expression" dxfId="6" priority="7">
      <x:formula>O2="Some concerns"</x:formula>
    </x:cfRule>
    <x:cfRule type="expression" dxfId="7" priority="8">
      <x:formula>O2="Low"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7b5972ff1e41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44" hidden="0" customWidth="1"/>
    <x:col min="16" max="16" width="44" hidden="0" customWidth="1"/>
  </x:cols>
  <x:sheetData>
    <x:row r="1">
      <x:c r="A1" s="24" t="str">
        <x:v>Canonical study</x:v>
      </x:c>
      <x:c r="B1" s="24" t="str">
        <x:v>Selected result</x:v>
      </x:c>
      <x:c r="C1" s="24" t="str">
        <x:v>Comparison</x:v>
      </x:c>
      <x:c r="D1" s="24" t="str">
        <x:v>Timepoint/window</x:v>
      </x:c>
      <x:c r="E1" s="24" t="str">
        <x:v>Randomized n</x:v>
      </x:c>
      <x:c r="F1" s="24" t="str">
        <x:v>Analyzed n</x:v>
      </x:c>
      <x:c r="G1" s="24" t="str">
        <x:v>Corrected source result</x:v>
      </x:c>
      <x:c r="H1" s="24" t="str">
        <x:v>Domain 1</x:v>
      </x:c>
      <x:c r="I1" s="24" t="str">
        <x:v>Domain 2</x:v>
      </x:c>
      <x:c r="J1" s="24" t="str">
        <x:v>Domain 3</x:v>
      </x:c>
      <x:c r="K1" s="24" t="str">
        <x:v>Domain 4</x:v>
      </x:c>
      <x:c r="L1" s="24" t="str">
        <x:v>Domain 5</x:v>
      </x:c>
      <x:c r="M1" s="24" t="str">
        <x:v>Overall RoB 2</x:v>
      </x:c>
      <x:c r="N1" s="24" t="str">
        <x:v>Correction source</x:v>
      </x:c>
      <x:c r="O1" s="24" t="str">
        <x:v>Source folder</x:v>
      </x:c>
      <x:c r="P1" s="24" t="str">
        <x:v>Corrected RoB folder</x:v>
      </x:c>
    </x:row>
    <x:row r="2">
      <x:c r="A2" s="18" t="str">
        <x:v>Yang 2020</x:v>
      </x:c>
      <x:c r="B2" s="18" t="str">
        <x:v>Time to first postoperative flatus</x:v>
      </x:c>
      <x:c r="C2" s="18" t="str">
        <x:v>EA + usual care vs usual care</x:v>
      </x:c>
      <x:c r="D2" s="18" t="str">
        <x:v>Time to event</x:v>
      </x:c>
      <x:c r="E2" s="18" t="str">
        <x:v>EA 30 / UC 29</x:v>
      </x:c>
      <x:c r="F2" s="18" t="str">
        <x:v>EA 29 / UC 28</x:v>
      </x:c>
      <x:c r="G2" s="18" t="str">
        <x:v>20.8 ± 4.6 h vs 24.1 ± 6.2 h; P=0.026</x:v>
      </x:c>
      <x:c r="H2" s="18" t="str">
        <x:v>Low</x:v>
      </x:c>
      <x:c r="I2" s="18" t="str">
        <x:v>Some concerns</x:v>
      </x:c>
      <x:c r="J2" s="18" t="str">
        <x:v>Low</x:v>
      </x:c>
      <x:c r="K2" s="18" t="str">
        <x:v>Some concerns</x:v>
      </x:c>
      <x:c r="L2" s="18" t="str">
        <x:v>Some concerns</x:v>
      </x:c>
      <x:c r="M2" s="18" t="str">
        <x:v>Some concerns</x:v>
      </x:c>
      <x:c r="N2" s="18" t="str">
        <x:v>Corrected RoB 2 Replacement Batch 1</x:v>
      </x:c>
      <x:c r="O2" s="18" t="str">
        <x:v>https://drive.google.com/drive/folders/1EWdZyTQjPSuoxt8n1nIr1t8D98PC-mso</x:v>
      </x:c>
      <x:c r="P2" s="18" t="str">
        <x:v>https://drive.google.com/drive/folders/1nsfVZMyB9znicxQzB7lvyfiiiuzMdc5M</x:v>
      </x:c>
    </x:row>
    <x:row r="3">
      <x:c r="A3" s="18" t="str">
        <x:v>Seevaunnamtum 2016</x:v>
      </x:c>
      <x:c r="B3" s="18" t="str">
        <x:v>Cumulative IV PCA morphine</x:v>
      </x:c>
      <x:c r="C3" s="18" t="str">
        <x:v>EA + standard care vs standard care</x:v>
      </x:c>
      <x:c r="D3" s="18" t="str">
        <x:v>0-24 h</x:v>
      </x:c>
      <x:c r="E3" s="18" t="str">
        <x:v>32 / 32</x:v>
      </x:c>
      <x:c r="F3" s="18" t="str">
        <x:v>32 / 32</x:v>
      </x:c>
      <x:c r="G3" s="18" t="str">
        <x:v>21.38 ± 14.38 mg vs 33.94 ± 20.24 mg; P=0.006</x:v>
      </x:c>
      <x:c r="H3" s="18" t="str">
        <x:v>Some concerns</x:v>
      </x:c>
      <x:c r="I3" s="18" t="str">
        <x:v>Low</x:v>
      </x:c>
      <x:c r="J3" s="18" t="str">
        <x:v>Low</x:v>
      </x:c>
      <x:c r="K3" s="18" t="str">
        <x:v>Low</x:v>
      </x:c>
      <x:c r="L3" s="18" t="str">
        <x:v>Some concerns</x:v>
      </x:c>
      <x:c r="M3" s="18" t="str">
        <x:v>Some concerns</x:v>
      </x:c>
      <x:c r="N3" s="18" t="str">
        <x:v>Corrected RoB 2 Replacement Batch 1</x:v>
      </x:c>
      <x:c r="O3" s="18" t="str">
        <x:v>https://drive.google.com/drive/folders/1EWdZyTQjPSuoxt8n1nIr1t8D98PC-mso</x:v>
      </x:c>
      <x:c r="P3" s="18" t="str">
        <x:v>https://drive.google.com/drive/folders/1nsfVZMyB9znicxQzB7lvyfiiiuzMdc5M</x:v>
      </x:c>
    </x:row>
    <x:row r="4">
      <x:c r="A4" s="18" t="str">
        <x:v>Lin 2002</x:v>
      </x:c>
      <x:c r="B4" s="18" t="str">
        <x:v>Cumulative IV PCA morphine delivered</x:v>
      </x:c>
      <x:c r="C4" s="18" t="str">
        <x:v>Four-arm: control / sham / low-EA / high-EA</x:v>
      </x:c>
      <x:c r="D4" s="18" t="str">
        <x:v>24-h test period</x:v>
      </x:c>
      <x:c r="E4" s="18" t="str">
        <x:v>25 per arm</x:v>
      </x:c>
      <x:c r="F4" s="18" t="str">
        <x:v>25 per arm</x:v>
      </x:c>
      <x:c r="G4" s="18" t="str">
        <x:v>Control 38.1 ± 16.0 mg; sham 30.2 ± 14.4; low-EA 21.8 ± 14.7; high-EA 15.0 ± 10.7</x:v>
      </x:c>
      <x:c r="H4" s="18" t="str">
        <x:v>Some concerns</x:v>
      </x:c>
      <x:c r="I4" s="18" t="str">
        <x:v>Low</x:v>
      </x:c>
      <x:c r="J4" s="18" t="str">
        <x:v>Low</x:v>
      </x:c>
      <x:c r="K4" s="18" t="str">
        <x:v>Low</x:v>
      </x:c>
      <x:c r="L4" s="18" t="str">
        <x:v>Some concerns</x:v>
      </x:c>
      <x:c r="M4" s="18" t="str">
        <x:v>Some concerns</x:v>
      </x:c>
      <x:c r="N4" s="18" t="str">
        <x:v>Corrected RoB 2 Replacement Batch 1</x:v>
      </x:c>
      <x:c r="O4" s="18" t="str">
        <x:v>https://drive.google.com/drive/folders/1EWdZyTQjPSuoxt8n1nIr1t8D98PC-mso</x:v>
      </x:c>
      <x:c r="P4" s="18" t="str">
        <x:v>https://drive.google.com/drive/folders/1nsfVZMyB9znicxQzB7lvyfiiiuzMdc5M</x:v>
      </x:c>
    </x:row>
    <x:row r="5">
      <x:c r="A5" s="18" t="str">
        <x:v>Yao 2015</x:v>
      </x:c>
      <x:c r="B5" s="18" t="str">
        <x:v>Global QoR-40</x:v>
      </x:c>
      <x:c r="C5" s="18" t="str">
        <x:v>TEAS vs no-current control</x:v>
      </x:c>
      <x:c r="D5" s="18" t="str">
        <x:v>24 h</x:v>
      </x:c>
      <x:c r="E5" s="18" t="str">
        <x:v>37 / 37</x:v>
      </x:c>
      <x:c r="F5" s="18" t="str">
        <x:v>35 / 36</x:v>
      </x:c>
      <x:c r="G5" s="18" t="str">
        <x:v>176.5 ± 10.2 vs 164.8 ± 14.7; P&lt;0.001</x:v>
      </x:c>
      <x:c r="H5" s="18" t="str">
        <x:v>Low</x:v>
      </x:c>
      <x:c r="I5" s="18" t="str">
        <x:v>Some concerns</x:v>
      </x:c>
      <x:c r="J5" s="18" t="str">
        <x:v>Low</x:v>
      </x:c>
      <x:c r="K5" s="18" t="str">
        <x:v>High</x:v>
      </x:c>
      <x:c r="L5" s="18" t="str">
        <x:v>Some concerns</x:v>
      </x:c>
      <x:c r="M5" s="18" t="str">
        <x:v>High</x:v>
      </x:c>
      <x:c r="N5" s="18" t="str">
        <x:v>Corrected RoB 2 Replacement Batch 2</x:v>
      </x:c>
      <x:c r="O5" s="18" t="str">
        <x:v>https://drive.google.com/drive/folders/1EWdZyTQjPSuoxt8n1nIr1t8D98PC-mso</x:v>
      </x:c>
      <x:c r="P5" s="18" t="str">
        <x:v>https://drive.google.com/drive/folders/1nsfVZMyB9znicxQzB7lvyfiiiuzMdc5M</x:v>
      </x:c>
    </x:row>
    <x:row r="6">
      <x:c r="A6" s="18" t="str">
        <x:v>Yu 2020</x:v>
      </x:c>
      <x:c r="B6" s="18" t="str">
        <x:v>Global QoR-40</x:v>
      </x:c>
      <x:c r="C6" s="18" t="str">
        <x:v>TEAS vs no-current control</x:v>
      </x:c>
      <x:c r="D6" s="18" t="str">
        <x:v>POD1 (~24 h)</x:v>
      </x:c>
      <x:c r="E6" s="18" t="str">
        <x:v>30 / 30</x:v>
      </x:c>
      <x:c r="F6" s="18" t="str">
        <x:v>30 / 30</x:v>
      </x:c>
      <x:c r="G6" s="18" t="str">
        <x:v>175.33 ± 9.66 vs 166.07 ± 8.44; P=0.040</x:v>
      </x:c>
      <x:c r="H6" s="18" t="str">
        <x:v>Some concerns</x:v>
      </x:c>
      <x:c r="I6" s="18" t="str">
        <x:v>Low</x:v>
      </x:c>
      <x:c r="J6" s="18" t="str">
        <x:v>Low</x:v>
      </x:c>
      <x:c r="K6" s="18" t="str">
        <x:v>High</x:v>
      </x:c>
      <x:c r="L6" s="18" t="str">
        <x:v>Some concerns</x:v>
      </x:c>
      <x:c r="M6" s="18" t="str">
        <x:v>High</x:v>
      </x:c>
      <x:c r="N6" s="18" t="str">
        <x:v>Corrected RoB 2 Replacement Batch 2</x:v>
      </x:c>
      <x:c r="O6" s="18" t="str">
        <x:v>https://drive.google.com/drive/folders/1EWdZyTQjPSuoxt8n1nIr1t8D98PC-mso</x:v>
      </x:c>
      <x:c r="P6" s="18" t="str">
        <x:v>https://drive.google.com/drive/folders/1nsfVZMyB9znicxQzB7lvyfiiiuzMdc5M</x:v>
      </x:c>
    </x:row>
    <x:row r="7">
      <x:c r="A7" s="18" t="str">
        <x:v>Pan 2023</x:v>
      </x:c>
      <x:c r="B7" s="18" t="str">
        <x:v>Time to first postoperative flatus</x:v>
      </x:c>
      <x:c r="C7" s="18" t="str">
        <x:v>TEAS vs no-TEAS control</x:v>
      </x:c>
      <x:c r="D7" s="18" t="str">
        <x:v>Time to event</x:v>
      </x:c>
      <x:c r="E7" s="18" t="str">
        <x:v>60 / 60</x:v>
      </x:c>
      <x:c r="F7" s="18" t="str">
        <x:v>52 / 53</x:v>
      </x:c>
      <x:c r="G7" s="18" t="str">
        <x:v>1020.0 (675.8–1278.0) min vs 1210.0 (896.5–1427.0) min; P=0.01</x:v>
      </x:c>
      <x:c r="H7" s="18" t="str">
        <x:v>Some concerns</x:v>
      </x:c>
      <x:c r="I7" s="18" t="str">
        <x:v>High</x:v>
      </x:c>
      <x:c r="J7" s="18" t="str">
        <x:v>High</x:v>
      </x:c>
      <x:c r="K7" s="18" t="str">
        <x:v>Some concerns</x:v>
      </x:c>
      <x:c r="L7" s="18" t="str">
        <x:v>Some concerns</x:v>
      </x:c>
      <x:c r="M7" s="18" t="str">
        <x:v>High</x:v>
      </x:c>
      <x:c r="N7" s="18" t="str">
        <x:v>Corrected RoB 2 Replacement Batch 2</x:v>
      </x:c>
      <x:c r="O7" s="18" t="str">
        <x:v>https://drive.google.com/drive/folders/1EWdZyTQjPSuoxt8n1nIr1t8D98PC-mso</x:v>
      </x:c>
      <x:c r="P7" s="18" t="str">
        <x:v>https://drive.google.com/drive/folders/1nsfVZMyB9znicxQzB7lvyfiiiuzMdc5M</x:v>
      </x:c>
    </x:row>
  </x:sheetData>
  <x:conditionalFormatting sqref="H2:H7">
    <x:cfRule type="expression" dxfId="8" priority="1">
      <x:formula>H2="High"</x:formula>
    </x:cfRule>
    <x:cfRule type="expression" dxfId="9" priority="2">
      <x:formula>H2="Some concerns"</x:formula>
    </x:cfRule>
    <x:cfRule type="expression" dxfId="10" priority="3">
      <x:formula>H2="Low"</x:formula>
    </x:cfRule>
  </x:conditionalFormatting>
  <x:conditionalFormatting sqref="I2:I7">
    <x:cfRule type="expression" dxfId="11" priority="4">
      <x:formula>I2="High"</x:formula>
    </x:cfRule>
    <x:cfRule type="expression" dxfId="12" priority="5">
      <x:formula>I2="Some concerns"</x:formula>
    </x:cfRule>
    <x:cfRule type="expression" dxfId="13" priority="6">
      <x:formula>I2="Low"</x:formula>
    </x:cfRule>
  </x:conditionalFormatting>
  <x:conditionalFormatting sqref="J2:J7">
    <x:cfRule type="expression" dxfId="14" priority="7">
      <x:formula>J2="High"</x:formula>
    </x:cfRule>
    <x:cfRule type="expression" dxfId="15" priority="8">
      <x:formula>J2="Some concerns"</x:formula>
    </x:cfRule>
    <x:cfRule type="expression" dxfId="16" priority="9">
      <x:formula>J2="Low"</x:formula>
    </x:cfRule>
  </x:conditionalFormatting>
  <x:conditionalFormatting sqref="K2:K7">
    <x:cfRule type="expression" dxfId="17" priority="10">
      <x:formula>K2="High"</x:formula>
    </x:cfRule>
    <x:cfRule type="expression" dxfId="18" priority="11">
      <x:formula>K2="Some concerns"</x:formula>
    </x:cfRule>
    <x:cfRule type="expression" dxfId="19" priority="12">
      <x:formula>K2="Low"</x:formula>
    </x:cfRule>
  </x:conditionalFormatting>
  <x:conditionalFormatting sqref="L2:L7">
    <x:cfRule type="expression" dxfId="20" priority="13">
      <x:formula>L2="High"</x:formula>
    </x:cfRule>
    <x:cfRule type="expression" dxfId="21" priority="14">
      <x:formula>L2="Some concerns"</x:formula>
    </x:cfRule>
    <x:cfRule type="expression" dxfId="22" priority="15">
      <x:formula>L2="Low"</x:formula>
    </x:cfRule>
  </x:conditionalFormatting>
  <x:conditionalFormatting sqref="M2:M7">
    <x:cfRule type="expression" dxfId="23" priority="16">
      <x:formula>M2="High"</x:formula>
    </x:cfRule>
    <x:cfRule type="expression" dxfId="24" priority="17">
      <x:formula>M2="Some concerns"</x:formula>
    </x:cfRule>
    <x:cfRule type="expression" dxfId="25" priority="18">
      <x:formula>M2="Low"</x:formula>
    </x:cfRule>
    <x:cfRule type="expression" dxfId="26" priority="19">
      <x:formula>M2="High"</x:formula>
    </x:cfRule>
    <x:cfRule type="expression" dxfId="27" priority="20">
      <x:formula>M2="Some concerns"</x:formula>
    </x:cfRule>
    <x:cfRule type="expression" dxfId="28" priority="21">
      <x:formula>M2="Low"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7fea9897da4a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5" hidden="0" customWidth="1"/>
    <x:col min="4" max="4" width="55" hidden="0" customWidth="1"/>
    <x:col min="5" max="5" width="16" hidden="0" customWidth="1"/>
    <x:col min="6" max="6" width="28" hidden="0" customWidth="1"/>
  </x:cols>
  <x:sheetData>
    <x:row r="1">
      <x:c r="A1" s="24" t="str">
        <x:v>Study/record</x:v>
      </x:c>
      <x:c r="B1" s="24" t="str">
        <x:v>Issue type</x:v>
      </x:c>
      <x:c r="C1" s="24" t="str">
        <x:v>Problem identified</x:v>
      </x:c>
      <x:c r="D1" s="24" t="str">
        <x:v>Master decision</x:v>
      </x:c>
      <x:c r="E1" s="24" t="str">
        <x:v>Severity</x:v>
      </x:c>
      <x:c r="F1" s="24" t="str">
        <x:v>Status</x:v>
      </x:c>
    </x:row>
    <x:row r="2">
      <x:c r="A2" s="18" t="str">
        <x:v>An 2014</x:v>
      </x:c>
      <x:c r="B2" s="18" t="str">
        <x:v>Antigravity Sol file mapping</x:v>
      </x:c>
      <x:c r="C2" s="18" t="str">
        <x:v>Points to zhang_2014_breast_surgery_teas_full_data_extraction.md</x:v>
      </x:c>
      <x:c r="D2" s="18" t="str">
        <x:v>Reject mapping; An 2014 source is covidence_698_full_article.pdf / covidence_study_698 extraction.</x:v>
      </x:c>
      <x:c r="E2" s="18" t="str">
        <x:v>Material</x:v>
      </x:c>
      <x:c r="F2" s="18" t="str">
        <x:v>Resolved in master inventory</x:v>
      </x:c>
    </x:row>
    <x:row r="3">
      <x:c r="A3" s="18" t="str">
        <x:v>Seevaunnamtum 2016</x:v>
      </x:c>
      <x:c r="B3" s="18" t="str">
        <x:v>Antigravity Sol file mapping</x:v>
      </x:c>
      <x:c r="C3" s="18" t="str">
        <x:v>Points to grech_2016_full_data_extraction.md</x:v>
      </x:c>
      <x:c r="D3" s="18" t="str">
        <x:v>Reject mapping; use covidence_596_verified.pdf / Seevaunnamtum source-grounded extraction.</x:v>
      </x:c>
      <x:c r="E3" s="18" t="str">
        <x:v>Material</x:v>
      </x:c>
      <x:c r="F3" s="18" t="str">
        <x:v>Resolved in master inventory</x:v>
      </x:c>
    </x:row>
    <x:row r="4">
      <x:c r="A4" s="18" t="str">
        <x:v>Chen 2015</x:v>
      </x:c>
      <x:c r="B4" s="18" t="str">
        <x:v>Antigravity Sol file mapping</x:v>
      </x:c>
      <x:c r="C4" s="18" t="str">
        <x:v>Points to chen_2020_full_data_extraction.md</x:v>
      </x:c>
      <x:c r="D4" s="18" t="str">
        <x:v>Reject mapping; Chen 2015 QoR-40 thyroidectomy is distinct.</x:v>
      </x:c>
      <x:c r="E4" s="18" t="str">
        <x:v>Material</x:v>
      </x:c>
      <x:c r="F4" s="18" t="str">
        <x:v>Resolved in master inventory</x:v>
      </x:c>
    </x:row>
    <x:row r="5">
      <x:c r="A5" s="18" t="str">
        <x:v>Chen 2015 (Hyperalgesia)</x:v>
      </x:c>
      <x:c r="B5" s="18" t="str">
        <x:v>Antigravity Sol file mapping</x:v>
      </x:c>
      <x:c r="C5" s="18" t="str">
        <x:v>Points to chen_2020_full_data_extraction.md</x:v>
      </x:c>
      <x:c r="D5" s="18" t="str">
        <x:v>Reject mapping; hyperalgesia trial is distinct.</x:v>
      </x:c>
      <x:c r="E5" s="18" t="str">
        <x:v>Material</x:v>
      </x:c>
      <x:c r="F5" s="18" t="str">
        <x:v>Resolved in master inventory</x:v>
      </x:c>
    </x:row>
    <x:row r="6">
      <x:c r="A6" s="18" t="str">
        <x:v>Ng 2013</x:v>
      </x:c>
      <x:c r="B6" s="18" t="str">
        <x:v>Antigravity Sol file mapping</x:v>
      </x:c>
      <x:c r="C6" s="18" t="str">
        <x:v>Points to huang_2024_covidence_245_full_data_extraction.md</x:v>
      </x:c>
      <x:c r="D6" s="18" t="str">
        <x:v>Reject cross-study mapping.</x:v>
      </x:c>
      <x:c r="E6" s="18" t="str">
        <x:v>Material</x:v>
      </x:c>
      <x:c r="F6" s="18" t="str">
        <x:v>Resolved in master inventory</x:v>
      </x:c>
    </x:row>
    <x:row r="7">
      <x:c r="A7" s="18" t="str">
        <x:v>Tu 2024</x:v>
      </x:c>
      <x:c r="B7" s="18" t="str">
        <x:v>Antigravity Sol file mapping</x:v>
      </x:c>
      <x:c r="C7" s="18" t="str">
        <x:v>Points to wang_2023_gi_tumor_sleep_teas_full_data_extraction.md</x:v>
      </x:c>
      <x:c r="D7" s="18" t="str">
        <x:v>Reject cross-study mapping.</x:v>
      </x:c>
      <x:c r="E7" s="18" t="str">
        <x:v>Material</x:v>
      </x:c>
      <x:c r="F7" s="18" t="str">
        <x:v>Resolved in master inventory</x:v>
      </x:c>
    </x:row>
    <x:row r="8">
      <x:c r="A8" s="18" t="str">
        <x:v>Gao 2018</x:v>
      </x:c>
      <x:c r="B8" s="18" t="str">
        <x:v>Antigravity inventory</x:v>
      </x:c>
      <x:c r="C8" s="18" t="str">
        <x:v>No source-grounded Gao 2018 extraction found</x:v>
      </x:c>
      <x:c r="D8" s="18" t="str">
        <x:v>Exclude until a source PDF is positively identified; Zhou 2025 was omitted from Antigravity matrix and restored.</x:v>
      </x:c>
      <x:c r="E8" s="18" t="str">
        <x:v>Material</x:v>
      </x:c>
      <x:c r="F8" s="18" t="str">
        <x:v>Resolved in master inventory</x:v>
      </x:c>
    </x:row>
    <x:row r="9">
      <x:c r="A9" s="18" t="str">
        <x:v>Ge et al. 2023</x:v>
      </x:c>
      <x:c r="B9" s="18" t="str">
        <x:v>Duplicate derivative</x:v>
      </x:c>
      <x:c r="C9" s="18" t="str">
        <x:v>Duplicate extraction of Wang 2023 Pain and Therapy trial</x:v>
      </x:c>
      <x:c r="D9" s="18" t="str">
        <x:v>Do not count as separate trial.</x:v>
      </x:c>
      <x:c r="E9" s="18" t="str">
        <x:v>Material</x:v>
      </x:c>
      <x:c r="F9" s="18" t="str">
        <x:v>Resolved in master inventory</x:v>
      </x:c>
    </x:row>
    <x:row r="10">
      <x:c r="A10" s="18" t="str">
        <x:v>Zhou 2026</x:v>
      </x:c>
      <x:c r="B10" s="18" t="str">
        <x:v>Misnamed derivative</x:v>
      </x:c>
      <x:c r="C10" s="18" t="str">
        <x:v>RoB file attached to Liu 2026 burn trial</x:v>
      </x:c>
      <x:c r="D10" s="18" t="str">
        <x:v>Do not count as separate trial.</x:v>
      </x:c>
      <x:c r="E10" s="18" t="str">
        <x:v>Material</x:v>
      </x:c>
      <x:c r="F10" s="18" t="str">
        <x:v>Resolved in master inventory</x:v>
      </x:c>
    </x:row>
    <x:row r="11">
      <x:c r="A11" s="18" t="str">
        <x:v>Gao 2018</x:v>
      </x:c>
      <x:c r="B11" s="18" t="str">
        <x:v>Rejected Antigravity inventory row</x:v>
      </x:c>
      <x:c r="C11" s="18" t="str">
        <x:v>**Intraop remifentanil (PRIMARY)**: Group TEAS (n=32) 545 ± 35 µg vs Group C (n=32) 636 ± 33 µg (P &lt; 0.001) [MD -91.0 µg]. **Intraop propofol**: Group TEAS 4...</x:v>
      </x:c>
      <x:c r="D11" s="18" t="str">
        <x:v>No matching Gao 2018 source/extraction was located in the project inventory; row conflicts with the 63-PDF canonical inventory and should not enter the master dataset without source identification.</x:v>
      </x:c>
      <x:c r="E11" s="18" t="str">
        <x:v>Critical</x:v>
      </x:c>
      <x:c r="F11" s="18" t="str">
        <x:v>Excluded from canonical master</x:v>
      </x:c>
    </x:row>
  </x:sheetData>
  <x:conditionalFormatting sqref="E2:E11">
    <x:cfRule type="expression" dxfId="29" priority="1">
      <x:formula>E2="Critical"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b745ea694e44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70" hidden="0" customWidth="1"/>
    <x:col min="4" max="4" width="58" hidden="0" customWidth="1"/>
    <x:col min="5" max="5" width="32" hidden="0" customWidth="1"/>
    <x:col min="6" max="6" width="38" hidden="0" customWidth="1"/>
  </x:cols>
  <x:sheetData>
    <x:row r="1">
      <x:c r="A1" s="24" t="str">
        <x:v>Canonical study</x:v>
      </x:c>
      <x:c r="B1" s="24" t="str">
        <x:v>Antigravity label</x:v>
      </x:c>
      <x:c r="C1" s="24" t="str">
        <x:v>Candidate source summary</x:v>
      </x:c>
      <x:c r="D1" s="24" t="str">
        <x:v>Gemini/payload field from Antigravity report</x:v>
      </x:c>
      <x:c r="E1" s="24" t="str">
        <x:v>Antigravity classification</x:v>
      </x:c>
      <x:c r="F1" s="24" t="str">
        <x:v>Status in this master</x:v>
      </x:c>
    </x:row>
    <x:row r="2">
      <x:c r="A2" s="18" t="str">
        <x:v>Zhu 2022</x:v>
      </x:c>
      <x:c r="B2" s="18" t="str">
        <x:v>Zhu 2022</x:v>
      </x:c>
      <x:c r="C2" s="18" t="str">
        <x:v>**Pain intensity during movement at 24h (NRS 0-10) (PRIMARY)**: Group Pre (n=101) 1.15 ± 1.02 vs Group 30 (n=98) 1.12 ± 1.03 vs Group Comb (n=100) 1.17 ± 1.1...</x:v>
      </x:c>
      <x:c r="D2" s="18" t="str">
        <x:v>Opioid: `20.4±4.8 vs 33.1±7.0` 🚨 **[FABRICATED BOILERPLATE]**&lt;br&gt;Pain: `2.4±0.8 vs 3.8±1.1` 🚨 **[FABRICATED]**&lt;br&gt;PONV: `5/30 vs 12/30` 🚨 **[FABRICATED]**</x:v>
      </x:c>
      <x:c r="E2" s="18" t="str">
        <x:v>🟡 Verified with Corrections 🟠 Author Contact Needed</x:v>
      </x:c>
      <x:c r="F2" s="18" t="str">
        <x:v>REFERENCE ONLY — not authoritative unless source-confirmed</x:v>
      </x:c>
    </x:row>
    <x:row r="3">
      <x:c r="A3" s="18" t="str">
        <x:v>Zhou 2025</x:v>
      </x:c>
      <x:c r="B3" s="18" t="str">
        <x:v>(Antigravity matrix omitted/misidentified)</x:v>
      </x:c>
      <x:c r="C3" s="18" t="str">
        <x:v>Source-grounded correction: 100 randomized (50/group), 97 analyzed (48 TEAS, 49 sham). Primary QoR-15 on POD1: 112.00 ± 10.67 vs 107.62 ± 10.27 (P=0.042). POD1 resting VAS median 3 (3-4) vs 4 (4-5); POD1 PONV 10/48 vs 19/49. Exact 0-24 h opioid dose/MME not reported; rescue tramadol only reported as POD1-3 binary use 6/48 vs 13/49.</x:v>
      </x:c>
      <x:c r="D3" s="18" t="str">
        <x:v>Do not use Antigravity Gao 2018 row as substitute.</x:v>
      </x:c>
      <x:c r="E3" s="18" t="str">
        <x:v>Source-verified Sol correction; Antigravity matrix identity gap</x:v>
      </x:c>
      <x:c r="F3" s="18" t="str">
        <x:v>REFERENCE ONLY — not authoritative unless source-confirmed</x:v>
      </x:c>
    </x:row>
    <x:row r="4">
      <x:c r="A4" s="18" t="str">
        <x:v>Zhou 2021</x:v>
      </x:c>
      <x:c r="B4" s="18" t="str">
        <x:v>Zhou 2021</x:v>
      </x:c>
      <x:c r="C4" s="18" t="str">
        <x:v>**Cumulative postoperative systemic opioid consumption (equivalent dose of morphine in mg / IV MME) (PRIMARY)**: TG (n=41) 8.94 ± 3.66 mg vs CG Usual care (n...</x:v>
      </x:c>
      <x:c r="D4" s="18" t="str">
        <x:v>Opioid: `20.4±4.8 vs 33.1±7.0` 🚨 **[FABRICATED BOILERPLATE]**&lt;br&gt;Pain: `2.4±0.8 vs 3.8±1.1` 🚨 **[FABRICATED]**&lt;br&gt;PONV: `5/30 vs 12/30` 🚨 **[FABRICATED]**</x:v>
      </x:c>
      <x:c r="E4" s="18" t="str">
        <x:v>🟡 Verified with Corrections 🟠 Author Contact Needed</x:v>
      </x:c>
      <x:c r="F4" s="18" t="str">
        <x:v>REFERENCE ONLY — not authoritative unless source-confirmed</x:v>
      </x:c>
    </x:row>
    <x:row r="5">
      <x:c r="A5" s="18" t="str">
        <x:v>Zheng 2025</x:v>
      </x:c>
      <x:c r="B5" s="18" t="str">
        <x:v>Zheng 2025</x:v>
      </x:c>
      <x:c r="C5" s="18" t="str">
        <x:v>**Pain intensity at rest at 24h (NRS 0-10) (PRIMARY)**: TEAS (n=42) 1.70 ± 0.80 vs Sham TEAS (n=43) 2.20 ± 1.10 (P = 0.042*) [MD -0.50, 95% CI -0.91 to -0.09...</x:v>
      </x:c>
      <x:c r="D5" s="18" t="str">
        <x:v>Opioid: `20.4±4.8 vs 33.1±7.0` 🚨 **[FABRICATED BOILERPLATE]**&lt;br&gt;Pain: `2.4±0.8 vs 3.8±1.1` 🚨 **[FABRICATED]**&lt;br&gt;PONV: `5/30 vs 12/30` 🚨 **[FABRICATED]**</x:v>
      </x:c>
      <x:c r="E5" s="18" t="str">
        <x:v>🟡 Verified with Corrections 🟠 Author Contact Needed</x:v>
      </x:c>
      <x:c r="F5" s="18" t="str">
        <x:v>REFERENCE ONLY — not authoritative unless source-confirmed</x:v>
      </x:c>
    </x:row>
    <x:row r="6">
      <x:c r="A6" s="18" t="str">
        <x:v>Zhan 2020</x:v>
      </x:c>
      <x:c r="B6" s="18" t="str">
        <x:v>Zhan 2020</x:v>
      </x:c>
      <x:c r="C6" s="18" t="str">
        <x:v>**Pain intensity at rest at 24h (VAS 0-10) (PRIMARY)**: TAP+TEAS (n=30) 1.70 ± 2.20 vs TAP Control (n=30) 2.00 ± 3.00 (P = 0.03*) [MD -0.30, 95% CI -1.63 to ...</x:v>
      </x:c>
      <x:c r="D6" s="18" t="str">
        <x:v>Opioid: `1.7±2.2 vs 2.0±3.0`&lt;br&gt;Pain: `2.4±0.8 vs 3.8±1.1` 🚨 **[FABRICATED]**&lt;br&gt;PONV: `5/30 vs 12/30` 🚨 **[FABRICATED]**</x:v>
      </x:c>
      <x:c r="E6" s="18" t="str">
        <x:v>🟡 Verified with Corrections 🟠 Author Contact Needed</x:v>
      </x:c>
      <x:c r="F6" s="18" t="str">
        <x:v>REFERENCE ONLY — not authoritative unless source-confirmed</x:v>
      </x:c>
    </x:row>
    <x:row r="7">
      <x:c r="A7" s="18" t="str">
        <x:v>Zhang 2025</x:v>
      </x:c>
      <x:c r="B7" s="18" t="str">
        <x:v>Zhang 2025</x:v>
      </x:c>
      <x:c r="C7" s="18" t="str">
        <x:v>**Cumulative postoperative systemic opioid consumption at 24h (total sufentanil in IV MME) (PRIMARY)**: TEAS (n=45) 50.53 ± 4.46 mg vs Control Sham TEAS (n=4...</x:v>
      </x:c>
      <x:c r="D7" s="18" t="str">
        <x:v>Opioid: `20.4±4.8 vs 33.1±7.0` 🚨 **[FABRICATED BOILERPLATE]**&lt;br&gt;Pain: `2.4±0.8 vs 3.8±1.1` 🚨 **[FABRICATED]**&lt;br&gt;PONV: `5/30 vs 12/30` 🚨 **[FABRICATED]**</x:v>
      </x:c>
      <x:c r="E7" s="18" t="str">
        <x:v>🟡 Verified with Corrections 🟠 Author Contact Needed</x:v>
      </x:c>
      <x:c r="F7" s="18" t="str">
        <x:v>REFERENCE ONLY — not authoritative unless source-confirmed</x:v>
      </x:c>
    </x:row>
    <x:row r="8">
      <x:c r="A8" s="18" t="str">
        <x:v>Zhang 2023</x:v>
      </x:c>
      <x:c r="B8" s="18" t="str">
        <x:v>Zhang 2023</x:v>
      </x:c>
      <x:c r="C8" s="18" t="str">
        <x:v>**Cumulative postoperative systemic opioid consumption within 48h (IV MME)**: TEAS (n=922) median 110.0 mg (IQR 80.0-110.0) vs Sham TEAS (n=916) median 110.0...</x:v>
      </x:c>
      <x:c r="D8" s="18" t="str">
        <x:v>Opioid: `20.4±4.8 vs 33.1±7.0` 🚨 **[FABRICATED BOILERPLATE]**&lt;br&gt;Pain: `2.4±0.8 vs 3.8±1.1` 🚨 **[FABRICATED]**&lt;br&gt;PONV: `5/30 vs 12/30` 🚨 **[FABRICATED]**</x:v>
      </x:c>
      <x:c r="E8" s="18" t="str">
        <x:v>🟡 Verified with Corrections 🟠 Author Contact Needed</x:v>
      </x:c>
      <x:c r="F8" s="18" t="str">
        <x:v>REFERENCE ONLY — not authoritative unless source-confirmed</x:v>
      </x:c>
    </x:row>
    <x:row r="9">
      <x:c r="A9" s="18" t="str">
        <x:v>Zhang 2014</x:v>
      </x:c>
      <x:c r="B9" s="18" t="str">
        <x:v>Zhang 2014</x:v>
      </x:c>
      <x:c r="C9" s="18" t="str">
        <x:v>**Intraoperative systemic remifentanil consumption rate (µg/kg/min)**: TEAS (n=33) 0.06 ± 0.02 vs Sham TEAS (n=32) 0.09 ± 0.03 (P = 0.01*) [MD -0.03, 95% CI ...</x:v>
      </x:c>
      <x:c r="D9" s="18" t="str">
        <x:v>Opioid: `0.06±0.02 vs 0.09±0.03`&lt;br&gt;Pain: `2.4±0.8 vs 3.8±1.1` 🚨 **[FABRICATED]**&lt;br&gt;PONV: `5/30 vs 12/30` 🚨 **[FABRICATED]**</x:v>
      </x:c>
      <x:c r="E9" s="18" t="str">
        <x:v>🟡 Verified with Corrections 🟠 Author Contact Needed</x:v>
      </x:c>
      <x:c r="F9" s="18" t="str">
        <x:v>REFERENCE ONLY — not authoritative unless source-confirmed</x:v>
      </x:c>
    </x:row>
    <x:row r="10">
      <x:c r="A10" s="18" t="str">
        <x:v>Yu 2020</x:v>
      </x:c>
      <x:c r="B10" s="18" t="str">
        <x:v>Yu 2020</x:v>
      </x:c>
      <x:c r="C10" s="18" t="str">
        <x:v>**Pain intensity at rest at 24h (VAS 0-10) (PRIMARY)**: TEAS (n=30) 3.70 ± 1.53 vs Con Sham TEAS (n=30) 4.73 ± 1.53 (P &lt; 0.05*) [MD -1.03, 95% CI -1.81 to -0...</x:v>
      </x:c>
      <x:c r="D10" s="18" t="str">
        <x:v>Opioid: `20.4±4.8 vs 33.1±7.0` 🚨 **[FABRICATED BOILERPLATE]**&lt;br&gt;Pain: `2.4±0.8 vs 3.8±1.1` 🚨 **[FABRICATED]**&lt;br&gt;PONV: `5/30 vs 12/30` 🚨 **[FABRICATED]**</x:v>
      </x:c>
      <x:c r="E10" s="18" t="str">
        <x:v>🟡 Verified with Corrections 🟠 Author Contact Needed</x:v>
      </x:c>
      <x:c r="F10" s="18" t="str">
        <x:v>REFERENCE ONLY — not authoritative unless source-confirmed</x:v>
      </x:c>
    </x:row>
    <x:row r="11">
      <x:c r="A11" s="18" t="str">
        <x:v>Yeh 2010</x:v>
      </x:c>
      <x:c r="B11" s="18" t="str">
        <x:v>Yeh 2010</x:v>
      </x:c>
      <x:c r="C11" s="18" t="str">
        <x:v>**Cumulative postoperative systemic opioid consumption at 24h (PRIMARY)**: AES (n=30) 19.3 ± 9.7 mg vs Sham AES (n=30) 21.6 ± 13.1 mg (P = 0.443) [MD -2.30 m...</x:v>
      </x:c>
      <x:c r="D11" s="18" t="str">
        <x:v>Opioid: `19.3±9.7 vs 21.6±13.1`&lt;br&gt;Pain: `2.4±0.8 vs 3.8±1.1` 🚨 **[FABRICATED]**&lt;br&gt;PONV: `5/30 vs 12/30` 🚨 **[FABRICATED]**</x:v>
      </x:c>
      <x:c r="E11" s="18" t="str">
        <x:v>🟡 Verified with Corrections 🟠 Author Contact Needed</x:v>
      </x:c>
      <x:c r="F11" s="18" t="str">
        <x:v>REFERENCE ONLY — not authoritative unless source-confirmed</x:v>
      </x:c>
    </x:row>
    <x:row r="12">
      <x:c r="A12" s="18" t="str">
        <x:v>Yeh 2011</x:v>
      </x:c>
      <x:c r="B12" s="18" t="str">
        <x:v>Yeh 2010 (ATHM)</x:v>
      </x:c>
      <x:c r="C12" s="18" t="str">
        <x:v>**Cumulative postoperative systemic opioid consumption at 24h (PRIMARY)**: EG1 True AES (n=33) 18.6 ± 9.7 mg vs EG2 Sham AES (n=30) 21.6 ± 13.1 mg (P = 0.364...</x:v>
      </x:c>
      <x:c r="D12" s="18" t="str">
        <x:v>Opioid: `18.6±9.7 vs 21.6±13.1`&lt;br&gt;Pain: `2.4±0.8 vs 3.8±1.1` 🚨 **[FABRICATED]**&lt;br&gt;PONV: `5/30 vs 12/30` 🚨 **[FABRICATED]**</x:v>
      </x:c>
      <x:c r="E12" s="18" t="str">
        <x:v>🟡 Verified with Corrections 🟠 Author Contact Needed</x:v>
      </x:c>
      <x:c r="F12" s="18" t="str">
        <x:v>REFERENCE ONLY — not authoritative unless source-confirmed</x:v>
      </x:c>
    </x:row>
    <x:row r="13">
      <x:c r="A13" s="18" t="str">
        <x:v>Yao 2015</x:v>
      </x:c>
      <x:c r="B13" s="18" t="str">
        <x:v>Yao 2015</x:v>
      </x:c>
      <x:c r="C13" s="18" t="str">
        <x:v>**Quality of recovery (QoR-40 global score at 24h) (PRIMARY)**: TEAS (n=35) 176.5 ± 10.2 vs Sham TEAS (n=36) 164.8 ± 14.7 (P &lt; 0.001*) [MD 11.70, 95% CI 5.80...</x:v>
      </x:c>
      <x:c r="D13" s="18" t="str">
        <x:v>Opioid: `20.4±4.8 vs 33.1±7.0` 🚨 **[FABRICATED BOILERPLATE]**&lt;br&gt;Pain: `2.4±0.8 vs 3.8±1.1` 🚨 **[FABRICATED]**&lt;br&gt;PONV: `5/30 vs 12/30` 🚨 **[FABRICATED]**</x:v>
      </x:c>
      <x:c r="E13" s="18" t="str">
        <x:v>🟡 Verified with Corrections 🟠 Author Contact Needed</x:v>
      </x:c>
      <x:c r="F13" s="18" t="str">
        <x:v>REFERENCE ONLY — not authoritative unless source-confirmed</x:v>
      </x:c>
    </x:row>
    <x:row r="14">
      <x:c r="A14" s="18" t="str">
        <x:v>Yang 2020</x:v>
      </x:c>
      <x:c r="B14" s="18" t="str">
        <x:v>Yang 2020</x:v>
      </x:c>
      <x:c r="C14" s="18" t="str">
        <x:v>**Postoperative nausea incidence 0-24h (PRIMARY)**: EA (n=29) 8/29 (27.59%) vs Usual care (n=28) 8/28 (28.57%) (P = 0.934) [RR 0.97, 95% CI 0.42 to 2.24]. **...</x:v>
      </x:c>
      <x:c r="D14" s="18" t="str">
        <x:v>Opioid: `20.4±4.8 vs 33.1±7.0` 🚨 **[FABRICATED BOILERPLATE]**&lt;br&gt;Pain: `2.4±0.8 vs 3.8±1.1` 🚨 **[FABRICATED]**&lt;br&gt;PONV: `5/30 vs 12/30` 🚨 **[FABRICATED]**</x:v>
      </x:c>
      <x:c r="E14" s="18" t="str">
        <x:v>🟡 Verified with Corrections 🟠 Author Contact Needed</x:v>
      </x:c>
      <x:c r="F14" s="18" t="str">
        <x:v>REFERENCE ONLY — not authoritative unless source-confirmed</x:v>
      </x:c>
    </x:row>
    <x:row r="15">
      <x:c r="A15" s="18" t="str">
        <x:v>Yang 2024</x:v>
      </x:c>
      <x:c r="B15" s="18" t="str">
        <x:v>Yang 2023</x:v>
      </x:c>
      <x:c r="C15" s="18" t="str">
        <x:v>**Cumulative postoperative systemic opioid consumption on POD 1 (24h) (PRIMARY)**: EA (n=90) 43.7 ± 4.7 mg vs Usual care (n=90) 44.0 ± 4.9 mg (P = 0.733) [MD...</x:v>
      </x:c>
      <x:c r="D15" s="18" t="str">
        <x:v>Opioid: `20.4±4.8 vs 33.1±7.0` 🚨 **[FABRICATED BOILERPLATE]**&lt;br&gt;Pain: `2.4±0.8 vs 3.8±1.1` 🚨 **[FABRICATED]**&lt;br&gt;PONV: `5/30 vs 12/30` 🚨 **[FABRICATED]**</x:v>
      </x:c>
      <x:c r="E15" s="18" t="str">
        <x:v>🟡 Verified with Corrections 🟠 Author Contact Needed</x:v>
      </x:c>
      <x:c r="F15" s="18" t="str">
        <x:v>REFERENCE ONLY — not authoritative unless source-confirmed</x:v>
      </x:c>
    </x:row>
    <x:row r="16">
      <x:c r="A16" s="18" t="str">
        <x:v>Xiong 2021</x:v>
      </x:c>
      <x:c r="B16" s="18" t="str">
        <x:v>Xiong 2021</x:v>
      </x:c>
      <x:c r="C16" s="18" t="str">
        <x:v>**Composite PONV incidence 0-24h (PRIMARY)**: TEAS (n=31) 12/31 (38.7%) vs Sham TEAS (n=31) 24/31 (77.4%) (P = 0.002*) [RR 0.50, 95% CI 0.31 to 0.81]. **Comp...</x:v>
      </x:c>
      <x:c r="D16" s="18" t="str">
        <x:v>Opioid: `20.4±4.8 vs 33.1±7.0` 🚨 **[FABRICATED BOILERPLATE]**&lt;br&gt;Pain: `2.4±0.8 vs 3.8±1.1` 🚨 **[FABRICATED]**&lt;br&gt;PONV: `5/30 vs 12/30` 🚨 **[FABRICATED]**</x:v>
      </x:c>
      <x:c r="E16" s="18" t="str">
        <x:v>🟡 Verified with Corrections 🟠 Author Contact Needed</x:v>
      </x:c>
      <x:c r="F16" s="18" t="str">
        <x:v>REFERENCE ONLY — not authoritative unless source-confirmed</x:v>
      </x:c>
    </x:row>
    <x:row r="17">
      <x:c r="A17" s="18" t="str">
        <x:v>Xing 2022</x:v>
      </x:c>
      <x:c r="B17" s="18" t="str">
        <x:v>Xing 2022</x:v>
      </x:c>
      <x:c r="C17" s="18" t="str">
        <x:v>**Pain intensity at rest at 24h (PRIMARY)**: TEAS+TAPB (n=29) 1.18 ± 0.42 vs Sham TEAS+TAPB (n=29) 1.40 ± 0.52 (P &lt; 0.05*) [MD -0.22, 95% CI -0.46 to 0.02]; ...</x:v>
      </x:c>
      <x:c r="D17" s="18" t="str">
        <x:v>Opioid: `20.4±4.8 vs 33.1±7.0` 🚨 **[FABRICATED BOILERPLATE]**&lt;br&gt;Pain: `2.4±0.8 vs 3.8±1.1` 🚨 **[FABRICATED]**&lt;br&gt;PONV: `5/30 vs 12/30` 🚨 **[FABRICATED]**</x:v>
      </x:c>
      <x:c r="E17" s="18" t="str">
        <x:v>🟡 Verified with Corrections 🟠 Author Contact Needed</x:v>
      </x:c>
      <x:c r="F17" s="18" t="str">
        <x:v>REFERENCE ONLY — not authoritative unless source-confirmed</x:v>
      </x:c>
    </x:row>
    <x:row r="18">
      <x:c r="A18" s="18" t="str">
        <x:v>Xie 2014</x:v>
      </x:c>
      <x:c r="B18" s="18" t="str">
        <x:v>Xie 2014</x:v>
      </x:c>
      <x:c r="C18" s="18" t="str">
        <x:v>**Cumulative postoperative systemic opioid consumption through POD 3 (PRIMARY)**: EAS (n=20) 115.0 ± 6.0 µg vs Sham EA (n=20) 133.5 ± 7.0 µg (P &lt; 0.05*) [MD ...</x:v>
      </x:c>
      <x:c r="D18" s="18" t="str">
        <x:v>Opioid: `115±6.0 vs 133.5±7.0`&lt;br&gt;Pain: `2.4±0.8 vs 3.8±1.1` 🚨 **[FABRICATED]**&lt;br&gt;PONV: `5/30 vs 12/30` 🚨 **[FABRICATED]**</x:v>
      </x:c>
      <x:c r="E18" s="18" t="str">
        <x:v>🟡 Verified with Corrections 🟠 Author Contact Needed</x:v>
      </x:c>
      <x:c r="F18" s="18" t="str">
        <x:v>REFERENCE ONLY — not authoritative unless source-confirmed</x:v>
      </x:c>
    </x:row>
    <x:row r="19">
      <x:c r="A19" s="18" t="str">
        <x:v>Wu 2022</x:v>
      </x:c>
      <x:c r="B19" s="18" t="str">
        <x:v>Wu 2022</x:v>
      </x:c>
      <x:c r="C19" s="18" t="str">
        <x:v>**Pain intensity at 24h (PRIMARY)**: pTEAS (n=44) 1.77 ± 0.91 vs Control (n=40) 2.25 ± 0.71 (P = 0.009*) [MD -0.48, 95% CI -0.83 to -0.13]. **Pain intensity ...</x:v>
      </x:c>
      <x:c r="D19" s="18" t="str">
        <x:v>Opioid: `20.4±4.8 vs 33.1±7.0` 🚨 **[FABRICATED BOILERPLATE]**&lt;br&gt;Pain: `2.4±0.8 vs 3.8±1.1` 🚨 **[FABRICATED]**&lt;br&gt;PONV: `5/30 vs 12/30` 🚨 **[FABRICATED]**</x:v>
      </x:c>
      <x:c r="E19" s="18" t="str">
        <x:v>🟡 Verified with Corrections 🟠 Author Contact Needed</x:v>
      </x:c>
      <x:c r="F19" s="18" t="str">
        <x:v>REFERENCE ONLY — not authoritative unless source-confirmed</x:v>
      </x:c>
    </x:row>
    <x:row r="20">
      <x:c r="A20" s="18" t="str">
        <x:v>Wu 2025</x:v>
      </x:c>
      <x:c r="B20" s="18" t="str">
        <x:v>Wu 2025</x:v>
      </x:c>
      <x:c r="C20" s="18" t="str">
        <x:v>**Pain intensity at rest at 24h (PRIMARY)**: TEAS (n=50) 1.7 ± 0.9 vs Sham TEAS (n=50) 4.0 ± 1.4 (P &lt; 0.001*) [MD -2.30, 95% CI -2.76 to -1.84]. **Pain inten...</x:v>
      </x:c>
      <x:c r="D20" s="18" t="str">
        <x:v>Opioid: `20.4±4.8 vs 33.1±7.0` 🚨 **[FABRICATED BOILERPLATE]**&lt;br&gt;Pain: `2.4±0.8 vs 3.8±1.1` 🚨 **[FABRICATED]**&lt;br&gt;PONV: `5/30 vs 12/30` 🚨 **[FABRICATED]**</x:v>
      </x:c>
      <x:c r="E20" s="18" t="str">
        <x:v>🟡 Verified with Corrections 🟠 Author Contact Needed</x:v>
      </x:c>
      <x:c r="F20" s="18" t="str">
        <x:v>REFERENCE ONLY — not authoritative unless source-confirmed</x:v>
      </x:c>
    </x:row>
    <x:row r="21">
      <x:c r="A21" s="18" t="str">
        <x:v>Wong 2006</x:v>
      </x:c>
      <x:c r="B21" s="18" t="str">
        <x:v>Wong 2006</x:v>
      </x:c>
      <x:c r="C21" s="18" t="str">
        <x:v>**Postoperative systemic opioid consumption Day 1 (24h) (PRIMARY)**: EA (n=13) 18.0 ± 8.8 mg vs Sham EA (n=12) 18.8 ± 9.8 mg [MD -0.80 mg, 95% CI -8.14 to 6....</x:v>
      </x:c>
      <x:c r="D21" s="18" t="str">
        <x:v>Opioid: `8.3±4.9 vs 7.8±6.4`&lt;br&gt;Pain: `2.4±0.8 vs 3.8±1.1` 🚨 **[FABRICATED]**&lt;br&gt;PONV: `5/30 vs 12/30` 🚨 **[FABRICATED]**</x:v>
      </x:c>
      <x:c r="E21" s="18" t="str">
        <x:v>🟡 Verified with Corrections 🟠 Author Contact Needed</x:v>
      </x:c>
      <x:c r="F21" s="18" t="str">
        <x:v>REFERENCE ONLY — not authoritative unless source-confirmed</x:v>
      </x:c>
    </x:row>
    <x:row r="22">
      <x:c r="A22" s="18" t="str">
        <x:v>Wang 2023</x:v>
      </x:c>
      <x:c r="B22" s="18" t="str">
        <x:v>Wang 2023</x:v>
      </x:c>
      <x:c r="C22" s="18" t="str">
        <x:v>**Pain intensity during activity at 24h (PRIMARY)**: TEAS (n=40) 5.06 ± 0.91 vs Sham TEAS (n=43) 6.04 ± 1.05 (P &lt; 0.05*) [MD -0.98, 95% CI -1.40 to -0.56]. *...</x:v>
      </x:c>
      <x:c r="D22" s="18" t="str">
        <x:v>Opioid: `20.4±4.8 vs 33.1±7.0` 🚨 **[FABRICATED BOILERPLATE]**&lt;br&gt;Pain: `2.4±0.8 vs 3.8±1.1` 🚨 **[FABRICATED]**&lt;br&gt;PONV: `5/30 vs 12/30` 🚨 **[FABRICATED]**</x:v>
      </x:c>
      <x:c r="E22" s="18" t="str">
        <x:v>🟡 Verified with Corrections 🟠 Author Contact Needed</x:v>
      </x:c>
      <x:c r="F22" s="18" t="str">
        <x:v>REFERENCE ONLY — not authoritative unless source-confirmed</x:v>
      </x:c>
    </x:row>
    <x:row r="23">
      <x:c r="A23" s="18" t="str">
        <x:v>Wang 2024</x:v>
      </x:c>
      <x:c r="B23" s="18" t="str">
        <x:v>Wang 2024</x:v>
      </x:c>
      <x:c r="C23" s="18" t="str">
        <x:v>**Composite PONV incidence 0–24h (PRIMARY)**: TEAS pooled (n=68) 19/68 (27.9%) vs Sham TEAS pooled (n=70) 30/70 (42.9%) (P = 0.065) [RR 0.65, 95% CI 0.41 to ...</x:v>
      </x:c>
      <x:c r="D23" s="18" t="str">
        <x:v>Opioid: `20.4±4.8 vs 33.1±7.0` 🚨 **[FABRICATED BOILERPLATE]**&lt;br&gt;Pain: `2.4±0.8 vs 3.8±1.1` 🚨 **[FABRICATED]**&lt;br&gt;PONV: `5/30 vs 12/30` 🚨 **[FABRICATED]**</x:v>
      </x:c>
      <x:c r="E23" s="18" t="str">
        <x:v>🟡 Verified with Corrections 🟠 Author Contact Needed</x:v>
      </x:c>
      <x:c r="F23" s="18" t="str">
        <x:v>REFERENCE ONLY — not authoritative unless source-confirmed</x:v>
      </x:c>
    </x:row>
    <x:row r="24">
      <x:c r="A24" s="18" t="str">
        <x:v>Tu 2024</x:v>
      </x:c>
      <x:c r="B24" s="18" t="str">
        <x:v>Tu 2023</x:v>
      </x:c>
      <x:c r="C24" s="18" t="str">
        <x:v>**Postoperative pain intensity at 6–24h (PRIMARY)**: TEAS (n=57) median 2 (IQR 0.5 to 3) [Wan mean 1.83 ± 1.85] vs Sham TEAS (n=58) median 4 (IQR 3 to 4) [Wa...</x:v>
      </x:c>
      <x:c r="D24" s="18" t="str">
        <x:v>Opioid: `20.4±4.8 vs 33.1±7.0` 🚨 **[FABRICATED BOILERPLATE]**&lt;br&gt;Pain: `2.4±0.8 vs 3.8±1.1` 🚨 **[FABRICATED]**&lt;br&gt;PONV: `5/30 vs 12/30` 🚨 **[FABRICATED]**</x:v>
      </x:c>
      <x:c r="E24" s="18" t="str">
        <x:v>🟡 Verified with Corrections 🟠 Author Contact Needed</x:v>
      </x:c>
      <x:c r="F24" s="18" t="str">
        <x:v>REFERENCE ONLY — not authoritative unless source-confirmed</x:v>
      </x:c>
    </x:row>
    <x:row r="25">
      <x:c r="A25" s="18" t="str">
        <x:v>Sun 2017</x:v>
      </x:c>
      <x:c r="B25" s="18" t="str">
        <x:v>Sun 2017</x:v>
      </x:c>
      <x:c r="C25" s="18" t="str">
        <x:v>**Pain intensity on movement 24h (PRIMARY)**: Group TST (n=89) median 3.0 (IQR 3.0 to 4.0) [Wan mean 3.33 ± 0.74] vs Group SSS (n=90) median 4.0 (IQR 3.8 to ...</x:v>
      </x:c>
      <x:c r="D25" s="18" t="str">
        <x:v>Opioid: `1.5±0.4 vs 1.5±0.4`&lt;br&gt;Pain: `2.4±0.8 vs 3.8±1.1` 🚨 **[FABRICATED]**&lt;br&gt;PONV: `5/30 vs 12/30` 🚨 **[FABRICATED]**</x:v>
      </x:c>
      <x:c r="E25" s="18" t="str">
        <x:v>🟡 Verified with Corrections 🟠 Author Contact Needed</x:v>
      </x:c>
      <x:c r="F25" s="18" t="str">
        <x:v>REFERENCE ONLY — not authoritative unless source-confirmed</x:v>
      </x:c>
    </x:row>
    <x:row r="26">
      <x:c r="A26" s="18" t="str">
        <x:v>Sim 2002</x:v>
      </x:c>
      <x:c r="B26" s="18" t="str">
        <x:v>Sim 2002</x:v>
      </x:c>
      <x:c r="C26" s="18" t="str">
        <x:v>**Cumulative 24h postoperative PCA morphine consumption (PRIMARY)**: Group II Preop EA (n=30) 0.52 ± 0.19 mg/kg (31.20 ± 11.40 mg) vs Group I Placebo EA (n=3...</x:v>
      </x:c>
      <x:c r="D26" s="18" t="str">
        <x:v>Opioid: `0.52±0.19 vs 0.68±0.38`&lt;br&gt;Pain: `2.4±0.8 vs 3.8±1.1` 🚨 **[FABRICATED]**&lt;br&gt;PONV: `5/30 vs 12/30` 🚨 **[FABRICATED]**</x:v>
      </x:c>
      <x:c r="E26" s="18" t="str">
        <x:v>🟡 Verified with Corrections 🟠 Author Contact Needed</x:v>
      </x:c>
      <x:c r="F26" s="18" t="str">
        <x:v>REFERENCE ONLY — not authoritative unless source-confirmed</x:v>
      </x:c>
    </x:row>
    <x:row r="27">
      <x:c r="A27" s="18" t="str">
        <x:v>Seevaunnamtum 2016</x:v>
      </x:c>
      <x:c r="B27" s="18" t="str">
        <x:v>PraveenaSeevaunnamtum 2016</x:v>
      </x:c>
      <x:c r="C27" s="18" t="str">
        <x:v>**Cumulative 24h postoperative PCA morphine consumption (mg) (PRIMARY)**: EA Group (n=32) 21.38 ± 14.38 vs Control Group (n=32) 33.94 ± 20.24 (P = 0.006*) [M...</x:v>
      </x:c>
      <x:c r="D27" s="18" t="str">
        <x:v>Opioid: `20.4±4.8 vs 33.1±7.0` 🚨 **[FABRICATED BOILERPLATE]**&lt;br&gt;Pain: `2.4±0.8 vs 3.8±1.1` 🚨 **[FABRICATED]**&lt;br&gt;PONV: `5/30 vs 12/30` 🚨 **[FABRICATED]**</x:v>
      </x:c>
      <x:c r="E27" s="18" t="str">
        <x:v>🟡 Verified with Corrections 🟠 Author Contact Needed</x:v>
      </x:c>
      <x:c r="F27" s="18" t="str">
        <x:v>REFERENCE ONLY — not authoritative unless source-confirmed</x:v>
      </x:c>
    </x:row>
    <x:row r="28">
      <x:c r="A28" s="18" t="str">
        <x:v>Pan 2023</x:v>
      </x:c>
      <x:c r="B28" s="18" t="str">
        <x:v>Pan 2023</x:v>
      </x:c>
      <x:c r="C28" s="18" t="str">
        <x:v>**Pain intensity on movement 24h (PRIMARY)**: Group T (TEAS, n=52) median 2 (IQR 2, 3) [Wan mean 2.33 ± 0.74] vs Group C (Control, n=53) median 3 (IQR 3, 4) ...</x:v>
      </x:c>
      <x:c r="D28" s="18" t="str">
        <x:v>Opioid: `20.4±4.8 vs 33.1±7.0` 🚨 **[FABRICATED BOILERPLATE]**&lt;br&gt;Pain: `2.4±0.8 vs 3.8±1.1` 🚨 **[FABRICATED]**&lt;br&gt;PONV: `5/30 vs 12/30` 🚨 **[FABRICATED]**</x:v>
      </x:c>
      <x:c r="E28" s="18" t="str">
        <x:v>🟡 Verified with Corrections 🟠 Author Contact Needed</x:v>
      </x:c>
      <x:c r="F28" s="18" t="str">
        <x:v>REFERENCE ONLY — not authoritative unless source-confirmed</x:v>
      </x:c>
    </x:row>
    <x:row r="29">
      <x:c r="A29" s="18" t="str">
        <x:v>Ntritsou 2014</x:v>
      </x:c>
      <x:c r="B29" s="18" t="str">
        <x:v>Ntritsou 2014</x:v>
      </x:c>
      <x:c r="C29" s="18" t="str">
        <x:v>**Cumulative 24h postoperative tramadol consumption (mg) (PRIMARY)**: EA group (n=35) 443.7 ± 67.4 vs Sham group (n=35) 461.5 ± 63.2 (P = 0.257) [MD -17.80 m...</x:v>
      </x:c>
      <x:c r="D29" s="18" t="str">
        <x:v>Opioid: `443.7±67.4 vs 461.5±63.2`&lt;br&gt;Pain: `2.4±0.8 vs 3.8±1.1` 🚨 **[FABRICATED]**&lt;br&gt;PONV: `5/30 vs 12/30` 🚨 **[FABRICATED]**</x:v>
      </x:c>
      <x:c r="E29" s="18" t="str">
        <x:v>🟡 Verified with Corrections 🟠 Author Contact Needed</x:v>
      </x:c>
      <x:c r="F29" s="18" t="str">
        <x:v>REFERENCE ONLY — not authoritative unless source-confirmed</x:v>
      </x:c>
    </x:row>
    <x:row r="30">
      <x:c r="A30" s="18" t="str">
        <x:v>Ng 2013</x:v>
      </x:c>
      <x:c r="B30" s="18" t="str">
        <x:v>Ng 2012 / 2013</x:v>
      </x:c>
      <x:c r="C30" s="18" t="str">
        <x:v>**Pain intensity Day 1 (~24h point assessment) (PRIMARY)**: EA group (n=55) 5.6 ± 2.0 vs Sham group (n=55) 5.8 ± 1.9 vs Usual care (n=55) 5.5 ± 2.3 (P = 0.65...</x:v>
      </x:c>
      <x:c r="D30" s="18" t="str">
        <x:v>Opioid: `2.7±2.3 vs 5.2±4.7`&lt;br&gt;Pain: `2.4±0.8 vs 3.8±1.1` 🚨 **[FABRICATED]**&lt;br&gt;PONV: `5/30 vs 12/30` 🚨 **[FABRICATED]**</x:v>
      </x:c>
      <x:c r="E30" s="18" t="str">
        <x:v>🟡 Verified with Corrections 🟠 Author Contact Needed</x:v>
      </x:c>
      <x:c r="F30" s="18" t="str">
        <x:v>REFERENCE ONLY — not authoritative unless source-confirmed</x:v>
      </x:c>
    </x:row>
    <x:row r="31">
      <x:c r="A31" s="18" t="str">
        <x:v>Ma 2026</x:v>
      </x:c>
      <x:c r="B31" s="18" t="str">
        <x:v>Ma 2026</x:v>
      </x:c>
      <x:c r="C31" s="18" t="str">
        <x:v>**Resting NRS pain 24h (PRIMARY)**: Group T (TEAS, n=17) 1.76 ± 0.67 vs Group S (Control, n=16) 2.64 ± 0.72 (P &lt; 0.05) [MD -0.88, 95% CI -1.36 to -0.40]. **R...</x:v>
      </x:c>
      <x:c r="D31" s="18" t="str">
        <x:v>Opioid: `20.4±4.8 vs 33.1±7.0` 🚨 **[FABRICATED BOILERPLATE]**&lt;br&gt;Pain: `2.4±0.8 vs 3.8±1.1` 🚨 **[FABRICATED]**&lt;br&gt;PONV: `5/30 vs 12/30` 🚨 **[FABRICATED]**</x:v>
      </x:c>
      <x:c r="E31" s="18" t="str">
        <x:v>🟡 Verified with Corrections 🟠 Author Contact Needed</x:v>
      </x:c>
      <x:c r="F31" s="18" t="str">
        <x:v>REFERENCE ONLY — not authoritative unless source-confirmed</x:v>
      </x:c>
    </x:row>
    <x:row r="32">
      <x:c r="A32" s="18" t="str">
        <x:v>Lu 2021</x:v>
      </x:c>
      <x:c r="B32" s="18" t="str">
        <x:v>Lu 2021</x:v>
      </x:c>
      <x:c r="C32" s="18" t="str">
        <x:v>**Resting NRS pain 24h (PRIMARY)**: Combined TEAS (n=190) median 1.0 (IQR 0, 1.0) [Wan mean 1.0 ± 0.7] vs Single TEAS (n=198) median 0.9 (IQR 0, 1.3) [Wan me...</x:v>
      </x:c>
      <x:c r="D32" s="18" t="str">
        <x:v>Opioid: `20.4±4.8 vs 33.1±7.0` 🚨 **[FABRICATED BOILERPLATE]**&lt;br&gt;Pain: `2.4±0.8 vs 3.8±1.1` 🚨 **[FABRICATED]**&lt;br&gt;PONV: `5/30 vs 12/30` 🚨 **[FABRICATED]**</x:v>
      </x:c>
      <x:c r="E32" s="18" t="str">
        <x:v>🟡 Verified with Corrections 🟠 Author Contact Needed</x:v>
      </x:c>
      <x:c r="F32" s="18" t="str">
        <x:v>REFERENCE ONLY — not authoritative unless source-confirmed</x:v>
      </x:c>
    </x:row>
    <x:row r="33">
      <x:c r="A33" s="18" t="str">
        <x:v>Lu 2022</x:v>
      </x:c>
      <x:c r="B33" s="18" t="str">
        <x:v>Lu 2022</x:v>
      </x:c>
      <x:c r="C33" s="18" t="str">
        <x:v>**Resting VAS pain 24h (PRIMARY)**: TEAS group (n=47) median 2.2 (0.0, 10.0) [estimated mean 2.2 ± 2.5] vs Control group (n=47) median 1.2 (0.0, 8.1) [estima...</x:v>
      </x:c>
      <x:c r="D33" s="18" t="str">
        <x:v>Opioid: `20.4±4.8 vs 33.1±7.0` 🚨 **[FABRICATED BOILERPLATE]**&lt;br&gt;Pain: `2.4±0.8 vs 3.8±1.1` 🚨 **[FABRICATED]**&lt;br&gt;PONV: `5/30 vs 12/30` 🚨 **[FABRICATED]**</x:v>
      </x:c>
      <x:c r="E33" s="18" t="str">
        <x:v>🟡 Verified with Corrections 🟠 Author Contact Needed</x:v>
      </x:c>
      <x:c r="F33" s="18" t="str">
        <x:v>REFERENCE ONLY — not authoritative unless source-confirmed</x:v>
      </x:c>
    </x:row>
    <x:row r="34">
      <x:c r="A34" s="18" t="str">
        <x:v>Luo 2026</x:v>
      </x:c>
      <x:c r="B34" s="18" t="str">
        <x:v>Luo 2026</x:v>
      </x:c>
      <x:c r="C34" s="18" t="str">
        <x:v>**Postoperative pain NRS 24h (PRIMARY)**: TEAS group (n=138) 1.30 ± 0.92 vs Sham TEAS group (n=139) 1.65 ± 0.95 (P &lt; 0.01) [MD -0.35, 95% CI -0.57 to -0.13]....</x:v>
      </x:c>
      <x:c r="D34" s="18" t="str">
        <x:v>Opioid: `20.4±4.8 vs 33.1±7.0` 🚨 **[FABRICATED BOILERPLATE]**&lt;br&gt;Pain: `2.4±0.8 vs 3.8±1.1` 🚨 **[FABRICATED]**&lt;br&gt;PONV: `5/30 vs 12/30` 🚨 **[FABRICATED]**</x:v>
      </x:c>
      <x:c r="E34" s="18" t="str">
        <x:v>🟡 Verified with Corrections 🟠 Author Contact Needed</x:v>
      </x:c>
      <x:c r="F34" s="18" t="str">
        <x:v>REFERENCE ONLY — not authoritative unless source-confirmed</x:v>
      </x:c>
    </x:row>
    <x:row r="35">
      <x:c r="A35" s="18" t="str">
        <x:v>Long 2025</x:v>
      </x:c>
      <x:c r="B35" s="18" t="str">
        <x:v>Long 2025</x:v>
      </x:c>
      <x:c r="C35" s="18" t="str">
        <x:v>**Resting VAS pain 24h (PRIMARY)**: Group A (EA, n=27) 2.78 ± 0.97 vs Group C (Sham, n=26) 3.96 ± 0.96 (P &lt; 0.001) [MD -1.18, 95% CI -1.70 to -0.66]. **Resti...</x:v>
      </x:c>
      <x:c r="D35" s="18" t="str">
        <x:v>Opioid: `20.4±4.8 vs 33.1±7.0` 🚨 **[FABRICATED BOILERPLATE]**&lt;br&gt;Pain: `2.4±0.8 vs 3.8±1.1` 🚨 **[FABRICATED]**&lt;br&gt;PONV: `5/30 vs 12/30` 🚨 **[FABRICATED]**</x:v>
      </x:c>
      <x:c r="E35" s="18" t="str">
        <x:v>🟡 Verified with Corrections 🟠 Author Contact Needed</x:v>
      </x:c>
      <x:c r="F35" s="18" t="str">
        <x:v>REFERENCE ONLY — not authoritative unless source-confirmed</x:v>
      </x:c>
    </x:row>
    <x:row r="36">
      <x:c r="A36" s="18" t="str">
        <x:v>Li 2021</x:v>
      </x:c>
      <x:c r="B36" s="18" t="str">
        <x:v>Li 2021</x:v>
      </x:c>
      <x:c r="C36" s="18" t="str">
        <x:v>**Length of hospital stay (days)**: TEAS group (n=140) 6.2 ± 3.3 vs Sham TEAS group (n=140) 8.1 ± 3.6 (P &lt; 0.01) [MD -1.90, 95% CI -2.71 to -1.09]. **Postope...</x:v>
      </x:c>
      <x:c r="D36" s="18" t="str">
        <x:v>Opioid: `20.4±4.8 vs 33.1±7.0` 🚨 **[FABRICATED BOILERPLATE]**&lt;br&gt;Pain: `2.4±0.8 vs 3.8±1.1` 🚨 **[FABRICATED]**&lt;br&gt;PONV: `5/30 vs 12/30` 🚨 **[FABRICATED]**</x:v>
      </x:c>
      <x:c r="E36" s="18" t="str">
        <x:v>🟡 Verified with Corrections 🟠 Author Contact Needed</x:v>
      </x:c>
      <x:c r="F36" s="18" t="str">
        <x:v>REFERENCE ONLY — not authoritative unless source-confirmed</x:v>
      </x:c>
    </x:row>
    <x:row r="37">
      <x:c r="A37" s="18" t="str">
        <x:v>Liu 2026 (ESD)</x:v>
      </x:c>
      <x:c r="B37" s="18" t="str">
        <x:v>Liu 2025</x:v>
      </x:c>
      <x:c r="C37" s="18" t="str">
        <x:v>**Resting pain NRS 24h (PRIMARY)**: TEAS group (n=58) 1.2 ± 1.3 vs Sham TEAS group (n=62) 2.8 ± 1.9 (P &lt; 0.01) [MD -1.60, 95% CI -2.18 to -1.02]. **Resting p...</x:v>
      </x:c>
      <x:c r="D37" s="18" t="str">
        <x:v>Opioid: `20.4±4.8 vs 33.1±7.0` 🚨 **[FABRICATED BOILERPLATE]**&lt;br&gt;Pain: `2.4±0.8 vs 3.8±1.1` 🚨 **[FABRICATED]**&lt;br&gt;PONV: `5/30 vs 12/30` 🚨 **[FABRICATED]**</x:v>
      </x:c>
      <x:c r="E37" s="18" t="str">
        <x:v>🟡 Verified with Corrections 🟠 Author Contact Needed</x:v>
      </x:c>
      <x:c r="F37" s="18" t="str">
        <x:v>REFERENCE ONLY — not authoritative unless source-confirmed</x:v>
      </x:c>
    </x:row>
    <x:row r="38">
      <x:c r="A38" s="18" t="str">
        <x:v>Liu 2021</x:v>
      </x:c>
      <x:c r="B38" s="18" t="str">
        <x:v>Liu 2021</x:v>
      </x:c>
      <x:c r="C38" s="18" t="str">
        <x:v>**Resting VAS pain 24h (PRIMARY)**: TEAS group (n=50) 2.52 ± 0.505 vs Control group (n=50) 2.66 ± 0.626 (P = 0.221) [MD -0.14, 95% CI -0.36 to 0.08]. **Movem...</x:v>
      </x:c>
      <x:c r="D38" s="18" t="str">
        <x:v>Opioid: `20.4±4.8 vs 33.1±7.0` 🚨 **[FABRICATED BOILERPLATE]**&lt;br&gt;Pain: `2.4±0.8 vs 3.8±1.1` 🚨 **[FABRICATED]**&lt;br&gt;PONV: `5/30 vs 12/30` 🚨 **[FABRICATED]**</x:v>
      </x:c>
      <x:c r="E38" s="18" t="str">
        <x:v>🟡 Verified with Corrections 🟠 Author Contact Needed</x:v>
      </x:c>
      <x:c r="F38" s="18" t="str">
        <x:v>REFERENCE ONLY — not authoritative unless source-confirmed</x:v>
      </x:c>
    </x:row>
    <x:row r="39">
      <x:c r="A39" s="18" t="str">
        <x:v>Liu 2026 (burn)</x:v>
      </x:c>
      <x:c r="B39" s="18" t="str">
        <x:v>Liu 2026</x:v>
      </x:c>
      <x:c r="C39" s="18" t="str">
        <x:v>**Composite PONV 0-24h (PRIMARY)**: TEAS group (n=43) 7/43 (16.3%) vs Sham TEAS group (n=43) 16/43 (37.2%) (P = 0.028) [RR 0.44, 95% CI 0.20 to 0.96]. **Part...</x:v>
      </x:c>
      <x:c r="D39" s="18" t="str">
        <x:v>Opioid: `20.4±4.8 vs 33.1±7.0` 🚨 **[FABRICATED BOILERPLATE]**&lt;br&gt;Pain: `2.4±0.8 vs 3.8±1.1` 🚨 **[FABRICATED]**&lt;br&gt;PONV: `5/30 vs 12/30` 🚨 **[FABRICATED]**</x:v>
      </x:c>
      <x:c r="E39" s="18" t="str">
        <x:v>🟡 Verified with Corrections 🟠 Author Contact Needed</x:v>
      </x:c>
      <x:c r="F39" s="18" t="str">
        <x:v>REFERENCE ONLY — not authoritative unless source-confirmed</x:v>
      </x:c>
    </x:row>
    <x:row r="40">
      <x:c r="A40" s="18" t="str">
        <x:v>Liu 2025</x:v>
      </x:c>
      <x:c r="B40" s="18" t="str">
        <x:v>Liu 2025</x:v>
      </x:c>
      <x:c r="C40" s="18" t="str">
        <x:v>**Pain VAS 24h (PRIMARY)**: Depicted graphically in Figure 2 (~2.0/10 in both groups, requires author contact for numeric mean ± SD). **Intraop remifentanil ...</x:v>
      </x:c>
      <x:c r="D40" s="18" t="str">
        <x:v>Opioid: `20.4±4.8 vs 33.1±7.0` 🚨 **[FABRICATED BOILERPLATE]**&lt;br&gt;Pain: `2.4±0.8 vs 3.8±1.1` 🚨 **[FABRICATED]**&lt;br&gt;PONV: `5/30 vs 12/30` 🚨 **[FABRICATED]**</x:v>
      </x:c>
      <x:c r="E40" s="18" t="str">
        <x:v>🟡 Verified with Corrections 🟠 Author Contact Needed</x:v>
      </x:c>
      <x:c r="F40" s="18" t="str">
        <x:v>REFERENCE ONLY — not authoritative unless source-confirmed</x:v>
      </x:c>
    </x:row>
    <x:row r="41">
      <x:c r="A41" s="18" t="str">
        <x:v>Li 2022</x:v>
      </x:c>
      <x:c r="B41" s="18" t="str">
        <x:v>Li 2022</x:v>
      </x:c>
      <x:c r="C41" s="18" t="str">
        <x:v>**Pain NRS 24h (PRIMARY)**: EA group (n=39) median 1.5 (1.0-3.0) vs Sham EA group (n=40) median 1.6 (1.0-3.0) (P = 0.223) (requires author contact for parame...</x:v>
      </x:c>
      <x:c r="D41" s="18" t="str">
        <x:v>Opioid: `20.4±4.8 vs 33.1±7.0` 🚨 **[FABRICATED BOILERPLATE]**&lt;br&gt;Pain: `2.4±0.8 vs 3.8±1.1` 🚨 **[FABRICATED]**&lt;br&gt;PONV: `5/30 vs 12/30` 🚨 **[FABRICATED]**</x:v>
      </x:c>
      <x:c r="E41" s="18" t="str">
        <x:v>🟡 Verified with Corrections 🟠 Author Contact Needed</x:v>
      </x:c>
      <x:c r="F41" s="18" t="str">
        <x:v>REFERENCE ONLY — not authoritative unless source-confirmed</x:v>
      </x:c>
    </x:row>
    <x:row r="42">
      <x:c r="A42" s="18" t="str">
        <x:v>Lin 2002</x:v>
      </x:c>
      <x:c r="B42" s="18" t="str">
        <x:v>Lin 2002</x:v>
      </x:c>
      <x:c r="C42" s="18" t="str">
        <x:v>**Cumulative 24h PCA morphine (mg) (PRIMARY)**: High-EA 100 Hz (Group IV, n=25) 15.0 ± 10.7 mg vs Sham-EA (Group II, n=25) 30.2 ± 14.4 mg vs Control (Group I...</x:v>
      </x:c>
      <x:c r="D42" s="18" t="str">
        <x:v>Opioid: `38.1±16.0 vs 30.2±14.4`&lt;br&gt;Pain: `2.4±0.8 vs 3.8±1.1` 🚨 **[FABRICATED]**&lt;br&gt;PONV: `5/30 vs 12/30` 🚨 **[FABRICATED]**</x:v>
      </x:c>
      <x:c r="E42" s="18" t="str">
        <x:v>🟡 Verified with Corrections 🟠 Author Contact Needed</x:v>
      </x:c>
      <x:c r="F42" s="18" t="str">
        <x:v>REFERENCE ONLY — not authoritative unless source-confirmed</x:v>
      </x:c>
    </x:row>
    <x:row r="43">
      <x:c r="A43" s="18" t="str">
        <x:v>Liang 2021</x:v>
      </x:c>
      <x:c r="B43" s="18" t="str">
        <x:v>Liang 2021</x:v>
      </x:c>
      <x:c r="C43" s="18" t="str">
        <x:v>**QoR-40 at 24h (PRIMARY)**: TEAS group (n=35) 191.7 ± 4.4 vs Control group (n=35) 189.1 ± 4.3 (P = 0.007) [MD 2.6, 95% CI 0.6 to 4.6]. **QoR-40 at 48h**: TE...</x:v>
      </x:c>
      <x:c r="D43" s="18" t="str">
        <x:v>Opioid: `20.4±4.8 vs 33.1±7.0` 🚨 **[FABRICATED BOILERPLATE]**&lt;br&gt;Pain: `2.4±0.8 vs 3.8±1.1` 🚨 **[FABRICATED]**&lt;br&gt;PONV: `5/30 vs 12/30` 🚨 **[FABRICATED]**</x:v>
      </x:c>
      <x:c r="E43" s="18" t="str">
        <x:v>🟡 Verified with Corrections 🟠 Author Contact Needed</x:v>
      </x:c>
      <x:c r="F43" s="18" t="str">
        <x:v>REFERENCE ONLY — not authoritative unless source-confirmed</x:v>
      </x:c>
    </x:row>
    <x:row r="44">
      <x:c r="A44" s="18" t="str">
        <x:v>Lee 2011</x:v>
      </x:c>
      <x:c r="B44" s="18" t="str">
        <x:v>Lee 2011</x:v>
      </x:c>
      <x:c r="C44" s="18" t="str">
        <x:v>**Cumulative 24h PCA morphine (mg) (PRIMARY)**: Dense-sparse TEAS (Group 4, n=10) 29.29 ± 8.89 mg vs Sham TEAS (Group 2, n=12) 34.20 ± 6.40 mg vs Control (Gr...</x:v>
      </x:c>
      <x:c r="D44" s="18" t="str">
        <x:v>Opioid: `38.63±11.08 vs 34.20±6.40`&lt;br&gt;Pain: `2.4±0.8 vs 3.8±1.1` 🚨 **[FABRICATED]**&lt;br&gt;PONV: `5/30 vs 12/30` 🚨 **[FABRICATED]**</x:v>
      </x:c>
      <x:c r="E44" s="18" t="str">
        <x:v>🟡 Verified with Corrections</x:v>
      </x:c>
      <x:c r="F44" s="18" t="str">
        <x:v>REFERENCE ONLY — not authoritative unless source-confirmed</x:v>
      </x:c>
    </x:row>
    <x:row r="45">
      <x:c r="A45" s="18" t="str">
        <x:v>Jin 2023</x:v>
      </x:c>
      <x:c r="B45" s="18" t="str">
        <x:v>Jin 2022</x:v>
      </x:c>
      <x:c r="C45" s="18" t="str">
        <x:v>**Cumulative 24h PCIA fentanyl volume (mL) (PRIMARY)**: 2-Hz EA (n=53) 39.31 ± 15.58 mL vs 20/100-Hz EA (n=53) 45.72 ± 16.92 mL vs Sham EA (n=52) 56.54 ± 12....</x:v>
      </x:c>
      <x:c r="D45" s="18" t="str">
        <x:v>Opioid: `20.4±4.8 vs 33.1±7.0` 🚨 **[FABRICATED BOILERPLATE]**&lt;br&gt;Pain: `2.4±0.8 vs 3.8±1.1` 🚨 **[FABRICATED]**&lt;br&gt;PONV: `5/30 vs 12/30` 🚨 **[FABRICATED]**</x:v>
      </x:c>
      <x:c r="E45" s="18" t="str">
        <x:v>🟡 Verified with Corrections 🟠 Author Contact Needed</x:v>
      </x:c>
      <x:c r="F45" s="18" t="str">
        <x:v>REFERENCE ONLY — not authoritative unless source-confirmed</x:v>
      </x:c>
    </x:row>
    <x:row r="46">
      <x:c r="A46" s="18" t="str">
        <x:v>Jiang 2026</x:v>
      </x:c>
      <x:c r="B46" s="18" t="str">
        <x:v>Jiang 2026</x:v>
      </x:c>
      <x:c r="C46" s="18" t="str">
        <x:v>**24h PONV incidence (PRIMARY)**: TEAS group (n=294) 44/294 (15.0%) vs Sham-TEAS group (n=293) 67/293 (22.9%) (P = 0.015) [RR 0.59, 95% CI 0.39 to 0.90]. **T...</x:v>
      </x:c>
      <x:c r="D46" s="18" t="str">
        <x:v>Opioid: `20.4±4.8 vs 33.1±7.0` 🚨 **[FABRICATED BOILERPLATE]**&lt;br&gt;Pain: `2.4±0.8 vs 3.8±1.1` 🚨 **[FABRICATED]**&lt;br&gt;PONV: `5/30 vs 12/30` 🚨 **[FABRICATED]**</x:v>
      </x:c>
      <x:c r="E46" s="18" t="str">
        <x:v>🟡 Verified with Corrections 🟠 Author Contact Needed</x:v>
      </x:c>
      <x:c r="F46" s="18" t="str">
        <x:v>REFERENCE ONLY — not authoritative unless source-confirmed</x:v>
      </x:c>
    </x:row>
    <x:row r="47">
      <x:c r="A47" s="18" t="str">
        <x:v>Huang 2025</x:v>
      </x:c>
      <x:c r="B47" s="18" t="str">
        <x:v>Huang 2025</x:v>
      </x:c>
      <x:c r="C47" s="18" t="str">
        <x:v>**Time to first flatus (hours) (PRIMARY)**: EA group (n=43) 36.4 ± 8.0 vs Standard care group (n=45) 42.2 ± 8.5 (P &lt; 0.001) [MD -5.8 h, HR 1.9, 95% CI 1.2 to...</x:v>
      </x:c>
      <x:c r="D47" s="18" t="str">
        <x:v>Opioid: `20.4±4.8 vs 33.1±7.0` 🚨 **[FABRICATED BOILERPLATE]**&lt;br&gt;Pain: `2.4±0.8 vs 3.8±1.1` 🚨 **[FABRICATED]**&lt;br&gt;PONV: `5/30 vs 12/30` 🚨 **[FABRICATED]**</x:v>
      </x:c>
      <x:c r="E47" s="18" t="str">
        <x:v>🟡 Verified with Corrections 🟠 Author Contact Needed</x:v>
      </x:c>
      <x:c r="F47" s="18" t="str">
        <x:v>REFERENCE ONLY — not authoritative unless source-confirmed</x:v>
      </x:c>
    </x:row>
    <x:row r="48">
      <x:c r="A48" s="18" t="str">
        <x:v>Huang 2017</x:v>
      </x:c>
      <x:c r="B48" s="18" t="str">
        <x:v>Huang 2017</x:v>
      </x:c>
      <x:c r="C48" s="18" t="str">
        <x:v>**Intraop remifentanil (PRIMARY)**: Control (n=20) 0.1617 ± 0.037 µg/kg/min vs 2/100 Hz TEAS (n=20) 0.1128 ± 0.034 µg/kg/min (P &lt;= 0.001) [MD -0.0489]. **PAC...</x:v>
      </x:c>
      <x:c r="D48" s="18" t="str">
        <x:v>Opioid: `1.32±0.48 vs 1.67±0.59`&lt;br&gt;Pain: `2.4±0.8 vs 3.8±1.1` 🚨 **[FABRICATED]**&lt;br&gt;PONV: `5/30 vs 12/30` 🚨 **[FABRICATED]**</x:v>
      </x:c>
      <x:c r="E48" s="18" t="str">
        <x:v>🟡 Verified with Corrections 🟠 Author Contact Needed</x:v>
      </x:c>
      <x:c r="F48" s="18" t="str">
        <x:v>REFERENCE ONLY — not authoritative unless source-confirmed</x:v>
      </x:c>
    </x:row>
    <x:row r="49">
      <x:c r="A49" s="18" t="str">
        <x:v>Huang 2024</x:v>
      </x:c>
      <x:c r="B49" s="18" t="str">
        <x:v>Huang 2023</x:v>
      </x:c>
      <x:c r="C49" s="18" t="str">
        <x:v>**Pain VAS 24h movement (PRIMARY)**: Contralateral EA (n=38) 53.16 ± 9.99 vs Ipsilateral EA (n=38) 53.50 ± 10.79 vs Sham EA (n=38) 56.71 ± 9.84 (0-100 scale)...</x:v>
      </x:c>
      <x:c r="D49" s="18" t="str">
        <x:v>Opioid: `20.4±4.8 vs 33.1±7.0` 🚨 **[FABRICATED BOILERPLATE]**&lt;br&gt;Pain: `2.4±0.8 vs 3.8±1.1` 🚨 **[FABRICATED]**&lt;br&gt;PONV: `5/30 vs 12/30` 🚨 **[FABRICATED]**</x:v>
      </x:c>
      <x:c r="E49" s="18" t="str">
        <x:v>🟡 Verified with Corrections 🟠 Author Contact Needed</x:v>
      </x:c>
      <x:c r="F49" s="18" t="str">
        <x:v>REFERENCE ONLY — not authoritative unless source-confirmed</x:v>
      </x:c>
    </x:row>
    <x:row r="50">
      <x:c r="A50" s="18" t="str">
        <x:v>Hou 2023</x:v>
      </x:c>
      <x:c r="B50" s="18" t="str">
        <x:v>Hou 2023</x:v>
      </x:c>
      <x:c r="C50" s="18" t="str">
        <x:v>**PONV 0-24h (PRIMARY)**: TEAS group (n=36) 4/36 (11.1%) vs Sham TEAS group (n=36) 12/36 (33.3%) (P = 0.023) [RR 0.33, 95% CI 0.12 to 0.92]. **Participants r...</x:v>
      </x:c>
      <x:c r="D50" s="18" t="str">
        <x:v>Opioid: `20.4±4.8 vs 33.1±7.0` 🚨 **[FABRICATED BOILERPLATE]**&lt;br&gt;Pain: `2.4±0.8 vs 3.8±1.1` 🚨 **[FABRICATED]**&lt;br&gt;PONV: `5/30 vs 12/30` 🚨 **[FABRICATED]**</x:v>
      </x:c>
      <x:c r="E50" s="18" t="str">
        <x:v>🟡 Verified with Corrections 🟠 Author Contact Needed</x:v>
      </x:c>
      <x:c r="F50" s="18" t="str">
        <x:v>REFERENCE ONLY — not authoritative unless source-confirmed</x:v>
      </x:c>
    </x:row>
    <x:row r="51">
      <x:c r="A51" s="18" t="str">
        <x:v>He 2026 (hepatectomy/JIS)</x:v>
      </x:c>
      <x:c r="B51" s="18" t="str">
        <x:v>He 2026 (Hepatectomy)</x:v>
      </x:c>
      <x:c r="C51" s="18" t="str">
        <x:v>**Opioid 0-24h (PRIMARY)**: TEAS group (n=80) 20.0 ± 2.5 mg IV MME vs Control group (n=79) 20.6 ± 4.5 mg IV MME (P = 0.30) [MD -0.6 mg, 95% CI -1.7 to 0.5]. ...</x:v>
      </x:c>
      <x:c r="D51" s="18" t="str">
        <x:v>Opioid: `20.4±4.8 vs 33.1±7.0` 🚨 **[FABRICATED BOILERPLATE]**&lt;br&gt;Pain: `2.4±0.8 vs 3.8±1.1` 🚨 **[FABRICATED]**&lt;br&gt;PONV: `5/30 vs 12/30` 🚨 **[FABRICATED]**</x:v>
      </x:c>
      <x:c r="E51" s="18" t="str">
        <x:v>🟡 Verified with Corrections</x:v>
      </x:c>
      <x:c r="F51" s="18" t="str">
        <x:v>REFERENCE ONLY — not authoritative unless source-confirmed</x:v>
      </x:c>
    </x:row>
    <x:row r="52">
      <x:c r="A52" s="18" t="str">
        <x:v>He 2026 (breast/WJCO)</x:v>
      </x:c>
      <x:c r="B52" s="18" t="str">
        <x:v>He 2026</x:v>
      </x:c>
      <x:c r="C52" s="18" t="str">
        <x:v>**Pain VAS 24h at rest (PRIMARY)**: EA group (n=65) 1.789 ± 0.174 vs Control group (n=65) 2.692 ± 0.174 (P &lt; 0.01) [MD -0.903]. **Pain VAS 24h during movemen...</x:v>
      </x:c>
      <x:c r="D52" s="18" t="str">
        <x:v>Opioid: `20.4±4.8 vs 33.1±7.0` 🚨 **[FABRICATED BOILERPLATE]**&lt;br&gt;Pain: `2.4±0.8 vs 3.8±1.1` 🚨 **[FABRICATED]**&lt;br&gt;PONV: `5/30 vs 12/30` 🚨 **[FABRICATED]**</x:v>
      </x:c>
      <x:c r="E52" s="18" t="str">
        <x:v>🟡 Verified with Corrections 🟠 Author Contact Needed</x:v>
      </x:c>
      <x:c r="F52" s="18" t="str">
        <x:v>REFERENCE ONLY — not authoritative unless source-confirmed</x:v>
      </x:c>
    </x:row>
    <x:row r="53">
      <x:c r="A53" s="18" t="str">
        <x:v>Gu 2019</x:v>
      </x:c>
      <x:c r="B53" s="18" t="str">
        <x:v>Gu 2019</x:v>
      </x:c>
      <x:c r="C53" s="18" t="str">
        <x:v>**Pain VAS 24h at rest (PRIMARY)**: L-TEAS (n=58) 1.98 ± 0.39 vs C-TEAS (n=59) 2.72 ± 0.73 (P &lt; 0.05) [MD -0.74]. **PONV 0-24h (PRIMARY)**: L-TEAS 7/58 (12.1...</x:v>
      </x:c>
      <x:c r="D53" s="18" t="str">
        <x:v>Opioid: `10.02±2.26 vs 13.38±2.98`&lt;br&gt;Pain: `2.4±0.8 vs 3.8±1.1` 🚨 **[FABRICATED]**&lt;br&gt;PONV: `5/30 vs 12/30` 🚨 **[FABRICATED]**</x:v>
      </x:c>
      <x:c r="E53" s="18" t="str">
        <x:v>🟡 Verified with Corrections 🟠 Author Contact Needed</x:v>
      </x:c>
      <x:c r="F53" s="18" t="str">
        <x:v>REFERENCE ONLY — not authoritative unless source-confirmed</x:v>
      </x:c>
    </x:row>
    <x:row r="54">
      <x:c r="A54" s="18" t="str">
        <x:v>Guo 2023</x:v>
      </x:c>
      <x:c r="B54" s="18" t="str">
        <x:v>Guo 2023</x:v>
      </x:c>
      <x:c r="C54" s="18" t="str">
        <x:v>**Intraop remifentanil**: TEAS (n=55) 0.87 ± 0.30 mg vs Sham-TEAS (n=55) 1.01 ± 0.39 mg (P = 0.040). **Intraop sufentanil**: TEAS 29.42 ± 7.62 µg vs Sham-TEA...</x:v>
      </x:c>
      <x:c r="D54" s="18" t="str">
        <x:v>Opioid: `20.4±4.8 vs 33.1±7.0` 🚨 **[FABRICATED BOILERPLATE]**&lt;br&gt;Pain: `2.4±0.8 vs 3.8±1.1` 🚨 **[FABRICATED]**&lt;br&gt;PONV: `5/30 vs 12/30` 🚨 **[FABRICATED]**</x:v>
      </x:c>
      <x:c r="E54" s="18" t="str">
        <x:v>🟡 Verified with Corrections 🟠 Author Contact Needed</x:v>
      </x:c>
      <x:c r="F54" s="18" t="str">
        <x:v>REFERENCE ONLY — not authoritative unless source-confirmed</x:v>
      </x:c>
    </x:row>
    <x:row r="55">
      <x:c r="A55" s="18" t="str">
        <x:v>Grech 2016</x:v>
      </x:c>
      <x:c r="B55" s="18" t="str">
        <x:v>Grech 2016</x:v>
      </x:c>
      <x:c r="C55" s="18" t="str">
        <x:v>**Opioid 0-24h (PRIMARY)**: Measured-not-reported numerically in text/tables (graph-only in Fig 1, converted to missing_data: true, N=10 EA vs N=9 Control). ...</x:v>
      </x:c>
      <x:c r="D55" s="18" t="str">
        <x:v>Opioid: `48.15±2.45 vs 48.15±10.96` 🚨 **[AGE TRANSPOSED TO OPIOID]**&lt;br&gt;Pain: `2.4±0.8 vs 3.8±1.1` 🚨 **[FABRICATED]**&lt;br&gt;PONV: `5/30 vs 12/30` 🚨 **[FABRICATED]**</x:v>
      </x:c>
      <x:c r="E55" s="18" t="str">
        <x:v>🟡 Verified with Corrections 🟠 Author Contact Needed</x:v>
      </x:c>
      <x:c r="F55" s="18" t="str">
        <x:v>REFERENCE ONLY — not authoritative unless source-confirmed</x:v>
      </x:c>
    </x:row>
    <x:row r="56">
      <x:c r="A56" s="18" t="str">
        <x:v>Gao 2021</x:v>
      </x:c>
      <x:c r="B56" s="18" t="str">
        <x:v>Gao 2021</x:v>
      </x:c>
      <x:c r="C56" s="18" t="str">
        <x:v>**Opioid 0-24h (PRIMARY)**: Measured-not-reported (requires author contact). **Intraop sufentanil**: TEAS (n=303) 30.0 µg (IQR 25.0-35.0) [mean ~30.00 ± 7.41...</x:v>
      </x:c>
      <x:c r="D56" s="18" t="str">
        <x:v>Opioid: `20.4±4.8 vs 33.1±7.0` 🚨 **[FABRICATED BOILERPLATE]**&lt;br&gt;Pain: `2.4±0.8 vs 3.8±1.1` 🚨 **[FABRICATED]**&lt;br&gt;PONV: `5/30 vs 12/30` 🚨 **[FABRICATED]**</x:v>
      </x:c>
      <x:c r="E56" s="18" t="str">
        <x:v>🟡 Verified with Corrections 🟠 Author Contact Needed</x:v>
      </x:c>
      <x:c r="F56" s="18" t="str">
        <x:v>REFERENCE ONLY — not authoritative unless source-confirmed</x:v>
      </x:c>
    </x:row>
    <x:row r="57">
      <x:c r="A57" s="18" t="str">
        <x:v>El-Rakshy 2009</x:v>
      </x:c>
      <x:c r="B57" s="18" t="str">
        <x:v>El-Rakshy 2009</x:v>
      </x:c>
      <x:c r="C57" s="18" t="str">
        <x:v>**Opioid 0-24h (PRIMARY)**: PCA + acupuncture EA (n=42) 35.3 ± 18.0 mg morphine vs PCA alone (n=53) 36.9 ± 18.0 mg morphine (P = 0.961). **Opioid 0-4h**: EA ...</x:v>
      </x:c>
      <x:c r="D57" s="18" t="str">
        <x:v>Opioid: `36.9±18.0 vs 35.3±18.0`&lt;br&gt;Pain: `2.4±0.8 vs 3.8±1.1` 🚨 **[FABRICATED]**&lt;br&gt;PONV: `5/30 vs 12/30` 🚨 **[FABRICATED]**</x:v>
      </x:c>
      <x:c r="E57" s="18" t="str">
        <x:v>🟡 Verified with Corrections 🟠 Author Contact Needed</x:v>
      </x:c>
      <x:c r="F57" s="18" t="str">
        <x:v>REFERENCE ONLY — not authoritative unless source-confirmed</x:v>
      </x:c>
    </x:row>
    <x:row r="58">
      <x:c r="A58" s="18" t="str">
        <x:v>Coura 2011</x:v>
      </x:c>
      <x:c r="B58" s="18" t="str">
        <x:v>Coura 2011</x:v>
      </x:c>
      <x:c r="C58" s="18" t="str">
        <x:v>**Opioid 0-24h (PRIMARY)**: Treatment EA (n=13) 13.1 ± 2.2 µg/kg fentanyl vs Control Sham (n=9) 16.3 ± 1.6 µg/kg fentanyl (P &lt; 0.002) [PCA bolus: 4.1 ± 2.0 v...</x:v>
      </x:c>
      <x:c r="D58" s="18" t="str">
        <x:v>Opioid: `13.1±2.2 vs 16.3±1.6`&lt;br&gt;Pain: `2.4±0.8 vs 3.8±1.1` 🚨 **[FABRICATED]**&lt;br&gt;PONV: `5/30 vs 12/30` 🚨 **[FABRICATED]**</x:v>
      </x:c>
      <x:c r="E58" s="18" t="str">
        <x:v>🟡 Verified with Corrections 🟠 Author Contact Needed</x:v>
      </x:c>
      <x:c r="F58" s="18" t="str">
        <x:v>REFERENCE ONLY — not authoritative unless source-confirmed</x:v>
      </x:c>
    </x:row>
    <x:row r="59">
      <x:c r="A59" s="18" t="str">
        <x:v>Chen 1998</x:v>
      </x:c>
      <x:c r="B59" s="18" t="str">
        <x:v>Chen 1998</x:v>
      </x:c>
      <x:c r="C59" s="18" t="str">
        <x:v>**Opioid 0-24h (PRIMARY)**: Group IV Acupoint TEAS (n=25) 6.5 ± 3.5 mg hydromorphone vs Group I Sham TEAS (n=25) 10.7 ± 5.0 mg (P &lt; 0.05) [OME: 130 mg vs 214...</x:v>
      </x:c>
      <x:c r="D59" s="18" t="str">
        <x:v>Opioid: `6.5±3.5 vs 10.7±5.0`&lt;br&gt;Pain: `2.4±0.8 vs 3.8±1.1` 🚨 **[FABRICATED]**&lt;br&gt;PONV: `5/30 vs 12/30` 🚨 **[FABRICATED]**</x:v>
      </x:c>
      <x:c r="E59" s="18" t="str">
        <x:v>🟡 Verified with Corrections 🟠 Author Contact Needed</x:v>
      </x:c>
      <x:c r="F59" s="18" t="str">
        <x:v>REFERENCE ONLY — not authoritative unless source-confirmed</x:v>
      </x:c>
    </x:row>
    <x:row r="60">
      <x:c r="A60" s="18" t="str">
        <x:v>Chen 2020</x:v>
      </x:c>
      <x:c r="B60" s="18" t="str">
        <x:v>Chen 2020</x:v>
      </x:c>
      <x:c r="C60" s="18" t="str">
        <x:v>**Opioid 0-24h (PRIMARY)**: TEAS (n=40) 72.43 ± 4.78 µg sufentanil vs Sham TEAS (n=40) 100.62 ± 10.20 µg (P &lt; 0.001) [MD -28.19 µg]. **Opioid 0-48h**: TEAS 1...</x:v>
      </x:c>
      <x:c r="D60" s="18" t="str">
        <x:v>Opioid: `72.43±4.78 vs 100.62±10.20`&lt;br&gt;Pain: `2.4±0.8 vs 3.8±1.1` 🚨 **[FABRICATED]**&lt;br&gt;PONV: `5/30 vs 12/30` 🚨 **[FABRICATED]**</x:v>
      </x:c>
      <x:c r="E60" s="18" t="str">
        <x:v>🟢 Verified</x:v>
      </x:c>
      <x:c r="F60" s="18" t="str">
        <x:v>REFERENCE ONLY — not authoritative unless source-confirmed</x:v>
      </x:c>
    </x:row>
    <x:row r="61">
      <x:c r="A61" s="18" t="str">
        <x:v>Ao 2021</x:v>
      </x:c>
      <x:c r="B61" s="18" t="str">
        <x:v>Ao 2021</x:v>
      </x:c>
      <x:c r="C61" s="18" t="str">
        <x:v>**Opioid 0-48h**: TEAS (n=32) 102.8 ± 7.4 ml vs Sham TEAS (n=33) 120.6 ± 9.2 ml (sufentanil 1.5 µg/kg in 150 ml NS). **Opioid 0-24h**: Measured-not-reported ...</x:v>
      </x:c>
      <x:c r="D61" s="18" t="str">
        <x:v>Opioid: `102.8±7.4 vs 120.6±9.2`&lt;br&gt;Pain: `2.4±0.8 vs 3.8±1.1` 🚨 **[FABRICATED]**&lt;br&gt;PONV: `5/30 vs 12/30` 🚨 **[FABRICATED]**</x:v>
      </x:c>
      <x:c r="E61" s="18" t="str">
        <x:v>🟡 Verified with Corrections 🟠 Author Contact Needed</x:v>
      </x:c>
      <x:c r="F61" s="18" t="str">
        <x:v>REFERENCE ONLY — not authoritative unless source-confirmed</x:v>
      </x:c>
    </x:row>
    <x:row r="62">
      <x:c r="A62" s="18" t="str">
        <x:v>An 2014</x:v>
      </x:c>
      <x:c r="B62" s="18" t="str">
        <x:v>An 2014</x:v>
      </x:c>
      <x:c r="C62" s="18" t="str">
        <x:v>**Opioid 0-48h**: EA (n=41) 0.67 ± 0.09 mg fentanyl; Control (n=40) 0.73 ± 0.12 mg fentanyl. **Opioid 0-24h**: Measured-not-reported (requires author contact...</x:v>
      </x:c>
      <x:c r="D62" s="18" t="str">
        <x:v>Opioid: `null`&lt;br&gt;PONV: `6/41`</x:v>
      </x:c>
      <x:c r="E62" s="18" t="str">
        <x:v>🟡 Verified with Corrections 🟠 Author Contact Needed</x:v>
      </x:c>
      <x:c r="F62" s="18" t="str">
        <x:v>REFERENCE ONLY — not authoritative unless source-confirmed</x:v>
      </x:c>
    </x:row>
    <x:row r="63">
      <x:c r="A63" s="18" t="str">
        <x:v>Chen 2015</x:v>
      </x:c>
      <x:c r="B63" s="18" t="str">
        <x:v>Chen 2015</x:v>
      </x:c>
      <x:c r="C63" s="18" t="str">
        <x:v>**Opioid 0-24h (PRIMARY)**: TEAS (n=41) median 1 dose (IQR 1-3) [mean ~3.0 ± 2.96 mg morphine] vs Control (n=42) median 3.5 doses (IQR 2-7) [mean ~8.0 ± 7.41...</x:v>
      </x:c>
      <x:c r="D63" s="18" t="str">
        <x:v>Opioid: `2.6±0.7 vs 3.9±0.9`&lt;br&gt;Pain: `2.4±0.8 vs 3.8±1.1` 🚨 **[FABRICATED]**&lt;br&gt;PONV: `5/30 vs 12/30` 🚨 **[FABRICATED]**</x:v>
      </x:c>
      <x:c r="E63" s="18" t="str">
        <x:v>🟡 Verified with Corrections 🟠 Author Contact Needed</x:v>
      </x:c>
      <x:c r="F63" s="18" t="str">
        <x:v>REFERENCE ONLY — not authoritative unless source-confirmed</x:v>
      </x:c>
    </x:row>
    <x:row r="64">
      <x:c r="A64" s="18" t="str">
        <x:v>Chen 2015 (Hyperalgesia)</x:v>
      </x:c>
      <x:c r="B64" s="18" t="str">
        <x:v>Chen 2015 (Hyperalgesia)</x:v>
      </x:c>
      <x:c r="C64" s="18" t="str">
        <x:v>**Opioid 0-24h (PRIMARY)**: TEAS (n=29) median 3 boluses (IQR 2-4) [mean ~8.66 ± 4.27 µg sufentanil] vs Control median 7 boluses (IQR 6-8) [mean ~19.88 ± 4.2...</x:v>
      </x:c>
      <x:c r="D64" s="18" t="str">
        <x:v>Opioid: `41.9±9.9 vs 41.4±9.8`&lt;br&gt;Pain: `2.4±0.8 vs 3.8±1.1` 🚨 **[FABRICATED]**&lt;br&gt;PONV: `5/30 vs 12/30` 🚨 **[FABRICATED]**</x:v>
      </x:c>
      <x:c r="E64" s="18" t="str">
        <x:v>🟡 Verified with Corrections 🟠 Author Contact Needed</x:v>
      </x:c>
      <x:c r="F64" s="18" t="str">
        <x:v>REFERENCE ONLY — not authoritative unless source-confirmed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7fc1cd40f2004e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3" max="3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Reconciliation Master — QC Dashboard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Metric</x:v>
      </x:c>
      <x:c r="B3" s="24" t="str">
        <x:v>Count</x:v>
      </x:c>
      <x:c r="D3" s="24" t="str">
        <x:v>RoB replacement status</x:v>
      </x:c>
      <x:c r="E3" s="24" t="str">
        <x:v>Count</x:v>
      </x:c>
    </x:row>
    <x:row r="4">
      <x:c r="A4" s="18" t="str">
        <x:v>Canonical studies</x:v>
      </x:c>
      <x:c r="B4" s="18" t="n">
        <x:f>COUNTA(Study_Master!A2:A200)</x:f>
        <x:v>63</x:v>
      </x:c>
      <x:c r="D4" t="str">
        <x:v>FULL REPLACEMENT</x:v>
      </x:c>
      <x:c r="E4" t="n">
        <x:f>COUNTIF(Study_Master!C:C,"FULL REPLACEMENT")</x:f>
        <x:v>47</x:v>
      </x:c>
    </x:row>
    <x:row r="5">
      <x:c r="A5" s="18" t="str">
        <x:v>FULL REPLACEMENT</x:v>
      </x:c>
      <x:c r="B5" s="18" t="n">
        <x:f>COUNTIF(Study_Master!C:C,"FULL REPLACEMENT")</x:f>
        <x:v>47</x:v>
      </x:c>
      <x:c r="D5" t="str">
        <x:v>RE-ADJUDICATE</x:v>
      </x:c>
      <x:c r="E5" t="n">
        <x:f>COUNTIF(Study_Master!C:C,"RE-ADJUDICATE")</x:f>
        <x:v>4</x:v>
      </x:c>
    </x:row>
    <x:row r="6">
      <x:c r="A6" s="18" t="str">
        <x:v>RE-ADJUDICATE</x:v>
      </x:c>
      <x:c r="B6" s="18" t="n">
        <x:f>COUNTIF(Study_Master!C:C,"RE-ADJUDICATE")</x:f>
        <x:v>4</x:v>
      </x:c>
      <x:c r="D6" t="str">
        <x:v>SPECIAL / SOURCE-QC</x:v>
      </x:c>
      <x:c r="E6" t="n">
        <x:f>COUNTIF(Study_Master!C:C,"SPECIAL / SOURCE-QC")</x:f>
        <x:v>11</x:v>
      </x:c>
    </x:row>
    <x:row r="7">
      <x:c r="A7" s="18" t="str">
        <x:v>SPECIAL / SOURCE-QC</x:v>
      </x:c>
      <x:c r="B7" s="18" t="n">
        <x:f>COUNTIF(Study_Master!C:C,"SPECIAL / SOURCE-QC")</x:f>
        <x:v>11</x:v>
      </x:c>
      <x:c r="D7" t="str">
        <x:v>NO MATCHING RoB</x:v>
      </x:c>
      <x:c r="E7" t="n">
        <x:f>COUNTIF(Study_Master!C:C,"NO MATCHING RoB")</x:f>
        <x:v>1</x:v>
      </x:c>
    </x:row>
    <x:row r="8">
      <x:c r="A8" s="18" t="str">
        <x:v>NO MATCHING RoB</x:v>
      </x:c>
      <x:c r="B8" s="18" t="n">
        <x:f>COUNTIF(Study_Master!C:C,"NO MATCHING RoB")</x:f>
        <x:v>1</x:v>
      </x:c>
    </x:row>
    <x:row r="9">
      <x:c r="A9" s="18" t="str">
        <x:v>Known fabricated payload signatures</x:v>
      </x:c>
      <x:c r="B9" s="18" t="n">
        <x:f>COUNTIF(Study_Master!J:J,"Yes")</x:f>
        <x:v>61</x:v>
      </x:c>
    </x:row>
    <x:row r="10">
      <x:c r="A10" s="18" t="str">
        <x:v>Corrected selected RoB 2 complete</x:v>
      </x:c>
      <x:c r="B10" s="18" t="n">
        <x:f>COUNTIF(Study_Master!L:L,"Yes")</x:f>
        <x:v>6</x:v>
      </x:c>
    </x:row>
    <x:row r="11">
      <x:c r="A11" s="18" t="str">
        <x:v>Antigravity author-contact flags (not yet accepted as final)</x:v>
      </x:c>
      <x:c r="B11" s="18" t="n">
        <x:f>COUNTIF(Study_Master!K:K,"Yes")</x:f>
        <x:v>59</x:v>
      </x:c>
    </x:row>
    <x:row r="13">
      <x:c r="A13" s="32" t="str">
        <x:v>Master dataset interpretation</x:v>
      </x:c>
      <x:c r="B13" s="32"/>
      <x:c r="C13" s="32"/>
      <x:c r="D13" s="32"/>
      <x:c r="E13" s="32"/>
      <x:c r="F13" s="32"/>
      <x:c r="G13" s="32"/>
      <x:c r="H13" s="32"/>
    </x:row>
    <x:row r="14" ht="34" customHeight="1">
      <x:c r="A14" s="18" t="str">
        <x:v>The workbook intentionally separates canonical study identity, source/correction status, candidate Antigravity summaries, and corrected result-specific RoB 2.</x:v>
      </x:c>
      <x:c r="B14" s="18" t="str"/>
      <x:c r="C14" s="18" t="str"/>
      <x:c r="D14" s="18" t="str"/>
      <x:c r="E14" s="18" t="str"/>
      <x:c r="F14" s="18" t="str"/>
      <x:c r="G14" s="18" t="str"/>
      <x:c r="H14" s="18" t="str"/>
    </x:row>
    <x:row r="15" ht="34" customHeight="1">
      <x:c r="A15" s="18" t="str">
        <x:v>Do not feed the AG_Candidate_Data sheet directly into meta-analysis.</x:v>
      </x:c>
      <x:c r="B15" s="18" t="str"/>
      <x:c r="C15" s="18" t="str"/>
      <x:c r="D15" s="18" t="str"/>
      <x:c r="E15" s="18" t="str"/>
      <x:c r="F15" s="18" t="str"/>
      <x:c r="G15" s="18" t="str"/>
      <x:c r="H15" s="18" t="str"/>
    </x:row>
    <x:row r="16" ht="34" customHeight="1">
      <x:c r="A16" s="18" t="str">
        <x:v>Study_Master is the control layer. Corrected_RoB2 contains only assessments already rebuilt de novo from source-grounded evidence.</x:v>
      </x:c>
      <x:c r="B16" s="18" t="str"/>
      <x:c r="C16" s="18" t="str"/>
      <x:c r="D16" s="18" t="str"/>
      <x:c r="E16" s="18" t="str"/>
      <x:c r="F16" s="18" t="str"/>
      <x:c r="G16" s="18" t="str"/>
      <x:c r="H16" s="18" t="str"/>
    </x:row>
    <x:row r="17" ht="34" customHeight="1">
      <x:c r="A17" s="18" t="str">
        <x:v>The next correction cycle should add source-normalized numerical outcome rows and additional corrected RoB 2 records, then update the same master file.</x:v>
      </x:c>
      <x:c r="B17" s="18" t="str"/>
      <x:c r="C17" s="18" t="str"/>
      <x:c r="D17" s="18" t="str"/>
      <x:c r="E17" s="18" t="str"/>
      <x:c r="F17" s="18" t="str"/>
      <x:c r="G17" s="18" t="str"/>
      <x:c r="H17" s="18" t="str"/>
    </x:row>
  </x:sheetData>
  <x:mergeCells>
    <x:mergeCell ref="A1:H1"/>
    <x:mergeCell ref="A13:H13"/>
  </x:mergeCells>
  <x:pageMargins left="0.7" right="0.7" top="0.75" bottom="0.75" header="0.3" footer="0.3"/>
  <x:drawing xmlns:r="http://schemas.openxmlformats.org/officeDocument/2006/relationships" r:id="R9ff4caf4cea04bb0"/>
</x:worksheet>
</file>