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7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1b2ac7cf9f4b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f8c6f1caf9744f8e"/>
    <x:sheet xmlns:r="http://schemas.openxmlformats.org/officeDocument/2006/relationships" name="Study_Master" sheetId="2" r:id="R8a133dd77d5247b4"/>
    <x:sheet xmlns:r="http://schemas.openxmlformats.org/officeDocument/2006/relationships" name="Corrected_RoB2" sheetId="3" r:id="R06b2dae189e046a2"/>
    <x:sheet xmlns:r="http://schemas.openxmlformats.org/officeDocument/2006/relationships" name="Audit_Issues" sheetId="4" r:id="Rdaea2b0bb1704aae"/>
    <x:sheet xmlns:r="http://schemas.openxmlformats.org/officeDocument/2006/relationships" name="AG_Candidate_Data" sheetId="5" r:id="R2c0e8290f2a04343"/>
    <x:sheet xmlns:r="http://schemas.openxmlformats.org/officeDocument/2006/relationships" name="Summary" sheetId="6" r:id="R8129da6b86424215"/>
    <x:sheet xmlns:r="http://schemas.openxmlformats.org/officeDocument/2006/relationships" name="Outcome_Data" sheetId="7" r:id="Rdc7376353e3a43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5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horizontal="center"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 applyAlignment="1">
      <x:alignment wrapText="1"/>
    </x:xf>
    <x:xf numFmtId="0" fontId="2" fillId="7" borderId="0" xfId="0" applyNumberFormat="1" applyFont="1" applyFill="1" applyBorder="1" applyAlignment="1">
      <x:alignment wrapText="1"/>
    </x:xf>
    <x:xf numFmtId="0" fontId="2" fillId="7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horizontal="center" wrapText="1"/>
    </x:xf>
    <x:xf numFmtId="0" fontId="3" fillId="8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36">
    <x:dxf>
      <x:font>
        <x:b/>
      </x:font>
      <x:fill>
        <x:patternFill>
          <x:bgColor rgb="FFF4CCCC"/>
        </x:patternFill>
      </x:fill>
    </x:dxf>
    <x:dxf>
      <x:font>
        <x:b/>
      </x:font>
      <x:fill>
        <x:patternFill>
          <x:bgColor rgb="FFFFF2CC"/>
        </x:patternFill>
      </x:fill>
    </x:dxf>
    <x:dxf>
      <x:fill>
        <x:patternFill>
          <x:bgColor rgb="FFD9EAF7"/>
        </x:patternFill>
      </x:fill>
    </x:dxf>
    <x:dxf>
      <x:fill>
        <x:patternFill>
          <x:bgColor rgb="FFE7E6E6"/>
        </x:patternFill>
      </x:fill>
    </x:dxf>
    <x:dxf>
      <x:font>
        <x:b/>
      </x:font>
      <x:fill>
        <x:patternFill>
          <x:bgColor rgb="FFF4CCCC"/>
        </x:patternFill>
      </x:fill>
    </x:dxf>
    <x:dxf>
      <x:font>
        <x:b/>
      </x:font>
      <x:fill>
        <x:patternFill>
          <x:bgColor rgb="FFF4CCCC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</x:font>
      <x:fill>
        <x:patternFill>
          <x:bgColor rgb="FFD9EAD3"/>
        </x:patternFill>
      </x:fill>
    </x:dxf>
    <x:dxf>
      <x:font>
        <x:b/>
      </x:font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ont>
        <x:b/>
      </x:font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ont>
        <x:b/>
      </x:font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ont>
        <x:b/>
      </x:font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ont>
        <x:b/>
      </x:font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ont>
        <x:b/>
      </x:font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ont>
        <x:b/>
      </x:font>
      <x:fill>
        <x:patternFill>
          <x:bgColor rgb="FFF4CCCC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</x:font>
      <x:fill>
        <x:patternFill>
          <x:bgColor rgb="FFD9EAD3"/>
        </x:patternFill>
      </x:fill>
    </x:dxf>
    <x:dxf>
      <x:font>
        <x:b/>
      </x:font>
      <x:fill>
        <x:patternFill>
          <x:bgColor rgb="FFF4CCCC"/>
        </x:patternFill>
      </x:fill>
    </x:dxf>
    <x:dxf>
      <x:font>
        <x:b/>
      </x:font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ont>
        <x:b/>
      </x:font>
      <x:fill>
        <x:patternFill>
          <x:bgColor rgb="FFF4CCCC"/>
        </x:patternFill>
      </x:fill>
    </x:dxf>
    <x:dxf>
      <x:font>
        <x:b/>
      </x:font>
      <x:fill>
        <x:patternFill>
          <x:bgColor rgb="FFFCE5CD"/>
        </x:patternFill>
      </x:fill>
    </x:dxf>
    <x:dxf>
      <x:font>
        <x:b/>
      </x:font>
      <x:fill>
        <x:patternFill>
          <x:bgColor rgb="FFD9EAD3"/>
        </x:patternFill>
      </x:fill>
    </x:dxf>
    <x:dxf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414fee1b084bcc" /><Relationship Type="http://schemas.openxmlformats.org/officeDocument/2006/relationships/theme" Target="/xl/theme/theme1.xml" Id="R49f1f0916c3648f0" /><Relationship Type="http://schemas.openxmlformats.org/officeDocument/2006/relationships/sharedStrings" Target="/xl/sharedStrings.xml" Id="Ra13f56c94ade486b" /><Relationship Type="http://schemas.openxmlformats.org/officeDocument/2006/relationships/worksheet" Target="/xl/worksheets/sheet1.xml" Id="Rf8c6f1caf9744f8e" /><Relationship Type="http://schemas.openxmlformats.org/officeDocument/2006/relationships/worksheet" Target="/xl/worksheets/sheet2.xml" Id="R8a133dd77d5247b4" /><Relationship Type="http://schemas.openxmlformats.org/officeDocument/2006/relationships/worksheet" Target="/xl/worksheets/sheet3.xml" Id="R06b2dae189e046a2" /><Relationship Type="http://schemas.openxmlformats.org/officeDocument/2006/relationships/worksheet" Target="/xl/worksheets/sheet4.xml" Id="Rdaea2b0bb1704aae" /><Relationship Type="http://schemas.openxmlformats.org/officeDocument/2006/relationships/worksheet" Target="/xl/worksheets/sheet5.xml" Id="R2c0e8290f2a04343" /><Relationship Type="http://schemas.openxmlformats.org/officeDocument/2006/relationships/worksheet" Target="/xl/worksheets/sheet6.xml" Id="R8129da6b86424215" /><Relationship Type="http://schemas.openxmlformats.org/officeDocument/2006/relationships/worksheet" Target="/xl/worksheets/sheet7.xml" Id="Rdc7376353e3a43e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1126a886aa0450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Study-level correction status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'Summary'!$D$4:$D$7</c:f>
              <c:strCache>
                <c:ptCount val="0"/>
              </c:strCache>
            </c:strRef>
          </c:cat>
          <c:val>
            <c:numRef>
              <c:f>'Summary'!$E$4:$E$7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8</xdr:row>
      <xdr:rowOff>0</xdr:rowOff>
    </xdr:from>
    <xdr:to>
      <xdr:col>11</xdr:col>
      <xdr:colOff>0</xdr:colOff>
      <xdr:row>26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1126a886aa04503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tudyMasterTable" displayName="StudyMasterTable" ref="A1:U64" headerRowCount="1" totalsRowCount="0" totalsRowShown="0">
  <x:tableColumns count="21">
    <x:tableColumn id="1" name="Canonical study"/>
    <x:tableColumn id="2" name="Reconciliation batch"/>
    <x:tableColumn id="3" name="Sol reconciliation status"/>
    <x:tableColumn id="4" name="Sol/source correction note"/>
    <x:tableColumn id="5" name="Identity correction"/>
    <x:tableColumn id="6" name="Antigravity study label"/>
    <x:tableColumn id="7" name="Antigravity study key"/>
    <x:tableColumn id="8" name="Covidence internal ID"/>
    <x:tableColumn id="9" name="Candidate source-result summary"/>
    <x:tableColumn id="10" name="Known fabricated-payload signature"/>
    <x:tableColumn id="11" name="Antigravity author-contact flag"/>
    <x:tableColumn id="12" name="Corrected RoB 2 complete"/>
    <x:tableColumn id="13" name="Corrected selected RoB result"/>
    <x:tableColumn id="14" name="Corrected result timepoint"/>
    <x:tableColumn id="15" name="Corrected overall RoB 2"/>
    <x:tableColumn id="16" name="Analysis readiness"/>
    <x:tableColumn id="17" name="Master use rule"/>
    <x:tableColumn id="18" name="Source-summary status"/>
    <x:tableColumn id="19" name="Source hierarchy"/>
    <x:tableColumn id="20" name="Project source folder"/>
    <x:tableColumn id="21" name="Reconciliation index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rrectedRoBTable" displayName="CorrectedRoBTable" ref="A1:P7" headerRowCount="1" totalsRowCount="0" totalsRowShown="0">
  <x:tableColumns count="16">
    <x:tableColumn id="1" name="Canonical study"/>
    <x:tableColumn id="2" name="Selected result"/>
    <x:tableColumn id="3" name="Comparison"/>
    <x:tableColumn id="4" name="Timepoint/window"/>
    <x:tableColumn id="5" name="Randomized n"/>
    <x:tableColumn id="6" name="Analyzed n"/>
    <x:tableColumn id="7" name="Corrected source result"/>
    <x:tableColumn id="8" name="Domain 1"/>
    <x:tableColumn id="9" name="Domain 2"/>
    <x:tableColumn id="10" name="Domain 3"/>
    <x:tableColumn id="11" name="Domain 4"/>
    <x:tableColumn id="12" name="Domain 5"/>
    <x:tableColumn id="13" name="Overall RoB 2"/>
    <x:tableColumn id="14" name="Correction source"/>
    <x:tableColumn id="15" name="Source folder"/>
    <x:tableColumn id="16" name="Corrected RoB folde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uditIssuesTable" displayName="AuditIssuesTable" ref="A1:F11" headerRowCount="1" totalsRowCount="0" totalsRowShown="0">
  <x:tableColumns count="6">
    <x:tableColumn id="1" name="Study/record"/>
    <x:tableColumn id="2" name="Issue type"/>
    <x:tableColumn id="3" name="Problem identified"/>
    <x:tableColumn id="4" name="Master decision"/>
    <x:tableColumn id="5" name="Severity"/>
    <x:tableColumn id="6" name="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AGCandidateTable" displayName="AGCandidateTable" ref="A1:F64" headerRowCount="1" totalsRowCount="0" totalsRowShown="0">
  <x:tableColumns count="6">
    <x:tableColumn id="1" name="Canonical study"/>
    <x:tableColumn id="2" name="Antigravity label"/>
    <x:tableColumn id="3" name="Candidate source summary"/>
    <x:tableColumn id="4" name="Gemini/payload field from Antigravity report"/>
    <x:tableColumn id="5" name="Antigravity classification"/>
    <x:tableColumn id="6" name="Status in this master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OutcomeDataTable" displayName="OutcomeDataTable" ref="A1:AL35" headerRowCount="1" totalsRowCount="0" totalsRowShown="0">
  <x:tableColumns count="38">
    <x:tableColumn id="1" name="Canonical study"/>
    <x:tableColumn id="2" name="Comparison ID"/>
    <x:tableColumn id="3" name="Intervention arm"/>
    <x:tableColumn id="4" name="Comparator arm"/>
    <x:tableColumn id="5" name="Outcome family"/>
    <x:tableColumn id="6" name="Outcome/result"/>
    <x:tableColumn id="7" name="Timepoint/window"/>
    <x:tableColumn id="8" name="Data type"/>
    <x:tableColumn id="9" name="Randomized n intervention"/>
    <x:tableColumn id="10" name="Randomized n comparator"/>
    <x:tableColumn id="11" name="Analyzed n intervention"/>
    <x:tableColumn id="12" name="Analyzed n comparator"/>
    <x:tableColumn id="13" name="Mean intervention"/>
    <x:tableColumn id="14" name="SD intervention"/>
    <x:tableColumn id="15" name="Median intervention"/>
    <x:tableColumn id="16" name="Q1 intervention"/>
    <x:tableColumn id="17" name="Q3 intervention"/>
    <x:tableColumn id="18" name="Events intervention"/>
    <x:tableColumn id="19" name="Mean comparator"/>
    <x:tableColumn id="20" name="SD comparator"/>
    <x:tableColumn id="21" name="Median comparator"/>
    <x:tableColumn id="22" name="Q1 comparator"/>
    <x:tableColumn id="23" name="Q3 comparator"/>
    <x:tableColumn id="24" name="Events comparator"/>
    <x:tableColumn id="25" name="Unit/scale"/>
    <x:tableColumn id="26" name="Reported P"/>
    <x:tableColumn id="27" name="Directly reported?"/>
    <x:tableColumn id="28" name="Derived/converted?"/>
    <x:tableColumn id="29" name="Derived effect measure"/>
    <x:tableColumn id="30" name="Derived effect"/>
    <x:tableColumn id="31" name="Exact 0-24 h postoperative opioid?"/>
    <x:tableColumn id="32" name="Primary opioid meta-analysis eligible?"/>
    <x:tableColumn id="33" name="Other analysis eligibility"/>
    <x:tableColumn id="34" name="Shared-control / multi-arm issue"/>
    <x:tableColumn id="35" name="Source-QC issue"/>
    <x:tableColumn id="36" name="Source location"/>
    <x:tableColumn id="37" name="Source PDF URL"/>
    <x:tableColumn id="38" name="Record 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6376703b38049d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5565af6534c4a4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b59d1af73434b9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bf365ceb536451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1.xml" Id="R09dc04c21fca485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b4b0d66e85b7443a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8" hidden="0" customWidth="1"/>
  </x:cols>
  <x:sheetData>
    <x:row r="1" ht="28" customHeight="1">
      <x:c r="A1" s="5" t="str">
        <x:v>TEAS/EA Systematic Review — Reconciled Master Data v1</x:v>
      </x:c>
      <x:c r="B1" s="5"/>
      <x:c r="C1" s="5"/>
      <x:c r="D1" s="5"/>
      <x:c r="E1" s="5"/>
      <x:c r="F1" s="5"/>
      <x:c r="G1" s="5"/>
      <x:c r="H1" s="5"/>
    </x:row>
    <x:row r="3">
      <x:c r="A3" s="13" t="str">
        <x:v>Version</x:v>
      </x:c>
      <x:c r="B3" s="18" t="str">
        <x:v>v8 — 2026-09-05</x:v>
      </x:c>
    </x:row>
    <x:row r="4">
      <x:c r="A4" s="13" t="str">
        <x:v>Purpose</x:v>
      </x:c>
      <x:c r="B4" s="18" t="str">
        <x:v>Canonical 63-study reconciliation master with source-normalized outcome-level data. v8 adds Sim 2002, Ntritsou 2014 and Ng 2013, preserving weight-normalized morphine, background-versus-rescue tramadol, and ambiguous pethidine-window issues.</x:v>
      </x:c>
    </x:row>
    <x:row r="5">
      <x:c r="A5" s="13" t="str">
        <x:v>Canonical inventory</x:v>
      </x:c>
      <x:c r="B5" s="18" t="str">
        <x:v>63 source studies/reports. The 61-PDF Sol master was supplemented with two distinct Chen 2015 trials. Antigravity's unsupported 'Gao 2018' row is excluded; Zhou 2025 is restored from its source-grounded extraction.</x:v>
      </x:c>
    </x:row>
    <x:row r="6">
      <x:c r="A6" s="13" t="str">
        <x:v>Source hierarchy</x:v>
      </x:c>
      <x:c r="B6" s="18" t="str">
        <x:v>Source PDF / supplement / protocol / registration &gt; reconciled source-grounded extraction &gt; derivative AI/model output &gt; Covidence shell/payload.</x:v>
      </x:c>
    </x:row>
    <x:row r="7">
      <x:c r="A7" s="13" t="str">
        <x:v>Critical rule</x:v>
      </x:c>
      <x:c r="B7" s="18" t="str">
        <x:v>No majority vote between models. Missing/unreported data remain missing. Graph-derived/calculated values must remain explicitly labelled as derived.</x:v>
      </x:c>
    </x:row>
    <x:row r="8">
      <x:c r="A8" s="13" t="str">
        <x:v>RoB 2</x:v>
      </x:c>
      <x:c r="B8" s="18" t="str">
        <x:v>RoB 2 is result-specific. Original stored RoB files are not analysis-ready. Corrected RoB judgments currently completed for 6 selected results; remaining invalid/re-adjudication cases are tracked in Study_Master.</x:v>
      </x:c>
    </x:row>
    <x:row r="9">
      <x:c r="A9" s="13" t="str">
        <x:v>Antigravity use</x:v>
      </x:c>
      <x:c r="B9" s="18" t="str">
        <x:v>Antigravity's forensic audit is retained as a comparison source, but its study/file mappings and payload values are not accepted automatically. Candidate source summaries remain visibly labelled.</x:v>
      </x:c>
    </x:row>
    <x:row r="10">
      <x:c r="A10" s="13" t="str">
        <x:v>Analysis readiness</x:v>
      </x:c>
      <x:c r="B10" s="18" t="str">
        <x:v>Rows marked NOT READY or SOURCE-QC REQUIRED must not be used as final meta-analysis/RoB inputs until the stated issue is resolved.</x:v>
      </x:c>
    </x:row>
    <x:row r="11">
      <x:c r="A11" s="13" t="str">
        <x:v>Project Drive</x:v>
      </x:c>
      <x:c r="B11" s="18" t="str">
        <x:v>https://drive.google.com/drive/folders/1Hpaqqh2FjNKSIm4jRTJWNOfoi3YfyUNj</x:v>
      </x:c>
    </x:row>
    <x:row r="12">
      <x:c r="A12" s="13" t="str">
        <x:v>Reconciliation index</x:v>
      </x:c>
      <x:c r="B12" s="18" t="str">
        <x:v>https://docs.google.com/document/d/1hR0UuZSmPpwZi384Vzn3sZt5Y5_ZwYxW6b3u4nq2-40/edit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  <x:col min="3" max="3" width="20" hidden="0" customWidth="1"/>
    <x:col min="4" max="4" width="48" hidden="0" customWidth="1"/>
    <x:col min="5" max="5" width="36" hidden="0" customWidth="1"/>
    <x:col min="6" max="6" width="24" hidden="0" customWidth="1"/>
    <x:col min="7" max="7" width="15" hidden="0" customWidth="1"/>
    <x:col min="8" max="8" width="20" hidden="0" customWidth="1"/>
    <x:col min="9" max="9" width="62" hidden="0" customWidth="1"/>
    <x:col min="10" max="10" width="18" hidden="0" customWidth="1"/>
    <x:col min="11" max="11" width="18" hidden="0" customWidth="1"/>
    <x:col min="12" max="12" width="18" hidden="0" customWidth="1"/>
    <x:col min="13" max="13" width="28" hidden="0" customWidth="1"/>
    <x:col min="14" max="14" width="18" hidden="0" customWidth="1"/>
    <x:col min="15" max="15" width="18" hidden="0" customWidth="1"/>
    <x:col min="16" max="16" width="34" hidden="0" customWidth="1"/>
    <x:col min="17" max="17" width="46" hidden="0" customWidth="1"/>
    <x:col min="18" max="18" width="38" hidden="0" customWidth="1"/>
    <x:col min="19" max="19" width="50" hidden="0" customWidth="1"/>
    <x:col min="20" max="20" width="44" hidden="0" customWidth="1"/>
    <x:col min="21" max="21" width="44" hidden="0" customWidth="1"/>
    <x:col min="22" max="22" width="18" hidden="0" customWidth="1"/>
  </x:cols>
  <x:sheetData>
    <x:row r="1">
      <x:c r="A1" s="24" t="str">
        <x:v>Canonical study</x:v>
      </x:c>
      <x:c r="B1" s="24" t="str">
        <x:v>Reconciliation batch</x:v>
      </x:c>
      <x:c r="C1" s="24" t="str">
        <x:v>Sol reconciliation status</x:v>
      </x:c>
      <x:c r="D1" s="24" t="str">
        <x:v>Sol/source correction note</x:v>
      </x:c>
      <x:c r="E1" s="24" t="str">
        <x:v>Identity correction</x:v>
      </x:c>
      <x:c r="F1" s="24" t="str">
        <x:v>Antigravity study label</x:v>
      </x:c>
      <x:c r="G1" s="24" t="str">
        <x:v>Antigravity study key</x:v>
      </x:c>
      <x:c r="H1" s="24" t="str">
        <x:v>Covidence internal ID</x:v>
      </x:c>
      <x:c r="I1" s="24" t="str">
        <x:v>Candidate source-result summary</x:v>
      </x:c>
      <x:c r="J1" s="24" t="str">
        <x:v>Known fabricated-payload signature</x:v>
      </x:c>
      <x:c r="K1" s="24" t="str">
        <x:v>Antigravity author-contact flag</x:v>
      </x:c>
      <x:c r="L1" s="24" t="str">
        <x:v>Corrected RoB 2 complete</x:v>
      </x:c>
      <x:c r="M1" s="24" t="str">
        <x:v>Corrected selected RoB result</x:v>
      </x:c>
      <x:c r="N1" s="24" t="str">
        <x:v>Corrected result timepoint</x:v>
      </x:c>
      <x:c r="O1" s="24" t="str">
        <x:v>Corrected overall RoB 2</x:v>
      </x:c>
      <x:c r="P1" s="24" t="str">
        <x:v>Analysis readiness</x:v>
      </x:c>
      <x:c r="Q1" s="24" t="str">
        <x:v>Master use rule</x:v>
      </x:c>
      <x:c r="R1" s="24" t="str">
        <x:v>Source-summary status</x:v>
      </x:c>
      <x:c r="S1" s="24" t="str">
        <x:v>Source hierarchy</x:v>
      </x:c>
      <x:c r="T1" s="24" t="str">
        <x:v>Project source folder</x:v>
      </x:c>
      <x:c r="U1" s="24" t="str">
        <x:v>Reconciliation index</x:v>
      </x:c>
      <x:c r="V1" s="52" t="str">
        <x:v>Source-normalized outcome rows</x:v>
      </x:c>
    </x:row>
    <x:row r="2">
      <x:c r="A2" s="18" t="str">
        <x:v>Zhu 2022</x:v>
      </x:c>
      <x:c r="B2" s="18" t="str">
        <x:v>Batch 19</x:v>
      </x:c>
      <x:c r="C2" s="18" t="str">
        <x:v>FULL REPLACEMENT</x:v>
      </x:c>
      <x:c r="D2" s="18" t="str">
        <x:v>Jin-labeled RoB is a different 103-patient morphine trial; true source is four-arm 413-randomized gynecologic EA/PONV study.</x:v>
      </x:c>
      <x:c r="E2" s="18" t="str"/>
      <x:c r="F2" s="18" t="str">
        <x:v>Zhu 2022</x:v>
      </x:c>
      <x:c r="G2" s="18" t="str">
        <x:v>381</x:v>
      </x:c>
      <x:c r="H2" s="18" t="str">
        <x:v>1879896528</x:v>
      </x:c>
      <x:c r="I2" s="18" t="str">
        <x:v>**Pain intensity during movement at 24h (NRS 0-10) (PRIMARY)**: Group Pre (n=101) 1.15 ± 1.02 vs Group 30 (n=98) 1.12 ± 1.03 vs Group Comb (n=100) 1.17 ± 1.1...</x:v>
      </x:c>
      <x:c r="J2" s="18" t="str">
        <x:v>Yes</x:v>
      </x:c>
      <x:c r="K2" s="18" t="str">
        <x:v>Yes</x:v>
      </x:c>
      <x:c r="L2" s="18" t="str">
        <x:v>Yes</x:v>
      </x:c>
      <x:c r="M2" s="18" t="str">
        <x:v>Postoperative vomiting</x:v>
      </x:c>
      <x:c r="N2" s="18" t="str">
        <x:v>6-24 h</x:v>
      </x:c>
      <x:c r="O2" s="18" t="str">
        <x:v>Some concerns</x:v>
      </x:c>
      <x:c r="P2" s="18" t="str">
        <x:v>PARTIAL — selected RoB corrected; multi-arm outcome rows added</x:v>
      </x:c>
      <x:c r="Q2" s="18" t="str">
        <x:v>Use arm-specific denominators; shared usual-care comparator requires multi-arm handling</x:v>
      </x:c>
      <x:c r="R2" s="18" t="str">
        <x:v>SOURCE-NORMALIZED OUTCOME ROWS ADDED</x:v>
      </x:c>
      <x:c r="S2" s="18" t="str">
        <x:v>Source PDF / supplement / protocol / registration &gt; reconciled source extraction &gt; derivative model output</x:v>
      </x:c>
      <x:c r="T2" s="18" t="str">
        <x:v>https://drive.google.com/drive/folders/1EWdZyTQjPSuoxt8n1nIr1t8D98PC-mso</x:v>
      </x:c>
      <x:c r="U2" s="18" t="str">
        <x:v>https://docs.google.com/document/d/1hR0UuZSmPpwZi384Vzn3sZt5Y5_ZwYxW6b3u4nq2-40/edit</x:v>
      </x:c>
      <x:c r="V2" t="n">
        <x:f>COUNTIF(Outcome_Data!$A:$A,A2)</x:f>
        <x:v>6</x:v>
      </x:c>
    </x:row>
    <x:row r="3">
      <x:c r="A3" s="18" t="str">
        <x:v>Zhou 2025</x:v>
      </x:c>
      <x:c r="B3" s="18" t="str">
        <x:v>Batch 16</x:v>
      </x:c>
      <x:c r="C3" s="18" t="str">
        <x:v>FULL REPLACEMENT</x:v>
      </x:c>
      <x:c r="D3" s="18" t="str">
        <x:v>Wrong analyzed n, acupoints/frequency, QoR-15 values and complete-data claim.</x:v>
      </x:c>
      <x:c r="E3" s="18" t="str">
        <x:v>Antigravity 'Gao 2018' row rejected; Zhou 2025 restored from source-grounded extraction</x:v>
      </x:c>
      <x:c r="F3" s="18" t="str">
        <x:v>(Antigravity matrix omitted/misidentified)</x:v>
      </x:c>
      <x:c r="G3" s="18" t="str"/>
      <x:c r="H3" s="18" t="str"/>
      <x:c r="I3" s="18" t="str">
        <x:v>Source-grounded correction: 100 randomized (50/group), 97 analyzed (48 TEAS, 49 sham). Primary QoR-15 on POD1: 112.00 ± 10.67 vs 107.62 ± 10.27 (P=0.042). POD1 resting VAS median 3 (3-4) vs 4 (4-5); POD1 PONV 10/48 vs 19/49. Exact 0-24 h opioid dose/MME not reported; rescue tramadol only reported as POD1-3 binary use 6/48 vs 13/49.</x:v>
      </x:c>
      <x:c r="J3" s="18" t="str">
        <x:v>No</x:v>
      </x:c>
      <x:c r="K3" s="18" t="str">
        <x:v>No</x:v>
      </x:c>
      <x:c r="L3" s="18" t="str">
        <x:v>Yes</x:v>
      </x:c>
      <x:c r="M3" s="18" t="str">
        <x:v>Global QoR-15</x:v>
      </x:c>
      <x:c r="N3" s="18" t="str">
        <x:v>POD1</x:v>
      </x:c>
      <x:c r="O3" s="18" t="str">
        <x:v>High</x:v>
      </x:c>
      <x:c r="P3" s="18" t="str">
        <x:v>PARTIAL — selected RoB corrected; source-normalized outcomes added</x:v>
      </x:c>
      <x:c r="Q3" s="18" t="str">
        <x:v>QoR-15 usable; exact 0-24 h opioid dose remains unreported</x:v>
      </x:c>
      <x:c r="R3" s="18" t="str">
        <x:v>SOURCE-NORMALIZED OUTCOME ROWS ADDED</x:v>
      </x:c>
      <x:c r="S3" s="18" t="str">
        <x:v>Source PDF / supplement / protocol / registration &gt; reconciled source extraction &gt; derivative model output</x:v>
      </x:c>
      <x:c r="T3" s="18" t="str">
        <x:v>https://drive.google.com/drive/folders/1EWdZyTQjPSuoxt8n1nIr1t8D98PC-mso</x:v>
      </x:c>
      <x:c r="U3" s="18" t="str">
        <x:v>https://docs.google.com/document/d/1hR0UuZSmPpwZi384Vzn3sZt5Y5_ZwYxW6b3u4nq2-40/edit</x:v>
      </x:c>
      <x:c r="V3" t="n">
        <x:f>COUNTIF(Outcome_Data!$A:$A,A3)</x:f>
        <x:v>6</x:v>
      </x:c>
    </x:row>
    <x:row r="4">
      <x:c r="A4" s="18" t="str">
        <x:v>Zhou 2021</x:v>
      </x:c>
      <x:c r="B4" s="18" t="str">
        <x:v>Batch 9</x:v>
      </x:c>
      <x:c r="C4" s="18" t="str">
        <x:v>FULL REPLACEMENT</x:v>
      </x:c>
      <x:c r="D4" s="18" t="str">
        <x:v>Stored RoB changes journal/design/sham, intervention and flatus result.</x:v>
      </x:c>
      <x:c r="E4" s="18" t="str"/>
      <x:c r="F4" s="18" t="str">
        <x:v>Zhou 2021</x:v>
      </x:c>
      <x:c r="G4" s="18" t="str">
        <x:v>433</x:v>
      </x:c>
      <x:c r="H4" s="18" t="str">
        <x:v>1879896611</x:v>
      </x:c>
      <x:c r="I4" s="18" t="str">
        <x:v>**Cumulative postoperative systemic opioid consumption (equivalent dose of morphine in mg / IV MME) (PRIMARY)**: TG (n=41) 8.94 ± 3.66 mg vs CG Usual care (n...</x:v>
      </x:c>
      <x:c r="J4" s="18" t="str">
        <x:v>Yes</x:v>
      </x:c>
      <x:c r="K4" s="18" t="str">
        <x:v>Yes</x:v>
      </x:c>
      <x:c r="L4" s="18" t="str">
        <x:v>Yes</x:v>
      </x:c>
      <x:c r="M4" s="18" t="str">
        <x:v>Time to first flatus</x:v>
      </x:c>
      <x:c r="N4" s="18" t="str">
        <x:v>Postoperative</x:v>
      </x:c>
      <x:c r="O4" s="18" t="str">
        <x:v>High</x:v>
      </x:c>
      <x:c r="P4" s="18" t="str">
        <x:v>PARTIAL — selected RoB corrected; source-normalized outcomes added</x:v>
      </x:c>
      <x:c r="Q4" s="18" t="str">
        <x:v>GI result usable with high RoB; opioid-equivalent result not strict 0-24 h</x:v>
      </x:c>
      <x:c r="R4" s="18" t="str">
        <x:v>SOURCE-NORMALIZED OUTCOME ROWS ADDED</x:v>
      </x:c>
      <x:c r="S4" s="18" t="str">
        <x:v>Source PDF / supplement / protocol / registration &gt; reconciled source extraction &gt; derivative model output</x:v>
      </x:c>
      <x:c r="T4" s="18" t="str">
        <x:v>https://drive.google.com/drive/folders/1EWdZyTQjPSuoxt8n1nIr1t8D98PC-mso</x:v>
      </x:c>
      <x:c r="U4" s="18" t="str">
        <x:v>https://docs.google.com/document/d/1hR0UuZSmPpwZi384Vzn3sZt5Y5_ZwYxW6b3u4nq2-40/edit</x:v>
      </x:c>
      <x:c r="V4" t="n">
        <x:f>COUNTIF(Outcome_Data!$A:$A,A4)</x:f>
        <x:v>2</x:v>
      </x:c>
    </x:row>
    <x:row r="5">
      <x:c r="A5" s="18" t="str">
        <x:v>Zheng 2025</x:v>
      </x:c>
      <x:c r="B5" s="18" t="str">
        <x:v>Batch 15</x:v>
      </x:c>
      <x:c r="C5" s="18" t="str">
        <x:v>FULL REPLACEMENT</x:v>
      </x:c>
      <x:c r="D5" s="18" t="str">
        <x:v>Invented 80/80 complete trial, postoperative session and PONV counts.</x:v>
      </x:c>
      <x:c r="E5" s="18" t="str"/>
      <x:c r="F5" s="18" t="str">
        <x:v>Zheng 2025</x:v>
      </x:c>
      <x:c r="G5" s="18" t="str">
        <x:v>72</x:v>
      </x:c>
      <x:c r="H5" s="18" t="str">
        <x:v>1879896014</x:v>
      </x:c>
      <x:c r="I5" s="18" t="str">
        <x:v>**Pain intensity at rest at 24h (NRS 0-10) (PRIMARY)**: TEAS (n=42) 1.70 ± 0.80 vs Sham TEAS (n=43) 2.20 ± 1.10 (P = 0.042*) [MD -0.50, 95% CI -0.91 to -0.09...</x:v>
      </x:c>
      <x:c r="J5" s="18" t="str">
        <x:v>Yes</x:v>
      </x:c>
      <x:c r="K5" s="18" t="str">
        <x:v>Yes</x:v>
      </x:c>
      <x:c r="L5" s="18" t="str">
        <x:v>Yes</x:v>
      </x:c>
      <x:c r="M5" s="18" t="str">
        <x:v>Any PONV</x:v>
      </x:c>
      <x:c r="N5" s="18" t="str">
        <x:v>Within 24 h</x:v>
      </x:c>
      <x:c r="O5" s="18" t="str">
        <x:v>Some concerns</x:v>
      </x:c>
      <x:c r="P5" s="18" t="str">
        <x:v>PARTIAL — selected RoB corrected; source-normalized outcomes added</x:v>
      </x:c>
      <x:c r="Q5" s="18" t="str">
        <x:v>Use reported percentages; 24-h postoperative sufentanil mass remains unavailable</x:v>
      </x:c>
      <x:c r="R5" s="18" t="str">
        <x:v>SOURCE-NORMALIZED OUTCOME ROWS ADDED</x:v>
      </x:c>
      <x:c r="S5" s="18" t="str">
        <x:v>Source PDF / supplement / protocol / registration &gt; reconciled source extraction &gt; derivative model output</x:v>
      </x:c>
      <x:c r="T5" s="18" t="str">
        <x:v>https://drive.google.com/drive/folders/1EWdZyTQjPSuoxt8n1nIr1t8D98PC-mso</x:v>
      </x:c>
      <x:c r="U5" s="18" t="str">
        <x:v>https://docs.google.com/document/d/1hR0UuZSmPpwZi384Vzn3sZt5Y5_ZwYxW6b3u4nq2-40/edit</x:v>
      </x:c>
      <x:c r="V5" t="n">
        <x:f>COUNTIF(Outcome_Data!$A:$A,A5)</x:f>
        <x:v>4</x:v>
      </x:c>
    </x:row>
    <x:row r="6">
      <x:c r="A6" s="18" t="str">
        <x:v>Zhan 2020</x:v>
      </x:c>
      <x:c r="B6" s="18" t="str">
        <x:v>Batch 6</x:v>
      </x:c>
      <x:c r="C6" s="18" t="str">
        <x:v>FULL REPLACEMENT</x:v>
      </x:c>
      <x:c r="D6" s="18" t="str">
        <x:v>Stored RoB invents sham structure and 24-h sufentanil endpoint not reported by source.</x:v>
      </x:c>
      <x:c r="E6" s="18" t="str"/>
      <x:c r="F6" s="18" t="str">
        <x:v>Zhan 2020</x:v>
      </x:c>
      <x:c r="G6" s="18" t="str">
        <x:v>1389</x:v>
      </x:c>
      <x:c r="H6" s="18" t="str">
        <x:v>1881841076</x:v>
      </x:c>
      <x:c r="I6" s="18" t="str">
        <x:v>**Pain intensity at rest at 24h (VAS 0-10) (PRIMARY)**: TAP+TEAS (n=30) 1.70 ± 2.20 vs TAP Control (n=30) 2.00 ± 3.00 (P = 0.03*) [MD -0.30, 95% CI -1.63 to ...</x:v>
      </x:c>
      <x:c r="J6" s="18" t="str">
        <x:v>Yes</x:v>
      </x:c>
      <x:c r="K6" s="18" t="str">
        <x:v>Yes</x:v>
      </x:c>
      <x:c r="L6" s="18" t="str">
        <x:v>Yes</x:v>
      </x:c>
      <x:c r="M6" s="18" t="str">
        <x:v>VAS pain intensity</x:v>
      </x:c>
      <x:c r="N6" s="18" t="str">
        <x:v>24 h</x:v>
      </x:c>
      <x:c r="O6" s="18" t="str">
        <x:v>High</x:v>
      </x:c>
      <x:c r="P6" s="18" t="str">
        <x:v>PARTIAL — selected RoB corrected; source-normalized QC rows added</x:v>
      </x:c>
      <x:c r="Q6" s="18" t="str">
        <x:v>Pain source format remains ambiguous; actual 24-h opioid consumption not reported</x:v>
      </x:c>
      <x:c r="R6" s="18" t="str">
        <x:v>SOURCE-NORMALIZED OUTCOME ROWS ADDED</x:v>
      </x:c>
      <x:c r="S6" s="18" t="str">
        <x:v>Source PDF / supplement / protocol / registration &gt; reconciled source extraction &gt; derivative model output</x:v>
      </x:c>
      <x:c r="T6" s="18" t="str">
        <x:v>https://drive.google.com/drive/folders/1EWdZyTQjPSuoxt8n1nIr1t8D98PC-mso</x:v>
      </x:c>
      <x:c r="U6" s="18" t="str">
        <x:v>https://docs.google.com/document/d/1hR0UuZSmPpwZi384Vzn3sZt5Y5_ZwYxW6b3u4nq2-40/edit</x:v>
      </x:c>
      <x:c r="V6" t="n">
        <x:f>COUNTIF(Outcome_Data!$A:$A,A6)</x:f>
        <x:v>2</x:v>
      </x:c>
    </x:row>
    <x:row r="7">
      <x:c r="A7" s="18" t="str">
        <x:v>Zhang 2025</x:v>
      </x:c>
      <x:c r="B7" s="18" t="str">
        <x:v>Batch 15</x:v>
      </x:c>
      <x:c r="C7" s="18" t="str">
        <x:v>FULL REPLACEMENT</x:v>
      </x:c>
      <x:c r="D7" s="18" t="str">
        <x:v>Changes surgery, sample, acupoints/schedule and pain/opioid results.</x:v>
      </x:c>
      <x:c r="E7" s="18" t="str"/>
      <x:c r="F7" s="18" t="str">
        <x:v>Zhang 2025</x:v>
      </x:c>
      <x:c r="G7" s="18" t="str">
        <x:v>71</x:v>
      </x:c>
      <x:c r="H7" s="18" t="str">
        <x:v>1879896013</x:v>
      </x:c>
      <x:c r="I7" s="18" t="str">
        <x:v>**Cumulative postoperative systemic opioid consumption at 24h (total sufentanil in IV MME) (PRIMARY)**: TEAS (n=45) 50.53 ± 4.46 mg vs Control Sham TEAS (n=4...</x:v>
      </x:c>
      <x:c r="J7" s="18" t="str">
        <x:v>Yes</x:v>
      </x:c>
      <x:c r="K7" s="18" t="str">
        <x:v>Yes</x:v>
      </x:c>
      <x:c r="L7" s="18" t="str">
        <x:v>Yes</x:v>
      </x:c>
      <x:c r="M7" s="18" t="str">
        <x:v>Total sufentanil consumption</x:v>
      </x:c>
      <x:c r="N7" s="18" t="str">
        <x:v>POD1 (~24 h)</x:v>
      </x:c>
      <x:c r="O7" s="18" t="str">
        <x:v>High</x:v>
      </x:c>
      <x:c r="P7" s="18" t="str">
        <x:v>PARTIAL — selected RoB corrected; source-normalized outcomes added</x:v>
      </x:c>
      <x:c r="Q7" s="18" t="str">
        <x:v>POD1 sufentanil is directly reported but strict 0-24-h clock window needs confirmation</x:v>
      </x:c>
      <x:c r="R7" s="18" t="str">
        <x:v>SOURCE-NORMALIZED OUTCOME ROWS ADDED</x:v>
      </x:c>
      <x:c r="S7" s="18" t="str">
        <x:v>Source PDF / supplement / protocol / registration &gt; reconciled source extraction &gt; derivative model output</x:v>
      </x:c>
      <x:c r="T7" s="18" t="str">
        <x:v>https://drive.google.com/drive/folders/1EWdZyTQjPSuoxt8n1nIr1t8D98PC-mso</x:v>
      </x:c>
      <x:c r="U7" s="18" t="str">
        <x:v>https://docs.google.com/document/d/1hR0UuZSmPpwZi384Vzn3sZt5Y5_ZwYxW6b3u4nq2-40/edit</x:v>
      </x:c>
      <x:c r="V7" t="n">
        <x:f>COUNTIF(Outcome_Data!$A:$A,A7)</x:f>
        <x:v>3</x:v>
      </x:c>
    </x:row>
    <x:row r="8">
      <x:c r="A8" s="18" t="str">
        <x:v>Zhang 2023</x:v>
      </x:c>
      <x:c r="B8" s="18" t="str">
        <x:v>Batch 12</x:v>
      </x:c>
      <x:c r="C8" s="18" t="str">
        <x:v>FULL REPLACEMENT</x:v>
      </x:c>
      <x:c r="D8" s="18" t="str">
        <x:v>Changes sample/analysis/intervention and fabricates first-voiding result.</x:v>
      </x:c>
      <x:c r="E8" s="18" t="str"/>
      <x:c r="F8" s="18" t="str">
        <x:v>Zhang 2023</x:v>
      </x:c>
      <x:c r="G8" s="18" t="str">
        <x:v>308</x:v>
      </x:c>
      <x:c r="H8" s="18" t="str">
        <x:v>1879896412</x:v>
      </x:c>
      <x:c r="I8" s="18" t="str">
        <x:v>**Cumulative postoperative systemic opioid consumption within 48h (IV MME)**: TEAS (n=922) median 110.0 mg (IQR 80.0-110.0) vs Sham TEAS (n=916) median 110.0...</x:v>
      </x:c>
      <x:c r="J8" s="18" t="str">
        <x:v>Yes</x:v>
      </x:c>
      <x:c r="K8" s="18" t="str">
        <x:v>Yes</x:v>
      </x:c>
      <x:c r="L8" s="18" t="str">
        <x:v>Yes</x:v>
      </x:c>
      <x:c r="M8" s="18" t="str">
        <x:v>Time to first spontaneous void</x:v>
      </x:c>
      <x:c r="N8" s="18" t="str">
        <x:v>Postoperative</x:v>
      </x:c>
      <x:c r="O8" s="18" t="str">
        <x:v>High</x:v>
      </x:c>
      <x:c r="P8" s="18" t="str">
        <x:v>PARTIAL — selected RoB corrected; source-normalized urinary/opioid rows added</x:v>
      </x:c>
      <x:c r="Q8" s="18" t="str">
        <x:v>Use Table 2 median 7.1 h for sham; 24-h opioid dose remains unavailable</x:v>
      </x:c>
      <x:c r="R8" s="18" t="str">
        <x:v>SOURCE-NORMALIZED OUTCOME ROWS ADDED</x:v>
      </x:c>
      <x:c r="S8" s="18" t="str">
        <x:v>Source PDF / supplement / protocol / registration &gt; reconciled source extraction &gt; derivative model output</x:v>
      </x:c>
      <x:c r="T8" s="18" t="str">
        <x:v>https://drive.google.com/drive/folders/1EWdZyTQjPSuoxt8n1nIr1t8D98PC-mso</x:v>
      </x:c>
      <x:c r="U8" s="18" t="str">
        <x:v>https://docs.google.com/document/d/1hR0UuZSmPpwZi384Vzn3sZt5Y5_ZwYxW6b3u4nq2-40/edit</x:v>
      </x:c>
      <x:c r="V8" t="n">
        <x:f>COUNTIF(Outcome_Data!$A:$A,A8)</x:f>
        <x:v>5</x:v>
      </x:c>
    </x:row>
    <x:row r="9">
      <x:c r="A9" s="18" t="str">
        <x:v>Zhang 2014</x:v>
      </x:c>
      <x:c r="B9" s="18" t="str">
        <x:v>Batch 4</x:v>
      </x:c>
      <x:c r="C9" s="18" t="str">
        <x:v>FULL REPLACEMENT</x:v>
      </x:c>
      <x:c r="D9" s="18" t="str">
        <x:v>RoB describes a different trial and QoR-40 endpoint.</x:v>
      </x:c>
      <x:c r="E9" s="18" t="str"/>
      <x:c r="F9" s="18" t="str">
        <x:v>Zhang 2014</x:v>
      </x:c>
      <x:c r="G9" s="18" t="str">
        <x:v>711</x:v>
      </x:c>
      <x:c r="H9" s="18" t="str">
        <x:v>1879897091</x:v>
      </x:c>
      <x:c r="I9" s="18" t="str">
        <x:v>**Intraoperative systemic remifentanil consumption rate (µg/kg/min)**: TEAS (n=33) 0.06 ± 0.02 vs Sham TEAS (n=32) 0.09 ± 0.03 (P = 0.01*) [MD -0.03, 95% CI ...</x:v>
      </x:c>
      <x:c r="J9" s="18" t="str">
        <x:v>Yes</x:v>
      </x:c>
      <x:c r="K9" s="18" t="str">
        <x:v>Yes</x:v>
      </x:c>
      <x:c r="L9" s="18" t="str">
        <x:v>Yes</x:v>
      </x:c>
      <x:c r="M9" s="18" t="str">
        <x:v>Recovery-room stay</x:v>
      </x:c>
      <x:c r="N9" s="18" t="str">
        <x:v>Recovery-room discharge</x:v>
      </x:c>
      <x:c r="O9" s="18" t="str">
        <x:v>Some concerns</x:v>
      </x:c>
      <x:c r="P9" s="18" t="str">
        <x:v>PARTIAL — selected RoB corrected; source-normalized recovery/intraop-opioid rows added</x:v>
      </x:c>
      <x:c r="Q9" s="18" t="str">
        <x:v>Use flowchart 65 randomized/analyzed; no exact postoperative 24-h opioid total</x:v>
      </x:c>
      <x:c r="R9" s="18" t="str">
        <x:v>SOURCE-NORMALIZED OUTCOME ROWS ADDED</x:v>
      </x:c>
      <x:c r="S9" s="18" t="str">
        <x:v>Source PDF / supplement / protocol / registration &gt; reconciled source extraction &gt; derivative model output</x:v>
      </x:c>
      <x:c r="T9" s="18" t="str">
        <x:v>https://drive.google.com/drive/folders/1EWdZyTQjPSuoxt8n1nIr1t8D98PC-mso</x:v>
      </x:c>
      <x:c r="U9" s="18" t="str">
        <x:v>https://docs.google.com/document/d/1hR0UuZSmPpwZi384Vzn3sZt5Y5_ZwYxW6b3u4nq2-40/edit</x:v>
      </x:c>
      <x:c r="V9" t="n">
        <x:f>COUNTIF(Outcome_Data!$A:$A,A9)</x:f>
        <x:v>5</x:v>
      </x:c>
    </x:row>
    <x:row r="10">
      <x:c r="A10" s="18" t="str">
        <x:v>Yu 2020</x:v>
      </x:c>
      <x:c r="B10" s="18" t="str">
        <x:v>Batch 6</x:v>
      </x:c>
      <x:c r="C10" s="18" t="str">
        <x:v>FULL REPLACEMENT</x:v>
      </x:c>
      <x:c r="D10" s="18" t="str">
        <x:v>Changes protocol/result and incorrectly treats retrospective registration as prospective.</x:v>
      </x:c>
      <x:c r="E10" s="18" t="str"/>
      <x:c r="F10" s="18" t="str">
        <x:v>Yu 2020</x:v>
      </x:c>
      <x:c r="G10" s="18" t="str">
        <x:v>483</x:v>
      </x:c>
      <x:c r="H10" s="18" t="str">
        <x:v>1879896692</x:v>
      </x:c>
      <x:c r="I10" s="18" t="str">
        <x:v>**Pain intensity at rest at 24h (VAS 0-10) (PRIMARY)**: TEAS (n=30) 3.70 ± 1.53 vs Con Sham TEAS (n=30) 4.73 ± 1.53 (P &lt; 0.05*) [MD -1.03, 95% CI -1.81 to -0...</x:v>
      </x:c>
      <x:c r="J10" s="18" t="str">
        <x:v>Yes</x:v>
      </x:c>
      <x:c r="K10" s="18" t="str">
        <x:v>Yes</x:v>
      </x:c>
      <x:c r="L10" s="18" t="str">
        <x:v>Yes</x:v>
      </x:c>
      <x:c r="M10" s="18" t="str">
        <x:v>Global QoR-40</x:v>
      </x:c>
      <x:c r="N10" s="18" t="str">
        <x:v>POD1 (~24 h)</x:v>
      </x:c>
      <x:c r="O10" s="18" t="str">
        <x:v>High</x:v>
      </x:c>
      <x:c r="P10" s="18" t="str">
        <x:v>PARTIALLY READY — corrected RoB available for one selected result; confirm outcome matches planned synthesis</x:v>
      </x:c>
      <x:c r="Q10" s="18" t="str">
        <x:v>Use source data; DO NOT use original stored RoB. Rebuild result-specific RoB.</x:v>
      </x:c>
      <x:c r="R10" s="18" t="str">
        <x:v>Candidate summary from Antigravity report; use only after source-level confirmation</x:v>
      </x:c>
      <x:c r="S10" s="18" t="str">
        <x:v>Source PDF / supplement / protocol / registration &gt; reconciled source extraction &gt; derivative model output</x:v>
      </x:c>
      <x:c r="T10" s="18" t="str">
        <x:v>https://drive.google.com/drive/folders/1EWdZyTQjPSuoxt8n1nIr1t8D98PC-mso</x:v>
      </x:c>
      <x:c r="U10" s="18" t="str">
        <x:v>https://docs.google.com/document/d/1hR0UuZSmPpwZi384Vzn3sZt5Y5_ZwYxW6b3u4nq2-40/edit</x:v>
      </x:c>
      <x:c r="V10" t="n">
        <x:f>COUNTIF(Outcome_Data!$A:$A,A10)</x:f>
        <x:v>1</x:v>
      </x:c>
    </x:row>
    <x:row r="11">
      <x:c r="A11" s="18" t="str">
        <x:v>Yeh 2010</x:v>
      </x:c>
      <x:c r="B11" s="18" t="str">
        <x:v>Batch 2</x:v>
      </x:c>
      <x:c r="C11" s="18" t="str">
        <x:v>SPECIAL / SOURCE-QC</x:v>
      </x:c>
      <x:c r="D11" s="18" t="str">
        <x:v>Probable/possible cohort overlap with Yeh 2011; epidural morphine route requires clarification before systemic MME use.</x:v>
      </x:c>
      <x:c r="E11" s="18" t="str"/>
      <x:c r="F11" s="18" t="str">
        <x:v>Yeh 2010</x:v>
      </x:c>
      <x:c r="G11" s="18" t="str">
        <x:v>828</x:v>
      </x:c>
      <x:c r="H11" s="18" t="str">
        <x:v>1879897280</x:v>
      </x:c>
      <x:c r="I11" s="18" t="str">
        <x:v>**Cumulative postoperative systemic opioid consumption at 24h (PRIMARY)**: AES (n=30) 19.3 ± 9.7 mg vs Sham AES (n=30) 21.6 ± 13.1 mg (P = 0.443) [MD -2.30 m...</x:v>
      </x:c>
      <x:c r="J11" s="18" t="str">
        <x:v>Yes</x:v>
      </x:c>
      <x:c r="K11" s="18" t="str">
        <x:v>Yes</x:v>
      </x:c>
      <x:c r="L11" s="18" t="str">
        <x:v>No</x:v>
      </x:c>
      <x:c r="M11" s="18" t="str"/>
      <x:c r="N11" s="18" t="str"/>
      <x:c r="O11" s="18" t="str"/>
      <x:c r="P11" s="18" t="str">
        <x:v>SOURCE-QC REQUIRED</x:v>
      </x:c>
      <x:c r="Q11" s="18" t="str">
        <x:v>Follow study-specific source-QC note before analysis; do not assume original derivative is safe.</x:v>
      </x:c>
      <x:c r="R11" s="18" t="str">
        <x:v>Candidate summary from Antigravity report; use only after source-level confirmation</x:v>
      </x:c>
      <x:c r="S11" s="18" t="str">
        <x:v>Source PDF / supplement / protocol / registration &gt; reconciled source extraction &gt; derivative model output</x:v>
      </x:c>
      <x:c r="T11" s="18" t="str">
        <x:v>https://drive.google.com/drive/folders/1EWdZyTQjPSuoxt8n1nIr1t8D98PC-mso</x:v>
      </x:c>
      <x:c r="U11" s="18" t="str">
        <x:v>https://docs.google.com/document/d/1hR0UuZSmPpwZi384Vzn3sZt5Y5_ZwYxW6b3u4nq2-40/edit</x:v>
      </x:c>
      <x:c r="V11" t="n">
        <x:f>COUNTIF(Outcome_Data!$A:$A,A11)</x:f>
        <x:v>0</x:v>
      </x:c>
    </x:row>
    <x:row r="12">
      <x:c r="A12" s="18" t="str">
        <x:v>Yeh 2011</x:v>
      </x:c>
      <x:c r="B12" s="18" t="str">
        <x:v>Batch 2</x:v>
      </x:c>
      <x:c r="C12" s="18" t="str">
        <x:v>SPECIAL / SOURCE-QC</x:v>
      </x:c>
      <x:c r="D12" s="18" t="str">
        <x:v>Possible cohort overlap with Yeh 2010; do not count both as independent until resolved.</x:v>
      </x:c>
      <x:c r="E12" s="18" t="str">
        <x:v>Yeh 2010 (ATHM) → Yeh 2011</x:v>
      </x:c>
      <x:c r="F12" s="18" t="str">
        <x:v>Yeh 2010 (ATHM)</x:v>
      </x:c>
      <x:c r="G12" s="18" t="str">
        <x:v>823</x:v>
      </x:c>
      <x:c r="H12" s="18" t="str">
        <x:v>1879897273</x:v>
      </x:c>
      <x:c r="I12" s="18" t="str">
        <x:v>**Cumulative postoperative systemic opioid consumption at 24h (PRIMARY)**: EG1 True AES (n=33) 18.6 ± 9.7 mg vs EG2 Sham AES (n=30) 21.6 ± 13.1 mg (P = 0.364...</x:v>
      </x:c>
      <x:c r="J12" s="18" t="str">
        <x:v>Yes</x:v>
      </x:c>
      <x:c r="K12" s="18" t="str">
        <x:v>Yes</x:v>
      </x:c>
      <x:c r="L12" s="18" t="str">
        <x:v>No</x:v>
      </x:c>
      <x:c r="M12" s="18" t="str"/>
      <x:c r="N12" s="18" t="str"/>
      <x:c r="O12" s="18" t="str"/>
      <x:c r="P12" s="18" t="str">
        <x:v>SOURCE-QC REQUIRED</x:v>
      </x:c>
      <x:c r="Q12" s="18" t="str">
        <x:v>Follow study-specific source-QC note before analysis; do not assume original derivative is safe.</x:v>
      </x:c>
      <x:c r="R12" s="18" t="str">
        <x:v>Candidate summary from Antigravity report; use only after source-level confirmation</x:v>
      </x:c>
      <x:c r="S12" s="18" t="str">
        <x:v>Source PDF / supplement / protocol / registration &gt; reconciled source extraction &gt; derivative model output</x:v>
      </x:c>
      <x:c r="T12" s="18" t="str">
        <x:v>https://drive.google.com/drive/folders/1EWdZyTQjPSuoxt8n1nIr1t8D98PC-mso</x:v>
      </x:c>
      <x:c r="U12" s="18" t="str">
        <x:v>https://docs.google.com/document/d/1hR0UuZSmPpwZi384Vzn3sZt5Y5_ZwYxW6b3u4nq2-40/edit</x:v>
      </x:c>
      <x:c r="V12" t="n">
        <x:f>COUNTIF(Outcome_Data!$A:$A,A12)</x:f>
        <x:v>0</x:v>
      </x:c>
    </x:row>
    <x:row r="13">
      <x:c r="A13" s="18" t="str">
        <x:v>Yao 2015</x:v>
      </x:c>
      <x:c r="B13" s="18" t="str">
        <x:v>Batch 4</x:v>
      </x:c>
      <x:c r="C13" s="18" t="str">
        <x:v>FULL REPLACEMENT</x:v>
      </x:c>
      <x:c r="D13" s="18" t="str">
        <x:v>RoB changes sample, intervention and QoR-40 values.</x:v>
      </x:c>
      <x:c r="E13" s="18" t="str"/>
      <x:c r="F13" s="18" t="str">
        <x:v>Yao 2015</x:v>
      </x:c>
      <x:c r="G13" s="18" t="str">
        <x:v>671</x:v>
      </x:c>
      <x:c r="H13" s="18" t="str">
        <x:v>1879897026</x:v>
      </x:c>
      <x:c r="I13" s="18" t="str">
        <x:v>**Quality of recovery (QoR-40 global score at 24h) (PRIMARY)**: TEAS (n=35) 176.5 ± 10.2 vs Sham TEAS (n=36) 164.8 ± 14.7 (P &lt; 0.001*) [MD 11.70, 95% CI 5.80...</x:v>
      </x:c>
      <x:c r="J13" s="18" t="str">
        <x:v>Yes</x:v>
      </x:c>
      <x:c r="K13" s="18" t="str">
        <x:v>Yes</x:v>
      </x:c>
      <x:c r="L13" s="18" t="str">
        <x:v>Yes</x:v>
      </x:c>
      <x:c r="M13" s="18" t="str">
        <x:v>Global QoR-40</x:v>
      </x:c>
      <x:c r="N13" s="18" t="str">
        <x:v>24 h</x:v>
      </x:c>
      <x:c r="O13" s="18" t="str">
        <x:v>High</x:v>
      </x:c>
      <x:c r="P13" s="18" t="str">
        <x:v>PARTIALLY READY — corrected RoB available for one selected result; confirm outcome matches planned synthesis</x:v>
      </x:c>
      <x:c r="Q13" s="18" t="str">
        <x:v>Use source data; DO NOT use original stored RoB. Rebuild result-specific RoB.</x:v>
      </x:c>
      <x:c r="R13" s="18" t="str">
        <x:v>Candidate summary from Antigravity report; use only after source-level confirmation</x:v>
      </x:c>
      <x:c r="S13" s="18" t="str">
        <x:v>Source PDF / supplement / protocol / registration &gt; reconciled source extraction &gt; derivative model output</x:v>
      </x:c>
      <x:c r="T13" s="18" t="str">
        <x:v>https://drive.google.com/drive/folders/1EWdZyTQjPSuoxt8n1nIr1t8D98PC-mso</x:v>
      </x:c>
      <x:c r="U13" s="18" t="str">
        <x:v>https://docs.google.com/document/d/1hR0UuZSmPpwZi384Vzn3sZt5Y5_ZwYxW6b3u4nq2-40/edit</x:v>
      </x:c>
      <x:c r="V13" t="n">
        <x:f>COUNTIF(Outcome_Data!$A:$A,A13)</x:f>
        <x:v>1</x:v>
      </x:c>
    </x:row>
    <x:row r="14">
      <x:c r="A14" s="18" t="str">
        <x:v>Yang 2020</x:v>
      </x:c>
      <x:c r="B14" s="18" t="str">
        <x:v>Batch 20</x:v>
      </x:c>
      <x:c r="C14" s="18" t="str">
        <x:v>FULL REPLACEMENT</x:v>
      </x:c>
      <x:c r="D14" s="18" t="str">
        <x:v>Wang-labeled RoB is a fabricated laparoscopic-cholecystectomy sham trial; true source is open-label VATS EA/usual-care study.</x:v>
      </x:c>
      <x:c r="E14" s="18" t="str"/>
      <x:c r="F14" s="18" t="str">
        <x:v>Yang 2020</x:v>
      </x:c>
      <x:c r="G14" s="18" t="str">
        <x:v>464</x:v>
      </x:c>
      <x:c r="H14" s="18" t="str">
        <x:v>1879896661</x:v>
      </x:c>
      <x:c r="I14" s="18" t="str">
        <x:v>**Postoperative nausea incidence 0-24h (PRIMARY)**: EA (n=29) 8/29 (27.59%) vs Usual care (n=28) 8/28 (28.57%) (P = 0.934) [RR 0.97, 95% CI 0.42 to 2.24]. **...</x:v>
      </x:c>
      <x:c r="J14" s="18" t="str">
        <x:v>Yes</x:v>
      </x:c>
      <x:c r="K14" s="18" t="str">
        <x:v>Yes</x:v>
      </x:c>
      <x:c r="L14" s="18" t="str">
        <x:v>Yes</x:v>
      </x:c>
      <x:c r="M14" s="18" t="str">
        <x:v>Time to first postoperative flatus</x:v>
      </x:c>
      <x:c r="N14" s="18" t="str">
        <x:v>Time to event</x:v>
      </x:c>
      <x:c r="O14" s="18" t="str">
        <x:v>Some concerns</x:v>
      </x:c>
      <x:c r="P14" s="18" t="str">
        <x:v>PARTIALLY READY — corrected RoB available for one selected result; confirm outcome matches planned synthesis</x:v>
      </x:c>
      <x:c r="Q14" s="18" t="str">
        <x:v>Use source data; DO NOT use original stored RoB. Rebuild result-specific RoB.</x:v>
      </x:c>
      <x:c r="R14" s="18" t="str">
        <x:v>Candidate summary from Antigravity report; use only after source-level confirmation</x:v>
      </x:c>
      <x:c r="S14" s="18" t="str">
        <x:v>Source PDF / supplement / protocol / registration &gt; reconciled source extraction &gt; derivative model output</x:v>
      </x:c>
      <x:c r="T14" s="18" t="str">
        <x:v>https://drive.google.com/drive/folders/1EWdZyTQjPSuoxt8n1nIr1t8D98PC-mso</x:v>
      </x:c>
      <x:c r="U14" s="18" t="str">
        <x:v>https://docs.google.com/document/d/1hR0UuZSmPpwZi384Vzn3sZt5Y5_ZwYxW6b3u4nq2-40/edit</x:v>
      </x:c>
      <x:c r="V14" t="n">
        <x:f>COUNTIF(Outcome_Data!$A:$A,A14)</x:f>
        <x:v>1</x:v>
      </x:c>
    </x:row>
    <x:row r="15">
      <x:c r="A15" s="18" t="str">
        <x:v>Yang 2024</x:v>
      </x:c>
      <x:c r="B15" s="18" t="str">
        <x:v>Batch 14</x:v>
      </x:c>
      <x:c r="C15" s="18" t="str">
        <x:v>FULL REPLACEMENT</x:v>
      </x:c>
      <x:c r="D15" s="18" t="str">
        <x:v>Zhang-labeled RoB changes study identity, surgery, comparator, blinding and PONV result.</x:v>
      </x:c>
      <x:c r="E15" s="18" t="str">
        <x:v>Yang 2023 → Yang 2024</x:v>
      </x:c>
      <x:c r="F15" s="18" t="str">
        <x:v>Yang 2023</x:v>
      </x:c>
      <x:c r="G15" s="18" t="str">
        <x:v>252</x:v>
      </x:c>
      <x:c r="H15" s="18" t="str">
        <x:v>1879896323</x:v>
      </x:c>
      <x:c r="I15" s="18" t="str">
        <x:v>**Cumulative postoperative systemic opioid consumption on POD 1 (24h) (PRIMARY)**: EA (n=90) 43.7 ± 4.7 mg vs Usual care (n=90) 44.0 ± 4.9 mg (P = 0.733) [MD...</x:v>
      </x:c>
      <x:c r="J15" s="18" t="str">
        <x:v>Yes</x:v>
      </x:c>
      <x:c r="K15" s="18" t="str">
        <x:v>Yes</x:v>
      </x:c>
      <x:c r="L15" s="18" t="str">
        <x:v>Yes</x:v>
      </x:c>
      <x:c r="M15" s="18" t="str">
        <x:v>Morphine use via IV PCA</x:v>
      </x:c>
      <x:c r="N15" s="18" t="str">
        <x:v>First 24 h / POD1</x:v>
      </x:c>
      <x:c r="O15" s="18" t="str">
        <x:v>Some concerns</x:v>
      </x:c>
      <x:c r="P15" s="18" t="str">
        <x:v>PARTIAL — selected RoB corrected; exact 24-h morphine row added</x:v>
      </x:c>
      <x:c r="Q15" s="18" t="str">
        <x:v>Exact 24-h morphine endpoint is directly usable; retain open-label design in interpretation</x:v>
      </x:c>
      <x:c r="R15" s="18" t="str">
        <x:v>SOURCE-NORMALIZED OUTCOME ROWS ADDED</x:v>
      </x:c>
      <x:c r="S15" s="18" t="str">
        <x:v>Source PDF / supplement / protocol / registration &gt; reconciled source extraction &gt; derivative model output</x:v>
      </x:c>
      <x:c r="T15" s="18" t="str">
        <x:v>https://drive.google.com/drive/folders/1EWdZyTQjPSuoxt8n1nIr1t8D98PC-mso</x:v>
      </x:c>
      <x:c r="U15" s="18" t="str">
        <x:v>https://docs.google.com/document/d/1hR0UuZSmPpwZi384Vzn3sZt5Y5_ZwYxW6b3u4nq2-40/edit</x:v>
      </x:c>
      <x:c r="V15" t="n">
        <x:f>COUNTIF(Outcome_Data!$A:$A,A15)</x:f>
        <x:v>4</x:v>
      </x:c>
    </x:row>
    <x:row r="16">
      <x:c r="A16" s="18" t="str">
        <x:v>Xiong 2021</x:v>
      </x:c>
      <x:c r="B16" s="18" t="str">
        <x:v>Batch 7</x:v>
      </x:c>
      <x:c r="C16" s="18" t="str">
        <x:v>RE-ADJUDICATE</x:v>
      </x:c>
      <x:c r="D16" s="18" t="str">
        <x:v>Correct study/result, but cointervention doses, caregiver awareness, baseline evidence and prespecification handling are wrong.</x:v>
      </x:c>
      <x:c r="E16" s="18" t="str"/>
      <x:c r="F16" s="18" t="str">
        <x:v>Xiong 2021</x:v>
      </x:c>
      <x:c r="G16" s="18" t="str">
        <x:v>431</x:v>
      </x:c>
      <x:c r="H16" s="18" t="str">
        <x:v>1879896608</x:v>
      </x:c>
      <x:c r="I16" s="18" t="str">
        <x:v>**Composite PONV incidence 0-24h (PRIMARY)**: TEAS (n=31) 12/31 (38.7%) vs Sham TEAS (n=31) 24/31 (77.4%) (P = 0.002*) [RR 0.50, 95% CI 0.31 to 0.81]. **Comp...</x:v>
      </x:c>
      <x:c r="J16" s="18" t="str">
        <x:v>Yes</x:v>
      </x:c>
      <x:c r="K16" s="18" t="str">
        <x:v>Yes</x:v>
      </x:c>
      <x:c r="L16" s="18" t="str">
        <x:v>Yes</x:v>
      </x:c>
      <x:c r="M16" s="18" t="str">
        <x:v>Any PONV</x:v>
      </x:c>
      <x:c r="N16" s="18" t="str">
        <x:v>Within 48 h</x:v>
      </x:c>
      <x:c r="O16" s="18" t="str">
        <x:v>Some concerns</x:v>
      </x:c>
      <x:c r="P16" s="18" t="str">
        <x:v>PARTIAL — source-matched RoB re-adjudicated; PONV/opioid rows added</x:v>
      </x:c>
      <x:c r="Q16" s="18" t="str">
        <x:v>48-h PONV usable; postoperative opioid-equivalent window remains unclear</x:v>
      </x:c>
      <x:c r="R16" s="18" t="str">
        <x:v>SOURCE-NORMALIZED OUTCOME ROWS ADDED</x:v>
      </x:c>
      <x:c r="S16" s="18" t="str">
        <x:v>Source PDF / supplement / protocol / registration &gt; reconciled source extraction &gt; derivative model output</x:v>
      </x:c>
      <x:c r="T16" s="18" t="str">
        <x:v>https://drive.google.com/drive/folders/1EWdZyTQjPSuoxt8n1nIr1t8D98PC-mso</x:v>
      </x:c>
      <x:c r="U16" s="18" t="str">
        <x:v>https://docs.google.com/document/d/1hR0UuZSmPpwZi384Vzn3sZt5Y5_ZwYxW6b3u4nq2-40/edit</x:v>
      </x:c>
      <x:c r="V16" t="n">
        <x:f>COUNTIF(Outcome_Data!$A:$A,A16)</x:f>
        <x:v>5</x:v>
      </x:c>
    </x:row>
    <x:row r="17">
      <x:c r="A17" s="18" t="str">
        <x:v>Xing 2022</x:v>
      </x:c>
      <x:c r="B17" s="18" t="str">
        <x:v>Batch 10</x:v>
      </x:c>
      <x:c r="C17" s="18" t="str">
        <x:v>FULL REPLACEMENT</x:v>
      </x:c>
      <x:c r="D17" s="18" t="str">
        <x:v>Attached Wang RoB is a different colorectal trial with fabricated flatus values.</x:v>
      </x:c>
      <x:c r="E17" s="18" t="str"/>
      <x:c r="F17" s="18" t="str">
        <x:v>Xing 2022</x:v>
      </x:c>
      <x:c r="G17" s="18" t="str">
        <x:v>338</x:v>
      </x:c>
      <x:c r="H17" s="18" t="str">
        <x:v>1879896460</x:v>
      </x:c>
      <x:c r="I17" s="18" t="str">
        <x:v>**Pain intensity at rest at 24h (PRIMARY)**: TEAS+TAPB (n=29) 1.18 ± 0.42 vs Sham TEAS+TAPB (n=29) 1.40 ± 0.52 (P &lt; 0.05*) [MD -0.22, 95% CI -0.46 to 0.02]; ...</x:v>
      </x:c>
      <x:c r="J17" s="18" t="str">
        <x:v>Yes</x:v>
      </x:c>
      <x:c r="K17" s="18" t="str">
        <x:v>Yes</x:v>
      </x:c>
      <x:c r="L17" s="18" t="str">
        <x:v>Yes</x:v>
      </x:c>
      <x:c r="M17" s="18" t="str">
        <x:v>Total intraoperative remifentanil consumption</x:v>
      </x:c>
      <x:c r="N17" s="18" t="str">
        <x:v>Intraoperative</x:v>
      </x:c>
      <x:c r="O17" s="18" t="str">
        <x:v>Some concerns</x:v>
      </x:c>
      <x:c r="P17" s="18" t="str">
        <x:v>PARTIAL — selected RoB corrected; three-arm incremental TEAS rows added</x:v>
      </x:c>
      <x:c r="Q17" s="18" t="str">
        <x:v>Use NTG vs NG for TEAS-specific effect; exact 24-h postoperative sufentanil remains unavailable</x:v>
      </x:c>
      <x:c r="R17" s="18" t="str">
        <x:v>SOURCE-NORMALIZED OUTCOME ROWS ADDED</x:v>
      </x:c>
      <x:c r="S17" s="18" t="str">
        <x:v>Source PDF / supplement / protocol / registration &gt; reconciled source extraction &gt; derivative model output</x:v>
      </x:c>
      <x:c r="T17" s="18" t="str">
        <x:v>https://drive.google.com/drive/folders/1EWdZyTQjPSuoxt8n1nIr1t8D98PC-mso</x:v>
      </x:c>
      <x:c r="U17" s="18" t="str">
        <x:v>https://docs.google.com/document/d/1hR0UuZSmPpwZi384Vzn3sZt5Y5_ZwYxW6b3u4nq2-40/edit</x:v>
      </x:c>
      <x:c r="V17" t="n">
        <x:f>COUNTIF(Outcome_Data!$A:$A,A17)</x:f>
        <x:v>6</x:v>
      </x:c>
    </x:row>
    <x:row r="18">
      <x:c r="A18" s="18" t="str">
        <x:v>Xie 2014</x:v>
      </x:c>
      <x:c r="B18" s="18" t="str">
        <x:v>Batch 4</x:v>
      </x:c>
      <x:c r="C18" s="18" t="str">
        <x:v>FULL REPLACEMENT</x:v>
      </x:c>
      <x:c r="D18" s="18" t="str">
        <x:v>Stored RoB describes a different laparoscopic-cholecystectomy trial/result.</x:v>
      </x:c>
      <x:c r="E18" s="18" t="str"/>
      <x:c r="F18" s="18" t="str">
        <x:v>Xie 2014</x:v>
      </x:c>
      <x:c r="G18" s="18" t="str">
        <x:v>701</x:v>
      </x:c>
      <x:c r="H18" s="18" t="str">
        <x:v>1879897074</x:v>
      </x:c>
      <x:c r="I18" s="18" t="str">
        <x:v>**Cumulative postoperative systemic opioid consumption through POD 3 (PRIMARY)**: EAS (n=20) 115.0 ± 6.0 µg vs Sham EA (n=20) 133.5 ± 7.0 µg (P &lt; 0.05*) [MD ...</x:v>
      </x:c>
      <x:c r="J18" s="18" t="str">
        <x:v>Yes</x:v>
      </x:c>
      <x:c r="K18" s="18" t="str">
        <x:v>Yes</x:v>
      </x:c>
      <x:c r="L18" s="18" t="str">
        <x:v>Yes</x:v>
      </x:c>
      <x:c r="M18" s="18" t="str">
        <x:v>Total postoperative/perioperative sufentanil</x:v>
      </x:c>
      <x:c r="N18" s="18" t="str">
        <x:v>Study PCA period</x:v>
      </x:c>
      <x:c r="O18" s="18" t="str">
        <x:v>Some concerns</x:v>
      </x:c>
      <x:c r="P18" s="18" t="str">
        <x:v>PARTIAL — selected RoB corrected; total-sufentanil and demand rows added</x:v>
      </x:c>
      <x:c r="Q18" s="18" t="str">
        <x:v>Do not relabel total sufentanil as 24-h; preserve three arms and unresolved PCA time window</x:v>
      </x:c>
      <x:c r="R18" s="18" t="str">
        <x:v>SOURCE-NORMALIZED OUTCOME ROWS ADDED</x:v>
      </x:c>
      <x:c r="S18" s="18" t="str">
        <x:v>Source PDF / supplement / protocol / registration &gt; reconciled source extraction &gt; derivative model output</x:v>
      </x:c>
      <x:c r="T18" s="18" t="str">
        <x:v>https://drive.google.com/drive/folders/1EWdZyTQjPSuoxt8n1nIr1t8D98PC-mso</x:v>
      </x:c>
      <x:c r="U18" s="18" t="str">
        <x:v>https://docs.google.com/document/d/1hR0UuZSmPpwZi384Vzn3sZt5Y5_ZwYxW6b3u4nq2-40/edit</x:v>
      </x:c>
      <x:c r="V18" t="n">
        <x:f>COUNTIF(Outcome_Data!$A:$A,A18)</x:f>
        <x:v>4</x:v>
      </x:c>
    </x:row>
    <x:row r="19">
      <x:c r="A19" s="18" t="str">
        <x:v>Wu 2022</x:v>
      </x:c>
      <x:c r="B19" s="18" t="str">
        <x:v>Batch 9</x:v>
      </x:c>
      <x:c r="C19" s="18" t="str">
        <x:v>FULL REPLACEMENT</x:v>
      </x:c>
      <x:c r="D19" s="18" t="str">
        <x:v>Gemini and attached Xiao RoB are cross-contaminated with different studies.</x:v>
      </x:c>
      <x:c r="E19" s="18" t="str"/>
      <x:c r="F19" s="18" t="str">
        <x:v>Wu 2022</x:v>
      </x:c>
      <x:c r="G19" s="18" t="str">
        <x:v>332</x:v>
      </x:c>
      <x:c r="H19" s="18" t="str">
        <x:v>1879896450</x:v>
      </x:c>
      <x:c r="I19" s="18" t="str">
        <x:v>**Pain intensity at 24h (PRIMARY)**: pTEAS (n=44) 1.77 ± 0.91 vs Control (n=40) 2.25 ± 0.71 (P = 0.009*) [MD -0.48, 95% CI -0.83 to -0.13]. **Pain intensity ...</x:v>
      </x:c>
      <x:c r="J19" s="18" t="str">
        <x:v>Yes</x:v>
      </x:c>
      <x:c r="K19" s="18" t="str">
        <x:v>Yes</x:v>
      </x:c>
      <x:c r="L19" s="18" t="str">
        <x:v>Yes</x:v>
      </x:c>
      <x:c r="M19" s="18" t="str">
        <x:v>VAS pain intensity</x:v>
      </x:c>
      <x:c r="N19" s="18" t="str">
        <x:v>POD1</x:v>
      </x:c>
      <x:c r="O19" s="18" t="str">
        <x:v>High</x:v>
      </x:c>
      <x:c r="P19" s="18" t="str">
        <x:v>PARTIAL — selected RoB corrected; pain/intraop-opioid rows added</x:v>
      </x:c>
      <x:c r="Q19" s="18" t="str">
        <x:v>Do not infer 24-h postoperative opioid consumption; asymmetric attrition materially affects subjective outcomes</x:v>
      </x:c>
      <x:c r="R19" s="18" t="str">
        <x:v>SOURCE-NORMALIZED OUTCOME ROWS ADDED</x:v>
      </x:c>
      <x:c r="S19" s="18" t="str">
        <x:v>Source PDF / supplement / protocol / registration &gt; reconciled source extraction &gt; derivative model output</x:v>
      </x:c>
      <x:c r="T19" s="18" t="str">
        <x:v>https://drive.google.com/drive/folders/1EWdZyTQjPSuoxt8n1nIr1t8D98PC-mso</x:v>
      </x:c>
      <x:c r="U19" s="18" t="str">
        <x:v>https://docs.google.com/document/d/1hR0UuZSmPpwZi384Vzn3sZt5Y5_ZwYxW6b3u4nq2-40/edit</x:v>
      </x:c>
      <x:c r="V19" t="n">
        <x:f>COUNTIF(Outcome_Data!$A:$A,A19)</x:f>
        <x:v>4</x:v>
      </x:c>
    </x:row>
    <x:row r="20">
      <x:c r="A20" s="18" t="str">
        <x:v>Wu 2025</x:v>
      </x:c>
      <x:c r="B20" s="18" t="str">
        <x:v>Batch 15</x:v>
      </x:c>
      <x:c r="C20" s="18" t="str">
        <x:v>FULL REPLACEMENT</x:v>
      </x:c>
      <x:c r="D20" s="18" t="str">
        <x:v>Changes surgery/protocol, pain values and falsely claims complete 24-h follow-up.</x:v>
      </x:c>
      <x:c r="E20" s="18" t="str"/>
      <x:c r="F20" s="18" t="str">
        <x:v>Wu 2025</x:v>
      </x:c>
      <x:c r="G20" s="18" t="str">
        <x:v>122</x:v>
      </x:c>
      <x:c r="H20" s="18" t="str">
        <x:v>1879896116</x:v>
      </x:c>
      <x:c r="I20" s="18" t="str">
        <x:v>**Pain intensity at rest at 24h (PRIMARY)**: TEAS (n=50) 1.7 ± 0.9 vs Sham TEAS (n=50) 4.0 ± 1.4 (P &lt; 0.001*) [MD -2.30, 95% CI -2.76 to -1.84]. **Pain inten...</x:v>
      </x:c>
      <x:c r="J20" s="18" t="str">
        <x:v>Yes</x:v>
      </x:c>
      <x:c r="K20" s="18" t="str">
        <x:v>Yes</x:v>
      </x:c>
      <x:c r="L20" s="18" t="str">
        <x:v>Yes</x:v>
      </x:c>
      <x:c r="M20" s="18" t="str">
        <x:v>VAS pain intensity</x:v>
      </x:c>
      <x:c r="N20" s="18" t="str">
        <x:v>24 h</x:v>
      </x:c>
      <x:c r="O20" s="18" t="str">
        <x:v>High</x:v>
      </x:c>
      <x:c r="P20" s="18" t="str">
        <x:v>PARTIAL — selected RoB corrected; exact 24-h pain and missing-opioid rows added</x:v>
      </x:c>
      <x:c r="Q20" s="18" t="str">
        <x:v>24-h pain usable with high RoB; continuous 24-h MME cannot be calculated from mixed rescue regimen</x:v>
      </x:c>
      <x:c r="R20" s="18" t="str">
        <x:v>SOURCE-NORMALIZED OUTCOME ROWS ADDED</x:v>
      </x:c>
      <x:c r="S20" s="18" t="str">
        <x:v>Source PDF / supplement / protocol / registration &gt; reconciled source extraction &gt; derivative model output</x:v>
      </x:c>
      <x:c r="T20" s="18" t="str">
        <x:v>https://drive.google.com/drive/folders/1EWdZyTQjPSuoxt8n1nIr1t8D98PC-mso</x:v>
      </x:c>
      <x:c r="U20" s="18" t="str">
        <x:v>https://docs.google.com/document/d/1hR0UuZSmPpwZi384Vzn3sZt5Y5_ZwYxW6b3u4nq2-40/edit</x:v>
      </x:c>
      <x:c r="V20" t="n">
        <x:f>COUNTIF(Outcome_Data!$A:$A,A20)</x:f>
        <x:v>5</x:v>
      </x:c>
    </x:row>
    <x:row r="21">
      <x:c r="A21" s="18" t="str">
        <x:v>Wong 2006</x:v>
      </x:c>
      <x:c r="B21" s="18" t="str">
        <x:v>Batch 3</x:v>
      </x:c>
      <x:c r="C21" s="18" t="str">
        <x:v>SPECIAL / SOURCE-QC</x:v>
      </x:c>
      <x:c r="D21" s="18" t="str">
        <x:v>POD labels are not exact 0–24-h intervals; two sham-only post-randomization exclusions; scheduled non-morphine opioid exposure.</x:v>
      </x:c>
      <x:c r="E21" s="18" t="str"/>
      <x:c r="F21" s="18" t="str">
        <x:v>Wong 2006</x:v>
      </x:c>
      <x:c r="G21" s="18" t="str">
        <x:v>912</x:v>
      </x:c>
      <x:c r="H21" s="18" t="str">
        <x:v>1879897414</x:v>
      </x:c>
      <x:c r="I21" s="18" t="str">
        <x:v>**Postoperative systemic opioid consumption Day 1 (24h) (PRIMARY)**: EA (n=13) 18.0 ± 8.8 mg vs Sham EA (n=12) 18.8 ± 9.8 mg [MD -0.80 mg, 95% CI -8.14 to 6....</x:v>
      </x:c>
      <x:c r="J21" s="18" t="str">
        <x:v>Yes</x:v>
      </x:c>
      <x:c r="K21" s="18" t="str">
        <x:v>Yes</x:v>
      </x:c>
      <x:c r="L21" s="18" t="str">
        <x:v>No</x:v>
      </x:c>
      <x:c r="M21" s="18" t="str"/>
      <x:c r="N21" s="18" t="str"/>
      <x:c r="O21" s="18" t="str"/>
      <x:c r="P21" s="18" t="str">
        <x:v>SOURCE-QC REQUIRED</x:v>
      </x:c>
      <x:c r="Q21" s="18" t="str">
        <x:v>Follow study-specific source-QC note before analysis; do not assume original derivative is safe.</x:v>
      </x:c>
      <x:c r="R21" s="18" t="str">
        <x:v>Candidate summary from Antigravity report; use only after source-level confirmation</x:v>
      </x:c>
      <x:c r="S21" s="18" t="str">
        <x:v>Source PDF / supplement / protocol / registration &gt; reconciled source extraction &gt; derivative model output</x:v>
      </x:c>
      <x:c r="T21" s="18" t="str">
        <x:v>https://drive.google.com/drive/folders/1EWdZyTQjPSuoxt8n1nIr1t8D98PC-mso</x:v>
      </x:c>
      <x:c r="U21" s="18" t="str">
        <x:v>https://docs.google.com/document/d/1hR0UuZSmPpwZi384Vzn3sZt5Y5_ZwYxW6b3u4nq2-40/edit</x:v>
      </x:c>
      <x:c r="V21" t="n">
        <x:f>COUNTIF(Outcome_Data!$A:$A,A21)</x:f>
        <x:v>0</x:v>
      </x:c>
    </x:row>
    <x:row r="22">
      <x:c r="A22" s="18" t="str">
        <x:v>Wang 2023</x:v>
      </x:c>
      <x:c r="B22" s="18" t="str">
        <x:v>Batch 12</x:v>
      </x:c>
      <x:c r="C22" s="18" t="str">
        <x:v>FULL REPLACEMENT</x:v>
      </x:c>
      <x:c r="D22" s="18" t="str">
        <x:v>Stored sleep RoB changes sample, protocol and invents exact graph-only AIS values.</x:v>
      </x:c>
      <x:c r="E22" s="18" t="str"/>
      <x:c r="F22" s="18" t="str">
        <x:v>Wang 2023</x:v>
      </x:c>
      <x:c r="G22" s="18" t="str">
        <x:v>297</x:v>
      </x:c>
      <x:c r="H22" s="18" t="str">
        <x:v>1879896394</x:v>
      </x:c>
      <x:c r="I22" s="18" t="str">
        <x:v>**Pain intensity during activity at 24h (PRIMARY)**: TEAS (n=40) 5.06 ± 0.91 vs Sham TEAS (n=43) 6.04 ± 1.05 (P &lt; 0.05*) [MD -0.98, 95% CI -1.40 to -0.56]. *...</x:v>
      </x:c>
      <x:c r="J22" s="18" t="str">
        <x:v>Yes</x:v>
      </x:c>
      <x:c r="K22" s="18" t="str">
        <x:v>Yes</x:v>
      </x:c>
      <x:c r="L22" s="18" t="str">
        <x:v>Yes</x:v>
      </x:c>
      <x:c r="M22" s="18" t="str">
        <x:v>Postoperative sleep quality (PSQI/AIS)</x:v>
      </x:c>
      <x:c r="N22" s="18" t="str">
        <x:v>POD1</x:v>
      </x:c>
      <x:c r="O22" s="18" t="str">
        <x:v>High</x:v>
      </x:c>
      <x:c r="P22" s="18" t="str">
        <x:v>PARTIAL — selected RoB corrected; graph-only sleep/pain and rescue-dose rows added</x:v>
      </x:c>
      <x:c r="Q22" s="18" t="str">
        <x:v>Do not use fabricated exact AIS/PSQI values; formal digitization or author data required for continuous sleep outcomes</x:v>
      </x:c>
      <x:c r="R22" s="18" t="str">
        <x:v>SOURCE-NORMALIZED OUTCOME ROWS ADDED</x:v>
      </x:c>
      <x:c r="S22" s="18" t="str">
        <x:v>Source PDF / supplement / protocol / registration &gt; reconciled source extraction &gt; derivative model output</x:v>
      </x:c>
      <x:c r="T22" s="18" t="str">
        <x:v>https://drive.google.com/drive/folders/1EWdZyTQjPSuoxt8n1nIr1t8D98PC-mso</x:v>
      </x:c>
      <x:c r="U22" s="18" t="str">
        <x:v>https://docs.google.com/document/d/1hR0UuZSmPpwZi384Vzn3sZt5Y5_ZwYxW6b3u4nq2-40/edit</x:v>
      </x:c>
      <x:c r="V22" t="n">
        <x:f>COUNTIF(Outcome_Data!$A:$A,A22)</x:f>
        <x:v>5</x:v>
      </x:c>
    </x:row>
    <x:row r="23">
      <x:c r="A23" s="18" t="str">
        <x:v>Wang 2024</x:v>
      </x:c>
      <x:c r="B23" s="18" t="str">
        <x:v>Batch 13</x:v>
      </x:c>
      <x:c r="C23" s="18" t="str">
        <x:v>FULL REPLACEMENT</x:v>
      </x:c>
      <x:c r="D23" s="18" t="str">
        <x:v>RoB collapses stratified randomized contrasts and fabricates pooled 24-h PONV result.</x:v>
      </x:c>
      <x:c r="E23" s="18" t="str"/>
      <x:c r="F23" s="18" t="str">
        <x:v>Wang 2024</x:v>
      </x:c>
      <x:c r="G23" s="18" t="str">
        <x:v>212</x:v>
      </x:c>
      <x:c r="H23" s="18" t="str">
        <x:v>1879896259</x:v>
      </x:c>
      <x:c r="I23" s="18" t="str">
        <x:v>**Composite PONV incidence 0–24h (PRIMARY)**: TEAS pooled (n=68) 19/68 (27.9%) vs Sham TEAS pooled (n=70) 30/70 (42.9%) (P = 0.065) [RR 0.65, 95% CI 0.41 to ...</x:v>
      </x:c>
      <x:c r="J23" s="18" t="str">
        <x:v>Yes</x:v>
      </x:c>
      <x:c r="K23" s="18" t="str">
        <x:v>Yes</x:v>
      </x:c>
      <x:c r="L23" s="18" t="str">
        <x:v>Yes</x:v>
      </x:c>
      <x:c r="M23" s="18" t="str">
        <x:v>PONV incidence (SNVP randomized contrast)</x:v>
      </x:c>
      <x:c r="N23" s="18" t="str">
        <x:v>12-24 h</x:v>
      </x:c>
      <x:c r="O23" s="18" t="str">
        <x:v>High</x:v>
      </x:c>
      <x:c r="P23" s="18" t="str">
        <x:v>PARTIAL — selected RoB corrected; stratified PONV/intraop-opioid rows added</x:v>
      </x:c>
      <x:c r="Q23" s="18" t="str">
        <x:v>Never pool SNVP and MNVP into a single randomized TEAS contrast; postoperative opioid endpoint absent</x:v>
      </x:c>
      <x:c r="R23" s="18" t="str">
        <x:v>SOURCE-NORMALIZED OUTCOME ROWS ADDED</x:v>
      </x:c>
      <x:c r="S23" s="18" t="str">
        <x:v>Source PDF / supplement / protocol / registration &gt; reconciled source extraction &gt; derivative model output</x:v>
      </x:c>
      <x:c r="T23" s="18" t="str">
        <x:v>https://drive.google.com/drive/folders/1EWdZyTQjPSuoxt8n1nIr1t8D98PC-mso</x:v>
      </x:c>
      <x:c r="U23" s="18" t="str">
        <x:v>https://docs.google.com/document/d/1hR0UuZSmPpwZi384Vzn3sZt5Y5_ZwYxW6b3u4nq2-40/edit</x:v>
      </x:c>
      <x:c r="V23" t="n">
        <x:f>COUNTIF(Outcome_Data!$A:$A,A23)</x:f>
        <x:v>9</x:v>
      </x:c>
    </x:row>
    <x:row r="24">
      <x:c r="A24" s="18" t="str">
        <x:v>Tu 2024</x:v>
      </x:c>
      <x:c r="B24" s="18" t="str">
        <x:v>Batch 13</x:v>
      </x:c>
      <x:c r="C24" s="18" t="str">
        <x:v>RE-ADJUDICATE</x:v>
      </x:c>
      <x:c r="D24" s="18" t="str">
        <x:v>Source-correct study/results; Domains 3 and 5 too optimistic given post-randomization exclusions and unverified exact prespecification.</x:v>
      </x:c>
      <x:c r="E24" s="18" t="str">
        <x:v>Tu 2023 → Tu 2024</x:v>
      </x:c>
      <x:c r="F24" s="18" t="str">
        <x:v>Tu 2023</x:v>
      </x:c>
      <x:c r="G24" s="18" t="str">
        <x:v>244</x:v>
      </x:c>
      <x:c r="H24" s="18" t="str">
        <x:v>1879896309</x:v>
      </x:c>
      <x:c r="I24" s="18" t="str">
        <x:v>**Postoperative pain intensity at 6–24h (PRIMARY)**: TEAS (n=57) median 2 (IQR 0.5 to 3) [Wan mean 1.83 ± 1.85] vs Sham TEAS (n=58) median 4 (IQR 3 to 4) [Wa...</x:v>
      </x:c>
      <x:c r="J24" s="18" t="str">
        <x:v>Yes</x:v>
      </x:c>
      <x:c r="K24" s="18" t="str">
        <x:v>Yes</x:v>
      </x:c>
      <x:c r="L24" s="18" t="str">
        <x:v>Yes</x:v>
      </x:c>
      <x:c r="M24" s="18" t="str">
        <x:v>Vomiting incidence</x:v>
      </x:c>
      <x:c r="N24" s="18" t="str">
        <x:v>2-6 h</x:v>
      </x:c>
      <x:c r="O24" s="18" t="str">
        <x:v>High</x:v>
      </x:c>
      <x:c r="P24" s="18" t="str">
        <x:v>PARTIAL — source-matched RoB re-adjudicated; vomiting/pain/rescue-opioid rows added</x:v>
      </x:c>
      <x:c r="Q24" s="18" t="str">
        <x:v>Binary rescue tramadol use is available; cumulative 24-h tramadol dose is not</x:v>
      </x:c>
      <x:c r="R24" s="18" t="str">
        <x:v>SOURCE-NORMALIZED OUTCOME ROWS ADDED</x:v>
      </x:c>
      <x:c r="S24" s="18" t="str">
        <x:v>Source PDF / supplement / protocol / registration &gt; reconciled source extraction &gt; derivative model output</x:v>
      </x:c>
      <x:c r="T24" s="18" t="str">
        <x:v>https://drive.google.com/drive/folders/1EWdZyTQjPSuoxt8n1nIr1t8D98PC-mso</x:v>
      </x:c>
      <x:c r="U24" s="18" t="str">
        <x:v>https://docs.google.com/document/d/1hR0UuZSmPpwZi384Vzn3sZt5Y5_ZwYxW6b3u4nq2-40/edit</x:v>
      </x:c>
      <x:c r="V24" t="n">
        <x:f>COUNTIF(Outcome_Data!$A:$A,A24)</x:f>
        <x:v>5</x:v>
      </x:c>
    </x:row>
    <x:row r="25">
      <x:c r="A25" s="18" t="str">
        <x:v>Sun 2017</x:v>
      </x:c>
      <x:c r="B25" s="18" t="str">
        <x:v>Batch 5</x:v>
      </x:c>
      <x:c r="C25" s="18" t="str">
        <x:v>RE-ADJUDICATE</x:v>
      </x:c>
      <x:c r="D25" s="18" t="str">
        <x:v>Correct study family but stored result is misclassified as 24-h opioid consumption; sham and attrition details need fresh assessment.</x:v>
      </x:c>
      <x:c r="E25" s="18" t="str"/>
      <x:c r="F25" s="18" t="str">
        <x:v>Sun 2017</x:v>
      </x:c>
      <x:c r="G25" s="18" t="str">
        <x:v>632</x:v>
      </x:c>
      <x:c r="H25" s="18" t="str">
        <x:v>1879896963</x:v>
      </x:c>
      <x:c r="I25" s="18" t="str">
        <x:v>**Pain intensity on movement 24h (PRIMARY)**: Group TST (n=89) median 3.0 (IQR 3.0 to 4.0) [Wan mean 3.33 ± 0.74] vs Group SSS (n=90) median 4.0 (IQR 3.8 to ...</x:v>
      </x:c>
      <x:c r="J25" s="18" t="str">
        <x:v>Yes</x:v>
      </x:c>
      <x:c r="K25" s="18" t="str">
        <x:v>Yes</x:v>
      </x:c>
      <x:c r="L25" s="18" t="str">
        <x:v>Yes</x:v>
      </x:c>
      <x:c r="M25" s="18" t="str">
        <x:v>Activity-evoked VAS</x:v>
      </x:c>
      <x:c r="N25" s="18" t="str">
        <x:v>24 h</x:v>
      </x:c>
      <x:c r="O25" s="18" t="str">
        <x:v>Some concerns</x:v>
      </x:c>
      <x:c r="P25" s="18" t="str">
        <x:v>PARTIAL — source-matched RoB re-adjudicated; four-arm pain/NSAID-rescue rows added</x:v>
      </x:c>
      <x:c r="Q25" s="18" t="str">
        <x:v>Postoperative rescue is NSAID, not opioid; preserve four timing arms and shared sham control</x:v>
      </x:c>
      <x:c r="R25" s="18" t="str">
        <x:v>SOURCE-NORMALIZED OUTCOME ROWS ADDED</x:v>
      </x:c>
      <x:c r="S25" s="18" t="str">
        <x:v>Source PDF / supplement / protocol / registration &gt; reconciled source extraction &gt; derivative model output</x:v>
      </x:c>
      <x:c r="T25" s="18" t="str">
        <x:v>https://drive.google.com/drive/folders/1EWdZyTQjPSuoxt8n1nIr1t8D98PC-mso</x:v>
      </x:c>
      <x:c r="U25" s="18" t="str">
        <x:v>https://docs.google.com/document/d/1hR0UuZSmPpwZi384Vzn3sZt5Y5_ZwYxW6b3u4nq2-40/edit</x:v>
      </x:c>
      <x:c r="V25" t="n">
        <x:f>COUNTIF(Outcome_Data!$A:$A,A25)</x:f>
        <x:v>8</x:v>
      </x:c>
    </x:row>
    <x:row r="26">
      <x:c r="A26" s="18" t="str">
        <x:v>Sim 2002</x:v>
      </x:c>
      <x:c r="B26" s="18" t="str">
        <x:v>Batch 3</x:v>
      </x:c>
      <x:c r="C26" s="18" t="str">
        <x:v>SPECIAL / SOURCE-QC</x:v>
      </x:c>
      <x:c r="D26" s="18" t="str">
        <x:v>Three randomized timing arms must remain separate; do not merge pre- and postoperative EA.</x:v>
      </x:c>
      <x:c r="E26" s="18" t="str"/>
      <x:c r="F26" s="18" t="str">
        <x:v>Sim 2002</x:v>
      </x:c>
      <x:c r="G26" s="18" t="str">
        <x:v>952</x:v>
      </x:c>
      <x:c r="H26" s="18" t="str">
        <x:v>1879897479</x:v>
      </x:c>
      <x:c r="I26" s="18" t="str">
        <x:v>**Cumulative 24h postoperative PCA morphine consumption (PRIMARY)**: Group II Preop EA (n=30) 0.52 ± 0.19 mg/kg (31.20 ± 11.40 mg) vs Group I Placebo EA (n=3...</x:v>
      </x:c>
      <x:c r="J26" s="18" t="str">
        <x:v>Yes</x:v>
      </x:c>
      <x:c r="K26" s="18" t="str">
        <x:v>Yes</x:v>
      </x:c>
      <x:c r="L26" s="18" t="str">
        <x:v>Yes</x:v>
      </x:c>
      <x:c r="M26" s="18" t="str">
        <x:v>Cumulative postoperative IV PCA morphine</x:v>
      </x:c>
      <x:c r="N26" s="18" t="str">
        <x:v>0-24 h</x:v>
      </x:c>
      <x:c r="O26" s="18" t="str">
        <x:v>Some concerns</x:v>
      </x:c>
      <x:c r="P26" s="18" t="str">
        <x:v>PARTIAL — selected RoB corrected; three randomized timing arms preserved</x:v>
      </x:c>
      <x:c r="Q26" s="18" t="str">
        <x:v>Use weight-normalized 24-h morphine as reported; never merge preop and postop EA timing arms</x:v>
      </x:c>
      <x:c r="R26" s="18" t="str">
        <x:v>SOURCE-NORMALIZED OUTCOME ROWS ADDED</x:v>
      </x:c>
      <x:c r="S26" s="18" t="str">
        <x:v>Source PDF / supplement / protocol / registration &gt; reconciled source extraction &gt; derivative model output</x:v>
      </x:c>
      <x:c r="T26" s="18" t="str">
        <x:v>https://drive.google.com/drive/folders/1EWdZyTQjPSuoxt8n1nIr1t8D98PC-mso</x:v>
      </x:c>
      <x:c r="U26" s="18" t="str">
        <x:v>https://docs.google.com/document/d/1hR0UuZSmPpwZi384Vzn3sZt5Y5_ZwYxW6b3u4nq2-40/edit</x:v>
      </x:c>
      <x:c r="V26" t="n">
        <x:f>COUNTIF(Outcome_Data!$A:$A,A26)</x:f>
        <x:v>4</x:v>
      </x:c>
    </x:row>
    <x:row r="27">
      <x:c r="A27" s="18" t="str">
        <x:v>Seevaunnamtum 2016</x:v>
      </x:c>
      <x:c r="B27" s="18" t="str">
        <x:v>Batch 20</x:v>
      </x:c>
      <x:c r="C27" s="18" t="str">
        <x:v>FULL REPLACEMENT</x:v>
      </x:c>
      <x:c r="D27" s="18" t="str">
        <x:v>Correct article identity but wrong acupoints and wrong primary 24-h control morphine mean/SD/P value.</x:v>
      </x:c>
      <x:c r="E27" s="18" t="str">
        <x:v>PraveenaSeevaunnamtum 2016 → Seevaunnamtum 2016</x:v>
      </x:c>
      <x:c r="F27" s="18" t="str">
        <x:v>PraveenaSeevaunnamtum 2016</x:v>
      </x:c>
      <x:c r="G27" s="18" t="str">
        <x:v>596</x:v>
      </x:c>
      <x:c r="H27" s="18" t="str">
        <x:v>1879896891</x:v>
      </x:c>
      <x:c r="I27" s="18" t="str">
        <x:v>**Cumulative 24h postoperative PCA morphine consumption (mg) (PRIMARY)**: EA Group (n=32) 21.38 ± 14.38 vs Control Group (n=32) 33.94 ± 20.24 (P = 0.006*) [M...</x:v>
      </x:c>
      <x:c r="J27" s="18" t="str">
        <x:v>Yes</x:v>
      </x:c>
      <x:c r="K27" s="18" t="str">
        <x:v>Yes</x:v>
      </x:c>
      <x:c r="L27" s="18" t="str">
        <x:v>Yes</x:v>
      </x:c>
      <x:c r="M27" s="18" t="str">
        <x:v>Cumulative IV PCA morphine</x:v>
      </x:c>
      <x:c r="N27" s="18" t="str">
        <x:v>0-24 h</x:v>
      </x:c>
      <x:c r="O27" s="18" t="str">
        <x:v>Some concerns</x:v>
      </x:c>
      <x:c r="P27" s="18" t="str">
        <x:v>PARTIALLY READY — corrected RoB available for one selected result; confirm outcome matches planned synthesis</x:v>
      </x:c>
      <x:c r="Q27" s="18" t="str">
        <x:v>Use source data; DO NOT use original stored RoB. Rebuild result-specific RoB.</x:v>
      </x:c>
      <x:c r="R27" s="18" t="str">
        <x:v>Candidate summary from Antigravity report; use only after source-level confirmation</x:v>
      </x:c>
      <x:c r="S27" s="18" t="str">
        <x:v>Source PDF / supplement / protocol / registration &gt; reconciled source extraction &gt; derivative model output</x:v>
      </x:c>
      <x:c r="T27" s="18" t="str">
        <x:v>https://drive.google.com/drive/folders/1EWdZyTQjPSuoxt8n1nIr1t8D98PC-mso</x:v>
      </x:c>
      <x:c r="U27" s="18" t="str">
        <x:v>https://docs.google.com/document/d/1hR0UuZSmPpwZi384Vzn3sZt5Y5_ZwYxW6b3u4nq2-40/edit</x:v>
      </x:c>
      <x:c r="V27" t="n">
        <x:f>COUNTIF(Outcome_Data!$A:$A,A27)</x:f>
        <x:v>1</x:v>
      </x:c>
    </x:row>
    <x:row r="28">
      <x:c r="A28" s="18" t="str">
        <x:v>Pan 2023</x:v>
      </x:c>
      <x:c r="B28" s="18" t="str">
        <x:v>Batch 10</x:v>
      </x:c>
      <x:c r="C28" s="18" t="str">
        <x:v>FULL REPLACEMENT</x:v>
      </x:c>
      <x:c r="D28" s="18" t="str">
        <x:v>Changes randomized n, sham structure, intervention and flatus distribution; ignores 15 post-randomization exclusions.</x:v>
      </x:c>
      <x:c r="E28" s="18" t="str"/>
      <x:c r="F28" s="18" t="str">
        <x:v>Pan 2023</x:v>
      </x:c>
      <x:c r="G28" s="18" t="str">
        <x:v>298</x:v>
      </x:c>
      <x:c r="H28" s="18" t="str">
        <x:v>1879896396</x:v>
      </x:c>
      <x:c r="I28" s="18" t="str">
        <x:v>**Pain intensity on movement 24h (PRIMARY)**: Group T (TEAS, n=52) median 2 (IQR 2, 3) [Wan mean 2.33 ± 0.74] vs Group C (Control, n=53) median 3 (IQR 3, 4) ...</x:v>
      </x:c>
      <x:c r="J28" s="18" t="str">
        <x:v>Yes</x:v>
      </x:c>
      <x:c r="K28" s="18" t="str">
        <x:v>Yes</x:v>
      </x:c>
      <x:c r="L28" s="18" t="str">
        <x:v>Yes</x:v>
      </x:c>
      <x:c r="M28" s="18" t="str">
        <x:v>Time to first postoperative flatus</x:v>
      </x:c>
      <x:c r="N28" s="18" t="str">
        <x:v>Time to event</x:v>
      </x:c>
      <x:c r="O28" s="18" t="str">
        <x:v>High</x:v>
      </x:c>
      <x:c r="P28" s="18" t="str">
        <x:v>PARTIALLY READY — corrected RoB available for one selected result; confirm outcome matches planned synthesis</x:v>
      </x:c>
      <x:c r="Q28" s="18" t="str">
        <x:v>Use source data; DO NOT use original stored RoB. Rebuild result-specific RoB.</x:v>
      </x:c>
      <x:c r="R28" s="18" t="str">
        <x:v>Candidate summary from Antigravity report; use only after source-level confirmation</x:v>
      </x:c>
      <x:c r="S28" s="18" t="str">
        <x:v>Source PDF / supplement / protocol / registration &gt; reconciled source extraction &gt; derivative model output</x:v>
      </x:c>
      <x:c r="T28" s="18" t="str">
        <x:v>https://drive.google.com/drive/folders/1EWdZyTQjPSuoxt8n1nIr1t8D98PC-mso</x:v>
      </x:c>
      <x:c r="U28" s="18" t="str">
        <x:v>https://docs.google.com/document/d/1hR0UuZSmPpwZi384Vzn3sZt5Y5_ZwYxW6b3u4nq2-40/edit</x:v>
      </x:c>
      <x:c r="V28" t="n">
        <x:f>COUNTIF(Outcome_Data!$A:$A,A28)</x:f>
        <x:v>1</x:v>
      </x:c>
    </x:row>
    <x:row r="29">
      <x:c r="A29" s="18" t="str">
        <x:v>Ntritsou 2014</x:v>
      </x:c>
      <x:c r="B29" s="18" t="str">
        <x:v>Batch 3</x:v>
      </x:c>
      <x:c r="C29" s="18" t="str">
        <x:v>SPECIAL / SOURCE-QC</x:v>
      </x:c>
      <x:c r="D29" s="18" t="str">
        <x:v>Distinguish total tramadol exposure from rescue analgesia; five clinically relevant post-randomization exclusions.</x:v>
      </x:c>
      <x:c r="E29" s="18" t="str"/>
      <x:c r="F29" s="18" t="str">
        <x:v>Ntritsou 2014</x:v>
      </x:c>
      <x:c r="G29" s="18" t="str">
        <x:v>729</x:v>
      </x:c>
      <x:c r="H29" s="18" t="str">
        <x:v>1879897120</x:v>
      </x:c>
      <x:c r="I29" s="18" t="str">
        <x:v>**Cumulative 24h postoperative tramadol consumption (mg) (PRIMARY)**: EA group (n=35) 443.7 ± 67.4 vs Sham group (n=35) 461.5 ± 63.2 (P = 0.257) [MD -17.80 m...</x:v>
      </x:c>
      <x:c r="J29" s="18" t="str">
        <x:v>Yes</x:v>
      </x:c>
      <x:c r="K29" s="18" t="str">
        <x:v>Yes</x:v>
      </x:c>
      <x:c r="L29" s="18" t="str">
        <x:v>Yes</x:v>
      </x:c>
      <x:c r="M29" s="18" t="str">
        <x:v>Total tramadol exposure</x:v>
      </x:c>
      <x:c r="N29" s="18" t="str">
        <x:v>First 24 h most consistent with protocol</x:v>
      </x:c>
      <x:c r="O29" s="18" t="str">
        <x:v>High</x:v>
      </x:c>
      <x:c r="P29" s="18" t="str">
        <x:v>PARTIAL — selected RoB corrected; tramadol/remifentanil/rescue rows added</x:v>
      </x:c>
      <x:c r="Q29" s="18" t="str">
        <x:v>Total tramadol is not rescue-only; complete 24-h MME remains unresolved because rescue morphine quantity is missing</x:v>
      </x:c>
      <x:c r="R29" s="18" t="str">
        <x:v>SOURCE-NORMALIZED OUTCOME ROWS ADDED</x:v>
      </x:c>
      <x:c r="S29" s="18" t="str">
        <x:v>Source PDF / supplement / protocol / registration &gt; reconciled source extraction &gt; derivative model output</x:v>
      </x:c>
      <x:c r="T29" s="18" t="str">
        <x:v>https://drive.google.com/drive/folders/1EWdZyTQjPSuoxt8n1nIr1t8D98PC-mso</x:v>
      </x:c>
      <x:c r="U29" s="18" t="str">
        <x:v>https://docs.google.com/document/d/1hR0UuZSmPpwZi384Vzn3sZt5Y5_ZwYxW6b3u4nq2-40/edit</x:v>
      </x:c>
      <x:c r="V29" t="n">
        <x:f>COUNTIF(Outcome_Data!$A:$A,A29)</x:f>
        <x:v>4</x:v>
      </x:c>
    </x:row>
    <x:row r="30">
      <x:c r="A30" s="18" t="str">
        <x:v>Ng 2013</x:v>
      </x:c>
      <x:c r="B30" s="18" t="str">
        <x:v>Batch 2</x:v>
      </x:c>
      <x:c r="C30" s="18" t="str">
        <x:v>SPECIAL / SOURCE-QC</x:v>
      </x:c>
      <x:c r="D30" s="18" t="str">
        <x:v>No defensible exact cumulative 0–24-h opioid endpoint in source; preserve as secondary/descriptive unless exact window found.</x:v>
      </x:c>
      <x:c r="E30" s="18" t="str">
        <x:v>Ng 2012 / 2013 → Ng 2013</x:v>
      </x:c>
      <x:c r="F30" s="18" t="str">
        <x:v>Ng 2012 / 2013</x:v>
      </x:c>
      <x:c r="G30" s="18" t="str">
        <x:v>775</x:v>
      </x:c>
      <x:c r="H30" s="18" t="str">
        <x:v>1879897195</x:v>
      </x:c>
      <x:c r="I30" s="18" t="str">
        <x:v>**Pain intensity Day 1 (~24h point assessment) (PRIMARY)**: EA group (n=55) 5.6 ± 2.0 vs Sham group (n=55) 5.8 ± 1.9 vs Usual care (n=55) 5.5 ± 2.3 (P = 0.65...</x:v>
      </x:c>
      <x:c r="J30" s="18" t="str">
        <x:v>Yes</x:v>
      </x:c>
      <x:c r="K30" s="18" t="str">
        <x:v>Yes</x:v>
      </x:c>
      <x:c r="L30" s="18" t="str">
        <x:v>Yes</x:v>
      </x:c>
      <x:c r="M30" s="18" t="str">
        <x:v>Time to first bowel motion</x:v>
      </x:c>
      <x:c r="N30" s="18" t="str">
        <x:v>Postoperative</x:v>
      </x:c>
      <x:c r="O30" s="18" t="str">
        <x:v>Some concerns</x:v>
      </x:c>
      <x:c r="P30" s="18" t="str">
        <x:v>PARTIAL — selected RoB corrected; GI/pain/pethidine rows added</x:v>
      </x:c>
      <x:c r="Q30" s="18" t="str">
        <x:v>Pethidine injection count is not a 24-h dose; dosing and observation window require author clarification</x:v>
      </x:c>
      <x:c r="R30" s="18" t="str">
        <x:v>SOURCE-NORMALIZED OUTCOME ROWS ADDED</x:v>
      </x:c>
      <x:c r="S30" s="18" t="str">
        <x:v>Source PDF / supplement / protocol / registration &gt; reconciled source extraction &gt; derivative model output</x:v>
      </x:c>
      <x:c r="T30" s="18" t="str">
        <x:v>https://drive.google.com/drive/folders/1EWdZyTQjPSuoxt8n1nIr1t8D98PC-mso</x:v>
      </x:c>
      <x:c r="U30" s="18" t="str">
        <x:v>https://docs.google.com/document/d/1hR0UuZSmPpwZi384Vzn3sZt5Y5_ZwYxW6b3u4nq2-40/edit</x:v>
      </x:c>
      <x:c r="V30" t="n">
        <x:f>COUNTIF(Outcome_Data!$A:$A,A30)</x:f>
        <x:v>6</x:v>
      </x:c>
    </x:row>
    <x:row r="31">
      <x:c r="A31" s="18" t="str">
        <x:v>Ma 2026</x:v>
      </x:c>
      <x:c r="B31" s="18" t="str">
        <x:v>Batch 17</x:v>
      </x:c>
      <x:c r="C31" s="18" t="str">
        <x:v>FULL REPLACEMENT</x:v>
      </x:c>
      <x:c r="D31" s="18" t="str">
        <x:v>Partially randomized design converted into a conventional sham RCT; fabricated pain outcomes.</x:v>
      </x:c>
      <x:c r="E31" s="18" t="str"/>
      <x:c r="F31" s="18" t="str">
        <x:v>Ma 2026</x:v>
      </x:c>
      <x:c r="G31" s="18" t="str">
        <x:v>2</x:v>
      </x:c>
      <x:c r="H31" s="18" t="str">
        <x:v>1879895855</x:v>
      </x:c>
      <x:c r="I31" s="18" t="str">
        <x:v>**Resting NRS pain 24h (PRIMARY)**: Group T (TEAS, n=17) 1.76 ± 0.67 vs Group S (Control, n=16) 2.64 ± 0.72 (P &lt; 0.05) [MD -0.88, 95% CI -1.36 to -0.40]. **R...</x:v>
      </x:c>
      <x:c r="J31" s="18" t="str">
        <x:v>Yes</x:v>
      </x:c>
      <x:c r="K31" s="18" t="str">
        <x:v>Yes</x:v>
      </x:c>
      <x:c r="L31" s="18" t="str">
        <x:v>No</x:v>
      </x:c>
      <x:c r="M31" s="18" t="str"/>
      <x:c r="N31" s="18" t="str"/>
      <x:c r="O31" s="18" t="str"/>
      <x:c r="P31" s="18" t="str">
        <x:v>NOT READY — RoB replacement/re-adjudication pending</x:v>
      </x:c>
      <x:c r="Q31" s="18" t="str">
        <x:v>Use source data; DO NOT use original stored RoB. Rebuild result-specific RoB.</x:v>
      </x:c>
      <x:c r="R31" s="18" t="str">
        <x:v>Candidate summary from Antigravity report; use only after source-level confirmation</x:v>
      </x:c>
      <x:c r="S31" s="18" t="str">
        <x:v>Source PDF / supplement / protocol / registration &gt; reconciled source extraction &gt; derivative model output</x:v>
      </x:c>
      <x:c r="T31" s="18" t="str">
        <x:v>https://drive.google.com/drive/folders/1EWdZyTQjPSuoxt8n1nIr1t8D98PC-mso</x:v>
      </x:c>
      <x:c r="U31" s="18" t="str">
        <x:v>https://docs.google.com/document/d/1hR0UuZSmPpwZi384Vzn3sZt5Y5_ZwYxW6b3u4nq2-40/edit</x:v>
      </x:c>
      <x:c r="V31" t="n">
        <x:f>COUNTIF(Outcome_Data!$A:$A,A31)</x:f>
        <x:v>0</x:v>
      </x:c>
    </x:row>
    <x:row r="32">
      <x:c r="A32" s="18" t="str">
        <x:v>Lu 2021</x:v>
      </x:c>
      <x:c r="B32" s="18" t="str">
        <x:v>Batch 8</x:v>
      </x:c>
      <x:c r="C32" s="18" t="str">
        <x:v>FULL REPLACEMENT</x:v>
      </x:c>
      <x:c r="D32" s="18" t="str">
        <x:v>Changes 576-patient three-arm chronic-pain trial into fabricated 24-h pain result.</x:v>
      </x:c>
      <x:c r="E32" s="18" t="str"/>
      <x:c r="F32" s="18" t="str">
        <x:v>Lu 2021</x:v>
      </x:c>
      <x:c r="G32" s="18" t="str">
        <x:v>414</x:v>
      </x:c>
      <x:c r="H32" s="18" t="str">
        <x:v>1879896580</x:v>
      </x:c>
      <x:c r="I32" s="18" t="str">
        <x:v>**Resting NRS pain 24h (PRIMARY)**: Combined TEAS (n=190) median 1.0 (IQR 0, 1.0) [Wan mean 1.0 ± 0.7] vs Single TEAS (n=198) median 0.9 (IQR 0, 1.3) [Wan me...</x:v>
      </x:c>
      <x:c r="J32" s="18" t="str">
        <x:v>Yes</x:v>
      </x:c>
      <x:c r="K32" s="18" t="str">
        <x:v>Yes</x:v>
      </x:c>
      <x:c r="L32" s="18" t="str">
        <x:v>No</x:v>
      </x:c>
      <x:c r="M32" s="18" t="str"/>
      <x:c r="N32" s="18" t="str"/>
      <x:c r="O32" s="18" t="str"/>
      <x:c r="P32" s="18" t="str">
        <x:v>NOT READY — RoB replacement/re-adjudication pending</x:v>
      </x:c>
      <x:c r="Q32" s="18" t="str">
        <x:v>Use source data; DO NOT use original stored RoB. Rebuild result-specific RoB.</x:v>
      </x:c>
      <x:c r="R32" s="18" t="str">
        <x:v>Candidate summary from Antigravity report; use only after source-level confirmation</x:v>
      </x:c>
      <x:c r="S32" s="18" t="str">
        <x:v>Source PDF / supplement / protocol / registration &gt; reconciled source extraction &gt; derivative model output</x:v>
      </x:c>
      <x:c r="T32" s="18" t="str">
        <x:v>https://drive.google.com/drive/folders/1EWdZyTQjPSuoxt8n1nIr1t8D98PC-mso</x:v>
      </x:c>
      <x:c r="U32" s="18" t="str">
        <x:v>https://docs.google.com/document/d/1hR0UuZSmPpwZi384Vzn3sZt5Y5_ZwYxW6b3u4nq2-40/edit</x:v>
      </x:c>
      <x:c r="V32" t="n">
        <x:f>COUNTIF(Outcome_Data!$A:$A,A32)</x:f>
        <x:v>0</x:v>
      </x:c>
    </x:row>
    <x:row r="33">
      <x:c r="A33" s="18" t="str">
        <x:v>Lu 2022</x:v>
      </x:c>
      <x:c r="B33" s="18" t="str">
        <x:v>Batch 10</x:v>
      </x:c>
      <x:c r="C33" s="18" t="str">
        <x:v>FULL REPLACEMENT</x:v>
      </x:c>
      <x:c r="D33" s="18" t="str">
        <x:v>Changes 100/94 sample to 240 complete, intervention schedule and flatus result.</x:v>
      </x:c>
      <x:c r="E33" s="18" t="str"/>
      <x:c r="F33" s="18" t="str">
        <x:v>Lu 2022</x:v>
      </x:c>
      <x:c r="G33" s="18" t="str">
        <x:v>317</x:v>
      </x:c>
      <x:c r="H33" s="18" t="str">
        <x:v>1879896426</x:v>
      </x:c>
      <x:c r="I33" s="18" t="str">
        <x:v>**Resting VAS pain 24h (PRIMARY)**: TEAS group (n=47) median 2.2 (0.0, 10.0) [estimated mean 2.2 ± 2.5] vs Control group (n=47) median 1.2 (0.0, 8.1) [estima...</x:v>
      </x:c>
      <x:c r="J33" s="18" t="str">
        <x:v>Yes</x:v>
      </x:c>
      <x:c r="K33" s="18" t="str">
        <x:v>Yes</x:v>
      </x:c>
      <x:c r="L33" s="18" t="str">
        <x:v>No</x:v>
      </x:c>
      <x:c r="M33" s="18" t="str"/>
      <x:c r="N33" s="18" t="str"/>
      <x:c r="O33" s="18" t="str"/>
      <x:c r="P33" s="18" t="str">
        <x:v>NOT READY — RoB replacement/re-adjudication pending</x:v>
      </x:c>
      <x:c r="Q33" s="18" t="str">
        <x:v>Use source data; DO NOT use original stored RoB. Rebuild result-specific RoB.</x:v>
      </x:c>
      <x:c r="R33" s="18" t="str">
        <x:v>Candidate summary from Antigravity report; use only after source-level confirmation</x:v>
      </x:c>
      <x:c r="S33" s="18" t="str">
        <x:v>Source PDF / supplement / protocol / registration &gt; reconciled source extraction &gt; derivative model output</x:v>
      </x:c>
      <x:c r="T33" s="18" t="str">
        <x:v>https://drive.google.com/drive/folders/1EWdZyTQjPSuoxt8n1nIr1t8D98PC-mso</x:v>
      </x:c>
      <x:c r="U33" s="18" t="str">
        <x:v>https://docs.google.com/document/d/1hR0UuZSmPpwZi384Vzn3sZt5Y5_ZwYxW6b3u4nq2-40/edit</x:v>
      </x:c>
      <x:c r="V33" t="n">
        <x:f>COUNTIF(Outcome_Data!$A:$A,A33)</x:f>
        <x:v>0</x:v>
      </x:c>
    </x:row>
    <x:row r="34">
      <x:c r="A34" s="18" t="str">
        <x:v>Luo 2026</x:v>
      </x:c>
      <x:c r="B34" s="18" t="str">
        <x:v>Batch 18</x:v>
      </x:c>
      <x:c r="C34" s="18" t="str">
        <x:v>RE-ADJUDICATE</x:v>
      </x:c>
      <x:c r="D34" s="18" t="str">
        <x:v>Study/result scaffolding source-matched; incomplete sensory masking and exact outcome definition require fresh signaling logic.</x:v>
      </x:c>
      <x:c r="E34" s="18" t="str"/>
      <x:c r="F34" s="18" t="str">
        <x:v>Luo 2026</x:v>
      </x:c>
      <x:c r="G34" s="18" t="str">
        <x:v>35</x:v>
      </x:c>
      <x:c r="H34" s="18" t="str">
        <x:v>1879895932</x:v>
      </x:c>
      <x:c r="I34" s="18" t="str">
        <x:v>**Postoperative pain NRS 24h (PRIMARY)**: TEAS group (n=138) 1.30 ± 0.92 vs Sham TEAS group (n=139) 1.65 ± 0.95 (P &lt; 0.01) [MD -0.35, 95% CI -0.57 to -0.13]....</x:v>
      </x:c>
      <x:c r="J34" s="18" t="str">
        <x:v>Yes</x:v>
      </x:c>
      <x:c r="K34" s="18" t="str">
        <x:v>Yes</x:v>
      </x:c>
      <x:c r="L34" s="18" t="str">
        <x:v>No</x:v>
      </x:c>
      <x:c r="M34" s="18" t="str"/>
      <x:c r="N34" s="18" t="str"/>
      <x:c r="O34" s="18" t="str"/>
      <x:c r="P34" s="18" t="str">
        <x:v>NOT READY — RoB replacement/re-adjudication pending</x:v>
      </x:c>
      <x:c r="Q34" s="18" t="str">
        <x:v>Retain source-matched study/result scaffold only; redo signaling questions and final judgment.</x:v>
      </x:c>
      <x:c r="R34" s="18" t="str">
        <x:v>Candidate summary from Antigravity report; use only after source-level confirmation</x:v>
      </x:c>
      <x:c r="S34" s="18" t="str">
        <x:v>Source PDF / supplement / protocol / registration &gt; reconciled source extraction &gt; derivative model output</x:v>
      </x:c>
      <x:c r="T34" s="18" t="str">
        <x:v>https://drive.google.com/drive/folders/1EWdZyTQjPSuoxt8n1nIr1t8D98PC-mso</x:v>
      </x:c>
      <x:c r="U34" s="18" t="str">
        <x:v>https://docs.google.com/document/d/1hR0UuZSmPpwZi384Vzn3sZt5Y5_ZwYxW6b3u4nq2-40/edit</x:v>
      </x:c>
      <x:c r="V34" t="n">
        <x:f>COUNTIF(Outcome_Data!$A:$A,A34)</x:f>
        <x:v>0</x:v>
      </x:c>
    </x:row>
    <x:row r="35">
      <x:c r="A35" s="18" t="str">
        <x:v>Long 2025</x:v>
      </x:c>
      <x:c r="B35" s="18" t="str">
        <x:v>Batch 16</x:v>
      </x:c>
      <x:c r="C35" s="18" t="str">
        <x:v>FULL REPLACEMENT</x:v>
      </x:c>
      <x:c r="D35" s="18" t="str">
        <x:v>Invents 160/160, sham/masking and PND result; source has 60 randomized/53 analyzed and denominator inconsistencies.</x:v>
      </x:c>
      <x:c r="E35" s="18" t="str"/>
      <x:c r="F35" s="18" t="str">
        <x:v>Long 2025</x:v>
      </x:c>
      <x:c r="G35" s="18" t="str">
        <x:v>106</x:v>
      </x:c>
      <x:c r="H35" s="18" t="str">
        <x:v>1879896090</x:v>
      </x:c>
      <x:c r="I35" s="18" t="str">
        <x:v>**Resting VAS pain 24h (PRIMARY)**: Group A (EA, n=27) 2.78 ± 0.97 vs Group C (Sham, n=26) 3.96 ± 0.96 (P &lt; 0.001) [MD -1.18, 95% CI -1.70 to -0.66]. **Resti...</x:v>
      </x:c>
      <x:c r="J35" s="18" t="str">
        <x:v>Yes</x:v>
      </x:c>
      <x:c r="K35" s="18" t="str">
        <x:v>Yes</x:v>
      </x:c>
      <x:c r="L35" s="18" t="str">
        <x:v>No</x:v>
      </x:c>
      <x:c r="M35" s="18" t="str"/>
      <x:c r="N35" s="18" t="str"/>
      <x:c r="O35" s="18" t="str"/>
      <x:c r="P35" s="18" t="str">
        <x:v>NOT READY — RoB replacement/re-adjudication pending</x:v>
      </x:c>
      <x:c r="Q35" s="18" t="str">
        <x:v>Use source data; DO NOT use original stored RoB. Rebuild result-specific RoB.</x:v>
      </x:c>
      <x:c r="R35" s="18" t="str">
        <x:v>Candidate summary from Antigravity report; use only after source-level confirmation</x:v>
      </x:c>
      <x:c r="S35" s="18" t="str">
        <x:v>Source PDF / supplement / protocol / registration &gt; reconciled source extraction &gt; derivative model output</x:v>
      </x:c>
      <x:c r="T35" s="18" t="str">
        <x:v>https://drive.google.com/drive/folders/1EWdZyTQjPSuoxt8n1nIr1t8D98PC-mso</x:v>
      </x:c>
      <x:c r="U35" s="18" t="str">
        <x:v>https://docs.google.com/document/d/1hR0UuZSmPpwZi384Vzn3sZt5Y5_ZwYxW6b3u4nq2-40/edit</x:v>
      </x:c>
      <x:c r="V35" t="n">
        <x:f>COUNTIF(Outcome_Data!$A:$A,A35)</x:f>
        <x:v>0</x:v>
      </x:c>
    </x:row>
    <x:row r="36">
      <x:c r="A36" s="18" t="str">
        <x:v>Li 2021</x:v>
      </x:c>
      <x:c r="B36" s="18" t="str">
        <x:v>Batch 7</x:v>
      </x:c>
      <x:c r="C36" s="18" t="str">
        <x:v>FULL REPLACEMENT</x:v>
      </x:c>
      <x:c r="D36" s="18" t="str">
        <x:v>Changes 306 randomized/280 PP trial to 120/120 and fabricates mean/SD flatus result.</x:v>
      </x:c>
      <x:c r="E36" s="18" t="str"/>
      <x:c r="F36" s="18" t="str">
        <x:v>Li 2021</x:v>
      </x:c>
      <x:c r="G36" s="18" t="str">
        <x:v>437</x:v>
      </x:c>
      <x:c r="H36" s="18" t="str">
        <x:v>1879896618</x:v>
      </x:c>
      <x:c r="I36" s="18" t="str">
        <x:v>**Length of hospital stay (days)**: TEAS group (n=140) 6.2 ± 3.3 vs Sham TEAS group (n=140) 8.1 ± 3.6 (P &lt; 0.01) [MD -1.90, 95% CI -2.71 to -1.09]. **Postope...</x:v>
      </x:c>
      <x:c r="J36" s="18" t="str">
        <x:v>Yes</x:v>
      </x:c>
      <x:c r="K36" s="18" t="str">
        <x:v>Yes</x:v>
      </x:c>
      <x:c r="L36" s="18" t="str">
        <x:v>No</x:v>
      </x:c>
      <x:c r="M36" s="18" t="str"/>
      <x:c r="N36" s="18" t="str"/>
      <x:c r="O36" s="18" t="str"/>
      <x:c r="P36" s="18" t="str">
        <x:v>NOT READY — RoB replacement/re-adjudication pending</x:v>
      </x:c>
      <x:c r="Q36" s="18" t="str">
        <x:v>Use source data; DO NOT use original stored RoB. Rebuild result-specific RoB.</x:v>
      </x:c>
      <x:c r="R36" s="18" t="str">
        <x:v>Candidate summary from Antigravity report; use only after source-level confirmation</x:v>
      </x:c>
      <x:c r="S36" s="18" t="str">
        <x:v>Source PDF / supplement / protocol / registration &gt; reconciled source extraction &gt; derivative model output</x:v>
      </x:c>
      <x:c r="T36" s="18" t="str">
        <x:v>https://drive.google.com/drive/folders/1EWdZyTQjPSuoxt8n1nIr1t8D98PC-mso</x:v>
      </x:c>
      <x:c r="U36" s="18" t="str">
        <x:v>https://docs.google.com/document/d/1hR0UuZSmPpwZi384Vzn3sZt5Y5_ZwYxW6b3u4nq2-40/edit</x:v>
      </x:c>
      <x:c r="V36" t="n">
        <x:f>COUNTIF(Outcome_Data!$A:$A,A36)</x:f>
        <x:v>0</x:v>
      </x:c>
    </x:row>
    <x:row r="37">
      <x:c r="A37" s="18" t="str">
        <x:v>Liu 2026 (ESD)</x:v>
      </x:c>
      <x:c r="B37" s="18" t="str">
        <x:v>Batch 18</x:v>
      </x:c>
      <x:c r="C37" s="18" t="str">
        <x:v>FULL REPLACEMENT</x:v>
      </x:c>
      <x:c r="D37" s="18" t="str">
        <x:v>False 129/129 complete analysis and fabricated primary event counts/propofol values.</x:v>
      </x:c>
      <x:c r="E37" s="18" t="str">
        <x:v>Liu 2025 → Liu 2026 (ESD)</x:v>
      </x:c>
      <x:c r="F37" s="18" t="str">
        <x:v>Liu 2025</x:v>
      </x:c>
      <x:c r="G37" s="18" t="str">
        <x:v>69</x:v>
      </x:c>
      <x:c r="H37" s="18" t="str">
        <x:v>1879896009</x:v>
      </x:c>
      <x:c r="I37" s="18" t="str">
        <x:v>**Resting pain NRS 24h (PRIMARY)**: TEAS group (n=58) 1.2 ± 1.3 vs Sham TEAS group (n=62) 2.8 ± 1.9 (P &lt; 0.01) [MD -1.60, 95% CI -2.18 to -1.02]. **Resting p...</x:v>
      </x:c>
      <x:c r="J37" s="18" t="str">
        <x:v>Yes</x:v>
      </x:c>
      <x:c r="K37" s="18" t="str">
        <x:v>Yes</x:v>
      </x:c>
      <x:c r="L37" s="18" t="str">
        <x:v>No</x:v>
      </x:c>
      <x:c r="M37" s="18" t="str"/>
      <x:c r="N37" s="18" t="str"/>
      <x:c r="O37" s="18" t="str"/>
      <x:c r="P37" s="18" t="str">
        <x:v>NOT READY — RoB replacement/re-adjudication pending</x:v>
      </x:c>
      <x:c r="Q37" s="18" t="str">
        <x:v>Use source data; DO NOT use original stored RoB. Rebuild result-specific RoB.</x:v>
      </x:c>
      <x:c r="R37" s="18" t="str">
        <x:v>Candidate summary from Antigravity report; use only after source-level confirmation</x:v>
      </x:c>
      <x:c r="S37" s="18" t="str">
        <x:v>Source PDF / supplement / protocol / registration &gt; reconciled source extraction &gt; derivative model output</x:v>
      </x:c>
      <x:c r="T37" s="18" t="str">
        <x:v>https://drive.google.com/drive/folders/1EWdZyTQjPSuoxt8n1nIr1t8D98PC-mso</x:v>
      </x:c>
      <x:c r="U37" s="18" t="str">
        <x:v>https://docs.google.com/document/d/1hR0UuZSmPpwZi384Vzn3sZt5Y5_ZwYxW6b3u4nq2-40/edit</x:v>
      </x:c>
      <x:c r="V37" t="n">
        <x:f>COUNTIF(Outcome_Data!$A:$A,A37)</x:f>
        <x:v>0</x:v>
      </x:c>
    </x:row>
    <x:row r="38">
      <x:c r="A38" s="18" t="str">
        <x:v>Liu 2021</x:v>
      </x:c>
      <x:c r="B38" s="18" t="str">
        <x:v>Batch 8</x:v>
      </x:c>
      <x:c r="C38" s="18" t="str">
        <x:v>FULL REPLACEMENT</x:v>
      </x:c>
      <x:c r="D38" s="18" t="str">
        <x:v>Changes sample, acupoints, schedule, POCD definition/timepoint and numerical result.</x:v>
      </x:c>
      <x:c r="E38" s="18" t="str"/>
      <x:c r="F38" s="18" t="str">
        <x:v>Liu 2021</x:v>
      </x:c>
      <x:c r="G38" s="18" t="str">
        <x:v>424</x:v>
      </x:c>
      <x:c r="H38" s="18" t="str">
        <x:v>1879896597</x:v>
      </x:c>
      <x:c r="I38" s="18" t="str">
        <x:v>**Resting VAS pain 24h (PRIMARY)**: TEAS group (n=50) 2.52 ± 0.505 vs Control group (n=50) 2.66 ± 0.626 (P = 0.221) [MD -0.14, 95% CI -0.36 to 0.08]. **Movem...</x:v>
      </x:c>
      <x:c r="J38" s="18" t="str">
        <x:v>Yes</x:v>
      </x:c>
      <x:c r="K38" s="18" t="str">
        <x:v>Yes</x:v>
      </x:c>
      <x:c r="L38" s="18" t="str">
        <x:v>No</x:v>
      </x:c>
      <x:c r="M38" s="18" t="str"/>
      <x:c r="N38" s="18" t="str"/>
      <x:c r="O38" s="18" t="str"/>
      <x:c r="P38" s="18" t="str">
        <x:v>NOT READY — RoB replacement/re-adjudication pending</x:v>
      </x:c>
      <x:c r="Q38" s="18" t="str">
        <x:v>Use source data; DO NOT use original stored RoB. Rebuild result-specific RoB.</x:v>
      </x:c>
      <x:c r="R38" s="18" t="str">
        <x:v>Candidate summary from Antigravity report; use only after source-level confirmation</x:v>
      </x:c>
      <x:c r="S38" s="18" t="str">
        <x:v>Source PDF / supplement / protocol / registration &gt; reconciled source extraction &gt; derivative model output</x:v>
      </x:c>
      <x:c r="T38" s="18" t="str">
        <x:v>https://drive.google.com/drive/folders/1EWdZyTQjPSuoxt8n1nIr1t8D98PC-mso</x:v>
      </x:c>
      <x:c r="U38" s="18" t="str">
        <x:v>https://docs.google.com/document/d/1hR0UuZSmPpwZi384Vzn3sZt5Y5_ZwYxW6b3u4nq2-40/edit</x:v>
      </x:c>
      <x:c r="V38" t="n">
        <x:f>COUNTIF(Outcome_Data!$A:$A,A38)</x:f>
        <x:v>0</x:v>
      </x:c>
    </x:row>
    <x:row r="39">
      <x:c r="A39" s="18" t="str">
        <x:v>Liu 2026 (burn)</x:v>
      </x:c>
      <x:c r="B39" s="18" t="str">
        <x:v>Batch 18</x:v>
      </x:c>
      <x:c r="C39" s="18" t="str">
        <x:v>FULL REPLACEMENT</x:v>
      </x:c>
      <x:c r="D39" s="18" t="str">
        <x:v>Misnamed Zhou 2026 RoB; entirely different invented colorectal/flatus trial.</x:v>
      </x:c>
      <x:c r="E39" s="18" t="str">
        <x:v>Liu 2026 → Liu 2026 (burn)</x:v>
      </x:c>
      <x:c r="F39" s="18" t="str">
        <x:v>Liu 2026</x:v>
      </x:c>
      <x:c r="G39" s="18" t="str">
        <x:v>48</x:v>
      </x:c>
      <x:c r="H39" s="18" t="str">
        <x:v>1879895960</x:v>
      </x:c>
      <x:c r="I39" s="18" t="str">
        <x:v>**Composite PONV 0-24h (PRIMARY)**: TEAS group (n=43) 7/43 (16.3%) vs Sham TEAS group (n=43) 16/43 (37.2%) (P = 0.028) [RR 0.44, 95% CI 0.20 to 0.96]. **Part...</x:v>
      </x:c>
      <x:c r="J39" s="18" t="str">
        <x:v>Yes</x:v>
      </x:c>
      <x:c r="K39" s="18" t="str">
        <x:v>Yes</x:v>
      </x:c>
      <x:c r="L39" s="18" t="str">
        <x:v>No</x:v>
      </x:c>
      <x:c r="M39" s="18" t="str"/>
      <x:c r="N39" s="18" t="str"/>
      <x:c r="O39" s="18" t="str"/>
      <x:c r="P39" s="18" t="str">
        <x:v>NOT READY — RoB replacement/re-adjudication pending</x:v>
      </x:c>
      <x:c r="Q39" s="18" t="str">
        <x:v>Use source data; DO NOT use original stored RoB. Rebuild result-specific RoB.</x:v>
      </x:c>
      <x:c r="R39" s="18" t="str">
        <x:v>Candidate summary from Antigravity report; use only after source-level confirmation</x:v>
      </x:c>
      <x:c r="S39" s="18" t="str">
        <x:v>Source PDF / supplement / protocol / registration &gt; reconciled source extraction &gt; derivative model output</x:v>
      </x:c>
      <x:c r="T39" s="18" t="str">
        <x:v>https://drive.google.com/drive/folders/1EWdZyTQjPSuoxt8n1nIr1t8D98PC-mso</x:v>
      </x:c>
      <x:c r="U39" s="18" t="str">
        <x:v>https://docs.google.com/document/d/1hR0UuZSmPpwZi384Vzn3sZt5Y5_ZwYxW6b3u4nq2-40/edit</x:v>
      </x:c>
      <x:c r="V39" t="n">
        <x:f>COUNTIF(Outcome_Data!$A:$A,A39)</x:f>
        <x:v>0</x:v>
      </x:c>
    </x:row>
    <x:row r="40">
      <x:c r="A40" s="18" t="str">
        <x:v>Liu 2025</x:v>
      </x:c>
      <x:c r="B40" s="18" t="str">
        <x:v>Batch 16</x:v>
      </x:c>
      <x:c r="C40" s="18" t="str">
        <x:v>FULL REPLACEMENT</x:v>
      </x:c>
      <x:c r="D40" s="18" t="str">
        <x:v>Changes sample, acupoints/schedule, sleep instrument and arrhythmia/sleep results.</x:v>
      </x:c>
      <x:c r="E40" s="18" t="str"/>
      <x:c r="F40" s="18" t="str">
        <x:v>Liu 2025</x:v>
      </x:c>
      <x:c r="G40" s="18" t="str">
        <x:v>75</x:v>
      </x:c>
      <x:c r="H40" s="18" t="str">
        <x:v>1879896021</x:v>
      </x:c>
      <x:c r="I40" s="18" t="str">
        <x:v>**Pain VAS 24h (PRIMARY)**: Depicted graphically in Figure 2 (~2.0/10 in both groups, requires author contact for numeric mean ± SD). **Intraop remifentanil ...</x:v>
      </x:c>
      <x:c r="J40" s="18" t="str">
        <x:v>Yes</x:v>
      </x:c>
      <x:c r="K40" s="18" t="str">
        <x:v>Yes</x:v>
      </x:c>
      <x:c r="L40" s="18" t="str">
        <x:v>No</x:v>
      </x:c>
      <x:c r="M40" s="18" t="str"/>
      <x:c r="N40" s="18" t="str"/>
      <x:c r="O40" s="18" t="str"/>
      <x:c r="P40" s="18" t="str">
        <x:v>NOT READY — RoB replacement/re-adjudication pending</x:v>
      </x:c>
      <x:c r="Q40" s="18" t="str">
        <x:v>Use source data; DO NOT use original stored RoB. Rebuild result-specific RoB.</x:v>
      </x:c>
      <x:c r="R40" s="18" t="str">
        <x:v>Candidate summary from Antigravity report; use only after source-level confirmation</x:v>
      </x:c>
      <x:c r="S40" s="18" t="str">
        <x:v>Source PDF / supplement / protocol / registration &gt; reconciled source extraction &gt; derivative model output</x:v>
      </x:c>
      <x:c r="T40" s="18" t="str">
        <x:v>https://drive.google.com/drive/folders/1EWdZyTQjPSuoxt8n1nIr1t8D98PC-mso</x:v>
      </x:c>
      <x:c r="U40" s="18" t="str">
        <x:v>https://docs.google.com/document/d/1hR0UuZSmPpwZi384Vzn3sZt5Y5_ZwYxW6b3u4nq2-40/edit</x:v>
      </x:c>
      <x:c r="V40" t="n">
        <x:f>COUNTIF(Outcome_Data!$A:$A,A40)</x:f>
        <x:v>0</x:v>
      </x:c>
    </x:row>
    <x:row r="41">
      <x:c r="A41" s="18" t="str">
        <x:v>Li 2022</x:v>
      </x:c>
      <x:c r="B41" s="18" t="str">
        <x:v>Batch 19</x:v>
      </x:c>
      <x:c r="C41" s="18" t="str">
        <x:v>FULL REPLACEMENT</x:v>
      </x:c>
      <x:c r="D41" s="18" t="str">
        <x:v>Changes EA protocol/dropout arm and fabricates significant 24-h mechanical-threshold and sufentanil results.</x:v>
      </x:c>
      <x:c r="E41" s="18" t="str"/>
      <x:c r="F41" s="18" t="str">
        <x:v>Li 2022</x:v>
      </x:c>
      <x:c r="G41" s="18" t="str">
        <x:v>359</x:v>
      </x:c>
      <x:c r="H41" s="18" t="str">
        <x:v>1879896493</x:v>
      </x:c>
      <x:c r="I41" s="18" t="str">
        <x:v>**Pain NRS 24h (PRIMARY)**: EA group (n=39) median 1.5 (1.0-3.0) vs Sham EA group (n=40) median 1.6 (1.0-3.0) (P = 0.223) (requires author contact for parame...</x:v>
      </x:c>
      <x:c r="J41" s="18" t="str">
        <x:v>Yes</x:v>
      </x:c>
      <x:c r="K41" s="18" t="str">
        <x:v>Yes</x:v>
      </x:c>
      <x:c r="L41" s="18" t="str">
        <x:v>No</x:v>
      </x:c>
      <x:c r="M41" s="18" t="str"/>
      <x:c r="N41" s="18" t="str"/>
      <x:c r="O41" s="18" t="str"/>
      <x:c r="P41" s="18" t="str">
        <x:v>NOT READY — RoB replacement/re-adjudication pending</x:v>
      </x:c>
      <x:c r="Q41" s="18" t="str">
        <x:v>Use source data; DO NOT use original stored RoB. Rebuild result-specific RoB.</x:v>
      </x:c>
      <x:c r="R41" s="18" t="str">
        <x:v>Candidate summary from Antigravity report; use only after source-level confirmation</x:v>
      </x:c>
      <x:c r="S41" s="18" t="str">
        <x:v>Source PDF / supplement / protocol / registration &gt; reconciled source extraction &gt; derivative model output</x:v>
      </x:c>
      <x:c r="T41" s="18" t="str">
        <x:v>https://drive.google.com/drive/folders/1EWdZyTQjPSuoxt8n1nIr1t8D98PC-mso</x:v>
      </x:c>
      <x:c r="U41" s="18" t="str">
        <x:v>https://docs.google.com/document/d/1hR0UuZSmPpwZi384Vzn3sZt5Y5_ZwYxW6b3u4nq2-40/edit</x:v>
      </x:c>
      <x:c r="V41" t="n">
        <x:f>COUNTIF(Outcome_Data!$A:$A,A41)</x:f>
        <x:v>0</x:v>
      </x:c>
    </x:row>
    <x:row r="42">
      <x:c r="A42" s="18" t="str">
        <x:v>Lin 2002</x:v>
      </x:c>
      <x:c r="B42" s="18" t="str">
        <x:v>Batch 20</x:v>
      </x:c>
      <x:c r="C42" s="18" t="str">
        <x:v>FULL REPLACEMENT</x:v>
      </x:c>
      <x:c r="D42" s="18" t="str">
        <x:v>Changes ST36-only preop EA to ST36+SP6/intraoperative; wrong PCA settings and fabricated 24-h morphine means.</x:v>
      </x:c>
      <x:c r="E42" s="18" t="str"/>
      <x:c r="F42" s="18" t="str">
        <x:v>Lin 2002</x:v>
      </x:c>
      <x:c r="G42" s="18" t="str">
        <x:v>951</x:v>
      </x:c>
      <x:c r="H42" s="18" t="str">
        <x:v>1879897477</x:v>
      </x:c>
      <x:c r="I42" s="18" t="str">
        <x:v>**Cumulative 24h PCA morphine (mg) (PRIMARY)**: High-EA 100 Hz (Group IV, n=25) 15.0 ± 10.7 mg vs Sham-EA (Group II, n=25) 30.2 ± 14.4 mg vs Control (Group I...</x:v>
      </x:c>
      <x:c r="J42" s="18" t="str">
        <x:v>Yes</x:v>
      </x:c>
      <x:c r="K42" s="18" t="str">
        <x:v>Yes</x:v>
      </x:c>
      <x:c r="L42" s="18" t="str">
        <x:v>Yes</x:v>
      </x:c>
      <x:c r="M42" s="18" t="str">
        <x:v>Cumulative IV PCA morphine delivered</x:v>
      </x:c>
      <x:c r="N42" s="18" t="str">
        <x:v>24-h test period</x:v>
      </x:c>
      <x:c r="O42" s="18" t="str">
        <x:v>Some concerns</x:v>
      </x:c>
      <x:c r="P42" s="18" t="str">
        <x:v>PARTIALLY READY — corrected RoB available for one selected result; confirm outcome matches planned synthesis</x:v>
      </x:c>
      <x:c r="Q42" s="18" t="str">
        <x:v>Use source data; DO NOT use original stored RoB. Rebuild result-specific RoB.</x:v>
      </x:c>
      <x:c r="R42" s="18" t="str">
        <x:v>Candidate summary from Antigravity report; use only after source-level confirmation</x:v>
      </x:c>
      <x:c r="S42" s="18" t="str">
        <x:v>Source PDF / supplement / protocol / registration &gt; reconciled source extraction &gt; derivative model output</x:v>
      </x:c>
      <x:c r="T42" s="18" t="str">
        <x:v>https://drive.google.com/drive/folders/1EWdZyTQjPSuoxt8n1nIr1t8D98PC-mso</x:v>
      </x:c>
      <x:c r="U42" s="18" t="str">
        <x:v>https://docs.google.com/document/d/1hR0UuZSmPpwZi384Vzn3sZt5Y5_ZwYxW6b3u4nq2-40/edit</x:v>
      </x:c>
      <x:c r="V42" t="n">
        <x:f>COUNTIF(Outcome_Data!$A:$A,A42)</x:f>
        <x:v>4</x:v>
      </x:c>
    </x:row>
    <x:row r="43">
      <x:c r="A43" s="18" t="str">
        <x:v>Liang 2021</x:v>
      </x:c>
      <x:c r="B43" s="18" t="str">
        <x:v>Batch 8</x:v>
      </x:c>
      <x:c r="C43" s="18" t="str">
        <x:v>FULL REPLACEMENT</x:v>
      </x:c>
      <x:c r="D43" s="18" t="str">
        <x:v>Changes anesthesia/acupoints/timing, ignores 75 randomized/70 analyzed, invents unreported 6-h CRBD result.</x:v>
      </x:c>
      <x:c r="E43" s="18" t="str"/>
      <x:c r="F43" s="18" t="str">
        <x:v>Liang 2021</x:v>
      </x:c>
      <x:c r="G43" s="18" t="str">
        <x:v>432</x:v>
      </x:c>
      <x:c r="H43" s="18" t="str">
        <x:v>1879896610</x:v>
      </x:c>
      <x:c r="I43" s="18" t="str">
        <x:v>**QoR-40 at 24h (PRIMARY)**: TEAS group (n=35) 191.7 ± 4.4 vs Control group (n=35) 189.1 ± 4.3 (P = 0.007) [MD 2.6, 95% CI 0.6 to 4.6]. **QoR-40 at 48h**: TE...</x:v>
      </x:c>
      <x:c r="J43" s="18" t="str">
        <x:v>Yes</x:v>
      </x:c>
      <x:c r="K43" s="18" t="str">
        <x:v>Yes</x:v>
      </x:c>
      <x:c r="L43" s="18" t="str">
        <x:v>No</x:v>
      </x:c>
      <x:c r="M43" s="18" t="str"/>
      <x:c r="N43" s="18" t="str"/>
      <x:c r="O43" s="18" t="str"/>
      <x:c r="P43" s="18" t="str">
        <x:v>NOT READY — RoB replacement/re-adjudication pending</x:v>
      </x:c>
      <x:c r="Q43" s="18" t="str">
        <x:v>Use source data; DO NOT use original stored RoB. Rebuild result-specific RoB.</x:v>
      </x:c>
      <x:c r="R43" s="18" t="str">
        <x:v>Candidate summary from Antigravity report; use only after source-level confirmation</x:v>
      </x:c>
      <x:c r="S43" s="18" t="str">
        <x:v>Source PDF / supplement / protocol / registration &gt; reconciled source extraction &gt; derivative model output</x:v>
      </x:c>
      <x:c r="T43" s="18" t="str">
        <x:v>https://drive.google.com/drive/folders/1EWdZyTQjPSuoxt8n1nIr1t8D98PC-mso</x:v>
      </x:c>
      <x:c r="U43" s="18" t="str">
        <x:v>https://docs.google.com/document/d/1hR0UuZSmPpwZi384Vzn3sZt5Y5_ZwYxW6b3u4nq2-40/edit</x:v>
      </x:c>
      <x:c r="V43" t="n">
        <x:f>COUNTIF(Outcome_Data!$A:$A,A43)</x:f>
        <x:v>0</x:v>
      </x:c>
    </x:row>
    <x:row r="44">
      <x:c r="A44" s="18" t="str">
        <x:v>Lee 2011</x:v>
      </x:c>
      <x:c r="B44" s="18" t="str">
        <x:v>Batch 2</x:v>
      </x:c>
      <x:c r="C44" s="18" t="str">
        <x:v>SPECIAL / SOURCE-QC</x:v>
      </x:c>
      <x:c r="D44" s="18" t="str">
        <x:v>Four-arm trial; preserve direct cumulative Table 8 values; source interval/cumulative inconsistency and two low-frequency-arm exclusions.</x:v>
      </x:c>
      <x:c r="E44" s="18" t="str"/>
      <x:c r="F44" s="18" t="str">
        <x:v>Lee 2011</x:v>
      </x:c>
      <x:c r="G44" s="18" t="str">
        <x:v>812</x:v>
      </x:c>
      <x:c r="H44" s="18" t="str">
        <x:v>1879897255</x:v>
      </x:c>
      <x:c r="I44" s="18" t="str">
        <x:v>**Cumulative 24h PCA morphine (mg) (PRIMARY)**: Dense-sparse TEAS (Group 4, n=10) 29.29 ± 8.89 mg vs Sham TEAS (Group 2, n=12) 34.20 ± 6.40 mg vs Control (Gr...</x:v>
      </x:c>
      <x:c r="J44" s="18" t="str">
        <x:v>Yes</x:v>
      </x:c>
      <x:c r="K44" s="18" t="str">
        <x:v>No</x:v>
      </x:c>
      <x:c r="L44" s="18" t="str">
        <x:v>No</x:v>
      </x:c>
      <x:c r="M44" s="18" t="str"/>
      <x:c r="N44" s="18" t="str"/>
      <x:c r="O44" s="18" t="str"/>
      <x:c r="P44" s="18" t="str">
        <x:v>SOURCE-QC REQUIRED</x:v>
      </x:c>
      <x:c r="Q44" s="18" t="str">
        <x:v>Follow study-specific source-QC note before analysis; do not assume original derivative is safe.</x:v>
      </x:c>
      <x:c r="R44" s="18" t="str">
        <x:v>Candidate summary from Antigravity report; use only after source-level confirmation</x:v>
      </x:c>
      <x:c r="S44" s="18" t="str">
        <x:v>Source PDF / supplement / protocol / registration &gt; reconciled source extraction &gt; derivative model output</x:v>
      </x:c>
      <x:c r="T44" s="18" t="str">
        <x:v>https://drive.google.com/drive/folders/1EWdZyTQjPSuoxt8n1nIr1t8D98PC-mso</x:v>
      </x:c>
      <x:c r="U44" s="18" t="str">
        <x:v>https://docs.google.com/document/d/1hR0UuZSmPpwZi384Vzn3sZt5Y5_ZwYxW6b3u4nq2-40/edit</x:v>
      </x:c>
      <x:c r="V44" t="n">
        <x:f>COUNTIF(Outcome_Data!$A:$A,A44)</x:f>
        <x:v>0</x:v>
      </x:c>
    </x:row>
    <x:row r="45">
      <x:c r="A45" s="18" t="str">
        <x:v>Jin 2023</x:v>
      </x:c>
      <x:c r="B45" s="18" t="str">
        <x:v>Batch 11</x:v>
      </x:c>
      <x:c r="C45" s="18" t="str">
        <x:v>FULL REPLACEMENT</x:v>
      </x:c>
      <x:c r="D45" s="18" t="str">
        <x:v>Collapses three arms, invents anesthesia/schedule, complete follow-up and pump/fentanyl results.</x:v>
      </x:c>
      <x:c r="E45" s="18" t="str">
        <x:v>Jin 2022 → Jin 2023</x:v>
      </x:c>
      <x:c r="F45" s="18" t="str">
        <x:v>Jin 2022</x:v>
      </x:c>
      <x:c r="G45" s="18" t="str">
        <x:v>326</x:v>
      </x:c>
      <x:c r="H45" s="18" t="str">
        <x:v>1879896440</x:v>
      </x:c>
      <x:c r="I45" s="18" t="str">
        <x:v>**Cumulative 24h PCIA fentanyl volume (mL) (PRIMARY)**: 2-Hz EA (n=53) 39.31 ± 15.58 mL vs 20/100-Hz EA (n=53) 45.72 ± 16.92 mL vs Sham EA (n=52) 56.54 ± 12....</x:v>
      </x:c>
      <x:c r="J45" s="18" t="str">
        <x:v>Yes</x:v>
      </x:c>
      <x:c r="K45" s="18" t="str">
        <x:v>Yes</x:v>
      </x:c>
      <x:c r="L45" s="18" t="str">
        <x:v>No</x:v>
      </x:c>
      <x:c r="M45" s="18" t="str"/>
      <x:c r="N45" s="18" t="str"/>
      <x:c r="O45" s="18" t="str"/>
      <x:c r="P45" s="18" t="str">
        <x:v>NOT READY — RoB replacement/re-adjudication pending</x:v>
      </x:c>
      <x:c r="Q45" s="18" t="str">
        <x:v>Use source data; DO NOT use original stored RoB. Rebuild result-specific RoB.</x:v>
      </x:c>
      <x:c r="R45" s="18" t="str">
        <x:v>Candidate summary from Antigravity report; use only after source-level confirmation</x:v>
      </x:c>
      <x:c r="S45" s="18" t="str">
        <x:v>Source PDF / supplement / protocol / registration &gt; reconciled source extraction &gt; derivative model output</x:v>
      </x:c>
      <x:c r="T45" s="18" t="str">
        <x:v>https://drive.google.com/drive/folders/1EWdZyTQjPSuoxt8n1nIr1t8D98PC-mso</x:v>
      </x:c>
      <x:c r="U45" s="18" t="str">
        <x:v>https://docs.google.com/document/d/1hR0UuZSmPpwZi384Vzn3sZt5Y5_ZwYxW6b3u4nq2-40/edit</x:v>
      </x:c>
      <x:c r="V45" t="n">
        <x:f>COUNTIF(Outcome_Data!$A:$A,A45)</x:f>
        <x:v>0</x:v>
      </x:c>
    </x:row>
    <x:row r="46">
      <x:c r="A46" s="18" t="str">
        <x:v>Jiang 2026</x:v>
      </x:c>
      <x:c r="B46" s="18" t="str">
        <x:v>Batch 17</x:v>
      </x:c>
      <x:c r="C46" s="18" t="str">
        <x:v>FULL REPLACEMENT</x:v>
      </x:c>
      <x:c r="D46" s="18" t="str">
        <x:v>Treats PP 587 as randomized/ITT, changes protocol and flatus value/HR.</x:v>
      </x:c>
      <x:c r="E46" s="18" t="str"/>
      <x:c r="F46" s="18" t="str">
        <x:v>Jiang 2026</x:v>
      </x:c>
      <x:c r="G46" s="18" t="str">
        <x:v>4</x:v>
      </x:c>
      <x:c r="H46" s="18" t="str">
        <x:v>1879895860</x:v>
      </x:c>
      <x:c r="I46" s="18" t="str">
        <x:v>**24h PONV incidence (PRIMARY)**: TEAS group (n=294) 44/294 (15.0%) vs Sham-TEAS group (n=293) 67/293 (22.9%) (P = 0.015) [RR 0.59, 95% CI 0.39 to 0.90]. **T...</x:v>
      </x:c>
      <x:c r="J46" s="18" t="str">
        <x:v>Yes</x:v>
      </x:c>
      <x:c r="K46" s="18" t="str">
        <x:v>Yes</x:v>
      </x:c>
      <x:c r="L46" s="18" t="str">
        <x:v>No</x:v>
      </x:c>
      <x:c r="M46" s="18" t="str"/>
      <x:c r="N46" s="18" t="str"/>
      <x:c r="O46" s="18" t="str"/>
      <x:c r="P46" s="18" t="str">
        <x:v>NOT READY — RoB replacement/re-adjudication pending</x:v>
      </x:c>
      <x:c r="Q46" s="18" t="str">
        <x:v>Use source data; DO NOT use original stored RoB. Rebuild result-specific RoB.</x:v>
      </x:c>
      <x:c r="R46" s="18" t="str">
        <x:v>Candidate summary from Antigravity report; use only after source-level confirmation</x:v>
      </x:c>
      <x:c r="S46" s="18" t="str">
        <x:v>Source PDF / supplement / protocol / registration &gt; reconciled source extraction &gt; derivative model output</x:v>
      </x:c>
      <x:c r="T46" s="18" t="str">
        <x:v>https://drive.google.com/drive/folders/1EWdZyTQjPSuoxt8n1nIr1t8D98PC-mso</x:v>
      </x:c>
      <x:c r="U46" s="18" t="str">
        <x:v>https://docs.google.com/document/d/1hR0UuZSmPpwZi384Vzn3sZt5Y5_ZwYxW6b3u4nq2-40/edit</x:v>
      </x:c>
      <x:c r="V46" t="n">
        <x:f>COUNTIF(Outcome_Data!$A:$A,A46)</x:f>
        <x:v>0</x:v>
      </x:c>
    </x:row>
    <x:row r="47">
      <x:c r="A47" s="18" t="str">
        <x:v>Huang 2025</x:v>
      </x:c>
      <x:c r="B47" s="18" t="str">
        <x:v>Batch 16</x:v>
      </x:c>
      <x:c r="C47" s="18" t="str">
        <x:v>FULL REPLACEMENT</x:v>
      </x:c>
      <x:c r="D47" s="18" t="str">
        <x:v>Invents three-arm colorectal trial and 24-h sufentanil values; source is two-arm postoperative EA with 13 exclusions.</x:v>
      </x:c>
      <x:c r="E47" s="18" t="str"/>
      <x:c r="F47" s="18" t="str">
        <x:v>Huang 2025</x:v>
      </x:c>
      <x:c r="G47" s="18" t="str">
        <x:v>131</x:v>
      </x:c>
      <x:c r="H47" s="18" t="str">
        <x:v>1879896131</x:v>
      </x:c>
      <x:c r="I47" s="18" t="str">
        <x:v>**Time to first flatus (hours) (PRIMARY)**: EA group (n=43) 36.4 ± 8.0 vs Standard care group (n=45) 42.2 ± 8.5 (P &lt; 0.001) [MD -5.8 h, HR 1.9, 95% CI 1.2 to...</x:v>
      </x:c>
      <x:c r="J47" s="18" t="str">
        <x:v>Yes</x:v>
      </x:c>
      <x:c r="K47" s="18" t="str">
        <x:v>Yes</x:v>
      </x:c>
      <x:c r="L47" s="18" t="str">
        <x:v>No</x:v>
      </x:c>
      <x:c r="M47" s="18" t="str"/>
      <x:c r="N47" s="18" t="str"/>
      <x:c r="O47" s="18" t="str"/>
      <x:c r="P47" s="18" t="str">
        <x:v>NOT READY — RoB replacement/re-adjudication pending</x:v>
      </x:c>
      <x:c r="Q47" s="18" t="str">
        <x:v>Use source data; DO NOT use original stored RoB. Rebuild result-specific RoB.</x:v>
      </x:c>
      <x:c r="R47" s="18" t="str">
        <x:v>Candidate summary from Antigravity report; use only after source-level confirmation</x:v>
      </x:c>
      <x:c r="S47" s="18" t="str">
        <x:v>Source PDF / supplement / protocol / registration &gt; reconciled source extraction &gt; derivative model output</x:v>
      </x:c>
      <x:c r="T47" s="18" t="str">
        <x:v>https://drive.google.com/drive/folders/1EWdZyTQjPSuoxt8n1nIr1t8D98PC-mso</x:v>
      </x:c>
      <x:c r="U47" s="18" t="str">
        <x:v>https://docs.google.com/document/d/1hR0UuZSmPpwZi384Vzn3sZt5Y5_ZwYxW6b3u4nq2-40/edit</x:v>
      </x:c>
      <x:c r="V47" t="n">
        <x:f>COUNTIF(Outcome_Data!$A:$A,A47)</x:f>
        <x:v>0</x:v>
      </x:c>
    </x:row>
    <x:row r="48">
      <x:c r="A48" s="18" t="str">
        <x:v>Huang 2017</x:v>
      </x:c>
      <x:c r="B48" s="18" t="str">
        <x:v>Batch 5</x:v>
      </x:c>
      <x:c r="C48" s="18" t="str">
        <x:v>NO MATCHING RoB</x:v>
      </x:c>
      <x:c r="D48" s="18" t="str">
        <x:v>Source extraction/Gemini reconciled; four-arm frequency trial with ambiguous postoperative dose window; fresh result-specific RoB needed.</x:v>
      </x:c>
      <x:c r="E48" s="18" t="str"/>
      <x:c r="F48" s="18" t="str">
        <x:v>Huang 2017</x:v>
      </x:c>
      <x:c r="G48" s="18" t="str">
        <x:v>3811</x:v>
      </x:c>
      <x:c r="H48" s="18" t="str">
        <x:v>1882881457</x:v>
      </x:c>
      <x:c r="I48" s="18" t="str">
        <x:v>**Intraop remifentanil (PRIMARY)**: Control (n=20) 0.1617 ± 0.037 µg/kg/min vs 2/100 Hz TEAS (n=20) 0.1128 ± 0.034 µg/kg/min (P &lt;= 0.001) [MD -0.0489]. **PAC...</x:v>
      </x:c>
      <x:c r="J48" s="18" t="str">
        <x:v>Yes</x:v>
      </x:c>
      <x:c r="K48" s="18" t="str">
        <x:v>Yes</x:v>
      </x:c>
      <x:c r="L48" s="18" t="str">
        <x:v>No</x:v>
      </x:c>
      <x:c r="M48" s="18" t="str"/>
      <x:c r="N48" s="18" t="str"/>
      <x:c r="O48" s="18" t="str"/>
      <x:c r="P48" s="18" t="str">
        <x:v>SOURCE-QC REQUIRED</x:v>
      </x:c>
      <x:c r="Q48" s="18" t="str">
        <x:v>Source data may be used if verified; create fresh result-specific RoB if outcome enters synthesis.</x:v>
      </x:c>
      <x:c r="R48" s="18" t="str">
        <x:v>Candidate summary from Antigravity report; use only after source-level confirmation</x:v>
      </x:c>
      <x:c r="S48" s="18" t="str">
        <x:v>Source PDF / supplement / protocol / registration &gt; reconciled source extraction &gt; derivative model output</x:v>
      </x:c>
      <x:c r="T48" s="18" t="str">
        <x:v>https://drive.google.com/drive/folders/1EWdZyTQjPSuoxt8n1nIr1t8D98PC-mso</x:v>
      </x:c>
      <x:c r="U48" s="18" t="str">
        <x:v>https://docs.google.com/document/d/1hR0UuZSmPpwZi384Vzn3sZt5Y5_ZwYxW6b3u4nq2-40/edit</x:v>
      </x:c>
      <x:c r="V48" t="n">
        <x:f>COUNTIF(Outcome_Data!$A:$A,A48)</x:f>
        <x:v>0</x:v>
      </x:c>
    </x:row>
    <x:row r="49">
      <x:c r="A49" s="18" t="str">
        <x:v>Huang 2024</x:v>
      </x:c>
      <x:c r="B49" s="18" t="str">
        <x:v>Batch 13</x:v>
      </x:c>
      <x:c r="C49" s="18" t="str">
        <x:v>FULL REPLACEMENT</x:v>
      </x:c>
      <x:c r="D49" s="18" t="str">
        <x:v>Attached Liu RoB is unrelated colorectal/TEAS trial with fabricated flatus endpoint.</x:v>
      </x:c>
      <x:c r="E49" s="18" t="str">
        <x:v>Huang 2023 → Huang 2024</x:v>
      </x:c>
      <x:c r="F49" s="18" t="str">
        <x:v>Huang 2023</x:v>
      </x:c>
      <x:c r="G49" s="18" t="str">
        <x:v>245</x:v>
      </x:c>
      <x:c r="H49" s="18" t="str">
        <x:v>1879896311</x:v>
      </x:c>
      <x:c r="I49" s="18" t="str">
        <x:v>**Pain VAS 24h movement (PRIMARY)**: Contralateral EA (n=38) 53.16 ± 9.99 vs Ipsilateral EA (n=38) 53.50 ± 10.79 vs Sham EA (n=38) 56.71 ± 9.84 (0-100 scale)...</x:v>
      </x:c>
      <x:c r="J49" s="18" t="str">
        <x:v>Yes</x:v>
      </x:c>
      <x:c r="K49" s="18" t="str">
        <x:v>Yes</x:v>
      </x:c>
      <x:c r="L49" s="18" t="str">
        <x:v>No</x:v>
      </x:c>
      <x:c r="M49" s="18" t="str"/>
      <x:c r="N49" s="18" t="str"/>
      <x:c r="O49" s="18" t="str"/>
      <x:c r="P49" s="18" t="str">
        <x:v>NOT READY — RoB replacement/re-adjudication pending</x:v>
      </x:c>
      <x:c r="Q49" s="18" t="str">
        <x:v>Use source data; DO NOT use original stored RoB. Rebuild result-specific RoB.</x:v>
      </x:c>
      <x:c r="R49" s="18" t="str">
        <x:v>Candidate summary from Antigravity report; use only after source-level confirmation</x:v>
      </x:c>
      <x:c r="S49" s="18" t="str">
        <x:v>Source PDF / supplement / protocol / registration &gt; reconciled source extraction &gt; derivative model output</x:v>
      </x:c>
      <x:c r="T49" s="18" t="str">
        <x:v>https://drive.google.com/drive/folders/1EWdZyTQjPSuoxt8n1nIr1t8D98PC-mso</x:v>
      </x:c>
      <x:c r="U49" s="18" t="str">
        <x:v>https://docs.google.com/document/d/1hR0UuZSmPpwZi384Vzn3sZt5Y5_ZwYxW6b3u4nq2-40/edit</x:v>
      </x:c>
      <x:c r="V49" t="n">
        <x:f>COUNTIF(Outcome_Data!$A:$A,A49)</x:f>
        <x:v>0</x:v>
      </x:c>
    </x:row>
    <x:row r="50">
      <x:c r="A50" s="18" t="str">
        <x:v>Hou 2023</x:v>
      </x:c>
      <x:c r="B50" s="18" t="str">
        <x:v>Batch 11</x:v>
      </x:c>
      <x:c r="C50" s="18" t="str">
        <x:v>FULL REPLACEMENT</x:v>
      </x:c>
      <x:c r="D50" s="18" t="str">
        <x:v>Stored RoB invents 186-woman gynecologic trial and 24-h sufentanil outcome not reported.</x:v>
      </x:c>
      <x:c r="E50" s="18" t="str"/>
      <x:c r="F50" s="18" t="str">
        <x:v>Hou 2023</x:v>
      </x:c>
      <x:c r="G50" s="18" t="str">
        <x:v>295</x:v>
      </x:c>
      <x:c r="H50" s="18" t="str">
        <x:v>1879896391</x:v>
      </x:c>
      <x:c r="I50" s="18" t="str">
        <x:v>**PONV 0-24h (PRIMARY)**: TEAS group (n=36) 4/36 (11.1%) vs Sham TEAS group (n=36) 12/36 (33.3%) (P = 0.023) [RR 0.33, 95% CI 0.12 to 0.92]. **Participants r...</x:v>
      </x:c>
      <x:c r="J50" s="18" t="str">
        <x:v>Yes</x:v>
      </x:c>
      <x:c r="K50" s="18" t="str">
        <x:v>Yes</x:v>
      </x:c>
      <x:c r="L50" s="18" t="str">
        <x:v>No</x:v>
      </x:c>
      <x:c r="M50" s="18" t="str"/>
      <x:c r="N50" s="18" t="str"/>
      <x:c r="O50" s="18" t="str"/>
      <x:c r="P50" s="18" t="str">
        <x:v>NOT READY — RoB replacement/re-adjudication pending</x:v>
      </x:c>
      <x:c r="Q50" s="18" t="str">
        <x:v>Use source data; DO NOT use original stored RoB. Rebuild result-specific RoB.</x:v>
      </x:c>
      <x:c r="R50" s="18" t="str">
        <x:v>Candidate summary from Antigravity report; use only after source-level confirmation</x:v>
      </x:c>
      <x:c r="S50" s="18" t="str">
        <x:v>Source PDF / supplement / protocol / registration &gt; reconciled source extraction &gt; derivative model output</x:v>
      </x:c>
      <x:c r="T50" s="18" t="str">
        <x:v>https://drive.google.com/drive/folders/1EWdZyTQjPSuoxt8n1nIr1t8D98PC-mso</x:v>
      </x:c>
      <x:c r="U50" s="18" t="str">
        <x:v>https://docs.google.com/document/d/1hR0UuZSmPpwZi384Vzn3sZt5Y5_ZwYxW6b3u4nq2-40/edit</x:v>
      </x:c>
      <x:c r="V50" t="n">
        <x:f>COUNTIF(Outcome_Data!$A:$A,A50)</x:f>
        <x:v>0</x:v>
      </x:c>
    </x:row>
    <x:row r="51">
      <x:c r="A51" s="18" t="str">
        <x:v>He 2026 (hepatectomy/JIS)</x:v>
      </x:c>
      <x:c r="B51" s="18" t="str">
        <x:v>Batch 17</x:v>
      </x:c>
      <x:c r="C51" s="18" t="str">
        <x:v>FULL REPLACEMENT</x:v>
      </x:c>
      <x:c r="D51" s="18" t="str">
        <x:v>Replaces multicenter PC6/PONV trial with fabricated colorectal/flatus trial.</x:v>
      </x:c>
      <x:c r="E51" s="18" t="str">
        <x:v>He 2026 (Hepatectomy) → He 2026 (hepatectomy/JIS)</x:v>
      </x:c>
      <x:c r="F51" s="18" t="str">
        <x:v>He 2026 (Hepatectomy)</x:v>
      </x:c>
      <x:c r="G51" s="18" t="str">
        <x:v>25</x:v>
      </x:c>
      <x:c r="H51" s="18" t="str">
        <x:v>1879895909</x:v>
      </x:c>
      <x:c r="I51" s="18" t="str">
        <x:v>**Opioid 0-24h (PRIMARY)**: TEAS group (n=80) 20.0 ± 2.5 mg IV MME vs Control group (n=79) 20.6 ± 4.5 mg IV MME (P = 0.30) [MD -0.6 mg, 95% CI -1.7 to 0.5]. ...</x:v>
      </x:c>
      <x:c r="J51" s="18" t="str">
        <x:v>Yes</x:v>
      </x:c>
      <x:c r="K51" s="18" t="str">
        <x:v>No</x:v>
      </x:c>
      <x:c r="L51" s="18" t="str">
        <x:v>No</x:v>
      </x:c>
      <x:c r="M51" s="18" t="str"/>
      <x:c r="N51" s="18" t="str"/>
      <x:c r="O51" s="18" t="str"/>
      <x:c r="P51" s="18" t="str">
        <x:v>NOT READY — RoB replacement/re-adjudication pending</x:v>
      </x:c>
      <x:c r="Q51" s="18" t="str">
        <x:v>Use source data; DO NOT use original stored RoB. Rebuild result-specific RoB.</x:v>
      </x:c>
      <x:c r="R51" s="18" t="str">
        <x:v>Candidate summary from Antigravity report; use only after source-level confirmation</x:v>
      </x:c>
      <x:c r="S51" s="18" t="str">
        <x:v>Source PDF / supplement / protocol / registration &gt; reconciled source extraction &gt; derivative model output</x:v>
      </x:c>
      <x:c r="T51" s="18" t="str">
        <x:v>https://drive.google.com/drive/folders/1EWdZyTQjPSuoxt8n1nIr1t8D98PC-mso</x:v>
      </x:c>
      <x:c r="U51" s="18" t="str">
        <x:v>https://docs.google.com/document/d/1hR0UuZSmPpwZi384Vzn3sZt5Y5_ZwYxW6b3u4nq2-40/edit</x:v>
      </x:c>
      <x:c r="V51" t="n">
        <x:f>COUNTIF(Outcome_Data!$A:$A,A51)</x:f>
        <x:v>0</x:v>
      </x:c>
    </x:row>
    <x:row r="52">
      <x:c r="A52" s="18" t="str">
        <x:v>He 2026 (breast/WJCO)</x:v>
      </x:c>
      <x:c r="B52" s="18" t="str">
        <x:v>Batch 17</x:v>
      </x:c>
      <x:c r="C52" s="18" t="str">
        <x:v>FULL REPLACEMENT</x:v>
      </x:c>
      <x:c r="D52" s="18" t="str">
        <x:v>Changes cancer type, invasive EA protocol and pain result; invents concealment and other outcomes.</x:v>
      </x:c>
      <x:c r="E52" s="18" t="str">
        <x:v>He 2026 → He 2026 (breast/WJCO)</x:v>
      </x:c>
      <x:c r="F52" s="18" t="str">
        <x:v>He 2026</x:v>
      </x:c>
      <x:c r="G52" s="18" t="str">
        <x:v>41</x:v>
      </x:c>
      <x:c r="H52" s="18" t="str">
        <x:v>1879895945</x:v>
      </x:c>
      <x:c r="I52" s="18" t="str">
        <x:v>**Pain VAS 24h at rest (PRIMARY)**: EA group (n=65) 1.789 ± 0.174 vs Control group (n=65) 2.692 ± 0.174 (P &lt; 0.01) [MD -0.903]. **Pain VAS 24h during movemen...</x:v>
      </x:c>
      <x:c r="J52" s="18" t="str">
        <x:v>Yes</x:v>
      </x:c>
      <x:c r="K52" s="18" t="str">
        <x:v>Yes</x:v>
      </x:c>
      <x:c r="L52" s="18" t="str">
        <x:v>No</x:v>
      </x:c>
      <x:c r="M52" s="18" t="str"/>
      <x:c r="N52" s="18" t="str"/>
      <x:c r="O52" s="18" t="str"/>
      <x:c r="P52" s="18" t="str">
        <x:v>NOT READY — RoB replacement/re-adjudication pending</x:v>
      </x:c>
      <x:c r="Q52" s="18" t="str">
        <x:v>Use source data; DO NOT use original stored RoB. Rebuild result-specific RoB.</x:v>
      </x:c>
      <x:c r="R52" s="18" t="str">
        <x:v>Candidate summary from Antigravity report; use only after source-level confirmation</x:v>
      </x:c>
      <x:c r="S52" s="18" t="str">
        <x:v>Source PDF / supplement / protocol / registration &gt; reconciled source extraction &gt; derivative model output</x:v>
      </x:c>
      <x:c r="T52" s="18" t="str">
        <x:v>https://drive.google.com/drive/folders/1EWdZyTQjPSuoxt8n1nIr1t8D98PC-mso</x:v>
      </x:c>
      <x:c r="U52" s="18" t="str">
        <x:v>https://docs.google.com/document/d/1hR0UuZSmPpwZi384Vzn3sZt5Y5_ZwYxW6b3u4nq2-40/edit</x:v>
      </x:c>
      <x:c r="V52" t="n">
        <x:f>COUNTIF(Outcome_Data!$A:$A,A52)</x:f>
        <x:v>0</x:v>
      </x:c>
    </x:row>
    <x:row r="53">
      <x:c r="A53" s="18" t="str">
        <x:v>Gu 2019</x:v>
      </x:c>
      <x:c r="B53" s="18" t="str">
        <x:v>Batch 6</x:v>
      </x:c>
      <x:c r="C53" s="18" t="str">
        <x:v>FULL REPLACEMENT</x:v>
      </x:c>
      <x:c r="D53" s="18" t="str">
        <x:v>Stored RoB invents three arms, wrong treatment schedule/denominators and flatus values.</x:v>
      </x:c>
      <x:c r="E53" s="18" t="str"/>
      <x:c r="F53" s="18" t="str">
        <x:v>Gu 2019</x:v>
      </x:c>
      <x:c r="G53" s="18" t="str">
        <x:v>848</x:v>
      </x:c>
      <x:c r="H53" s="18" t="str">
        <x:v>1881841223</x:v>
      </x:c>
      <x:c r="I53" s="18" t="str">
        <x:v>**Pain VAS 24h at rest (PRIMARY)**: L-TEAS (n=58) 1.98 ± 0.39 vs C-TEAS (n=59) 2.72 ± 0.73 (P &lt; 0.05) [MD -0.74]. **PONV 0-24h (PRIMARY)**: L-TEAS 7/58 (12.1...</x:v>
      </x:c>
      <x:c r="J53" s="18" t="str">
        <x:v>Yes</x:v>
      </x:c>
      <x:c r="K53" s="18" t="str">
        <x:v>Yes</x:v>
      </x:c>
      <x:c r="L53" s="18" t="str">
        <x:v>No</x:v>
      </x:c>
      <x:c r="M53" s="18" t="str"/>
      <x:c r="N53" s="18" t="str"/>
      <x:c r="O53" s="18" t="str"/>
      <x:c r="P53" s="18" t="str">
        <x:v>NOT READY — RoB replacement/re-adjudication pending</x:v>
      </x:c>
      <x:c r="Q53" s="18" t="str">
        <x:v>Use source data; DO NOT use original stored RoB. Rebuild result-specific RoB.</x:v>
      </x:c>
      <x:c r="R53" s="18" t="str">
        <x:v>Candidate summary from Antigravity report; use only after source-level confirmation</x:v>
      </x:c>
      <x:c r="S53" s="18" t="str">
        <x:v>Source PDF / supplement / protocol / registration &gt; reconciled source extraction &gt; derivative model output</x:v>
      </x:c>
      <x:c r="T53" s="18" t="str">
        <x:v>https://drive.google.com/drive/folders/1EWdZyTQjPSuoxt8n1nIr1t8D98PC-mso</x:v>
      </x:c>
      <x:c r="U53" s="18" t="str">
        <x:v>https://docs.google.com/document/d/1hR0UuZSmPpwZi384Vzn3sZt5Y5_ZwYxW6b3u4nq2-40/edit</x:v>
      </x:c>
      <x:c r="V53" t="n">
        <x:f>COUNTIF(Outcome_Data!$A:$A,A53)</x:f>
        <x:v>0</x:v>
      </x:c>
    </x:row>
    <x:row r="54">
      <x:c r="A54" s="18" t="str">
        <x:v>Guo 2023</x:v>
      </x:c>
      <x:c r="B54" s="18" t="str">
        <x:v>Batch 11</x:v>
      </x:c>
      <x:c r="C54" s="18" t="str">
        <x:v>FULL REPLACEMENT</x:v>
      </x:c>
      <x:c r="D54" s="18" t="str">
        <x:v>Replaces cognition-focused lung-cancer trial with fabricated bariatric GI-recovery trial.</x:v>
      </x:c>
      <x:c r="E54" s="18" t="str"/>
      <x:c r="F54" s="18" t="str">
        <x:v>Guo 2023</x:v>
      </x:c>
      <x:c r="G54" s="18" t="str">
        <x:v>260</x:v>
      </x:c>
      <x:c r="H54" s="18" t="str">
        <x:v>1879896335</x:v>
      </x:c>
      <x:c r="I54" s="18" t="str">
        <x:v>**Intraop remifentanil**: TEAS (n=55) 0.87 ± 0.30 mg vs Sham-TEAS (n=55) 1.01 ± 0.39 mg (P = 0.040). **Intraop sufentanil**: TEAS 29.42 ± 7.62 µg vs Sham-TEA...</x:v>
      </x:c>
      <x:c r="J54" s="18" t="str">
        <x:v>Yes</x:v>
      </x:c>
      <x:c r="K54" s="18" t="str">
        <x:v>Yes</x:v>
      </x:c>
      <x:c r="L54" s="18" t="str">
        <x:v>No</x:v>
      </x:c>
      <x:c r="M54" s="18" t="str"/>
      <x:c r="N54" s="18" t="str"/>
      <x:c r="O54" s="18" t="str"/>
      <x:c r="P54" s="18" t="str">
        <x:v>NOT READY — RoB replacement/re-adjudication pending</x:v>
      </x:c>
      <x:c r="Q54" s="18" t="str">
        <x:v>Use source data; DO NOT use original stored RoB. Rebuild result-specific RoB.</x:v>
      </x:c>
      <x:c r="R54" s="18" t="str">
        <x:v>Candidate summary from Antigravity report; use only after source-level confirmation</x:v>
      </x:c>
      <x:c r="S54" s="18" t="str">
        <x:v>Source PDF / supplement / protocol / registration &gt; reconciled source extraction &gt; derivative model output</x:v>
      </x:c>
      <x:c r="T54" s="18" t="str">
        <x:v>https://drive.google.com/drive/folders/1EWdZyTQjPSuoxt8n1nIr1t8D98PC-mso</x:v>
      </x:c>
      <x:c r="U54" s="18" t="str">
        <x:v>https://docs.google.com/document/d/1hR0UuZSmPpwZi384Vzn3sZt5Y5_ZwYxW6b3u4nq2-40/edit</x:v>
      </x:c>
      <x:c r="V54" t="n">
        <x:f>COUNTIF(Outcome_Data!$A:$A,A54)</x:f>
        <x:v>0</x:v>
      </x:c>
    </x:row>
    <x:row r="55">
      <x:c r="A55" s="18" t="str">
        <x:v>Grech 2016</x:v>
      </x:c>
      <x:c r="B55" s="18" t="str">
        <x:v>Batch 5</x:v>
      </x:c>
      <x:c r="C55" s="18" t="str">
        <x:v>FULL REPLACEMENT</x:v>
      </x:c>
      <x:c r="D55" s="18" t="str">
        <x:v>Stored RoB describes a different 40-patient abdominal-surgery morphine trial.</x:v>
      </x:c>
      <x:c r="E55" s="18" t="str"/>
      <x:c r="F55" s="18" t="str">
        <x:v>Grech 2016</x:v>
      </x:c>
      <x:c r="G55" s="18" t="str">
        <x:v>619</x:v>
      </x:c>
      <x:c r="H55" s="18" t="str">
        <x:v>1879896952</x:v>
      </x:c>
      <x:c r="I55" s="18" t="str">
        <x:v>**Opioid 0-24h (PRIMARY)**: Measured-not-reported numerically in text/tables (graph-only in Fig 1, converted to missing_data: true, N=10 EA vs N=9 Control). ...</x:v>
      </x:c>
      <x:c r="J55" s="18" t="str">
        <x:v>Yes</x:v>
      </x:c>
      <x:c r="K55" s="18" t="str">
        <x:v>Yes</x:v>
      </x:c>
      <x:c r="L55" s="18" t="str">
        <x:v>No</x:v>
      </x:c>
      <x:c r="M55" s="18" t="str"/>
      <x:c r="N55" s="18" t="str"/>
      <x:c r="O55" s="18" t="str"/>
      <x:c r="P55" s="18" t="str">
        <x:v>NOT READY — RoB replacement/re-adjudication pending</x:v>
      </x:c>
      <x:c r="Q55" s="18" t="str">
        <x:v>Use source data; DO NOT use original stored RoB. Rebuild result-specific RoB.</x:v>
      </x:c>
      <x:c r="R55" s="18" t="str">
        <x:v>Candidate summary from Antigravity report; use only after source-level confirmation</x:v>
      </x:c>
      <x:c r="S55" s="18" t="str">
        <x:v>Source PDF / supplement / protocol / registration &gt; reconciled source extraction &gt; derivative model output</x:v>
      </x:c>
      <x:c r="T55" s="18" t="str">
        <x:v>https://drive.google.com/drive/folders/1EWdZyTQjPSuoxt8n1nIr1t8D98PC-mso</x:v>
      </x:c>
      <x:c r="U55" s="18" t="str">
        <x:v>https://docs.google.com/document/d/1hR0UuZSmPpwZi384Vzn3sZt5Y5_ZwYxW6b3u4nq2-40/edit</x:v>
      </x:c>
      <x:c r="V55" t="n">
        <x:f>COUNTIF(Outcome_Data!$A:$A,A55)</x:f>
        <x:v>0</x:v>
      </x:c>
    </x:row>
    <x:row r="56">
      <x:c r="A56" s="18" t="str">
        <x:v>Gao 2021</x:v>
      </x:c>
      <x:c r="B56" s="18" t="str">
        <x:v>Batch 7</x:v>
      </x:c>
      <x:c r="C56" s="18" t="str">
        <x:v>FULL REPLACEMENT</x:v>
      </x:c>
      <x:c r="D56" s="18" t="str">
        <x:v>Changes 610-person 10-center postoperative TEAS trial to 400-person fabricated design/result.</x:v>
      </x:c>
      <x:c r="E56" s="18" t="str"/>
      <x:c r="F56" s="18" t="str">
        <x:v>Gao 2021</x:v>
      </x:c>
      <x:c r="G56" s="18" t="str">
        <x:v>400</x:v>
      </x:c>
      <x:c r="H56" s="18" t="str">
        <x:v>1879896559</x:v>
      </x:c>
      <x:c r="I56" s="18" t="str">
        <x:v>**Opioid 0-24h (PRIMARY)**: Measured-not-reported (requires author contact). **Intraop sufentanil**: TEAS (n=303) 30.0 µg (IQR 25.0-35.0) [mean ~30.00 ± 7.41...</x:v>
      </x:c>
      <x:c r="J56" s="18" t="str">
        <x:v>Yes</x:v>
      </x:c>
      <x:c r="K56" s="18" t="str">
        <x:v>Yes</x:v>
      </x:c>
      <x:c r="L56" s="18" t="str">
        <x:v>No</x:v>
      </x:c>
      <x:c r="M56" s="18" t="str"/>
      <x:c r="N56" s="18" t="str"/>
      <x:c r="O56" s="18" t="str"/>
      <x:c r="P56" s="18" t="str">
        <x:v>NOT READY — RoB replacement/re-adjudication pending</x:v>
      </x:c>
      <x:c r="Q56" s="18" t="str">
        <x:v>Use source data; DO NOT use original stored RoB. Rebuild result-specific RoB.</x:v>
      </x:c>
      <x:c r="R56" s="18" t="str">
        <x:v>Candidate summary from Antigravity report; use only after source-level confirmation</x:v>
      </x:c>
      <x:c r="S56" s="18" t="str">
        <x:v>Source PDF / supplement / protocol / registration &gt; reconciled source extraction &gt; derivative model output</x:v>
      </x:c>
      <x:c r="T56" s="18" t="str">
        <x:v>https://drive.google.com/drive/folders/1EWdZyTQjPSuoxt8n1nIr1t8D98PC-mso</x:v>
      </x:c>
      <x:c r="U56" s="18" t="str">
        <x:v>https://docs.google.com/document/d/1hR0UuZSmPpwZi384Vzn3sZt5Y5_ZwYxW6b3u4nq2-40/edit</x:v>
      </x:c>
      <x:c r="V56" t="n">
        <x:f>COUNTIF(Outcome_Data!$A:$A,A56)</x:f>
        <x:v>0</x:v>
      </x:c>
    </x:row>
    <x:row r="57">
      <x:c r="A57" s="18" t="str">
        <x:v>El-Rakshy 2009</x:v>
      </x:c>
      <x:c r="B57" s="18" t="str">
        <x:v>Batch 2</x:v>
      </x:c>
      <x:c r="C57" s="18" t="str">
        <x:v>SPECIAL / SOURCE-QC</x:v>
      </x:c>
      <x:c r="D57" s="18" t="str">
        <x:v>Publication has irreconcilable allocation/analyzed denominators; preserve outcome-specific n and direct published morphine values.</x:v>
      </x:c>
      <x:c r="E57" s="18" t="str"/>
      <x:c r="F57" s="18" t="str">
        <x:v>El-Rakshy 2009</x:v>
      </x:c>
      <x:c r="G57" s="18" t="str">
        <x:v>837</x:v>
      </x:c>
      <x:c r="H57" s="18" t="str">
        <x:v>1879897344</x:v>
      </x:c>
      <x:c r="I57" s="18" t="str">
        <x:v>**Opioid 0-24h (PRIMARY)**: PCA + acupuncture EA (n=42) 35.3 ± 18.0 mg morphine vs PCA alone (n=53) 36.9 ± 18.0 mg morphine (P = 0.961). **Opioid 0-4h**: EA ...</x:v>
      </x:c>
      <x:c r="J57" s="18" t="str">
        <x:v>Yes</x:v>
      </x:c>
      <x:c r="K57" s="18" t="str">
        <x:v>Yes</x:v>
      </x:c>
      <x:c r="L57" s="18" t="str">
        <x:v>No</x:v>
      </x:c>
      <x:c r="M57" s="18" t="str"/>
      <x:c r="N57" s="18" t="str"/>
      <x:c r="O57" s="18" t="str"/>
      <x:c r="P57" s="18" t="str">
        <x:v>SOURCE-QC REQUIRED</x:v>
      </x:c>
      <x:c r="Q57" s="18" t="str">
        <x:v>Follow study-specific source-QC note before analysis; do not assume original derivative is safe.</x:v>
      </x:c>
      <x:c r="R57" s="18" t="str">
        <x:v>Candidate summary from Antigravity report; use only after source-level confirmation</x:v>
      </x:c>
      <x:c r="S57" s="18" t="str">
        <x:v>Source PDF / supplement / protocol / registration &gt; reconciled source extraction &gt; derivative model output</x:v>
      </x:c>
      <x:c r="T57" s="18" t="str">
        <x:v>https://drive.google.com/drive/folders/1EWdZyTQjPSuoxt8n1nIr1t8D98PC-mso</x:v>
      </x:c>
      <x:c r="U57" s="18" t="str">
        <x:v>https://docs.google.com/document/d/1hR0UuZSmPpwZi384Vzn3sZt5Y5_ZwYxW6b3u4nq2-40/edit</x:v>
      </x:c>
      <x:c r="V57" t="n">
        <x:f>COUNTIF(Outcome_Data!$A:$A,A57)</x:f>
        <x:v>0</x:v>
      </x:c>
    </x:row>
    <x:row r="58">
      <x:c r="A58" s="18" t="str">
        <x:v>Coura 2011</x:v>
      </x:c>
      <x:c r="B58" s="18" t="str">
        <x:v>Batch 1</x:v>
      </x:c>
      <x:c r="C58" s="18" t="str">
        <x:v>SPECIAL / SOURCE-QC</x:v>
      </x:c>
      <x:c r="D58" s="18" t="str">
        <x:v>10/32 post-randomization exclusions; exact 24-h pain point unresolved; supplemental opioid inclusion unclear.</x:v>
      </x:c>
      <x:c r="E58" s="18" t="str"/>
      <x:c r="F58" s="18" t="str">
        <x:v>Coura 2011</x:v>
      </x:c>
      <x:c r="G58" s="18" t="str">
        <x:v>838</x:v>
      </x:c>
      <x:c r="H58" s="18" t="str">
        <x:v>1879897266</x:v>
      </x:c>
      <x:c r="I58" s="18" t="str">
        <x:v>**Opioid 0-24h (PRIMARY)**: Treatment EA (n=13) 13.1 ± 2.2 µg/kg fentanyl vs Control Sham (n=9) 16.3 ± 1.6 µg/kg fentanyl (P &lt; 0.002) [PCA bolus: 4.1 ± 2.0 v...</x:v>
      </x:c>
      <x:c r="J58" s="18" t="str">
        <x:v>Yes</x:v>
      </x:c>
      <x:c r="K58" s="18" t="str">
        <x:v>Yes</x:v>
      </x:c>
      <x:c r="L58" s="18" t="str">
        <x:v>No</x:v>
      </x:c>
      <x:c r="M58" s="18" t="str"/>
      <x:c r="N58" s="18" t="str"/>
      <x:c r="O58" s="18" t="str"/>
      <x:c r="P58" s="18" t="str">
        <x:v>SOURCE-QC REQUIRED</x:v>
      </x:c>
      <x:c r="Q58" s="18" t="str">
        <x:v>Follow study-specific source-QC note before analysis; do not assume original derivative is safe.</x:v>
      </x:c>
      <x:c r="R58" s="18" t="str">
        <x:v>Candidate summary from Antigravity report; use only after source-level confirmation</x:v>
      </x:c>
      <x:c r="S58" s="18" t="str">
        <x:v>Source PDF / supplement / protocol / registration &gt; reconciled source extraction &gt; derivative model output</x:v>
      </x:c>
      <x:c r="T58" s="18" t="str">
        <x:v>https://drive.google.com/drive/folders/1EWdZyTQjPSuoxt8n1nIr1t8D98PC-mso</x:v>
      </x:c>
      <x:c r="U58" s="18" t="str">
        <x:v>https://docs.google.com/document/d/1hR0UuZSmPpwZi384Vzn3sZt5Y5_ZwYxW6b3u4nq2-40/edit</x:v>
      </x:c>
      <x:c r="V58" t="n">
        <x:f>COUNTIF(Outcome_Data!$A:$A,A58)</x:f>
        <x:v>1</x:v>
      </x:c>
    </x:row>
    <x:row r="59">
      <x:c r="A59" s="18" t="str">
        <x:v>Chen 1998</x:v>
      </x:c>
      <x:c r="B59" s="18" t="str">
        <x:v>Batch 1</x:v>
      </x:c>
      <x:c r="C59" s="18" t="str">
        <x:v>SPECIAL / SOURCE-QC</x:v>
      </x:c>
      <x:c r="D59" s="18" t="str">
        <x:v>Four-arm RCT; locked two-arm Covidence structure is invalid; preserve all arms and direct 24-h hydromorphone values.</x:v>
      </x:c>
      <x:c r="E59" s="18" t="str"/>
      <x:c r="F59" s="18" t="str">
        <x:v>Chen 1998</x:v>
      </x:c>
      <x:c r="G59" s="18" t="str">
        <x:v>969</x:v>
      </x:c>
      <x:c r="H59" s="18" t="str">
        <x:v>1879897506</x:v>
      </x:c>
      <x:c r="I59" s="18" t="str">
        <x:v>**Opioid 0-24h (PRIMARY)**: Group IV Acupoint TEAS (n=25) 6.5 ± 3.5 mg hydromorphone vs Group I Sham TEAS (n=25) 10.7 ± 5.0 mg (P &lt; 0.05) [OME: 130 mg vs 214...</x:v>
      </x:c>
      <x:c r="J59" s="18" t="str">
        <x:v>Yes</x:v>
      </x:c>
      <x:c r="K59" s="18" t="str">
        <x:v>Yes</x:v>
      </x:c>
      <x:c r="L59" s="18" t="str">
        <x:v>No</x:v>
      </x:c>
      <x:c r="M59" s="18" t="str"/>
      <x:c r="N59" s="18" t="str"/>
      <x:c r="O59" s="18" t="str"/>
      <x:c r="P59" s="18" t="str">
        <x:v>SOURCE-QC REQUIRED</x:v>
      </x:c>
      <x:c r="Q59" s="18" t="str">
        <x:v>Follow study-specific source-QC note before analysis; do not assume original derivative is safe.</x:v>
      </x:c>
      <x:c r="R59" s="18" t="str">
        <x:v>Candidate summary from Antigravity report; use only after source-level confirmation</x:v>
      </x:c>
      <x:c r="S59" s="18" t="str">
        <x:v>Source PDF / supplement / protocol / registration &gt; reconciled source extraction &gt; derivative model output</x:v>
      </x:c>
      <x:c r="T59" s="18" t="str">
        <x:v>https://drive.google.com/drive/folders/1EWdZyTQjPSuoxt8n1nIr1t8D98PC-mso</x:v>
      </x:c>
      <x:c r="U59" s="18" t="str">
        <x:v>https://docs.google.com/document/d/1hR0UuZSmPpwZi384Vzn3sZt5Y5_ZwYxW6b3u4nq2-40/edit</x:v>
      </x:c>
      <x:c r="V59" t="n">
        <x:f>COUNTIF(Outcome_Data!$A:$A,A59)</x:f>
        <x:v>3</x:v>
      </x:c>
    </x:row>
    <x:row r="60">
      <x:c r="A60" s="18" t="str">
        <x:v>Chen 2020</x:v>
      </x:c>
      <x:c r="B60" s="18" t="str">
        <x:v>Batch 1</x:v>
      </x:c>
      <x:c r="C60" s="18" t="str">
        <x:v>SPECIAL / SOURCE-QC</x:v>
      </x:c>
      <x:c r="D60" s="18" t="str">
        <x:v>Core source extraction verified; cross-contaminated Gemini RoB derivative must be excluded/re-extracted; correct sham has pre/post 4 mA and intraoperative 0 mA.</x:v>
      </x:c>
      <x:c r="E60" s="18" t="str"/>
      <x:c r="F60" s="18" t="str">
        <x:v>Chen 2020</x:v>
      </x:c>
      <x:c r="G60" s="18" t="str">
        <x:v>480</x:v>
      </x:c>
      <x:c r="H60" s="18" t="str">
        <x:v>1879896688</x:v>
      </x:c>
      <x:c r="I60" s="18" t="str">
        <x:v>**Opioid 0-24h (PRIMARY)**: TEAS (n=40) 72.43 ± 4.78 µg sufentanil vs Sham TEAS (n=40) 100.62 ± 10.20 µg (P &lt; 0.001) [MD -28.19 µg]. **Opioid 0-48h**: TEAS 1...</x:v>
      </x:c>
      <x:c r="J60" s="18" t="str">
        <x:v>Yes</x:v>
      </x:c>
      <x:c r="K60" s="18" t="str">
        <x:v>No</x:v>
      </x:c>
      <x:c r="L60" s="18" t="str">
        <x:v>No</x:v>
      </x:c>
      <x:c r="M60" s="18" t="str"/>
      <x:c r="N60" s="18" t="str"/>
      <x:c r="O60" s="18" t="str"/>
      <x:c r="P60" s="18" t="str">
        <x:v>SOURCE-QC REQUIRED</x:v>
      </x:c>
      <x:c r="Q60" s="18" t="str">
        <x:v>Follow study-specific source-QC note before analysis; do not assume original derivative is safe.</x:v>
      </x:c>
      <x:c r="R60" s="18" t="str">
        <x:v>Candidate summary from Antigravity report; use only after source-level confirmation</x:v>
      </x:c>
      <x:c r="S60" s="18" t="str">
        <x:v>Source PDF / supplement / protocol / registration &gt; reconciled source extraction &gt; derivative model output</x:v>
      </x:c>
      <x:c r="T60" s="18" t="str">
        <x:v>https://drive.google.com/drive/folders/1EWdZyTQjPSuoxt8n1nIr1t8D98PC-mso</x:v>
      </x:c>
      <x:c r="U60" s="18" t="str">
        <x:v>https://docs.google.com/document/d/1hR0UuZSmPpwZi384Vzn3sZt5Y5_ZwYxW6b3u4nq2-40/edit</x:v>
      </x:c>
      <x:c r="V60" t="n">
        <x:f>COUNTIF(Outcome_Data!$A:$A,A60)</x:f>
        <x:v>2</x:v>
      </x:c>
    </x:row>
    <x:row r="61">
      <x:c r="A61" s="18" t="str">
        <x:v>Ao 2021</x:v>
      </x:c>
      <x:c r="B61" s="18" t="str">
        <x:v>Batches 1 and 9</x:v>
      </x:c>
      <x:c r="C61" s="18" t="str">
        <x:v>FULL REPLACEMENT</x:v>
      </x:c>
      <x:c r="D61" s="18" t="str">
        <x:v>Source 70 randomized/65 analyzed; stored RoB invents 90/90 and exact graph-only 24-h VAS.</x:v>
      </x:c>
      <x:c r="E61" s="18" t="str"/>
      <x:c r="F61" s="18" t="str">
        <x:v>Ao 2021</x:v>
      </x:c>
      <x:c r="G61" s="18" t="str">
        <x:v>438</x:v>
      </x:c>
      <x:c r="H61" s="18" t="str">
        <x:v>1879896620</x:v>
      </x:c>
      <x:c r="I61" s="18" t="str">
        <x:v>**Opioid 0-48h**: TEAS (n=32) 102.8 ± 7.4 ml vs Sham TEAS (n=33) 120.6 ± 9.2 ml (sufentanil 1.5 µg/kg in 150 ml NS). **Opioid 0-24h**: Measured-not-reported ...</x:v>
      </x:c>
      <x:c r="J61" s="18" t="str">
        <x:v>Yes</x:v>
      </x:c>
      <x:c r="K61" s="18" t="str">
        <x:v>Yes</x:v>
      </x:c>
      <x:c r="L61" s="18" t="str">
        <x:v>No</x:v>
      </x:c>
      <x:c r="M61" s="18" t="str"/>
      <x:c r="N61" s="18" t="str"/>
      <x:c r="O61" s="18" t="str"/>
      <x:c r="P61" s="18" t="str">
        <x:v>NOT READY — RoB replacement/re-adjudication pending</x:v>
      </x:c>
      <x:c r="Q61" s="18" t="str">
        <x:v>Use source data; DO NOT use original stored RoB. Rebuild result-specific RoB.</x:v>
      </x:c>
      <x:c r="R61" s="18" t="str">
        <x:v>Candidate summary from Antigravity report; use only after source-level confirmation</x:v>
      </x:c>
      <x:c r="S61" s="18" t="str">
        <x:v>Source PDF / supplement / protocol / registration &gt; reconciled source extraction &gt; derivative model output</x:v>
      </x:c>
      <x:c r="T61" s="18" t="str">
        <x:v>https://drive.google.com/drive/folders/1EWdZyTQjPSuoxt8n1nIr1t8D98PC-mso</x:v>
      </x:c>
      <x:c r="U61" s="18" t="str">
        <x:v>https://docs.google.com/document/d/1hR0UuZSmPpwZi384Vzn3sZt5Y5_ZwYxW6b3u4nq2-40/edit</x:v>
      </x:c>
      <x:c r="V61" t="n">
        <x:f>COUNTIF(Outcome_Data!$A:$A,A61)</x:f>
        <x:v>2</x:v>
      </x:c>
    </x:row>
    <x:row r="62">
      <x:c r="A62" s="18" t="str">
        <x:v>An 2014</x:v>
      </x:c>
      <x:c r="B62" s="18" t="str">
        <x:v>Batch 20</x:v>
      </x:c>
      <x:c r="C62" s="18" t="str">
        <x:v>FULL REPLACEMENT</x:v>
      </x:c>
      <x:c r="D62" s="18" t="str">
        <x:v>Stored RoB invents 90-patient three-arm sham trial and 24-h morphine result; true source is 88-randomized two-arm EA/control with fentanyl PCIA.</x:v>
      </x:c>
      <x:c r="E62" s="18" t="str"/>
      <x:c r="F62" s="18" t="str">
        <x:v>An 2014</x:v>
      </x:c>
      <x:c r="G62" s="18" t="str">
        <x:v>698</x:v>
      </x:c>
      <x:c r="H62" s="18" t="str">
        <x:v>1879897069</x:v>
      </x:c>
      <x:c r="I62" s="18" t="str">
        <x:v>**Opioid 0-48h**: EA (n=41) 0.67 ± 0.09 mg fentanyl; Control (n=40) 0.73 ± 0.12 mg fentanyl. **Opioid 0-24h**: Measured-not-reported (requires author contact...</x:v>
      </x:c>
      <x:c r="J62" s="18" t="str">
        <x:v>No</x:v>
      </x:c>
      <x:c r="K62" s="18" t="str">
        <x:v>Yes</x:v>
      </x:c>
      <x:c r="L62" s="18" t="str">
        <x:v>No</x:v>
      </x:c>
      <x:c r="M62" s="18" t="str"/>
      <x:c r="N62" s="18" t="str"/>
      <x:c r="O62" s="18" t="str"/>
      <x:c r="P62" s="18" t="str">
        <x:v>NOT READY — RoB replacement/re-adjudication pending</x:v>
      </x:c>
      <x:c r="Q62" s="18" t="str">
        <x:v>Use source data; DO NOT use original stored RoB. Rebuild result-specific RoB.</x:v>
      </x:c>
      <x:c r="R62" s="18" t="str">
        <x:v>Candidate summary from Antigravity report; use only after source-level confirmation</x:v>
      </x:c>
      <x:c r="S62" s="18" t="str">
        <x:v>Source PDF / supplement / protocol / registration &gt; reconciled source extraction &gt; derivative model output</x:v>
      </x:c>
      <x:c r="T62" s="18" t="str">
        <x:v>https://drive.google.com/drive/folders/1EWdZyTQjPSuoxt8n1nIr1t8D98PC-mso</x:v>
      </x:c>
      <x:c r="U62" s="18" t="str">
        <x:v>https://docs.google.com/document/d/1hR0UuZSmPpwZi384Vzn3sZt5Y5_ZwYxW6b3u4nq2-40/edit</x:v>
      </x:c>
      <x:c r="V62" t="n">
        <x:f>COUNTIF(Outcome_Data!$A:$A,A62)</x:f>
        <x:v>0</x:v>
      </x:c>
    </x:row>
    <x:row r="63">
      <x:c r="A63" s="18" t="str">
        <x:v>Chen 2015</x:v>
      </x:c>
      <x:c r="B63" s="18" t="str">
        <x:v>Batch 5</x:v>
      </x:c>
      <x:c r="C63" s="18" t="str">
        <x:v>FULL REPLACEMENT</x:v>
      </x:c>
      <x:c r="D63" s="18" t="str">
        <x:v>Distinct QoR-40 thyroidectomy trial (NCT02333747); stored RoB changes sample/intervention/outcome and requires complete replacement.</x:v>
      </x:c>
      <x:c r="E63" s="18" t="str"/>
      <x:c r="F63" s="18" t="str">
        <x:v>Chen 2015</x:v>
      </x:c>
      <x:c r="G63" s="18" t="str">
        <x:v>657</x:v>
      </x:c>
      <x:c r="H63" s="18" t="str">
        <x:v>1879897004</x:v>
      </x:c>
      <x:c r="I63" s="18" t="str">
        <x:v>**Opioid 0-24h (PRIMARY)**: TEAS (n=41) median 1 dose (IQR 1-3) [mean ~3.0 ± 2.96 mg morphine] vs Control (n=42) median 3.5 doses (IQR 2-7) [mean ~8.0 ± 7.41...</x:v>
      </x:c>
      <x:c r="J63" s="18" t="str">
        <x:v>Yes</x:v>
      </x:c>
      <x:c r="K63" s="18" t="str">
        <x:v>Yes</x:v>
      </x:c>
      <x:c r="L63" s="18" t="str">
        <x:v>No</x:v>
      </x:c>
      <x:c r="M63" s="18" t="str"/>
      <x:c r="N63" s="18" t="str"/>
      <x:c r="O63" s="18" t="str"/>
      <x:c r="P63" s="18" t="str">
        <x:v>NOT READY — RoB replacement/re-adjudication pending</x:v>
      </x:c>
      <x:c r="Q63" s="18" t="str">
        <x:v>Use source data; DO NOT use original stored RoB. Rebuild result-specific RoB.</x:v>
      </x:c>
      <x:c r="R63" s="18" t="str">
        <x:v>Candidate summary from Antigravity report; use only after source-level confirmation</x:v>
      </x:c>
      <x:c r="S63" s="18" t="str">
        <x:v>Source PDF / supplement / protocol / registration &gt; reconciled source extraction &gt; derivative model output</x:v>
      </x:c>
      <x:c r="T63" s="18" t="str">
        <x:v>https://drive.google.com/drive/folders/1EWdZyTQjPSuoxt8n1nIr1t8D98PC-mso</x:v>
      </x:c>
      <x:c r="U63" s="18" t="str">
        <x:v>https://docs.google.com/document/d/1hR0UuZSmPpwZi384Vzn3sZt5Y5_ZwYxW6b3u4nq2-40/edit</x:v>
      </x:c>
      <x:c r="V63" t="n">
        <x:f>COUNTIF(Outcome_Data!$A:$A,A63)</x:f>
        <x:v>0</x:v>
      </x:c>
    </x:row>
    <x:row r="64">
      <x:c r="A64" s="18" t="str">
        <x:v>Chen 2015 (Hyperalgesia)</x:v>
      </x:c>
      <x:c r="B64" s="18" t="str">
        <x:v>Batch 4</x:v>
      </x:c>
      <x:c r="C64" s="18" t="str">
        <x:v>FULL REPLACEMENT</x:v>
      </x:c>
      <x:c r="D64" s="18" t="str">
        <x:v>Distinct thyroidectomy remifentanil-hyperalgesia/mechanical-threshold trial; stored RoB contains material study/result mismatches and requires complete replacement.</x:v>
      </x:c>
      <x:c r="E64" s="18" t="str"/>
      <x:c r="F64" s="18" t="str">
        <x:v>Chen 2015 (Hyperalgesia)</x:v>
      </x:c>
      <x:c r="G64" s="18" t="str">
        <x:v>632</x:v>
      </x:c>
      <x:c r="H64" s="18" t="str">
        <x:v>1879897029</x:v>
      </x:c>
      <x:c r="I64" s="18" t="str">
        <x:v>**Opioid 0-24h (PRIMARY)**: TEAS (n=29) median 3 boluses (IQR 2-4) [mean ~8.66 ± 4.27 µg sufentanil] vs Control median 7 boluses (IQR 6-8) [mean ~19.88 ± 4.2...</x:v>
      </x:c>
      <x:c r="J64" s="18" t="str">
        <x:v>Yes</x:v>
      </x:c>
      <x:c r="K64" s="18" t="str">
        <x:v>Yes</x:v>
      </x:c>
      <x:c r="L64" s="18" t="str">
        <x:v>No</x:v>
      </x:c>
      <x:c r="M64" s="18" t="str"/>
      <x:c r="N64" s="18" t="str"/>
      <x:c r="O64" s="18" t="str"/>
      <x:c r="P64" s="18" t="str">
        <x:v>NOT READY — RoB replacement/re-adjudication pending</x:v>
      </x:c>
      <x:c r="Q64" s="18" t="str">
        <x:v>Use source data; DO NOT use original stored RoB. Rebuild result-specific RoB.</x:v>
      </x:c>
      <x:c r="R64" s="18" t="str">
        <x:v>Candidate summary from Antigravity report; use only after source-level confirmation</x:v>
      </x:c>
      <x:c r="S64" s="18" t="str">
        <x:v>Source PDF / supplement / protocol / registration &gt; reconciled source extraction &gt; derivative model output</x:v>
      </x:c>
      <x:c r="T64" s="18" t="str">
        <x:v>https://drive.google.com/drive/folders/1EWdZyTQjPSuoxt8n1nIr1t8D98PC-mso</x:v>
      </x:c>
      <x:c r="U64" s="18" t="str">
        <x:v>https://docs.google.com/document/d/1hR0UuZSmPpwZi384Vzn3sZt5Y5_ZwYxW6b3u4nq2-40/edit</x:v>
      </x:c>
      <x:c r="V64" t="n">
        <x:f>COUNTIF(Outcome_Data!$A:$A,A64)</x:f>
        <x:v>0</x:v>
      </x:c>
    </x:row>
  </x:sheetData>
  <x:conditionalFormatting sqref="C2:C64">
    <x:cfRule type="expression" dxfId="0" priority="1">
      <x:formula>C2="FULL REPLACEMENT"</x:formula>
    </x:cfRule>
    <x:cfRule type="expression" dxfId="1" priority="2">
      <x:formula>C2="RE-ADJUDICATE"</x:formula>
    </x:cfRule>
    <x:cfRule type="expression" dxfId="2" priority="3">
      <x:formula>C2="SPECIAL / SOURCE-QC"</x:formula>
    </x:cfRule>
    <x:cfRule type="expression" dxfId="3" priority="4">
      <x:formula>C2="NO MATCHING RoB"</x:formula>
    </x:cfRule>
  </x:conditionalFormatting>
  <x:conditionalFormatting sqref="J2:J64">
    <x:cfRule type="expression" dxfId="4" priority="5">
      <x:formula>J2="Yes"</x:formula>
    </x:cfRule>
  </x:conditionalFormatting>
  <x:conditionalFormatting sqref="O2:O64">
    <x:cfRule type="expression" dxfId="5" priority="6">
      <x:formula>O2="High"</x:formula>
    </x:cfRule>
    <x:cfRule type="expression" dxfId="6" priority="7">
      <x:formula>O2="Some concerns"</x:formula>
    </x:cfRule>
    <x:cfRule type="expression" dxfId="7" priority="8">
      <x:formula>O2="Low"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6376703b38049d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30" hidden="0" customWidth="1"/>
    <x:col min="4" max="4" width="18" hidden="0" customWidth="1"/>
    <x:col min="5" max="5" width="18" hidden="0" customWidth="1"/>
    <x:col min="6" max="6" width="18" hidden="0" customWidth="1"/>
    <x:col min="7" max="7" width="4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34" hidden="0" customWidth="1"/>
    <x:col min="15" max="15" width="44" hidden="0" customWidth="1"/>
    <x:col min="16" max="16" width="44" hidden="0" customWidth="1"/>
  </x:cols>
  <x:sheetData>
    <x:row r="1">
      <x:c r="A1" s="24" t="str">
        <x:v>Canonical study</x:v>
      </x:c>
      <x:c r="B1" s="24" t="str">
        <x:v>Selected result</x:v>
      </x:c>
      <x:c r="C1" s="24" t="str">
        <x:v>Comparison</x:v>
      </x:c>
      <x:c r="D1" s="24" t="str">
        <x:v>Timepoint/window</x:v>
      </x:c>
      <x:c r="E1" s="24" t="str">
        <x:v>Randomized n</x:v>
      </x:c>
      <x:c r="F1" s="24" t="str">
        <x:v>Analyzed n</x:v>
      </x:c>
      <x:c r="G1" s="24" t="str">
        <x:v>Corrected source result</x:v>
      </x:c>
      <x:c r="H1" s="24" t="str">
        <x:v>Domain 1</x:v>
      </x:c>
      <x:c r="I1" s="24" t="str">
        <x:v>Domain 2</x:v>
      </x:c>
      <x:c r="J1" s="24" t="str">
        <x:v>Domain 3</x:v>
      </x:c>
      <x:c r="K1" s="24" t="str">
        <x:v>Domain 4</x:v>
      </x:c>
      <x:c r="L1" s="24" t="str">
        <x:v>Domain 5</x:v>
      </x:c>
      <x:c r="M1" s="24" t="str">
        <x:v>Overall RoB 2</x:v>
      </x:c>
      <x:c r="N1" s="24" t="str">
        <x:v>Correction source</x:v>
      </x:c>
      <x:c r="O1" s="24" t="str">
        <x:v>Source folder</x:v>
      </x:c>
      <x:c r="P1" s="24" t="str">
        <x:v>Corrected RoB folder</x:v>
      </x:c>
    </x:row>
    <x:row r="2">
      <x:c r="A2" s="18" t="str">
        <x:v>Yang 2020</x:v>
      </x:c>
      <x:c r="B2" s="18" t="str">
        <x:v>Time to first postoperative flatus</x:v>
      </x:c>
      <x:c r="C2" s="18" t="str">
        <x:v>EA + usual care vs usual care</x:v>
      </x:c>
      <x:c r="D2" s="18" t="str">
        <x:v>Time to event</x:v>
      </x:c>
      <x:c r="E2" s="18" t="str">
        <x:v>EA 30 / UC 29</x:v>
      </x:c>
      <x:c r="F2" s="18" t="str">
        <x:v>EA 29 / UC 28</x:v>
      </x:c>
      <x:c r="G2" s="18" t="str">
        <x:v>20.8 ± 4.6 h vs 24.1 ± 6.2 h; P=0.026</x:v>
      </x:c>
      <x:c r="H2" s="18" t="str">
        <x:v>Low</x:v>
      </x:c>
      <x:c r="I2" s="18" t="str">
        <x:v>Some concerns</x:v>
      </x:c>
      <x:c r="J2" s="18" t="str">
        <x:v>Low</x:v>
      </x:c>
      <x:c r="K2" s="18" t="str">
        <x:v>Some concerns</x:v>
      </x:c>
      <x:c r="L2" s="18" t="str">
        <x:v>Some concerns</x:v>
      </x:c>
      <x:c r="M2" s="18" t="str">
        <x:v>Some concerns</x:v>
      </x:c>
      <x:c r="N2" s="18" t="str">
        <x:v>Corrected RoB 2 Replacement Batch 1</x:v>
      </x:c>
      <x:c r="O2" s="18" t="str">
        <x:v>https://drive.google.com/drive/folders/1EWdZyTQjPSuoxt8n1nIr1t8D98PC-mso</x:v>
      </x:c>
      <x:c r="P2" s="18" t="str">
        <x:v>https://drive.google.com/drive/folders/1nsfVZMyB9znicxQzB7lvyfiiiuzMdc5M</x:v>
      </x:c>
    </x:row>
    <x:row r="3">
      <x:c r="A3" s="18" t="str">
        <x:v>Seevaunnamtum 2016</x:v>
      </x:c>
      <x:c r="B3" s="18" t="str">
        <x:v>Cumulative IV PCA morphine</x:v>
      </x:c>
      <x:c r="C3" s="18" t="str">
        <x:v>EA + standard care vs standard care</x:v>
      </x:c>
      <x:c r="D3" s="18" t="str">
        <x:v>0-24 h</x:v>
      </x:c>
      <x:c r="E3" s="18" t="str">
        <x:v>32 / 32</x:v>
      </x:c>
      <x:c r="F3" s="18" t="str">
        <x:v>32 / 32</x:v>
      </x:c>
      <x:c r="G3" s="18" t="str">
        <x:v>21.38 ± 14.38 mg vs 33.94 ± 20.24 mg; P=0.006</x:v>
      </x:c>
      <x:c r="H3" s="18" t="str">
        <x:v>Some concerns</x:v>
      </x:c>
      <x:c r="I3" s="18" t="str">
        <x:v>Low</x:v>
      </x:c>
      <x:c r="J3" s="18" t="str">
        <x:v>Low</x:v>
      </x:c>
      <x:c r="K3" s="18" t="str">
        <x:v>Low</x:v>
      </x:c>
      <x:c r="L3" s="18" t="str">
        <x:v>Some concerns</x:v>
      </x:c>
      <x:c r="M3" s="18" t="str">
        <x:v>Some concerns</x:v>
      </x:c>
      <x:c r="N3" s="18" t="str">
        <x:v>Corrected RoB 2 Replacement Batch 1</x:v>
      </x:c>
      <x:c r="O3" s="18" t="str">
        <x:v>https://drive.google.com/drive/folders/1EWdZyTQjPSuoxt8n1nIr1t8D98PC-mso</x:v>
      </x:c>
      <x:c r="P3" s="18" t="str">
        <x:v>https://drive.google.com/drive/folders/1nsfVZMyB9znicxQzB7lvyfiiiuzMdc5M</x:v>
      </x:c>
    </x:row>
    <x:row r="4">
      <x:c r="A4" s="18" t="str">
        <x:v>Lin 2002</x:v>
      </x:c>
      <x:c r="B4" s="18" t="str">
        <x:v>Cumulative IV PCA morphine delivered</x:v>
      </x:c>
      <x:c r="C4" s="18" t="str">
        <x:v>Four-arm: control / sham / low-EA / high-EA</x:v>
      </x:c>
      <x:c r="D4" s="18" t="str">
        <x:v>24-h test period</x:v>
      </x:c>
      <x:c r="E4" s="18" t="str">
        <x:v>25 per arm</x:v>
      </x:c>
      <x:c r="F4" s="18" t="str">
        <x:v>25 per arm</x:v>
      </x:c>
      <x:c r="G4" s="18" t="str">
        <x:v>Control 38.1 ± 16.0 mg; sham 30.2 ± 14.4; low-EA 21.8 ± 14.7; high-EA 15.0 ± 10.7</x:v>
      </x:c>
      <x:c r="H4" s="18" t="str">
        <x:v>Some concerns</x:v>
      </x:c>
      <x:c r="I4" s="18" t="str">
        <x:v>Low</x:v>
      </x:c>
      <x:c r="J4" s="18" t="str">
        <x:v>Low</x:v>
      </x:c>
      <x:c r="K4" s="18" t="str">
        <x:v>Low</x:v>
      </x:c>
      <x:c r="L4" s="18" t="str">
        <x:v>Some concerns</x:v>
      </x:c>
      <x:c r="M4" s="18" t="str">
        <x:v>Some concerns</x:v>
      </x:c>
      <x:c r="N4" s="18" t="str">
        <x:v>Corrected RoB 2 Replacement Batch 1</x:v>
      </x:c>
      <x:c r="O4" s="18" t="str">
        <x:v>https://drive.google.com/drive/folders/1EWdZyTQjPSuoxt8n1nIr1t8D98PC-mso</x:v>
      </x:c>
      <x:c r="P4" s="18" t="str">
        <x:v>https://drive.google.com/drive/folders/1nsfVZMyB9znicxQzB7lvyfiiiuzMdc5M</x:v>
      </x:c>
    </x:row>
    <x:row r="5">
      <x:c r="A5" s="18" t="str">
        <x:v>Yao 2015</x:v>
      </x:c>
      <x:c r="B5" s="18" t="str">
        <x:v>Global QoR-40</x:v>
      </x:c>
      <x:c r="C5" s="18" t="str">
        <x:v>TEAS vs no-current control</x:v>
      </x:c>
      <x:c r="D5" s="18" t="str">
        <x:v>24 h</x:v>
      </x:c>
      <x:c r="E5" s="18" t="str">
        <x:v>37 / 37</x:v>
      </x:c>
      <x:c r="F5" s="18" t="str">
        <x:v>35 / 36</x:v>
      </x:c>
      <x:c r="G5" s="18" t="str">
        <x:v>176.5 ± 10.2 vs 164.8 ± 14.7; P&lt;0.001</x:v>
      </x:c>
      <x:c r="H5" s="18" t="str">
        <x:v>Low</x:v>
      </x:c>
      <x:c r="I5" s="18" t="str">
        <x:v>Some concerns</x:v>
      </x:c>
      <x:c r="J5" s="18" t="str">
        <x:v>Low</x:v>
      </x:c>
      <x:c r="K5" s="18" t="str">
        <x:v>High</x:v>
      </x:c>
      <x:c r="L5" s="18" t="str">
        <x:v>Some concerns</x:v>
      </x:c>
      <x:c r="M5" s="18" t="str">
        <x:v>High</x:v>
      </x:c>
      <x:c r="N5" s="18" t="str">
        <x:v>Corrected RoB 2 Replacement Batch 2</x:v>
      </x:c>
      <x:c r="O5" s="18" t="str">
        <x:v>https://drive.google.com/drive/folders/1EWdZyTQjPSuoxt8n1nIr1t8D98PC-mso</x:v>
      </x:c>
      <x:c r="P5" s="18" t="str">
        <x:v>https://drive.google.com/drive/folders/1nsfVZMyB9znicxQzB7lvyfiiiuzMdc5M</x:v>
      </x:c>
    </x:row>
    <x:row r="6">
      <x:c r="A6" s="18" t="str">
        <x:v>Yu 2020</x:v>
      </x:c>
      <x:c r="B6" s="18" t="str">
        <x:v>Global QoR-40</x:v>
      </x:c>
      <x:c r="C6" s="18" t="str">
        <x:v>TEAS vs no-current control</x:v>
      </x:c>
      <x:c r="D6" s="18" t="str">
        <x:v>POD1 (~24 h)</x:v>
      </x:c>
      <x:c r="E6" s="18" t="str">
        <x:v>30 / 30</x:v>
      </x:c>
      <x:c r="F6" s="18" t="str">
        <x:v>30 / 30</x:v>
      </x:c>
      <x:c r="G6" s="18" t="str">
        <x:v>175.33 ± 9.66 vs 166.07 ± 8.44; P=0.040</x:v>
      </x:c>
      <x:c r="H6" s="18" t="str">
        <x:v>Some concerns</x:v>
      </x:c>
      <x:c r="I6" s="18" t="str">
        <x:v>Low</x:v>
      </x:c>
      <x:c r="J6" s="18" t="str">
        <x:v>Low</x:v>
      </x:c>
      <x:c r="K6" s="18" t="str">
        <x:v>High</x:v>
      </x:c>
      <x:c r="L6" s="18" t="str">
        <x:v>Some concerns</x:v>
      </x:c>
      <x:c r="M6" s="18" t="str">
        <x:v>High</x:v>
      </x:c>
      <x:c r="N6" s="18" t="str">
        <x:v>Corrected RoB 2 Replacement Batch 2</x:v>
      </x:c>
      <x:c r="O6" s="18" t="str">
        <x:v>https://drive.google.com/drive/folders/1EWdZyTQjPSuoxt8n1nIr1t8D98PC-mso</x:v>
      </x:c>
      <x:c r="P6" s="18" t="str">
        <x:v>https://drive.google.com/drive/folders/1nsfVZMyB9znicxQzB7lvyfiiiuzMdc5M</x:v>
      </x:c>
    </x:row>
    <x:row r="7">
      <x:c r="A7" s="18" t="str">
        <x:v>Pan 2023</x:v>
      </x:c>
      <x:c r="B7" s="18" t="str">
        <x:v>Time to first postoperative flatus</x:v>
      </x:c>
      <x:c r="C7" s="18" t="str">
        <x:v>TEAS vs no-TEAS control</x:v>
      </x:c>
      <x:c r="D7" s="18" t="str">
        <x:v>Time to event</x:v>
      </x:c>
      <x:c r="E7" s="18" t="str">
        <x:v>60 / 60</x:v>
      </x:c>
      <x:c r="F7" s="18" t="str">
        <x:v>52 / 53</x:v>
      </x:c>
      <x:c r="G7" s="18" t="str">
        <x:v>1020.0 (675.8–1278.0) min vs 1210.0 (896.5–1427.0) min; P=0.01</x:v>
      </x:c>
      <x:c r="H7" s="18" t="str">
        <x:v>Some concerns</x:v>
      </x:c>
      <x:c r="I7" s="18" t="str">
        <x:v>High</x:v>
      </x:c>
      <x:c r="J7" s="18" t="str">
        <x:v>High</x:v>
      </x:c>
      <x:c r="K7" s="18" t="str">
        <x:v>Some concerns</x:v>
      </x:c>
      <x:c r="L7" s="18" t="str">
        <x:v>Some concerns</x:v>
      </x:c>
      <x:c r="M7" s="18" t="str">
        <x:v>High</x:v>
      </x:c>
      <x:c r="N7" s="18" t="str">
        <x:v>Corrected RoB 2 Replacement Batch 2</x:v>
      </x:c>
      <x:c r="O7" s="18" t="str">
        <x:v>https://drive.google.com/drive/folders/1EWdZyTQjPSuoxt8n1nIr1t8D98PC-mso</x:v>
      </x:c>
      <x:c r="P7" s="18" t="str">
        <x:v>https://drive.google.com/drive/folders/1nsfVZMyB9znicxQzB7lvyfiiiuzMdc5M</x:v>
      </x:c>
    </x:row>
    <x:row r="8">
      <x:c r="A8" t="str">
        <x:v>Zhu 2022</x:v>
      </x:c>
      <x:c r="B8" t="str">
        <x:v>Postoperative vomiting</x:v>
      </x:c>
      <x:c r="C8" t="str">
        <x:v>EA day before surgery vs usual care</x:v>
      </x:c>
      <x:c r="D8" t="str">
        <x:v>6-24 h postoperatively</x:v>
      </x:c>
      <x:c r="E8" t="str">
        <x:v>Pre 103; usual care 104</x:v>
      </x:c>
      <x:c r="F8" t="str">
        <x:v>Pre 101; usual care 101</x:v>
      </x:c>
      <x:c r="G8" t="str">
        <x:v>5/101 vs 22/101</x:v>
      </x:c>
      <x:c r="H8" t="str">
        <x:v>Low</x:v>
      </x:c>
      <x:c r="I8" t="str">
        <x:v>Some concerns</x:v>
      </x:c>
      <x:c r="J8" t="str">
        <x:v>Low</x:v>
      </x:c>
      <x:c r="K8" t="str">
        <x:v>Low</x:v>
      </x:c>
      <x:c r="L8" t="str">
        <x:v>Some concerns</x:v>
      </x:c>
      <x:c r="M8" t="str">
        <x:v>Some concerns</x:v>
      </x:c>
      <x:c r="N8" t="str">
        <x:v>De novo source-grounded replacement; four-arm design retained</x:v>
      </x:c>
      <x:c r="O8" t="str">
        <x:v>https://drive.google.com/file/d/1vux5IaubjInusplW6GJ2SsxhzibtSCe-/view?usp=drivesdk</x:v>
      </x:c>
      <x:c r="P8" t="str">
        <x:v>https://drive.google.com/drive/folders/1nsfVZMyB9znicxQzB7lvyfiiiuzMdc5M</x:v>
      </x:c>
    </x:row>
    <x:row r="9">
      <x:c r="A9" t="str">
        <x:v>Zhou 2025</x:v>
      </x:c>
      <x:c r="B9" t="str">
        <x:v>Global QoR-15</x:v>
      </x:c>
      <x:c r="C9" t="str">
        <x:v>PACU TEAS vs sham/no current</x:v>
      </x:c>
      <x:c r="D9" t="str">
        <x:v>POD1</x:v>
      </x:c>
      <x:c r="E9" t="str">
        <x:v>50 vs 50</x:v>
      </x:c>
      <x:c r="F9" t="str">
        <x:v>48 vs 49</x:v>
      </x:c>
      <x:c r="G9" t="str">
        <x:v>112.00 ± 10.67 vs 107.62 ± 10.27</x:v>
      </x:c>
      <x:c r="H9" t="str">
        <x:v>Low</x:v>
      </x:c>
      <x:c r="I9" t="str">
        <x:v>Some concerns</x:v>
      </x:c>
      <x:c r="J9" t="str">
        <x:v>Low</x:v>
      </x:c>
      <x:c r="K9" t="str">
        <x:v>High</x:v>
      </x:c>
      <x:c r="L9" t="str">
        <x:v>Some concerns</x:v>
      </x:c>
      <x:c r="M9" t="str">
        <x:v>High</x:v>
      </x:c>
      <x:c r="N9" t="str">
        <x:v>De novo source-grounded replacement; patient-reported outcome with uncertain sensory masking</x:v>
      </x:c>
      <x:c r="O9" t="str">
        <x:v>https://drive.google.com/file/d/1gpNBuoukUttXKWiAAeZSqdIaaHSMOwDU/view?usp=drivesdk</x:v>
      </x:c>
      <x:c r="P9" t="str">
        <x:v>https://drive.google.com/drive/folders/1nsfVZMyB9znicxQzB7lvyfiiiuzMdc5M</x:v>
      </x:c>
    </x:row>
    <x:row r="10">
      <x:c r="A10" t="str">
        <x:v>Zhou 2021</x:v>
      </x:c>
      <x:c r="B10" t="str">
        <x:v>Time to first flatus</x:v>
      </x:c>
      <x:c r="C10" t="str">
        <x:v>Postoperative TEAS + ERAS vs ERAS/usual care</x:v>
      </x:c>
      <x:c r="D10" t="str">
        <x:v>Postoperative</x:v>
      </x:c>
      <x:c r="E10" t="str">
        <x:v>41 vs 41</x:v>
      </x:c>
      <x:c r="F10" t="str">
        <x:v>41 vs 40</x:v>
      </x:c>
      <x:c r="G10" t="str">
        <x:v>55.63 ± 16.74 vs 72.60 ± 20.92 h</x:v>
      </x:c>
      <x:c r="H10" t="str">
        <x:v>Some concerns</x:v>
      </x:c>
      <x:c r="I10" t="str">
        <x:v>Some concerns</x:v>
      </x:c>
      <x:c r="J10" t="str">
        <x:v>Low</x:v>
      </x:c>
      <x:c r="K10" t="str">
        <x:v>High</x:v>
      </x:c>
      <x:c r="L10" t="str">
        <x:v>Some concerns</x:v>
      </x:c>
      <x:c r="M10" t="str">
        <x:v>High</x:v>
      </x:c>
      <x:c r="N10" t="str">
        <x:v>De novo source-grounded replacement; open-label/no sham and likely participant-reported GI endpoint</x:v>
      </x:c>
      <x:c r="O10" t="str">
        <x:v>https://drive.google.com/file/d/1PxYyULBv_ZjWeqAm_bNYkDn_j2_lNYLq/view?usp=drivesdk</x:v>
      </x:c>
      <x:c r="P10" t="str">
        <x:v>https://drive.google.com/drive/folders/1nsfVZMyB9znicxQzB7lvyfiiiuzMdc5M</x:v>
      </x:c>
    </x:row>
    <x:row r="11">
      <x:c r="A11" t="str">
        <x:v>Zheng 2025</x:v>
      </x:c>
      <x:c r="B11" t="str">
        <x:v>Any PONV</x:v>
      </x:c>
      <x:c r="C11" t="str">
        <x:v>Perioperative TEAS vs sham/no current</x:v>
      </x:c>
      <x:c r="D11" t="str">
        <x:v>Within 24 h</x:v>
      </x:c>
      <x:c r="E11" t="str">
        <x:v>44 vs 44</x:v>
      </x:c>
      <x:c r="F11" t="str">
        <x:v>42 vs 43</x:v>
      </x:c>
      <x:c r="G11" t="str">
        <x:v>42.9% vs 67.4%; P=0.023</x:v>
      </x:c>
      <x:c r="H11" t="str">
        <x:v>Low</x:v>
      </x:c>
      <x:c r="I11" t="str">
        <x:v>Some concerns</x:v>
      </x:c>
      <x:c r="J11" t="str">
        <x:v>Low</x:v>
      </x:c>
      <x:c r="K11" t="str">
        <x:v>Some concerns</x:v>
      </x:c>
      <x:c r="L11" t="str">
        <x:v>Some concerns</x:v>
      </x:c>
      <x:c r="M11" t="str">
        <x:v>Some concerns</x:v>
      </x:c>
      <x:c r="N11" t="str">
        <x:v>De novo source-grounded replacement; 3 post-randomization exclusions and uncertain sensory masking</x:v>
      </x:c>
      <x:c r="O11" t="str">
        <x:v>https://drive.google.com/file/d/1-JWKZgQXaQQQBZgMSDqyIP-vG9aAxBqb/view?usp=drivesdk</x:v>
      </x:c>
      <x:c r="P11" t="str">
        <x:v>https://drive.google.com/drive/folders/1nsfVZMyB9znicxQzB7lvyfiiiuzMdc5M</x:v>
      </x:c>
    </x:row>
    <x:row r="12">
      <x:c r="A12" t="str">
        <x:v>Zhan 2020</x:v>
      </x:c>
      <x:c r="B12" t="str">
        <x:v>VAS pain intensity</x:v>
      </x:c>
      <x:c r="C12" t="str">
        <x:v>TAP + TEAS vs TAP</x:v>
      </x:c>
      <x:c r="D12" t="str">
        <x:v>24 h</x:v>
      </x:c>
      <x:c r="E12" t="str">
        <x:v>30 vs 30</x:v>
      </x:c>
      <x:c r="F12" t="str">
        <x:v>30 vs 30</x:v>
      </x:c>
      <x:c r="G12" t="str">
        <x:v>Printed: 2 (1.7 ± 2.2) vs 2 (2.0 ± 3.0); pairwise P=0.03</x:v>
      </x:c>
      <x:c r="H12" t="str">
        <x:v>Some concerns</x:v>
      </x:c>
      <x:c r="I12" t="str">
        <x:v>Low</x:v>
      </x:c>
      <x:c r="J12" t="str">
        <x:v>Low</x:v>
      </x:c>
      <x:c r="K12" t="str">
        <x:v>High</x:v>
      </x:c>
      <x:c r="L12" t="str">
        <x:v>Some concerns</x:v>
      </x:c>
      <x:c r="M12" t="str">
        <x:v>High</x:v>
      </x:c>
      <x:c r="N12" t="str">
        <x:v>De novo source-grounded replacement; subjective pain outcome without sensory-matched TEAS sham</x:v>
      </x:c>
      <x:c r="O12" t="str">
        <x:v>https://drive.google.com/file/d/1GYG7JxUOQxbt724-Ng7dWv3sYeC8dDSr/view?usp=drivesdk</x:v>
      </x:c>
      <x:c r="P12" t="str">
        <x:v>https://drive.google.com/drive/folders/1nsfVZMyB9znicxQzB7lvyfiiiuzMdc5M</x:v>
      </x:c>
    </x:row>
    <x:row r="13">
      <x:c r="A13" t="str">
        <x:v>Zhang 2025</x:v>
      </x:c>
      <x:c r="B13" t="str">
        <x:v>Total sufentanil consumption</x:v>
      </x:c>
      <x:c r="C13" t="str">
        <x:v>Perioperative TEAS vs sub-sensory sham</x:v>
      </x:c>
      <x:c r="D13" t="str">
        <x:v>POD1 (~24 h)</x:v>
      </x:c>
      <x:c r="E13" t="str">
        <x:v>54 vs 54</x:v>
      </x:c>
      <x:c r="F13" t="str">
        <x:v>45 vs 48</x:v>
      </x:c>
      <x:c r="G13" t="str">
        <x:v>50.53 ± 4.46 vs 53.79 ± 5.14 µg; P=0.002</x:v>
      </x:c>
      <x:c r="H13" t="str">
        <x:v>Low</x:v>
      </x:c>
      <x:c r="I13" t="str">
        <x:v>High</x:v>
      </x:c>
      <x:c r="J13" t="str">
        <x:v>High</x:v>
      </x:c>
      <x:c r="K13" t="str">
        <x:v>Low</x:v>
      </x:c>
      <x:c r="L13" t="str">
        <x:v>Some concerns</x:v>
      </x:c>
      <x:c r="M13" t="str">
        <x:v>High</x:v>
      </x:c>
      <x:c r="N13" t="str">
        <x:v>De novo source-grounded replacement; 15/108 post-randomization exclusions materially affect effect-of-assignment analysis</x:v>
      </x:c>
      <x:c r="O13" t="str">
        <x:v>https://drive.google.com/file/d/1eHx6Hk16vmIfMgoiZ5eNae4zmCR5ktwJ/view?usp=drivesdk</x:v>
      </x:c>
      <x:c r="P13" t="str">
        <x:v>https://drive.google.com/drive/folders/1nsfVZMyB9znicxQzB7lvyfiiiuzMdc5M</x:v>
      </x:c>
    </x:row>
    <x:row r="14">
      <x:c r="A14" t="str">
        <x:v>Zhang 2023</x:v>
      </x:c>
      <x:c r="B14" t="str">
        <x:v>Time to first spontaneous void</x:v>
      </x:c>
      <x:c r="C14" t="str">
        <x:v>TEAS vs sham/no current</x:v>
      </x:c>
      <x:c r="D14" t="str">
        <x:v>Postoperative</x:v>
      </x:c>
      <x:c r="E14" t="str">
        <x:v>975 vs 973</x:v>
      </x:c>
      <x:c r="F14" t="str">
        <x:v>922 vs 916</x:v>
      </x:c>
      <x:c r="G14" t="str">
        <x:v>5.6 (3.7-8.0) h vs 7.1 (4.7-9.7) h; P&lt;0.001</x:v>
      </x:c>
      <x:c r="H14" t="str">
        <x:v>Low</x:v>
      </x:c>
      <x:c r="I14" t="str">
        <x:v>High</x:v>
      </x:c>
      <x:c r="J14" t="str">
        <x:v>Some concerns</x:v>
      </x:c>
      <x:c r="K14" t="str">
        <x:v>Some concerns</x:v>
      </x:c>
      <x:c r="L14" t="str">
        <x:v>Low</x:v>
      </x:c>
      <x:c r="M14" t="str">
        <x:v>High</x:v>
      </x:c>
      <x:c r="N14" t="str">
        <x:v>De novo source-grounded replacement; 110 randomized participants excluded from final analysis after nonreceipt/discontinuation</x:v>
      </x:c>
      <x:c r="O14" t="str">
        <x:v>https://drive.google.com/file/d/1LXNXNhVJaOcYXBODulFUuMD4FQXC5dph/view?usp=drivesdk</x:v>
      </x:c>
      <x:c r="P14" t="str">
        <x:v>https://drive.google.com/drive/folders/1nsfVZMyB9znicxQzB7lvyfiiiuzMdc5M</x:v>
      </x:c>
    </x:row>
    <x:row r="15">
      <x:c r="A15" t="str">
        <x:v>Zhang 2014</x:v>
      </x:c>
      <x:c r="B15" t="str">
        <x:v>Recovery-room stay</x:v>
      </x:c>
      <x:c r="C15" t="str">
        <x:v>Preoperative TEAS vs sham/no current</x:v>
      </x:c>
      <x:c r="D15" t="str">
        <x:v>Recovery-room discharge</x:v>
      </x:c>
      <x:c r="E15" t="str">
        <x:v>33 vs 32</x:v>
      </x:c>
      <x:c r="F15" t="str">
        <x:v>33 vs 32</x:v>
      </x:c>
      <x:c r="G15" t="str">
        <x:v>35.6 ± 12.9 vs 48.3 ± 16.3 min; P=0.01</x:v>
      </x:c>
      <x:c r="H15" t="str">
        <x:v>Some concerns</x:v>
      </x:c>
      <x:c r="I15" t="str">
        <x:v>Low</x:v>
      </x:c>
      <x:c r="J15" t="str">
        <x:v>Low</x:v>
      </x:c>
      <x:c r="K15" t="str">
        <x:v>Low</x:v>
      </x:c>
      <x:c r="L15" t="str">
        <x:v>Some concerns</x:v>
      </x:c>
      <x:c r="M15" t="str">
        <x:v>Some concerns</x:v>
      </x:c>
      <x:c r="N15" t="str">
        <x:v>De novo source-grounded replacement; detailed flowchart used instead of abstract's incorrect 72-randomized statement</x:v>
      </x:c>
      <x:c r="O15" t="str">
        <x:v>https://drive.google.com/file/d/1lws1zFpIE-wbLY8X9ewYyTuIP-WySa-c/view?usp=drivesdk</x:v>
      </x:c>
      <x:c r="P15" t="str">
        <x:v>https://drive.google.com/drive/folders/1nsfVZMyB9znicxQzB7lvyfiiiuzMdc5M</x:v>
      </x:c>
    </x:row>
    <x:row r="16">
      <x:c r="A16" t="str">
        <x:v>Yang 2024</x:v>
      </x:c>
      <x:c r="B16" t="str">
        <x:v>Morphine use via IV PCA</x:v>
      </x:c>
      <x:c r="C16" t="str">
        <x:v>Perioperative EA + usual care vs usual care</x:v>
      </x:c>
      <x:c r="D16" t="str">
        <x:v>First 24 h / POD1</x:v>
      </x:c>
      <x:c r="E16" t="str">
        <x:v>90 vs 90</x:v>
      </x:c>
      <x:c r="F16" t="str">
        <x:v>90 vs 90</x:v>
      </x:c>
      <x:c r="G16" t="str">
        <x:v>43.7 ± 4.7 vs 44.0 ± 4.9 mg; P=0.733</x:v>
      </x:c>
      <x:c r="H16" t="str">
        <x:v>Low</x:v>
      </x:c>
      <x:c r="I16" t="str">
        <x:v>Low</x:v>
      </x:c>
      <x:c r="J16" t="str">
        <x:v>Low</x:v>
      </x:c>
      <x:c r="K16" t="str">
        <x:v>Low</x:v>
      </x:c>
      <x:c r="L16" t="str">
        <x:v>Some concerns</x:v>
      </x:c>
      <x:c r="M16" t="str">
        <x:v>Some concerns</x:v>
      </x:c>
      <x:c r="N16" t="str">
        <x:v>De novo source-grounded replacement; full ITT retained despite three protocol deviations; no sham for participants</x:v>
      </x:c>
      <x:c r="O16" t="str">
        <x:v>https://drive.google.com/file/d/160N3psd5tLEphwXHJzUEZ3uJfaIXcs5V/view?usp=drivesdk</x:v>
      </x:c>
      <x:c r="P16" t="str">
        <x:v>https://drive.google.com/drive/folders/1nsfVZMyB9znicxQzB7lvyfiiiuzMdc5M</x:v>
      </x:c>
    </x:row>
    <x:row r="17">
      <x:c r="A17" t="str">
        <x:v>Xiong 2021</x:v>
      </x:c>
      <x:c r="B17" t="str">
        <x:v>Any PONV</x:v>
      </x:c>
      <x:c r="C17" t="str">
        <x:v>TEAS + dexamethasone + tropisetron vs antiemetics alone</x:v>
      </x:c>
      <x:c r="D17" t="str">
        <x:v>Within 48 h</x:v>
      </x:c>
      <x:c r="E17" t="str">
        <x:v>31 vs 31</x:v>
      </x:c>
      <x:c r="F17" t="str">
        <x:v>31 vs 31</x:v>
      </x:c>
      <x:c r="G17" t="str">
        <x:v>13/31 vs 24/31; P=0.004</x:v>
      </x:c>
      <x:c r="H17" t="str">
        <x:v>Low</x:v>
      </x:c>
      <x:c r="I17" t="str">
        <x:v>Low</x:v>
      </x:c>
      <x:c r="J17" t="str">
        <x:v>Low</x:v>
      </x:c>
      <x:c r="K17" t="str">
        <x:v>Some concerns</x:v>
      </x:c>
      <x:c r="L17" t="str">
        <x:v>Some concerns</x:v>
      </x:c>
      <x:c r="M17" t="str">
        <x:v>Some concerns</x:v>
      </x:c>
      <x:c r="N17" t="str">
        <x:v>Fresh re-adjudication of source-matched RoB; participant sensory masking may have failed for a patient-reported PONV outcome</x:v>
      </x:c>
      <x:c r="O17" t="str">
        <x:v>https://drive.google.com/file/d/1sNaquYeWpsts7_e3XYP9c0CwM-tbQS6T/view?usp=drivesdk</x:v>
      </x:c>
      <x:c r="P17" t="str">
        <x:v>https://drive.google.com/drive/folders/1nsfVZMyB9znicxQzB7lvyfiiiuzMdc5M</x:v>
      </x:c>
    </x:row>
    <x:row r="18">
      <x:c r="A18" t="str">
        <x:v>Xing 2022</x:v>
      </x:c>
      <x:c r="B18" t="str">
        <x:v>Total intraoperative remifentanil consumption</x:v>
      </x:c>
      <x:c r="C18" t="str">
        <x:v>TEAS + TAPB vs sham TEAS + TAPB</x:v>
      </x:c>
      <x:c r="D18" t="str">
        <x:v>Intraoperative</x:v>
      </x:c>
      <x:c r="E18" t="str">
        <x:v>30 vs 30</x:v>
      </x:c>
      <x:c r="F18" t="str">
        <x:v>29 vs 29</x:v>
      </x:c>
      <x:c r="G18" t="str">
        <x:v>1182.61 ± 253.61 vs 1415.41 ± 295.67 µg; pairwise P&lt;0.05</x:v>
      </x:c>
      <x:c r="H18" t="str">
        <x:v>Low</x:v>
      </x:c>
      <x:c r="I18" t="str">
        <x:v>Low</x:v>
      </x:c>
      <x:c r="J18" t="str">
        <x:v>Some concerns</x:v>
      </x:c>
      <x:c r="K18" t="str">
        <x:v>Low</x:v>
      </x:c>
      <x:c r="L18" t="str">
        <x:v>Some concerns</x:v>
      </x:c>
      <x:c r="M18" t="str">
        <x:v>Some concerns</x:v>
      </x:c>
      <x:c r="N18" t="str">
        <x:v>De novo source-grounded replacement using the randomized incremental TEAS contrast NTG vs NG</x:v>
      </x:c>
      <x:c r="O18" t="str">
        <x:v>https://drive.google.com/file/d/1h3IGpQ56nSh7H16xBEVyTzCBkWOXRSxK/view?usp=drivesdk</x:v>
      </x:c>
      <x:c r="P18" t="str">
        <x:v>https://drive.google.com/drive/folders/1nsfVZMyB9znicxQzB7lvyfiiiuzMdc5M</x:v>
      </x:c>
    </x:row>
    <x:row r="19">
      <x:c r="A19" t="str">
        <x:v>Xie 2014</x:v>
      </x:c>
      <x:c r="B19" t="str">
        <x:v>Total postoperative/perioperative sufentanil</x:v>
      </x:c>
      <x:c r="C19" t="str">
        <x:v>Active EAS vs sham needling</x:v>
      </x:c>
      <x:c r="D19" t="str">
        <x:v>Study PCA period; exact fixed window unclear</x:v>
      </x:c>
      <x:c r="E19" t="str">
        <x:v>20 vs 20</x:v>
      </x:c>
      <x:c r="F19" t="str">
        <x:v>20 vs 20</x:v>
      </x:c>
      <x:c r="G19" t="str">
        <x:v>115 ± 6.0 vs 133 ± 7.0 µg; P&lt;0.05</x:v>
      </x:c>
      <x:c r="H19" t="str">
        <x:v>Some concerns</x:v>
      </x:c>
      <x:c r="I19" t="str">
        <x:v>Low</x:v>
      </x:c>
      <x:c r="J19" t="str">
        <x:v>Low</x:v>
      </x:c>
      <x:c r="K19" t="str">
        <x:v>Low</x:v>
      </x:c>
      <x:c r="L19" t="str">
        <x:v>Some concerns</x:v>
      </x:c>
      <x:c r="M19" t="str">
        <x:v>Some concerns</x:v>
      </x:c>
      <x:c r="N19" t="str">
        <x:v>De novo source-grounded replacement; result retained with explicit time-window ambiguity rather than relabeling as 24 h</x:v>
      </x:c>
      <x:c r="O19" t="str">
        <x:v>https://drive.google.com/file/d/17faY_h0rMJTuhjPOC5PL_S59jYmHDPee/view?usp=drivesdk</x:v>
      </x:c>
      <x:c r="P19" t="str">
        <x:v>https://drive.google.com/drive/folders/1nsfVZMyB9znicxQzB7lvyfiiiuzMdc5M</x:v>
      </x:c>
    </x:row>
    <x:row r="20">
      <x:c r="A20" t="str">
        <x:v>Wu 2022</x:v>
      </x:c>
      <x:c r="B20" t="str">
        <x:v>VAS pain intensity</x:v>
      </x:c>
      <x:c r="C20" t="str">
        <x:v>Perioperative pTEAS vs no-current control</x:v>
      </x:c>
      <x:c r="D20" t="str">
        <x:v>POD1</x:v>
      </x:c>
      <x:c r="E20" t="str">
        <x:v>45 vs 45</x:v>
      </x:c>
      <x:c r="F20" t="str">
        <x:v>44 vs 40</x:v>
      </x:c>
      <x:c r="G20" t="str">
        <x:v>1.77 ± 0.91 vs 2.25 ± 0.71; P=0.009</x:v>
      </x:c>
      <x:c r="H20" t="str">
        <x:v>Some concerns</x:v>
      </x:c>
      <x:c r="I20" t="str">
        <x:v>Some concerns</x:v>
      </x:c>
      <x:c r="J20" t="str">
        <x:v>High</x:v>
      </x:c>
      <x:c r="K20" t="str">
        <x:v>High</x:v>
      </x:c>
      <x:c r="L20" t="str">
        <x:v>Some concerns</x:v>
      </x:c>
      <x:c r="M20" t="str">
        <x:v>High</x:v>
      </x:c>
      <x:c r="N20" t="str">
        <x:v>De novo source-grounded replacement; asymmetric post-randomization exclusions, subjective pain, and unlikely participant masking</x:v>
      </x:c>
      <x:c r="O20" t="str">
        <x:v>https://drive.google.com/file/d/1XR_8qmeHR7ulwV7NaaI0CeYbpwKdc_ym/view?usp=drivesdk</x:v>
      </x:c>
      <x:c r="P20" t="str">
        <x:v>https://drive.google.com/drive/folders/1nsfVZMyB9znicxQzB7lvyfiiiuzMdc5M</x:v>
      </x:c>
    </x:row>
    <x:row r="21">
      <x:c r="A21" t="str">
        <x:v>Wu 2025</x:v>
      </x:c>
      <x:c r="B21" t="str">
        <x:v>VAS pain intensity</x:v>
      </x:c>
      <x:c r="C21" t="str">
        <x:v>PACU TEAS vs sham/no current</x:v>
      </x:c>
      <x:c r="D21" t="str">
        <x:v>24 h</x:v>
      </x:c>
      <x:c r="E21" t="str">
        <x:v>50 vs 50</x:v>
      </x:c>
      <x:c r="F21" t="str">
        <x:v>ITT 50 vs 50; 3 unavailable at 24 h</x:v>
      </x:c>
      <x:c r="G21" t="str">
        <x:v>1.7 ± 0.9 vs 4.0 ± 1.4; P&lt;0.001</x:v>
      </x:c>
      <x:c r="H21" t="str">
        <x:v>Some concerns</x:v>
      </x:c>
      <x:c r="I21" t="str">
        <x:v>Low</x:v>
      </x:c>
      <x:c r="J21" t="str">
        <x:v>Some concerns</x:v>
      </x:c>
      <x:c r="K21" t="str">
        <x:v>High</x:v>
      </x:c>
      <x:c r="L21" t="str">
        <x:v>Some concerns</x:v>
      </x:c>
      <x:c r="M21" t="str">
        <x:v>High</x:v>
      </x:c>
      <x:c r="N21" t="str">
        <x:v>De novo source-grounded replacement; allocation concealment incompletely described, missing 24-h data handling unclear, and sensory masking imperfect for subjective pain</x:v>
      </x:c>
      <x:c r="O21" t="str">
        <x:v>https://drive.google.com/file/d/1ZV6JFjevGSPqnISdX61KPdcC_yEtq3vf/view?usp=drivesdk</x:v>
      </x:c>
      <x:c r="P21" t="str">
        <x:v>https://drive.google.com/drive/folders/1nsfVZMyB9znicxQzB7lvyfiiiuzMdc5M</x:v>
      </x:c>
    </x:row>
    <x:row r="22">
      <x:c r="A22" t="str">
        <x:v>Wang 2023</x:v>
      </x:c>
      <x:c r="B22" t="str">
        <x:v>Postoperative sleep quality (PSQI/AIS)</x:v>
      </x:c>
      <x:c r="C22" t="str">
        <x:v>Nighttime TEAS vs sham/no current</x:v>
      </x:c>
      <x:c r="D22" t="str">
        <x:v>POD1</x:v>
      </x:c>
      <x:c r="E22" t="str">
        <x:v>43 vs 45</x:v>
      </x:c>
      <x:c r="F22" t="str">
        <x:v>40 vs 43</x:v>
      </x:c>
      <x:c r="G22" t="str">
        <x:v>Exact POD1 PSQI/AIS means/SDs are graph-only; TEAS significantly lower than sham</x:v>
      </x:c>
      <x:c r="H22" t="str">
        <x:v>Low</x:v>
      </x:c>
      <x:c r="I22" t="str">
        <x:v>High</x:v>
      </x:c>
      <x:c r="J22" t="str">
        <x:v>Some concerns</x:v>
      </x:c>
      <x:c r="K22" t="str">
        <x:v>High</x:v>
      </x:c>
      <x:c r="L22" t="str">
        <x:v>Some concerns</x:v>
      </x:c>
      <x:c r="M22" t="str">
        <x:v>High</x:v>
      </x:c>
      <x:c r="N22" t="str">
        <x:v>De novo source-grounded replacement; 5 protocol-breach exclusions and subjective patient-reported sleep with imperfect sensory masking</x:v>
      </x:c>
      <x:c r="O22" t="str">
        <x:v>https://drive.google.com/file/d/177A4aH42GD90DhsvvtD-VOBSChBBpIWL/view?usp=drivesdk</x:v>
      </x:c>
      <x:c r="P22" t="str">
        <x:v>https://drive.google.com/drive/folders/1nsfVZMyB9znicxQzB7lvyfiiiuzMdc5M</x:v>
      </x:c>
    </x:row>
    <x:row r="23">
      <x:c r="A23" t="str">
        <x:v>Wang 2024</x:v>
      </x:c>
      <x:c r="B23" t="str">
        <x:v>PONV incidence</x:v>
      </x:c>
      <x:c r="C23" t="str">
        <x:v>SNVP ODT vs SNVP OD</x:v>
      </x:c>
      <x:c r="D23" t="str">
        <x:v>12-24 h</x:v>
      </x:c>
      <x:c r="E23" t="str">
        <x:v>35 vs 35</x:v>
      </x:c>
      <x:c r="F23" t="str">
        <x:v>33 vs 35</x:v>
      </x:c>
      <x:c r="G23" t="str">
        <x:v>2/33 vs 11/35; P=0.008</x:v>
      </x:c>
      <x:c r="H23" t="str">
        <x:v>Low</x:v>
      </x:c>
      <x:c r="I23" t="str">
        <x:v>Some concerns</x:v>
      </x:c>
      <x:c r="J23" t="str">
        <x:v>High</x:v>
      </x:c>
      <x:c r="K23" t="str">
        <x:v>Low</x:v>
      </x:c>
      <x:c r="L23" t="str">
        <x:v>Some concerns</x:v>
      </x:c>
      <x:c r="M23" t="str">
        <x:v>High</x:v>
      </x:c>
      <x:c r="N23" t="str">
        <x:v>De novo source-grounded replacement; treatment randomized within SNVP stratum only; two post-randomization ODT exclusions and marked surgical imbalance</x:v>
      </x:c>
      <x:c r="O23" t="str">
        <x:v>https://drive.google.com/file/d/1U8tkq6mKFO0IkA2glfgLjN4Krwku3FZn/view?usp=drivesdk</x:v>
      </x:c>
      <x:c r="P23" t="str">
        <x:v>https://drive.google.com/drive/folders/1nsfVZMyB9znicxQzB7lvyfiiiuzMdc5M</x:v>
      </x:c>
    </x:row>
    <x:row r="24">
      <x:c r="A24" t="str">
        <x:v>Tu 2024</x:v>
      </x:c>
      <x:c r="B24" t="str">
        <x:v>Vomiting incidence</x:v>
      </x:c>
      <x:c r="C24" t="str">
        <x:v>Postoperative TEAS vs sham/no current</x:v>
      </x:c>
      <x:c r="D24" t="str">
        <x:v>2-6 h</x:v>
      </x:c>
      <x:c r="E24" t="str">
        <x:v>60 vs 60</x:v>
      </x:c>
      <x:c r="F24" t="str">
        <x:v>57 vs 58</x:v>
      </x:c>
      <x:c r="G24" t="str">
        <x:v>8/57 vs 17/58; P=0.047</x:v>
      </x:c>
      <x:c r="H24" t="str">
        <x:v>Low</x:v>
      </x:c>
      <x:c r="I24" t="str">
        <x:v>Low</x:v>
      </x:c>
      <x:c r="J24" t="str">
        <x:v>High</x:v>
      </x:c>
      <x:c r="K24" t="str">
        <x:v>Low</x:v>
      </x:c>
      <x:c r="L24" t="str">
        <x:v>Some concerns</x:v>
      </x:c>
      <x:c r="M24" t="str">
        <x:v>High</x:v>
      </x:c>
      <x:c r="N24" t="str">
        <x:v>Fresh re-adjudication; one sham patient excluded specifically for intracranial-hypertension-related vomiting, making missingness outcome-related</x:v>
      </x:c>
      <x:c r="O24" t="str">
        <x:v>https://drive.google.com/file/d/1xQ9SbXVZblphUrb0-T9xpnAXk-_z5nBX/view?usp=drivesdk</x:v>
      </x:c>
      <x:c r="P24" t="str">
        <x:v>https://drive.google.com/drive/folders/1nsfVZMyB9znicxQzB7lvyfiiiuzMdc5M</x:v>
      </x:c>
    </x:row>
    <x:row r="25">
      <x:c r="A25" t="str">
        <x:v>Sun 2017</x:v>
      </x:c>
      <x:c r="B25" t="str">
        <x:v>Activity-evoked VAS</x:v>
      </x:c>
      <x:c r="C25" t="str">
        <x:v>Preoperative + postoperative TEAS (TST) vs all-period sham (SSS)</x:v>
      </x:c>
      <x:c r="D25" t="str">
        <x:v>24 h</x:v>
      </x:c>
      <x:c r="E25" t="str">
        <x:v>95 vs 95</x:v>
      </x:c>
      <x:c r="F25" t="str">
        <x:v>89 vs 90</x:v>
      </x:c>
      <x:c r="G25" t="str">
        <x:v>3.0 (3.0-4.0) vs 4.0 (3.8-5.0); reported P&lt;0.001 comparison framework</x:v>
      </x:c>
      <x:c r="H25" t="str">
        <x:v>Low</x:v>
      </x:c>
      <x:c r="I25" t="str">
        <x:v>Low</x:v>
      </x:c>
      <x:c r="J25" t="str">
        <x:v>Some concerns</x:v>
      </x:c>
      <x:c r="K25" t="str">
        <x:v>Some concerns</x:v>
      </x:c>
      <x:c r="L25" t="str">
        <x:v>Some concerns</x:v>
      </x:c>
      <x:c r="M25" t="str">
        <x:v>Some concerns</x:v>
      </x:c>
      <x:c r="N25" t="str">
        <x:v>Fresh re-adjudication; four-arm timing design preserved and sham recognized as 5-min perceptible low-current stimulation</x:v>
      </x:c>
      <x:c r="O25" t="str">
        <x:v>https://drive.google.com/file/d/1lELlw0IpkhqoB8OuintAI22fxKfNEcEd/view?usp=drivesdk</x:v>
      </x:c>
      <x:c r="P25" t="str">
        <x:v>https://drive.google.com/drive/folders/1nsfVZMyB9znicxQzB7lvyfiiiuzMdc5M</x:v>
      </x:c>
    </x:row>
    <x:row r="26">
      <x:c r="A26" t="str">
        <x:v>Sim 2002</x:v>
      </x:c>
      <x:c r="B26" t="str">
        <x:v>Cumulative postoperative IV PCA morphine</x:v>
      </x:c>
      <x:c r="C26" t="str">
        <x:v>Preoperative EA vs placebo EA</x:v>
      </x:c>
      <x:c r="D26" t="str">
        <x:v>0-24 h</x:v>
      </x:c>
      <x:c r="E26" t="str">
        <x:v>30 vs 30</x:v>
      </x:c>
      <x:c r="F26" t="str">
        <x:v>30 vs 30</x:v>
      </x:c>
      <x:c r="G26" t="str">
        <x:v>0.52 ± 0.19 vs 0.68 ± 0.38 mg/kg; cumulative difference not statistically significant</x:v>
      </x:c>
      <x:c r="H26" t="str">
        <x:v>Some concerns</x:v>
      </x:c>
      <x:c r="I26" t="str">
        <x:v>Low</x:v>
      </x:c>
      <x:c r="J26" t="str">
        <x:v>Low</x:v>
      </x:c>
      <x:c r="K26" t="str">
        <x:v>Low</x:v>
      </x:c>
      <x:c r="L26" t="str">
        <x:v>Some concerns</x:v>
      </x:c>
      <x:c r="M26" t="str">
        <x:v>Some concerns</x:v>
      </x:c>
      <x:c r="N26" t="str">
        <x:v>De novo source-grounded replacement; randomized sequence reported but allocation concealment not reported; placebo blinding was empirically assessed</x:v>
      </x:c>
      <x:c r="O26" t="str">
        <x:v>https://drive.google.com/file/d/1YsNHL-J3Kgfu8mCanRrNu_bHk_roj0w6/view?usp=drivesdk</x:v>
      </x:c>
      <x:c r="P26" t="str">
        <x:v>https://drive.google.com/drive/folders/1nsfVZMyB9znicxQzB7lvyfiiiuzMdc5M</x:v>
      </x:c>
    </x:row>
    <x:row r="27">
      <x:c r="A27" t="str">
        <x:v>Ntritsou 2014</x:v>
      </x:c>
      <x:c r="B27" t="str">
        <x:v>Total tramadol exposure</x:v>
      </x:c>
      <x:c r="C27" t="str">
        <x:v>Perioperative EA + tramadol/ketamine vs sham + tramadol/ketamine</x:v>
      </x:c>
      <x:c r="D27" t="str">
        <x:v>First 24 h most consistent with protocol</x:v>
      </x:c>
      <x:c r="E27" t="str">
        <x:v>37 vs 38</x:v>
      </x:c>
      <x:c r="F27" t="str">
        <x:v>35 vs 35</x:v>
      </x:c>
      <x:c r="G27" t="str">
        <x:v>443.7 ± 67.4 vs 461.5 ± 63.2 mg; P=0.257</x:v>
      </x:c>
      <x:c r="H27" t="str">
        <x:v>Some concerns</x:v>
      </x:c>
      <x:c r="I27" t="str">
        <x:v>Low</x:v>
      </x:c>
      <x:c r="J27" t="str">
        <x:v>High</x:v>
      </x:c>
      <x:c r="K27" t="str">
        <x:v>Low</x:v>
      </x:c>
      <x:c r="L27" t="str">
        <x:v>Some concerns</x:v>
      </x:c>
      <x:c r="M27" t="str">
        <x:v>High</x:v>
      </x:c>
      <x:c r="N27" t="str">
        <x:v>De novo source-grounded replacement; five post-randomization exclusions included clinically relevant postoperative adverse events</x:v>
      </x:c>
      <x:c r="O27" t="str">
        <x:v>https://drive.google.com/file/d/1u_kNuuXF8upB3gJA2aDq8NldYDfhnWy3/view?usp=drivesdk</x:v>
      </x:c>
      <x:c r="P27" t="str">
        <x:v>https://drive.google.com/drive/folders/1nsfVZMyB9znicxQzB7lvyfiiiuzMdc5M</x:v>
      </x:c>
    </x:row>
    <x:row r="28">
      <x:c r="A28" t="str">
        <x:v>Ng 2013</x:v>
      </x:c>
      <x:c r="B28" t="str">
        <x:v>Time to first bowel motion</x:v>
      </x:c>
      <x:c r="C28" t="str">
        <x:v>Electroacupuncture vs sham acupuncture</x:v>
      </x:c>
      <x:c r="D28" t="str">
        <x:v>Postoperative</x:v>
      </x:c>
      <x:c r="E28" t="str">
        <x:v>55 vs 55</x:v>
      </x:c>
      <x:c r="F28" t="str">
        <x:v>55 vs 55</x:v>
      </x:c>
      <x:c r="G28" t="str">
        <x:v>85.9 ± 36.1 vs 107.5 ± 46.2 h; P=0.007</x:v>
      </x:c>
      <x:c r="H28" t="str">
        <x:v>Some concerns</x:v>
      </x:c>
      <x:c r="I28" t="str">
        <x:v>Low</x:v>
      </x:c>
      <x:c r="J28" t="str">
        <x:v>Low</x:v>
      </x:c>
      <x:c r="K28" t="str">
        <x:v>Low</x:v>
      </x:c>
      <x:c r="L28" t="str">
        <x:v>Some concerns</x:v>
      </x:c>
      <x:c r="M28" t="str">
        <x:v>Some concerns</x:v>
      </x:c>
      <x:c r="N28" t="str">
        <x:v>De novo source-grounded replacement; computer sequence but explicitly nonopaque envelopes create concealment concern</x:v>
      </x:c>
      <x:c r="O28" t="str">
        <x:v>https://drive.google.com/file/d/1R1zCiyfWvuSp99Hi2U_K1__8kgdi90gd/view?usp=drivesdk</x:v>
      </x:c>
      <x:c r="P28" t="str">
        <x:v>https://drive.google.com/drive/folders/1nsfVZMyB9znicxQzB7lvyfiiiuzMdc5M</x:v>
      </x:c>
    </x:row>
  </x:sheetData>
  <x:conditionalFormatting sqref="H2:H7">
    <x:cfRule type="expression" dxfId="8" priority="1">
      <x:formula>H2="High"</x:formula>
    </x:cfRule>
    <x:cfRule type="expression" dxfId="9" priority="2">
      <x:formula>H2="Some concerns"</x:formula>
    </x:cfRule>
    <x:cfRule type="expression" dxfId="10" priority="3">
      <x:formula>H2="Low"</x:formula>
    </x:cfRule>
  </x:conditionalFormatting>
  <x:conditionalFormatting sqref="I2:I7">
    <x:cfRule type="expression" dxfId="11" priority="4">
      <x:formula>I2="High"</x:formula>
    </x:cfRule>
    <x:cfRule type="expression" dxfId="12" priority="5">
      <x:formula>I2="Some concerns"</x:formula>
    </x:cfRule>
    <x:cfRule type="expression" dxfId="13" priority="6">
      <x:formula>I2="Low"</x:formula>
    </x:cfRule>
  </x:conditionalFormatting>
  <x:conditionalFormatting sqref="J2:J7">
    <x:cfRule type="expression" dxfId="14" priority="7">
      <x:formula>J2="High"</x:formula>
    </x:cfRule>
    <x:cfRule type="expression" dxfId="15" priority="8">
      <x:formula>J2="Some concerns"</x:formula>
    </x:cfRule>
    <x:cfRule type="expression" dxfId="16" priority="9">
      <x:formula>J2="Low"</x:formula>
    </x:cfRule>
  </x:conditionalFormatting>
  <x:conditionalFormatting sqref="K2:K7">
    <x:cfRule type="expression" dxfId="17" priority="10">
      <x:formula>K2="High"</x:formula>
    </x:cfRule>
    <x:cfRule type="expression" dxfId="18" priority="11">
      <x:formula>K2="Some concerns"</x:formula>
    </x:cfRule>
    <x:cfRule type="expression" dxfId="19" priority="12">
      <x:formula>K2="Low"</x:formula>
    </x:cfRule>
  </x:conditionalFormatting>
  <x:conditionalFormatting sqref="L2:L7">
    <x:cfRule type="expression" dxfId="20" priority="13">
      <x:formula>L2="High"</x:formula>
    </x:cfRule>
    <x:cfRule type="expression" dxfId="21" priority="14">
      <x:formula>L2="Some concerns"</x:formula>
    </x:cfRule>
    <x:cfRule type="expression" dxfId="22" priority="15">
      <x:formula>L2="Low"</x:formula>
    </x:cfRule>
  </x:conditionalFormatting>
  <x:conditionalFormatting sqref="M2:M7">
    <x:cfRule type="expression" dxfId="23" priority="16">
      <x:formula>M2="High"</x:formula>
    </x:cfRule>
    <x:cfRule type="expression" dxfId="24" priority="17">
      <x:formula>M2="Some concerns"</x:formula>
    </x:cfRule>
    <x:cfRule type="expression" dxfId="25" priority="18">
      <x:formula>M2="Low"</x:formula>
    </x:cfRule>
    <x:cfRule type="expression" dxfId="26" priority="19">
      <x:formula>M2="High"</x:formula>
    </x:cfRule>
    <x:cfRule type="expression" dxfId="27" priority="20">
      <x:formula>M2="Some concerns"</x:formula>
    </x:cfRule>
    <x:cfRule type="expression" dxfId="28" priority="21">
      <x:formula>M2="Low"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5565af6534c4a4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0" hidden="0" customWidth="1"/>
    <x:col min="3" max="3" width="55" hidden="0" customWidth="1"/>
    <x:col min="4" max="4" width="55" hidden="0" customWidth="1"/>
    <x:col min="5" max="5" width="16" hidden="0" customWidth="1"/>
    <x:col min="6" max="6" width="28" hidden="0" customWidth="1"/>
  </x:cols>
  <x:sheetData>
    <x:row r="1">
      <x:c r="A1" s="24" t="str">
        <x:v>Study/record</x:v>
      </x:c>
      <x:c r="B1" s="24" t="str">
        <x:v>Issue type</x:v>
      </x:c>
      <x:c r="C1" s="24" t="str">
        <x:v>Problem identified</x:v>
      </x:c>
      <x:c r="D1" s="24" t="str">
        <x:v>Master decision</x:v>
      </x:c>
      <x:c r="E1" s="24" t="str">
        <x:v>Severity</x:v>
      </x:c>
      <x:c r="F1" s="24" t="str">
        <x:v>Status</x:v>
      </x:c>
    </x:row>
    <x:row r="2">
      <x:c r="A2" s="18" t="str">
        <x:v>An 2014</x:v>
      </x:c>
      <x:c r="B2" s="18" t="str">
        <x:v>Antigravity Sol file mapping</x:v>
      </x:c>
      <x:c r="C2" s="18" t="str">
        <x:v>Points to zhang_2014_breast_surgery_teas_full_data_extraction.md</x:v>
      </x:c>
      <x:c r="D2" s="18" t="str">
        <x:v>Reject mapping; An 2014 source is covidence_698_full_article.pdf / covidence_study_698 extraction.</x:v>
      </x:c>
      <x:c r="E2" s="18" t="str">
        <x:v>Material</x:v>
      </x:c>
      <x:c r="F2" s="18" t="str">
        <x:v>Resolved in master inventory</x:v>
      </x:c>
    </x:row>
    <x:row r="3">
      <x:c r="A3" s="18" t="str">
        <x:v>Seevaunnamtum 2016</x:v>
      </x:c>
      <x:c r="B3" s="18" t="str">
        <x:v>Antigravity Sol file mapping</x:v>
      </x:c>
      <x:c r="C3" s="18" t="str">
        <x:v>Points to grech_2016_full_data_extraction.md</x:v>
      </x:c>
      <x:c r="D3" s="18" t="str">
        <x:v>Reject mapping; use covidence_596_verified.pdf / Seevaunnamtum source-grounded extraction.</x:v>
      </x:c>
      <x:c r="E3" s="18" t="str">
        <x:v>Material</x:v>
      </x:c>
      <x:c r="F3" s="18" t="str">
        <x:v>Resolved in master inventory</x:v>
      </x:c>
    </x:row>
    <x:row r="4">
      <x:c r="A4" s="18" t="str">
        <x:v>Chen 2015</x:v>
      </x:c>
      <x:c r="B4" s="18" t="str">
        <x:v>Antigravity Sol file mapping</x:v>
      </x:c>
      <x:c r="C4" s="18" t="str">
        <x:v>Points to chen_2020_full_data_extraction.md</x:v>
      </x:c>
      <x:c r="D4" s="18" t="str">
        <x:v>Reject mapping; Chen 2015 QoR-40 thyroidectomy is distinct.</x:v>
      </x:c>
      <x:c r="E4" s="18" t="str">
        <x:v>Material</x:v>
      </x:c>
      <x:c r="F4" s="18" t="str">
        <x:v>Resolved in master inventory</x:v>
      </x:c>
    </x:row>
    <x:row r="5">
      <x:c r="A5" s="18" t="str">
        <x:v>Chen 2015 (Hyperalgesia)</x:v>
      </x:c>
      <x:c r="B5" s="18" t="str">
        <x:v>Antigravity Sol file mapping</x:v>
      </x:c>
      <x:c r="C5" s="18" t="str">
        <x:v>Points to chen_2020_full_data_extraction.md</x:v>
      </x:c>
      <x:c r="D5" s="18" t="str">
        <x:v>Reject mapping; hyperalgesia trial is distinct.</x:v>
      </x:c>
      <x:c r="E5" s="18" t="str">
        <x:v>Material</x:v>
      </x:c>
      <x:c r="F5" s="18" t="str">
        <x:v>Resolved in master inventory</x:v>
      </x:c>
    </x:row>
    <x:row r="6">
      <x:c r="A6" s="18" t="str">
        <x:v>Ng 2013</x:v>
      </x:c>
      <x:c r="B6" s="18" t="str">
        <x:v>Antigravity Sol file mapping</x:v>
      </x:c>
      <x:c r="C6" s="18" t="str">
        <x:v>Points to huang_2024_covidence_245_full_data_extraction.md</x:v>
      </x:c>
      <x:c r="D6" s="18" t="str">
        <x:v>Reject cross-study mapping.</x:v>
      </x:c>
      <x:c r="E6" s="18" t="str">
        <x:v>Material</x:v>
      </x:c>
      <x:c r="F6" s="18" t="str">
        <x:v>Resolved in master inventory</x:v>
      </x:c>
    </x:row>
    <x:row r="7">
      <x:c r="A7" s="18" t="str">
        <x:v>Tu 2024</x:v>
      </x:c>
      <x:c r="B7" s="18" t="str">
        <x:v>Antigravity Sol file mapping</x:v>
      </x:c>
      <x:c r="C7" s="18" t="str">
        <x:v>Points to wang_2023_gi_tumor_sleep_teas_full_data_extraction.md</x:v>
      </x:c>
      <x:c r="D7" s="18" t="str">
        <x:v>Reject cross-study mapping.</x:v>
      </x:c>
      <x:c r="E7" s="18" t="str">
        <x:v>Material</x:v>
      </x:c>
      <x:c r="F7" s="18" t="str">
        <x:v>Resolved in master inventory</x:v>
      </x:c>
    </x:row>
    <x:row r="8">
      <x:c r="A8" s="18" t="str">
        <x:v>Gao 2018</x:v>
      </x:c>
      <x:c r="B8" s="18" t="str">
        <x:v>Antigravity inventory</x:v>
      </x:c>
      <x:c r="C8" s="18" t="str">
        <x:v>No source-grounded Gao 2018 extraction found</x:v>
      </x:c>
      <x:c r="D8" s="18" t="str">
        <x:v>Exclude until a source PDF is positively identified; Zhou 2025 was omitted from Antigravity matrix and restored.</x:v>
      </x:c>
      <x:c r="E8" s="18" t="str">
        <x:v>Material</x:v>
      </x:c>
      <x:c r="F8" s="18" t="str">
        <x:v>Resolved in master inventory</x:v>
      </x:c>
    </x:row>
    <x:row r="9">
      <x:c r="A9" s="18" t="str">
        <x:v>Ge et al. 2023</x:v>
      </x:c>
      <x:c r="B9" s="18" t="str">
        <x:v>Duplicate derivative</x:v>
      </x:c>
      <x:c r="C9" s="18" t="str">
        <x:v>Duplicate extraction of Wang 2023 Pain and Therapy trial</x:v>
      </x:c>
      <x:c r="D9" s="18" t="str">
        <x:v>Do not count as separate trial.</x:v>
      </x:c>
      <x:c r="E9" s="18" t="str">
        <x:v>Material</x:v>
      </x:c>
      <x:c r="F9" s="18" t="str">
        <x:v>Resolved in master inventory</x:v>
      </x:c>
    </x:row>
    <x:row r="10">
      <x:c r="A10" s="18" t="str">
        <x:v>Zhou 2026</x:v>
      </x:c>
      <x:c r="B10" s="18" t="str">
        <x:v>Misnamed derivative</x:v>
      </x:c>
      <x:c r="C10" s="18" t="str">
        <x:v>RoB file attached to Liu 2026 burn trial</x:v>
      </x:c>
      <x:c r="D10" s="18" t="str">
        <x:v>Do not count as separate trial.</x:v>
      </x:c>
      <x:c r="E10" s="18" t="str">
        <x:v>Material</x:v>
      </x:c>
      <x:c r="F10" s="18" t="str">
        <x:v>Resolved in master inventory</x:v>
      </x:c>
    </x:row>
    <x:row r="11">
      <x:c r="A11" s="18" t="str">
        <x:v>Gao 2018</x:v>
      </x:c>
      <x:c r="B11" s="18" t="str">
        <x:v>Rejected Antigravity inventory row</x:v>
      </x:c>
      <x:c r="C11" s="18" t="str">
        <x:v>**Intraop remifentanil (PRIMARY)**: Group TEAS (n=32) 545 ± 35 µg vs Group C (n=32) 636 ± 33 µg (P &lt; 0.001) [MD -91.0 µg]. **Intraop propofol**: Group TEAS 4...</x:v>
      </x:c>
      <x:c r="D11" s="18" t="str">
        <x:v>No matching Gao 2018 source/extraction was located in the project inventory; row conflicts with the 63-PDF canonical inventory and should not enter the master dataset without source identification.</x:v>
      </x:c>
      <x:c r="E11" s="18" t="str">
        <x:v>Critical</x:v>
      </x:c>
      <x:c r="F11" s="18" t="str">
        <x:v>Excluded from canonical master</x:v>
      </x:c>
    </x:row>
  </x:sheetData>
  <x:conditionalFormatting sqref="E2:E11">
    <x:cfRule type="expression" dxfId="29" priority="1">
      <x:formula>E2="Critical"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b59d1af73434b9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5" hidden="0" customWidth="1"/>
    <x:col min="3" max="3" width="70" hidden="0" customWidth="1"/>
    <x:col min="4" max="4" width="58" hidden="0" customWidth="1"/>
    <x:col min="5" max="5" width="32" hidden="0" customWidth="1"/>
    <x:col min="6" max="6" width="38" hidden="0" customWidth="1"/>
  </x:cols>
  <x:sheetData>
    <x:row r="1">
      <x:c r="A1" s="24" t="str">
        <x:v>Canonical study</x:v>
      </x:c>
      <x:c r="B1" s="24" t="str">
        <x:v>Antigravity label</x:v>
      </x:c>
      <x:c r="C1" s="24" t="str">
        <x:v>Candidate source summary</x:v>
      </x:c>
      <x:c r="D1" s="24" t="str">
        <x:v>Gemini/payload field from Antigravity report</x:v>
      </x:c>
      <x:c r="E1" s="24" t="str">
        <x:v>Antigravity classification</x:v>
      </x:c>
      <x:c r="F1" s="24" t="str">
        <x:v>Status in this master</x:v>
      </x:c>
    </x:row>
    <x:row r="2">
      <x:c r="A2" s="18" t="str">
        <x:v>Zhu 2022</x:v>
      </x:c>
      <x:c r="B2" s="18" t="str">
        <x:v>Zhu 2022</x:v>
      </x:c>
      <x:c r="C2" s="18" t="str">
        <x:v>**Pain intensity during movement at 24h (NRS 0-10) (PRIMARY)**: Group Pre (n=101) 1.15 ± 1.02 vs Group 30 (n=98) 1.12 ± 1.03 vs Group Comb (n=100) 1.17 ± 1.1...</x:v>
      </x:c>
      <x:c r="D2" s="18" t="str">
        <x:v>Opioid: `20.4±4.8 vs 33.1±7.0` 🚨 **[FABRICATED BOILERPLATE]**&lt;br&gt;Pain: `2.4±0.8 vs 3.8±1.1` 🚨 **[FABRICATED]**&lt;br&gt;PONV: `5/30 vs 12/30` 🚨 **[FABRICATED]**</x:v>
      </x:c>
      <x:c r="E2" s="18" t="str">
        <x:v>🟡 Verified with Corrections 🟠 Author Contact Needed</x:v>
      </x:c>
      <x:c r="F2" s="18" t="str">
        <x:v>REFERENCE ONLY — not authoritative unless source-confirmed</x:v>
      </x:c>
    </x:row>
    <x:row r="3">
      <x:c r="A3" s="18" t="str">
        <x:v>Zhou 2025</x:v>
      </x:c>
      <x:c r="B3" s="18" t="str">
        <x:v>(Antigravity matrix omitted/misidentified)</x:v>
      </x:c>
      <x:c r="C3" s="18" t="str">
        <x:v>Source-grounded correction: 100 randomized (50/group), 97 analyzed (48 TEAS, 49 sham). Primary QoR-15 on POD1: 112.00 ± 10.67 vs 107.62 ± 10.27 (P=0.042). POD1 resting VAS median 3 (3-4) vs 4 (4-5); POD1 PONV 10/48 vs 19/49. Exact 0-24 h opioid dose/MME not reported; rescue tramadol only reported as POD1-3 binary use 6/48 vs 13/49.</x:v>
      </x:c>
      <x:c r="D3" s="18" t="str">
        <x:v>Do not use Antigravity Gao 2018 row as substitute.</x:v>
      </x:c>
      <x:c r="E3" s="18" t="str">
        <x:v>Source-verified Sol correction; Antigravity matrix identity gap</x:v>
      </x:c>
      <x:c r="F3" s="18" t="str">
        <x:v>REFERENCE ONLY — not authoritative unless source-confirmed</x:v>
      </x:c>
    </x:row>
    <x:row r="4">
      <x:c r="A4" s="18" t="str">
        <x:v>Zhou 2021</x:v>
      </x:c>
      <x:c r="B4" s="18" t="str">
        <x:v>Zhou 2021</x:v>
      </x:c>
      <x:c r="C4" s="18" t="str">
        <x:v>**Cumulative postoperative systemic opioid consumption (equivalent dose of morphine in mg / IV MME) (PRIMARY)**: TG (n=41) 8.94 ± 3.66 mg vs CG Usual care (n...</x:v>
      </x:c>
      <x:c r="D4" s="18" t="str">
        <x:v>Opioid: `20.4±4.8 vs 33.1±7.0` 🚨 **[FABRICATED BOILERPLATE]**&lt;br&gt;Pain: `2.4±0.8 vs 3.8±1.1` 🚨 **[FABRICATED]**&lt;br&gt;PONV: `5/30 vs 12/30` 🚨 **[FABRICATED]**</x:v>
      </x:c>
      <x:c r="E4" s="18" t="str">
        <x:v>🟡 Verified with Corrections 🟠 Author Contact Needed</x:v>
      </x:c>
      <x:c r="F4" s="18" t="str">
        <x:v>REFERENCE ONLY — not authoritative unless source-confirmed</x:v>
      </x:c>
    </x:row>
    <x:row r="5">
      <x:c r="A5" s="18" t="str">
        <x:v>Zheng 2025</x:v>
      </x:c>
      <x:c r="B5" s="18" t="str">
        <x:v>Zheng 2025</x:v>
      </x:c>
      <x:c r="C5" s="18" t="str">
        <x:v>**Pain intensity at rest at 24h (NRS 0-10) (PRIMARY)**: TEAS (n=42) 1.70 ± 0.80 vs Sham TEAS (n=43) 2.20 ± 1.10 (P = 0.042*) [MD -0.50, 95% CI -0.91 to -0.09...</x:v>
      </x:c>
      <x:c r="D5" s="18" t="str">
        <x:v>Opioid: `20.4±4.8 vs 33.1±7.0` 🚨 **[FABRICATED BOILERPLATE]**&lt;br&gt;Pain: `2.4±0.8 vs 3.8±1.1` 🚨 **[FABRICATED]**&lt;br&gt;PONV: `5/30 vs 12/30` 🚨 **[FABRICATED]**</x:v>
      </x:c>
      <x:c r="E5" s="18" t="str">
        <x:v>🟡 Verified with Corrections 🟠 Author Contact Needed</x:v>
      </x:c>
      <x:c r="F5" s="18" t="str">
        <x:v>REFERENCE ONLY — not authoritative unless source-confirmed</x:v>
      </x:c>
    </x:row>
    <x:row r="6">
      <x:c r="A6" s="18" t="str">
        <x:v>Zhan 2020</x:v>
      </x:c>
      <x:c r="B6" s="18" t="str">
        <x:v>Zhan 2020</x:v>
      </x:c>
      <x:c r="C6" s="18" t="str">
        <x:v>**Pain intensity at rest at 24h (VAS 0-10) (PRIMARY)**: TAP+TEAS (n=30) 1.70 ± 2.20 vs TAP Control (n=30) 2.00 ± 3.00 (P = 0.03*) [MD -0.30, 95% CI -1.63 to ...</x:v>
      </x:c>
      <x:c r="D6" s="18" t="str">
        <x:v>Opioid: `1.7±2.2 vs 2.0±3.0`&lt;br&gt;Pain: `2.4±0.8 vs 3.8±1.1` 🚨 **[FABRICATED]**&lt;br&gt;PONV: `5/30 vs 12/30` 🚨 **[FABRICATED]**</x:v>
      </x:c>
      <x:c r="E6" s="18" t="str">
        <x:v>🟡 Verified with Corrections 🟠 Author Contact Needed</x:v>
      </x:c>
      <x:c r="F6" s="18" t="str">
        <x:v>REFERENCE ONLY — not authoritative unless source-confirmed</x:v>
      </x:c>
    </x:row>
    <x:row r="7">
      <x:c r="A7" s="18" t="str">
        <x:v>Zhang 2025</x:v>
      </x:c>
      <x:c r="B7" s="18" t="str">
        <x:v>Zhang 2025</x:v>
      </x:c>
      <x:c r="C7" s="18" t="str">
        <x:v>**Cumulative postoperative systemic opioid consumption at 24h (total sufentanil in IV MME) (PRIMARY)**: TEAS (n=45) 50.53 ± 4.46 mg vs Control Sham TEAS (n=4...</x:v>
      </x:c>
      <x:c r="D7" s="18" t="str">
        <x:v>Opioid: `20.4±4.8 vs 33.1±7.0` 🚨 **[FABRICATED BOILERPLATE]**&lt;br&gt;Pain: `2.4±0.8 vs 3.8±1.1` 🚨 **[FABRICATED]**&lt;br&gt;PONV: `5/30 vs 12/30` 🚨 **[FABRICATED]**</x:v>
      </x:c>
      <x:c r="E7" s="18" t="str">
        <x:v>🟡 Verified with Corrections 🟠 Author Contact Needed</x:v>
      </x:c>
      <x:c r="F7" s="18" t="str">
        <x:v>REFERENCE ONLY — not authoritative unless source-confirmed</x:v>
      </x:c>
    </x:row>
    <x:row r="8">
      <x:c r="A8" s="18" t="str">
        <x:v>Zhang 2023</x:v>
      </x:c>
      <x:c r="B8" s="18" t="str">
        <x:v>Zhang 2023</x:v>
      </x:c>
      <x:c r="C8" s="18" t="str">
        <x:v>**Cumulative postoperative systemic opioid consumption within 48h (IV MME)**: TEAS (n=922) median 110.0 mg (IQR 80.0-110.0) vs Sham TEAS (n=916) median 110.0...</x:v>
      </x:c>
      <x:c r="D8" s="18" t="str">
        <x:v>Opioid: `20.4±4.8 vs 33.1±7.0` 🚨 **[FABRICATED BOILERPLATE]**&lt;br&gt;Pain: `2.4±0.8 vs 3.8±1.1` 🚨 **[FABRICATED]**&lt;br&gt;PONV: `5/30 vs 12/30` 🚨 **[FABRICATED]**</x:v>
      </x:c>
      <x:c r="E8" s="18" t="str">
        <x:v>🟡 Verified with Corrections 🟠 Author Contact Needed</x:v>
      </x:c>
      <x:c r="F8" s="18" t="str">
        <x:v>REFERENCE ONLY — not authoritative unless source-confirmed</x:v>
      </x:c>
    </x:row>
    <x:row r="9">
      <x:c r="A9" s="18" t="str">
        <x:v>Zhang 2014</x:v>
      </x:c>
      <x:c r="B9" s="18" t="str">
        <x:v>Zhang 2014</x:v>
      </x:c>
      <x:c r="C9" s="18" t="str">
        <x:v>**Intraoperative systemic remifentanil consumption rate (µg/kg/min)**: TEAS (n=33) 0.06 ± 0.02 vs Sham TEAS (n=32) 0.09 ± 0.03 (P = 0.01*) [MD -0.03, 95% CI ...</x:v>
      </x:c>
      <x:c r="D9" s="18" t="str">
        <x:v>Opioid: `0.06±0.02 vs 0.09±0.03`&lt;br&gt;Pain: `2.4±0.8 vs 3.8±1.1` 🚨 **[FABRICATED]**&lt;br&gt;PONV: `5/30 vs 12/30` 🚨 **[FABRICATED]**</x:v>
      </x:c>
      <x:c r="E9" s="18" t="str">
        <x:v>🟡 Verified with Corrections 🟠 Author Contact Needed</x:v>
      </x:c>
      <x:c r="F9" s="18" t="str">
        <x:v>REFERENCE ONLY — not authoritative unless source-confirmed</x:v>
      </x:c>
    </x:row>
    <x:row r="10">
      <x:c r="A10" s="18" t="str">
        <x:v>Yu 2020</x:v>
      </x:c>
      <x:c r="B10" s="18" t="str">
        <x:v>Yu 2020</x:v>
      </x:c>
      <x:c r="C10" s="18" t="str">
        <x:v>**Pain intensity at rest at 24h (VAS 0-10) (PRIMARY)**: TEAS (n=30) 3.70 ± 1.53 vs Con Sham TEAS (n=30) 4.73 ± 1.53 (P &lt; 0.05*) [MD -1.03, 95% CI -1.81 to -0...</x:v>
      </x:c>
      <x:c r="D10" s="18" t="str">
        <x:v>Opioid: `20.4±4.8 vs 33.1±7.0` 🚨 **[FABRICATED BOILERPLATE]**&lt;br&gt;Pain: `2.4±0.8 vs 3.8±1.1` 🚨 **[FABRICATED]**&lt;br&gt;PONV: `5/30 vs 12/30` 🚨 **[FABRICATED]**</x:v>
      </x:c>
      <x:c r="E10" s="18" t="str">
        <x:v>🟡 Verified with Corrections 🟠 Author Contact Needed</x:v>
      </x:c>
      <x:c r="F10" s="18" t="str">
        <x:v>REFERENCE ONLY — not authoritative unless source-confirmed</x:v>
      </x:c>
    </x:row>
    <x:row r="11">
      <x:c r="A11" s="18" t="str">
        <x:v>Yeh 2010</x:v>
      </x:c>
      <x:c r="B11" s="18" t="str">
        <x:v>Yeh 2010</x:v>
      </x:c>
      <x:c r="C11" s="18" t="str">
        <x:v>**Cumulative postoperative systemic opioid consumption at 24h (PRIMARY)**: AES (n=30) 19.3 ± 9.7 mg vs Sham AES (n=30) 21.6 ± 13.1 mg (P = 0.443) [MD -2.30 m...</x:v>
      </x:c>
      <x:c r="D11" s="18" t="str">
        <x:v>Opioid: `19.3±9.7 vs 21.6±13.1`&lt;br&gt;Pain: `2.4±0.8 vs 3.8±1.1` 🚨 **[FABRICATED]**&lt;br&gt;PONV: `5/30 vs 12/30` 🚨 **[FABRICATED]**</x:v>
      </x:c>
      <x:c r="E11" s="18" t="str">
        <x:v>🟡 Verified with Corrections 🟠 Author Contact Needed</x:v>
      </x:c>
      <x:c r="F11" s="18" t="str">
        <x:v>REFERENCE ONLY — not authoritative unless source-confirmed</x:v>
      </x:c>
    </x:row>
    <x:row r="12">
      <x:c r="A12" s="18" t="str">
        <x:v>Yeh 2011</x:v>
      </x:c>
      <x:c r="B12" s="18" t="str">
        <x:v>Yeh 2010 (ATHM)</x:v>
      </x:c>
      <x:c r="C12" s="18" t="str">
        <x:v>**Cumulative postoperative systemic opioid consumption at 24h (PRIMARY)**: EG1 True AES (n=33) 18.6 ± 9.7 mg vs EG2 Sham AES (n=30) 21.6 ± 13.1 mg (P = 0.364...</x:v>
      </x:c>
      <x:c r="D12" s="18" t="str">
        <x:v>Opioid: `18.6±9.7 vs 21.6±13.1`&lt;br&gt;Pain: `2.4±0.8 vs 3.8±1.1` 🚨 **[FABRICATED]**&lt;br&gt;PONV: `5/30 vs 12/30` 🚨 **[FABRICATED]**</x:v>
      </x:c>
      <x:c r="E12" s="18" t="str">
        <x:v>🟡 Verified with Corrections 🟠 Author Contact Needed</x:v>
      </x:c>
      <x:c r="F12" s="18" t="str">
        <x:v>REFERENCE ONLY — not authoritative unless source-confirmed</x:v>
      </x:c>
    </x:row>
    <x:row r="13">
      <x:c r="A13" s="18" t="str">
        <x:v>Yao 2015</x:v>
      </x:c>
      <x:c r="B13" s="18" t="str">
        <x:v>Yao 2015</x:v>
      </x:c>
      <x:c r="C13" s="18" t="str">
        <x:v>**Quality of recovery (QoR-40 global score at 24h) (PRIMARY)**: TEAS (n=35) 176.5 ± 10.2 vs Sham TEAS (n=36) 164.8 ± 14.7 (P &lt; 0.001*) [MD 11.70, 95% CI 5.80...</x:v>
      </x:c>
      <x:c r="D13" s="18" t="str">
        <x:v>Opioid: `20.4±4.8 vs 33.1±7.0` 🚨 **[FABRICATED BOILERPLATE]**&lt;br&gt;Pain: `2.4±0.8 vs 3.8±1.1` 🚨 **[FABRICATED]**&lt;br&gt;PONV: `5/30 vs 12/30` 🚨 **[FABRICATED]**</x:v>
      </x:c>
      <x:c r="E13" s="18" t="str">
        <x:v>🟡 Verified with Corrections 🟠 Author Contact Needed</x:v>
      </x:c>
      <x:c r="F13" s="18" t="str">
        <x:v>REFERENCE ONLY — not authoritative unless source-confirmed</x:v>
      </x:c>
    </x:row>
    <x:row r="14">
      <x:c r="A14" s="18" t="str">
        <x:v>Yang 2020</x:v>
      </x:c>
      <x:c r="B14" s="18" t="str">
        <x:v>Yang 2020</x:v>
      </x:c>
      <x:c r="C14" s="18" t="str">
        <x:v>**Postoperative nausea incidence 0-24h (PRIMARY)**: EA (n=29) 8/29 (27.59%) vs Usual care (n=28) 8/28 (28.57%) (P = 0.934) [RR 0.97, 95% CI 0.42 to 2.24]. **...</x:v>
      </x:c>
      <x:c r="D14" s="18" t="str">
        <x:v>Opioid: `20.4±4.8 vs 33.1±7.0` 🚨 **[FABRICATED BOILERPLATE]**&lt;br&gt;Pain: `2.4±0.8 vs 3.8±1.1` 🚨 **[FABRICATED]**&lt;br&gt;PONV: `5/30 vs 12/30` 🚨 **[FABRICATED]**</x:v>
      </x:c>
      <x:c r="E14" s="18" t="str">
        <x:v>🟡 Verified with Corrections 🟠 Author Contact Needed</x:v>
      </x:c>
      <x:c r="F14" s="18" t="str">
        <x:v>REFERENCE ONLY — not authoritative unless source-confirmed</x:v>
      </x:c>
    </x:row>
    <x:row r="15">
      <x:c r="A15" s="18" t="str">
        <x:v>Yang 2024</x:v>
      </x:c>
      <x:c r="B15" s="18" t="str">
        <x:v>Yang 2023</x:v>
      </x:c>
      <x:c r="C15" s="18" t="str">
        <x:v>**Cumulative postoperative systemic opioid consumption on POD 1 (24h) (PRIMARY)**: EA (n=90) 43.7 ± 4.7 mg vs Usual care (n=90) 44.0 ± 4.9 mg (P = 0.733) [MD...</x:v>
      </x:c>
      <x:c r="D15" s="18" t="str">
        <x:v>Opioid: `20.4±4.8 vs 33.1±7.0` 🚨 **[FABRICATED BOILERPLATE]**&lt;br&gt;Pain: `2.4±0.8 vs 3.8±1.1` 🚨 **[FABRICATED]**&lt;br&gt;PONV: `5/30 vs 12/30` 🚨 **[FABRICATED]**</x:v>
      </x:c>
      <x:c r="E15" s="18" t="str">
        <x:v>🟡 Verified with Corrections 🟠 Author Contact Needed</x:v>
      </x:c>
      <x:c r="F15" s="18" t="str">
        <x:v>REFERENCE ONLY — not authoritative unless source-confirmed</x:v>
      </x:c>
    </x:row>
    <x:row r="16">
      <x:c r="A16" s="18" t="str">
        <x:v>Xiong 2021</x:v>
      </x:c>
      <x:c r="B16" s="18" t="str">
        <x:v>Xiong 2021</x:v>
      </x:c>
      <x:c r="C16" s="18" t="str">
        <x:v>**Composite PONV incidence 0-24h (PRIMARY)**: TEAS (n=31) 12/31 (38.7%) vs Sham TEAS (n=31) 24/31 (77.4%) (P = 0.002*) [RR 0.50, 95% CI 0.31 to 0.81]. **Comp...</x:v>
      </x:c>
      <x:c r="D16" s="18" t="str">
        <x:v>Opioid: `20.4±4.8 vs 33.1±7.0` 🚨 **[FABRICATED BOILERPLATE]**&lt;br&gt;Pain: `2.4±0.8 vs 3.8±1.1` 🚨 **[FABRICATED]**&lt;br&gt;PONV: `5/30 vs 12/30` 🚨 **[FABRICATED]**</x:v>
      </x:c>
      <x:c r="E16" s="18" t="str">
        <x:v>🟡 Verified with Corrections 🟠 Author Contact Needed</x:v>
      </x:c>
      <x:c r="F16" s="18" t="str">
        <x:v>REFERENCE ONLY — not authoritative unless source-confirmed</x:v>
      </x:c>
    </x:row>
    <x:row r="17">
      <x:c r="A17" s="18" t="str">
        <x:v>Xing 2022</x:v>
      </x:c>
      <x:c r="B17" s="18" t="str">
        <x:v>Xing 2022</x:v>
      </x:c>
      <x:c r="C17" s="18" t="str">
        <x:v>**Pain intensity at rest at 24h (PRIMARY)**: TEAS+TAPB (n=29) 1.18 ± 0.42 vs Sham TEAS+TAPB (n=29) 1.40 ± 0.52 (P &lt; 0.05*) [MD -0.22, 95% CI -0.46 to 0.02]; ...</x:v>
      </x:c>
      <x:c r="D17" s="18" t="str">
        <x:v>Opioid: `20.4±4.8 vs 33.1±7.0` 🚨 **[FABRICATED BOILERPLATE]**&lt;br&gt;Pain: `2.4±0.8 vs 3.8±1.1` 🚨 **[FABRICATED]**&lt;br&gt;PONV: `5/30 vs 12/30` 🚨 **[FABRICATED]**</x:v>
      </x:c>
      <x:c r="E17" s="18" t="str">
        <x:v>🟡 Verified with Corrections 🟠 Author Contact Needed</x:v>
      </x:c>
      <x:c r="F17" s="18" t="str">
        <x:v>REFERENCE ONLY — not authoritative unless source-confirmed</x:v>
      </x:c>
    </x:row>
    <x:row r="18">
      <x:c r="A18" s="18" t="str">
        <x:v>Xie 2014</x:v>
      </x:c>
      <x:c r="B18" s="18" t="str">
        <x:v>Xie 2014</x:v>
      </x:c>
      <x:c r="C18" s="18" t="str">
        <x:v>**Cumulative postoperative systemic opioid consumption through POD 3 (PRIMARY)**: EAS (n=20) 115.0 ± 6.0 µg vs Sham EA (n=20) 133.5 ± 7.0 µg (P &lt; 0.05*) [MD ...</x:v>
      </x:c>
      <x:c r="D18" s="18" t="str">
        <x:v>Opioid: `115±6.0 vs 133.5±7.0`&lt;br&gt;Pain: `2.4±0.8 vs 3.8±1.1` 🚨 **[FABRICATED]**&lt;br&gt;PONV: `5/30 vs 12/30` 🚨 **[FABRICATED]**</x:v>
      </x:c>
      <x:c r="E18" s="18" t="str">
        <x:v>🟡 Verified with Corrections 🟠 Author Contact Needed</x:v>
      </x:c>
      <x:c r="F18" s="18" t="str">
        <x:v>REFERENCE ONLY — not authoritative unless source-confirmed</x:v>
      </x:c>
    </x:row>
    <x:row r="19">
      <x:c r="A19" s="18" t="str">
        <x:v>Wu 2022</x:v>
      </x:c>
      <x:c r="B19" s="18" t="str">
        <x:v>Wu 2022</x:v>
      </x:c>
      <x:c r="C19" s="18" t="str">
        <x:v>**Pain intensity at 24h (PRIMARY)**: pTEAS (n=44) 1.77 ± 0.91 vs Control (n=40) 2.25 ± 0.71 (P = 0.009*) [MD -0.48, 95% CI -0.83 to -0.13]. **Pain intensity ...</x:v>
      </x:c>
      <x:c r="D19" s="18" t="str">
        <x:v>Opioid: `20.4±4.8 vs 33.1±7.0` 🚨 **[FABRICATED BOILERPLATE]**&lt;br&gt;Pain: `2.4±0.8 vs 3.8±1.1` 🚨 **[FABRICATED]**&lt;br&gt;PONV: `5/30 vs 12/30` 🚨 **[FABRICATED]**</x:v>
      </x:c>
      <x:c r="E19" s="18" t="str">
        <x:v>🟡 Verified with Corrections 🟠 Author Contact Needed</x:v>
      </x:c>
      <x:c r="F19" s="18" t="str">
        <x:v>REFERENCE ONLY — not authoritative unless source-confirmed</x:v>
      </x:c>
    </x:row>
    <x:row r="20">
      <x:c r="A20" s="18" t="str">
        <x:v>Wu 2025</x:v>
      </x:c>
      <x:c r="B20" s="18" t="str">
        <x:v>Wu 2025</x:v>
      </x:c>
      <x:c r="C20" s="18" t="str">
        <x:v>**Pain intensity at rest at 24h (PRIMARY)**: TEAS (n=50) 1.7 ± 0.9 vs Sham TEAS (n=50) 4.0 ± 1.4 (P &lt; 0.001*) [MD -2.30, 95% CI -2.76 to -1.84]. **Pain inten...</x:v>
      </x:c>
      <x:c r="D20" s="18" t="str">
        <x:v>Opioid: `20.4±4.8 vs 33.1±7.0` 🚨 **[FABRICATED BOILERPLATE]**&lt;br&gt;Pain: `2.4±0.8 vs 3.8±1.1` 🚨 **[FABRICATED]**&lt;br&gt;PONV: `5/30 vs 12/30` 🚨 **[FABRICATED]**</x:v>
      </x:c>
      <x:c r="E20" s="18" t="str">
        <x:v>🟡 Verified with Corrections 🟠 Author Contact Needed</x:v>
      </x:c>
      <x:c r="F20" s="18" t="str">
        <x:v>REFERENCE ONLY — not authoritative unless source-confirmed</x:v>
      </x:c>
    </x:row>
    <x:row r="21">
      <x:c r="A21" s="18" t="str">
        <x:v>Wong 2006</x:v>
      </x:c>
      <x:c r="B21" s="18" t="str">
        <x:v>Wong 2006</x:v>
      </x:c>
      <x:c r="C21" s="18" t="str">
        <x:v>**Postoperative systemic opioid consumption Day 1 (24h) (PRIMARY)**: EA (n=13) 18.0 ± 8.8 mg vs Sham EA (n=12) 18.8 ± 9.8 mg [MD -0.80 mg, 95% CI -8.14 to 6....</x:v>
      </x:c>
      <x:c r="D21" s="18" t="str">
        <x:v>Opioid: `8.3±4.9 vs 7.8±6.4`&lt;br&gt;Pain: `2.4±0.8 vs 3.8±1.1` 🚨 **[FABRICATED]**&lt;br&gt;PONV: `5/30 vs 12/30` 🚨 **[FABRICATED]**</x:v>
      </x:c>
      <x:c r="E21" s="18" t="str">
        <x:v>🟡 Verified with Corrections 🟠 Author Contact Needed</x:v>
      </x:c>
      <x:c r="F21" s="18" t="str">
        <x:v>REFERENCE ONLY — not authoritative unless source-confirmed</x:v>
      </x:c>
    </x:row>
    <x:row r="22">
      <x:c r="A22" s="18" t="str">
        <x:v>Wang 2023</x:v>
      </x:c>
      <x:c r="B22" s="18" t="str">
        <x:v>Wang 2023</x:v>
      </x:c>
      <x:c r="C22" s="18" t="str">
        <x:v>**Pain intensity during activity at 24h (PRIMARY)**: TEAS (n=40) 5.06 ± 0.91 vs Sham TEAS (n=43) 6.04 ± 1.05 (P &lt; 0.05*) [MD -0.98, 95% CI -1.40 to -0.56]. *...</x:v>
      </x:c>
      <x:c r="D22" s="18" t="str">
        <x:v>Opioid: `20.4±4.8 vs 33.1±7.0` 🚨 **[FABRICATED BOILERPLATE]**&lt;br&gt;Pain: `2.4±0.8 vs 3.8±1.1` 🚨 **[FABRICATED]**&lt;br&gt;PONV: `5/30 vs 12/30` 🚨 **[FABRICATED]**</x:v>
      </x:c>
      <x:c r="E22" s="18" t="str">
        <x:v>🟡 Verified with Corrections 🟠 Author Contact Needed</x:v>
      </x:c>
      <x:c r="F22" s="18" t="str">
        <x:v>REFERENCE ONLY — not authoritative unless source-confirmed</x:v>
      </x:c>
    </x:row>
    <x:row r="23">
      <x:c r="A23" s="18" t="str">
        <x:v>Wang 2024</x:v>
      </x:c>
      <x:c r="B23" s="18" t="str">
        <x:v>Wang 2024</x:v>
      </x:c>
      <x:c r="C23" s="18" t="str">
        <x:v>**Composite PONV incidence 0–24h (PRIMARY)**: TEAS pooled (n=68) 19/68 (27.9%) vs Sham TEAS pooled (n=70) 30/70 (42.9%) (P = 0.065) [RR 0.65, 95% CI 0.41 to ...</x:v>
      </x:c>
      <x:c r="D23" s="18" t="str">
        <x:v>Opioid: `20.4±4.8 vs 33.1±7.0` 🚨 **[FABRICATED BOILERPLATE]**&lt;br&gt;Pain: `2.4±0.8 vs 3.8±1.1` 🚨 **[FABRICATED]**&lt;br&gt;PONV: `5/30 vs 12/30` 🚨 **[FABRICATED]**</x:v>
      </x:c>
      <x:c r="E23" s="18" t="str">
        <x:v>🟡 Verified with Corrections 🟠 Author Contact Needed</x:v>
      </x:c>
      <x:c r="F23" s="18" t="str">
        <x:v>REFERENCE ONLY — not authoritative unless source-confirmed</x:v>
      </x:c>
    </x:row>
    <x:row r="24">
      <x:c r="A24" s="18" t="str">
        <x:v>Tu 2024</x:v>
      </x:c>
      <x:c r="B24" s="18" t="str">
        <x:v>Tu 2023</x:v>
      </x:c>
      <x:c r="C24" s="18" t="str">
        <x:v>**Postoperative pain intensity at 6–24h (PRIMARY)**: TEAS (n=57) median 2 (IQR 0.5 to 3) [Wan mean 1.83 ± 1.85] vs Sham TEAS (n=58) median 4 (IQR 3 to 4) [Wa...</x:v>
      </x:c>
      <x:c r="D24" s="18" t="str">
        <x:v>Opioid: `20.4±4.8 vs 33.1±7.0` 🚨 **[FABRICATED BOILERPLATE]**&lt;br&gt;Pain: `2.4±0.8 vs 3.8±1.1` 🚨 **[FABRICATED]**&lt;br&gt;PONV: `5/30 vs 12/30` 🚨 **[FABRICATED]**</x:v>
      </x:c>
      <x:c r="E24" s="18" t="str">
        <x:v>🟡 Verified with Corrections 🟠 Author Contact Needed</x:v>
      </x:c>
      <x:c r="F24" s="18" t="str">
        <x:v>REFERENCE ONLY — not authoritative unless source-confirmed</x:v>
      </x:c>
    </x:row>
    <x:row r="25">
      <x:c r="A25" s="18" t="str">
        <x:v>Sun 2017</x:v>
      </x:c>
      <x:c r="B25" s="18" t="str">
        <x:v>Sun 2017</x:v>
      </x:c>
      <x:c r="C25" s="18" t="str">
        <x:v>**Pain intensity on movement 24h (PRIMARY)**: Group TST (n=89) median 3.0 (IQR 3.0 to 4.0) [Wan mean 3.33 ± 0.74] vs Group SSS (n=90) median 4.0 (IQR 3.8 to ...</x:v>
      </x:c>
      <x:c r="D25" s="18" t="str">
        <x:v>Opioid: `1.5±0.4 vs 1.5±0.4`&lt;br&gt;Pain: `2.4±0.8 vs 3.8±1.1` 🚨 **[FABRICATED]**&lt;br&gt;PONV: `5/30 vs 12/30` 🚨 **[FABRICATED]**</x:v>
      </x:c>
      <x:c r="E25" s="18" t="str">
        <x:v>🟡 Verified with Corrections 🟠 Author Contact Needed</x:v>
      </x:c>
      <x:c r="F25" s="18" t="str">
        <x:v>REFERENCE ONLY — not authoritative unless source-confirmed</x:v>
      </x:c>
    </x:row>
    <x:row r="26">
      <x:c r="A26" s="18" t="str">
        <x:v>Sim 2002</x:v>
      </x:c>
      <x:c r="B26" s="18" t="str">
        <x:v>Sim 2002</x:v>
      </x:c>
      <x:c r="C26" s="18" t="str">
        <x:v>**Cumulative 24h postoperative PCA morphine consumption (PRIMARY)**: Group II Preop EA (n=30) 0.52 ± 0.19 mg/kg (31.20 ± 11.40 mg) vs Group I Placebo EA (n=3...</x:v>
      </x:c>
      <x:c r="D26" s="18" t="str">
        <x:v>Opioid: `0.52±0.19 vs 0.68±0.38`&lt;br&gt;Pain: `2.4±0.8 vs 3.8±1.1` 🚨 **[FABRICATED]**&lt;br&gt;PONV: `5/30 vs 12/30` 🚨 **[FABRICATED]**</x:v>
      </x:c>
      <x:c r="E26" s="18" t="str">
        <x:v>🟡 Verified with Corrections 🟠 Author Contact Needed</x:v>
      </x:c>
      <x:c r="F26" s="18" t="str">
        <x:v>REFERENCE ONLY — not authoritative unless source-confirmed</x:v>
      </x:c>
    </x:row>
    <x:row r="27">
      <x:c r="A27" s="18" t="str">
        <x:v>Seevaunnamtum 2016</x:v>
      </x:c>
      <x:c r="B27" s="18" t="str">
        <x:v>PraveenaSeevaunnamtum 2016</x:v>
      </x:c>
      <x:c r="C27" s="18" t="str">
        <x:v>**Cumulative 24h postoperative PCA morphine consumption (mg) (PRIMARY)**: EA Group (n=32) 21.38 ± 14.38 vs Control Group (n=32) 33.94 ± 20.24 (P = 0.006*) [M...</x:v>
      </x:c>
      <x:c r="D27" s="18" t="str">
        <x:v>Opioid: `20.4±4.8 vs 33.1±7.0` 🚨 **[FABRICATED BOILERPLATE]**&lt;br&gt;Pain: `2.4±0.8 vs 3.8±1.1` 🚨 **[FABRICATED]**&lt;br&gt;PONV: `5/30 vs 12/30` 🚨 **[FABRICATED]**</x:v>
      </x:c>
      <x:c r="E27" s="18" t="str">
        <x:v>🟡 Verified with Corrections 🟠 Author Contact Needed</x:v>
      </x:c>
      <x:c r="F27" s="18" t="str">
        <x:v>REFERENCE ONLY — not authoritative unless source-confirmed</x:v>
      </x:c>
    </x:row>
    <x:row r="28">
      <x:c r="A28" s="18" t="str">
        <x:v>Pan 2023</x:v>
      </x:c>
      <x:c r="B28" s="18" t="str">
        <x:v>Pan 2023</x:v>
      </x:c>
      <x:c r="C28" s="18" t="str">
        <x:v>**Pain intensity on movement 24h (PRIMARY)**: Group T (TEAS, n=52) median 2 (IQR 2, 3) [Wan mean 2.33 ± 0.74] vs Group C (Control, n=53) median 3 (IQR 3, 4) ...</x:v>
      </x:c>
      <x:c r="D28" s="18" t="str">
        <x:v>Opioid: `20.4±4.8 vs 33.1±7.0` 🚨 **[FABRICATED BOILERPLATE]**&lt;br&gt;Pain: `2.4±0.8 vs 3.8±1.1` 🚨 **[FABRICATED]**&lt;br&gt;PONV: `5/30 vs 12/30` 🚨 **[FABRICATED]**</x:v>
      </x:c>
      <x:c r="E28" s="18" t="str">
        <x:v>🟡 Verified with Corrections 🟠 Author Contact Needed</x:v>
      </x:c>
      <x:c r="F28" s="18" t="str">
        <x:v>REFERENCE ONLY — not authoritative unless source-confirmed</x:v>
      </x:c>
    </x:row>
    <x:row r="29">
      <x:c r="A29" s="18" t="str">
        <x:v>Ntritsou 2014</x:v>
      </x:c>
      <x:c r="B29" s="18" t="str">
        <x:v>Ntritsou 2014</x:v>
      </x:c>
      <x:c r="C29" s="18" t="str">
        <x:v>**Cumulative 24h postoperative tramadol consumption (mg) (PRIMARY)**: EA group (n=35) 443.7 ± 67.4 vs Sham group (n=35) 461.5 ± 63.2 (P = 0.257) [MD -17.80 m...</x:v>
      </x:c>
      <x:c r="D29" s="18" t="str">
        <x:v>Opioid: `443.7±67.4 vs 461.5±63.2`&lt;br&gt;Pain: `2.4±0.8 vs 3.8±1.1` 🚨 **[FABRICATED]**&lt;br&gt;PONV: `5/30 vs 12/30` 🚨 **[FABRICATED]**</x:v>
      </x:c>
      <x:c r="E29" s="18" t="str">
        <x:v>🟡 Verified with Corrections 🟠 Author Contact Needed</x:v>
      </x:c>
      <x:c r="F29" s="18" t="str">
        <x:v>REFERENCE ONLY — not authoritative unless source-confirmed</x:v>
      </x:c>
    </x:row>
    <x:row r="30">
      <x:c r="A30" s="18" t="str">
        <x:v>Ng 2013</x:v>
      </x:c>
      <x:c r="B30" s="18" t="str">
        <x:v>Ng 2012 / 2013</x:v>
      </x:c>
      <x:c r="C30" s="18" t="str">
        <x:v>**Pain intensity Day 1 (~24h point assessment) (PRIMARY)**: EA group (n=55) 5.6 ± 2.0 vs Sham group (n=55) 5.8 ± 1.9 vs Usual care (n=55) 5.5 ± 2.3 (P = 0.65...</x:v>
      </x:c>
      <x:c r="D30" s="18" t="str">
        <x:v>Opioid: `2.7±2.3 vs 5.2±4.7`&lt;br&gt;Pain: `2.4±0.8 vs 3.8±1.1` 🚨 **[FABRICATED]**&lt;br&gt;PONV: `5/30 vs 12/30` 🚨 **[FABRICATED]**</x:v>
      </x:c>
      <x:c r="E30" s="18" t="str">
        <x:v>🟡 Verified with Corrections 🟠 Author Contact Needed</x:v>
      </x:c>
      <x:c r="F30" s="18" t="str">
        <x:v>REFERENCE ONLY — not authoritative unless source-confirmed</x:v>
      </x:c>
    </x:row>
    <x:row r="31">
      <x:c r="A31" s="18" t="str">
        <x:v>Ma 2026</x:v>
      </x:c>
      <x:c r="B31" s="18" t="str">
        <x:v>Ma 2026</x:v>
      </x:c>
      <x:c r="C31" s="18" t="str">
        <x:v>**Resting NRS pain 24h (PRIMARY)**: Group T (TEAS, n=17) 1.76 ± 0.67 vs Group S (Control, n=16) 2.64 ± 0.72 (P &lt; 0.05) [MD -0.88, 95% CI -1.36 to -0.40]. **R...</x:v>
      </x:c>
      <x:c r="D31" s="18" t="str">
        <x:v>Opioid: `20.4±4.8 vs 33.1±7.0` 🚨 **[FABRICATED BOILERPLATE]**&lt;br&gt;Pain: `2.4±0.8 vs 3.8±1.1` 🚨 **[FABRICATED]**&lt;br&gt;PONV: `5/30 vs 12/30` 🚨 **[FABRICATED]**</x:v>
      </x:c>
      <x:c r="E31" s="18" t="str">
        <x:v>🟡 Verified with Corrections 🟠 Author Contact Needed</x:v>
      </x:c>
      <x:c r="F31" s="18" t="str">
        <x:v>REFERENCE ONLY — not authoritative unless source-confirmed</x:v>
      </x:c>
    </x:row>
    <x:row r="32">
      <x:c r="A32" s="18" t="str">
        <x:v>Lu 2021</x:v>
      </x:c>
      <x:c r="B32" s="18" t="str">
        <x:v>Lu 2021</x:v>
      </x:c>
      <x:c r="C32" s="18" t="str">
        <x:v>**Resting NRS pain 24h (PRIMARY)**: Combined TEAS (n=190) median 1.0 (IQR 0, 1.0) [Wan mean 1.0 ± 0.7] vs Single TEAS (n=198) median 0.9 (IQR 0, 1.3) [Wan me...</x:v>
      </x:c>
      <x:c r="D32" s="18" t="str">
        <x:v>Opioid: `20.4±4.8 vs 33.1±7.0` 🚨 **[FABRICATED BOILERPLATE]**&lt;br&gt;Pain: `2.4±0.8 vs 3.8±1.1` 🚨 **[FABRICATED]**&lt;br&gt;PONV: `5/30 vs 12/30` 🚨 **[FABRICATED]**</x:v>
      </x:c>
      <x:c r="E32" s="18" t="str">
        <x:v>🟡 Verified with Corrections 🟠 Author Contact Needed</x:v>
      </x:c>
      <x:c r="F32" s="18" t="str">
        <x:v>REFERENCE ONLY — not authoritative unless source-confirmed</x:v>
      </x:c>
    </x:row>
    <x:row r="33">
      <x:c r="A33" s="18" t="str">
        <x:v>Lu 2022</x:v>
      </x:c>
      <x:c r="B33" s="18" t="str">
        <x:v>Lu 2022</x:v>
      </x:c>
      <x:c r="C33" s="18" t="str">
        <x:v>**Resting VAS pain 24h (PRIMARY)**: TEAS group (n=47) median 2.2 (0.0, 10.0) [estimated mean 2.2 ± 2.5] vs Control group (n=47) median 1.2 (0.0, 8.1) [estima...</x:v>
      </x:c>
      <x:c r="D33" s="18" t="str">
        <x:v>Opioid: `20.4±4.8 vs 33.1±7.0` 🚨 **[FABRICATED BOILERPLATE]**&lt;br&gt;Pain: `2.4±0.8 vs 3.8±1.1` 🚨 **[FABRICATED]**&lt;br&gt;PONV: `5/30 vs 12/30` 🚨 **[FABRICATED]**</x:v>
      </x:c>
      <x:c r="E33" s="18" t="str">
        <x:v>🟡 Verified with Corrections 🟠 Author Contact Needed</x:v>
      </x:c>
      <x:c r="F33" s="18" t="str">
        <x:v>REFERENCE ONLY — not authoritative unless source-confirmed</x:v>
      </x:c>
    </x:row>
    <x:row r="34">
      <x:c r="A34" s="18" t="str">
        <x:v>Luo 2026</x:v>
      </x:c>
      <x:c r="B34" s="18" t="str">
        <x:v>Luo 2026</x:v>
      </x:c>
      <x:c r="C34" s="18" t="str">
        <x:v>**Postoperative pain NRS 24h (PRIMARY)**: TEAS group (n=138) 1.30 ± 0.92 vs Sham TEAS group (n=139) 1.65 ± 0.95 (P &lt; 0.01) [MD -0.35, 95% CI -0.57 to -0.13]....</x:v>
      </x:c>
      <x:c r="D34" s="18" t="str">
        <x:v>Opioid: `20.4±4.8 vs 33.1±7.0` 🚨 **[FABRICATED BOILERPLATE]**&lt;br&gt;Pain: `2.4±0.8 vs 3.8±1.1` 🚨 **[FABRICATED]**&lt;br&gt;PONV: `5/30 vs 12/30` 🚨 **[FABRICATED]**</x:v>
      </x:c>
      <x:c r="E34" s="18" t="str">
        <x:v>🟡 Verified with Corrections 🟠 Author Contact Needed</x:v>
      </x:c>
      <x:c r="F34" s="18" t="str">
        <x:v>REFERENCE ONLY — not authoritative unless source-confirmed</x:v>
      </x:c>
    </x:row>
    <x:row r="35">
      <x:c r="A35" s="18" t="str">
        <x:v>Long 2025</x:v>
      </x:c>
      <x:c r="B35" s="18" t="str">
        <x:v>Long 2025</x:v>
      </x:c>
      <x:c r="C35" s="18" t="str">
        <x:v>**Resting VAS pain 24h (PRIMARY)**: Group A (EA, n=27) 2.78 ± 0.97 vs Group C (Sham, n=26) 3.96 ± 0.96 (P &lt; 0.001) [MD -1.18, 95% CI -1.70 to -0.66]. **Resti...</x:v>
      </x:c>
      <x:c r="D35" s="18" t="str">
        <x:v>Opioid: `20.4±4.8 vs 33.1±7.0` 🚨 **[FABRICATED BOILERPLATE]**&lt;br&gt;Pain: `2.4±0.8 vs 3.8±1.1` 🚨 **[FABRICATED]**&lt;br&gt;PONV: `5/30 vs 12/30` 🚨 **[FABRICATED]**</x:v>
      </x:c>
      <x:c r="E35" s="18" t="str">
        <x:v>🟡 Verified with Corrections 🟠 Author Contact Needed</x:v>
      </x:c>
      <x:c r="F35" s="18" t="str">
        <x:v>REFERENCE ONLY — not authoritative unless source-confirmed</x:v>
      </x:c>
    </x:row>
    <x:row r="36">
      <x:c r="A36" s="18" t="str">
        <x:v>Li 2021</x:v>
      </x:c>
      <x:c r="B36" s="18" t="str">
        <x:v>Li 2021</x:v>
      </x:c>
      <x:c r="C36" s="18" t="str">
        <x:v>**Length of hospital stay (days)**: TEAS group (n=140) 6.2 ± 3.3 vs Sham TEAS group (n=140) 8.1 ± 3.6 (P &lt; 0.01) [MD -1.90, 95% CI -2.71 to -1.09]. **Postope...</x:v>
      </x:c>
      <x:c r="D36" s="18" t="str">
        <x:v>Opioid: `20.4±4.8 vs 33.1±7.0` 🚨 **[FABRICATED BOILERPLATE]**&lt;br&gt;Pain: `2.4±0.8 vs 3.8±1.1` 🚨 **[FABRICATED]**&lt;br&gt;PONV: `5/30 vs 12/30` 🚨 **[FABRICATED]**</x:v>
      </x:c>
      <x:c r="E36" s="18" t="str">
        <x:v>🟡 Verified with Corrections 🟠 Author Contact Needed</x:v>
      </x:c>
      <x:c r="F36" s="18" t="str">
        <x:v>REFERENCE ONLY — not authoritative unless source-confirmed</x:v>
      </x:c>
    </x:row>
    <x:row r="37">
      <x:c r="A37" s="18" t="str">
        <x:v>Liu 2026 (ESD)</x:v>
      </x:c>
      <x:c r="B37" s="18" t="str">
        <x:v>Liu 2025</x:v>
      </x:c>
      <x:c r="C37" s="18" t="str">
        <x:v>**Resting pain NRS 24h (PRIMARY)**: TEAS group (n=58) 1.2 ± 1.3 vs Sham TEAS group (n=62) 2.8 ± 1.9 (P &lt; 0.01) [MD -1.60, 95% CI -2.18 to -1.02]. **Resting p...</x:v>
      </x:c>
      <x:c r="D37" s="18" t="str">
        <x:v>Opioid: `20.4±4.8 vs 33.1±7.0` 🚨 **[FABRICATED BOILERPLATE]**&lt;br&gt;Pain: `2.4±0.8 vs 3.8±1.1` 🚨 **[FABRICATED]**&lt;br&gt;PONV: `5/30 vs 12/30` 🚨 **[FABRICATED]**</x:v>
      </x:c>
      <x:c r="E37" s="18" t="str">
        <x:v>🟡 Verified with Corrections 🟠 Author Contact Needed</x:v>
      </x:c>
      <x:c r="F37" s="18" t="str">
        <x:v>REFERENCE ONLY — not authoritative unless source-confirmed</x:v>
      </x:c>
    </x:row>
    <x:row r="38">
      <x:c r="A38" s="18" t="str">
        <x:v>Liu 2021</x:v>
      </x:c>
      <x:c r="B38" s="18" t="str">
        <x:v>Liu 2021</x:v>
      </x:c>
      <x:c r="C38" s="18" t="str">
        <x:v>**Resting VAS pain 24h (PRIMARY)**: TEAS group (n=50) 2.52 ± 0.505 vs Control group (n=50) 2.66 ± 0.626 (P = 0.221) [MD -0.14, 95% CI -0.36 to 0.08]. **Movem...</x:v>
      </x:c>
      <x:c r="D38" s="18" t="str">
        <x:v>Opioid: `20.4±4.8 vs 33.1±7.0` 🚨 **[FABRICATED BOILERPLATE]**&lt;br&gt;Pain: `2.4±0.8 vs 3.8±1.1` 🚨 **[FABRICATED]**&lt;br&gt;PONV: `5/30 vs 12/30` 🚨 **[FABRICATED]**</x:v>
      </x:c>
      <x:c r="E38" s="18" t="str">
        <x:v>🟡 Verified with Corrections 🟠 Author Contact Needed</x:v>
      </x:c>
      <x:c r="F38" s="18" t="str">
        <x:v>REFERENCE ONLY — not authoritative unless source-confirmed</x:v>
      </x:c>
    </x:row>
    <x:row r="39">
      <x:c r="A39" s="18" t="str">
        <x:v>Liu 2026 (burn)</x:v>
      </x:c>
      <x:c r="B39" s="18" t="str">
        <x:v>Liu 2026</x:v>
      </x:c>
      <x:c r="C39" s="18" t="str">
        <x:v>**Composite PONV 0-24h (PRIMARY)**: TEAS group (n=43) 7/43 (16.3%) vs Sham TEAS group (n=43) 16/43 (37.2%) (P = 0.028) [RR 0.44, 95% CI 0.20 to 0.96]. **Part...</x:v>
      </x:c>
      <x:c r="D39" s="18" t="str">
        <x:v>Opioid: `20.4±4.8 vs 33.1±7.0` 🚨 **[FABRICATED BOILERPLATE]**&lt;br&gt;Pain: `2.4±0.8 vs 3.8±1.1` 🚨 **[FABRICATED]**&lt;br&gt;PONV: `5/30 vs 12/30` 🚨 **[FABRICATED]**</x:v>
      </x:c>
      <x:c r="E39" s="18" t="str">
        <x:v>🟡 Verified with Corrections 🟠 Author Contact Needed</x:v>
      </x:c>
      <x:c r="F39" s="18" t="str">
        <x:v>REFERENCE ONLY — not authoritative unless source-confirmed</x:v>
      </x:c>
    </x:row>
    <x:row r="40">
      <x:c r="A40" s="18" t="str">
        <x:v>Liu 2025</x:v>
      </x:c>
      <x:c r="B40" s="18" t="str">
        <x:v>Liu 2025</x:v>
      </x:c>
      <x:c r="C40" s="18" t="str">
        <x:v>**Pain VAS 24h (PRIMARY)**: Depicted graphically in Figure 2 (~2.0/10 in both groups, requires author contact for numeric mean ± SD). **Intraop remifentanil ...</x:v>
      </x:c>
      <x:c r="D40" s="18" t="str">
        <x:v>Opioid: `20.4±4.8 vs 33.1±7.0` 🚨 **[FABRICATED BOILERPLATE]**&lt;br&gt;Pain: `2.4±0.8 vs 3.8±1.1` 🚨 **[FABRICATED]**&lt;br&gt;PONV: `5/30 vs 12/30` 🚨 **[FABRICATED]**</x:v>
      </x:c>
      <x:c r="E40" s="18" t="str">
        <x:v>🟡 Verified with Corrections 🟠 Author Contact Needed</x:v>
      </x:c>
      <x:c r="F40" s="18" t="str">
        <x:v>REFERENCE ONLY — not authoritative unless source-confirmed</x:v>
      </x:c>
    </x:row>
    <x:row r="41">
      <x:c r="A41" s="18" t="str">
        <x:v>Li 2022</x:v>
      </x:c>
      <x:c r="B41" s="18" t="str">
        <x:v>Li 2022</x:v>
      </x:c>
      <x:c r="C41" s="18" t="str">
        <x:v>**Pain NRS 24h (PRIMARY)**: EA group (n=39) median 1.5 (1.0-3.0) vs Sham EA group (n=40) median 1.6 (1.0-3.0) (P = 0.223) (requires author contact for parame...</x:v>
      </x:c>
      <x:c r="D41" s="18" t="str">
        <x:v>Opioid: `20.4±4.8 vs 33.1±7.0` 🚨 **[FABRICATED BOILERPLATE]**&lt;br&gt;Pain: `2.4±0.8 vs 3.8±1.1` 🚨 **[FABRICATED]**&lt;br&gt;PONV: `5/30 vs 12/30` 🚨 **[FABRICATED]**</x:v>
      </x:c>
      <x:c r="E41" s="18" t="str">
        <x:v>🟡 Verified with Corrections 🟠 Author Contact Needed</x:v>
      </x:c>
      <x:c r="F41" s="18" t="str">
        <x:v>REFERENCE ONLY — not authoritative unless source-confirmed</x:v>
      </x:c>
    </x:row>
    <x:row r="42">
      <x:c r="A42" s="18" t="str">
        <x:v>Lin 2002</x:v>
      </x:c>
      <x:c r="B42" s="18" t="str">
        <x:v>Lin 2002</x:v>
      </x:c>
      <x:c r="C42" s="18" t="str">
        <x:v>**Cumulative 24h PCA morphine (mg) (PRIMARY)**: High-EA 100 Hz (Group IV, n=25) 15.0 ± 10.7 mg vs Sham-EA (Group II, n=25) 30.2 ± 14.4 mg vs Control (Group I...</x:v>
      </x:c>
      <x:c r="D42" s="18" t="str">
        <x:v>Opioid: `38.1±16.0 vs 30.2±14.4`&lt;br&gt;Pain: `2.4±0.8 vs 3.8±1.1` 🚨 **[FABRICATED]**&lt;br&gt;PONV: `5/30 vs 12/30` 🚨 **[FABRICATED]**</x:v>
      </x:c>
      <x:c r="E42" s="18" t="str">
        <x:v>🟡 Verified with Corrections 🟠 Author Contact Needed</x:v>
      </x:c>
      <x:c r="F42" s="18" t="str">
        <x:v>REFERENCE ONLY — not authoritative unless source-confirmed</x:v>
      </x:c>
    </x:row>
    <x:row r="43">
      <x:c r="A43" s="18" t="str">
        <x:v>Liang 2021</x:v>
      </x:c>
      <x:c r="B43" s="18" t="str">
        <x:v>Liang 2021</x:v>
      </x:c>
      <x:c r="C43" s="18" t="str">
        <x:v>**QoR-40 at 24h (PRIMARY)**: TEAS group (n=35) 191.7 ± 4.4 vs Control group (n=35) 189.1 ± 4.3 (P = 0.007) [MD 2.6, 95% CI 0.6 to 4.6]. **QoR-40 at 48h**: TE...</x:v>
      </x:c>
      <x:c r="D43" s="18" t="str">
        <x:v>Opioid: `20.4±4.8 vs 33.1±7.0` 🚨 **[FABRICATED BOILERPLATE]**&lt;br&gt;Pain: `2.4±0.8 vs 3.8±1.1` 🚨 **[FABRICATED]**&lt;br&gt;PONV: `5/30 vs 12/30` 🚨 **[FABRICATED]**</x:v>
      </x:c>
      <x:c r="E43" s="18" t="str">
        <x:v>🟡 Verified with Corrections 🟠 Author Contact Needed</x:v>
      </x:c>
      <x:c r="F43" s="18" t="str">
        <x:v>REFERENCE ONLY — not authoritative unless source-confirmed</x:v>
      </x:c>
    </x:row>
    <x:row r="44">
      <x:c r="A44" s="18" t="str">
        <x:v>Lee 2011</x:v>
      </x:c>
      <x:c r="B44" s="18" t="str">
        <x:v>Lee 2011</x:v>
      </x:c>
      <x:c r="C44" s="18" t="str">
        <x:v>**Cumulative 24h PCA morphine (mg) (PRIMARY)**: Dense-sparse TEAS (Group 4, n=10) 29.29 ± 8.89 mg vs Sham TEAS (Group 2, n=12) 34.20 ± 6.40 mg vs Control (Gr...</x:v>
      </x:c>
      <x:c r="D44" s="18" t="str">
        <x:v>Opioid: `38.63±11.08 vs 34.20±6.40`&lt;br&gt;Pain: `2.4±0.8 vs 3.8±1.1` 🚨 **[FABRICATED]**&lt;br&gt;PONV: `5/30 vs 12/30` 🚨 **[FABRICATED]**</x:v>
      </x:c>
      <x:c r="E44" s="18" t="str">
        <x:v>🟡 Verified with Corrections</x:v>
      </x:c>
      <x:c r="F44" s="18" t="str">
        <x:v>REFERENCE ONLY — not authoritative unless source-confirmed</x:v>
      </x:c>
    </x:row>
    <x:row r="45">
      <x:c r="A45" s="18" t="str">
        <x:v>Jin 2023</x:v>
      </x:c>
      <x:c r="B45" s="18" t="str">
        <x:v>Jin 2022</x:v>
      </x:c>
      <x:c r="C45" s="18" t="str">
        <x:v>**Cumulative 24h PCIA fentanyl volume (mL) (PRIMARY)**: 2-Hz EA (n=53) 39.31 ± 15.58 mL vs 20/100-Hz EA (n=53) 45.72 ± 16.92 mL vs Sham EA (n=52) 56.54 ± 12....</x:v>
      </x:c>
      <x:c r="D45" s="18" t="str">
        <x:v>Opioid: `20.4±4.8 vs 33.1±7.0` 🚨 **[FABRICATED BOILERPLATE]**&lt;br&gt;Pain: `2.4±0.8 vs 3.8±1.1` 🚨 **[FABRICATED]**&lt;br&gt;PONV: `5/30 vs 12/30` 🚨 **[FABRICATED]**</x:v>
      </x:c>
      <x:c r="E45" s="18" t="str">
        <x:v>🟡 Verified with Corrections 🟠 Author Contact Needed</x:v>
      </x:c>
      <x:c r="F45" s="18" t="str">
        <x:v>REFERENCE ONLY — not authoritative unless source-confirmed</x:v>
      </x:c>
    </x:row>
    <x:row r="46">
      <x:c r="A46" s="18" t="str">
        <x:v>Jiang 2026</x:v>
      </x:c>
      <x:c r="B46" s="18" t="str">
        <x:v>Jiang 2026</x:v>
      </x:c>
      <x:c r="C46" s="18" t="str">
        <x:v>**24h PONV incidence (PRIMARY)**: TEAS group (n=294) 44/294 (15.0%) vs Sham-TEAS group (n=293) 67/293 (22.9%) (P = 0.015) [RR 0.59, 95% CI 0.39 to 0.90]. **T...</x:v>
      </x:c>
      <x:c r="D46" s="18" t="str">
        <x:v>Opioid: `20.4±4.8 vs 33.1±7.0` 🚨 **[FABRICATED BOILERPLATE]**&lt;br&gt;Pain: `2.4±0.8 vs 3.8±1.1` 🚨 **[FABRICATED]**&lt;br&gt;PONV: `5/30 vs 12/30` 🚨 **[FABRICATED]**</x:v>
      </x:c>
      <x:c r="E46" s="18" t="str">
        <x:v>🟡 Verified with Corrections 🟠 Author Contact Needed</x:v>
      </x:c>
      <x:c r="F46" s="18" t="str">
        <x:v>REFERENCE ONLY — not authoritative unless source-confirmed</x:v>
      </x:c>
    </x:row>
    <x:row r="47">
      <x:c r="A47" s="18" t="str">
        <x:v>Huang 2025</x:v>
      </x:c>
      <x:c r="B47" s="18" t="str">
        <x:v>Huang 2025</x:v>
      </x:c>
      <x:c r="C47" s="18" t="str">
        <x:v>**Time to first flatus (hours) (PRIMARY)**: EA group (n=43) 36.4 ± 8.0 vs Standard care group (n=45) 42.2 ± 8.5 (P &lt; 0.001) [MD -5.8 h, HR 1.9, 95% CI 1.2 to...</x:v>
      </x:c>
      <x:c r="D47" s="18" t="str">
        <x:v>Opioid: `20.4±4.8 vs 33.1±7.0` 🚨 **[FABRICATED BOILERPLATE]**&lt;br&gt;Pain: `2.4±0.8 vs 3.8±1.1` 🚨 **[FABRICATED]**&lt;br&gt;PONV: `5/30 vs 12/30` 🚨 **[FABRICATED]**</x:v>
      </x:c>
      <x:c r="E47" s="18" t="str">
        <x:v>🟡 Verified with Corrections 🟠 Author Contact Needed</x:v>
      </x:c>
      <x:c r="F47" s="18" t="str">
        <x:v>REFERENCE ONLY — not authoritative unless source-confirmed</x:v>
      </x:c>
    </x:row>
    <x:row r="48">
      <x:c r="A48" s="18" t="str">
        <x:v>Huang 2017</x:v>
      </x:c>
      <x:c r="B48" s="18" t="str">
        <x:v>Huang 2017</x:v>
      </x:c>
      <x:c r="C48" s="18" t="str">
        <x:v>**Intraop remifentanil (PRIMARY)**: Control (n=20) 0.1617 ± 0.037 µg/kg/min vs 2/100 Hz TEAS (n=20) 0.1128 ± 0.034 µg/kg/min (P &lt;= 0.001) [MD -0.0489]. **PAC...</x:v>
      </x:c>
      <x:c r="D48" s="18" t="str">
        <x:v>Opioid: `1.32±0.48 vs 1.67±0.59`&lt;br&gt;Pain: `2.4±0.8 vs 3.8±1.1` 🚨 **[FABRICATED]**&lt;br&gt;PONV: `5/30 vs 12/30` 🚨 **[FABRICATED]**</x:v>
      </x:c>
      <x:c r="E48" s="18" t="str">
        <x:v>🟡 Verified with Corrections 🟠 Author Contact Needed</x:v>
      </x:c>
      <x:c r="F48" s="18" t="str">
        <x:v>REFERENCE ONLY — not authoritative unless source-confirmed</x:v>
      </x:c>
    </x:row>
    <x:row r="49">
      <x:c r="A49" s="18" t="str">
        <x:v>Huang 2024</x:v>
      </x:c>
      <x:c r="B49" s="18" t="str">
        <x:v>Huang 2023</x:v>
      </x:c>
      <x:c r="C49" s="18" t="str">
        <x:v>**Pain VAS 24h movement (PRIMARY)**: Contralateral EA (n=38) 53.16 ± 9.99 vs Ipsilateral EA (n=38) 53.50 ± 10.79 vs Sham EA (n=38) 56.71 ± 9.84 (0-100 scale)...</x:v>
      </x:c>
      <x:c r="D49" s="18" t="str">
        <x:v>Opioid: `20.4±4.8 vs 33.1±7.0` 🚨 **[FABRICATED BOILERPLATE]**&lt;br&gt;Pain: `2.4±0.8 vs 3.8±1.1` 🚨 **[FABRICATED]**&lt;br&gt;PONV: `5/30 vs 12/30` 🚨 **[FABRICATED]**</x:v>
      </x:c>
      <x:c r="E49" s="18" t="str">
        <x:v>🟡 Verified with Corrections 🟠 Author Contact Needed</x:v>
      </x:c>
      <x:c r="F49" s="18" t="str">
        <x:v>REFERENCE ONLY — not authoritative unless source-confirmed</x:v>
      </x:c>
    </x:row>
    <x:row r="50">
      <x:c r="A50" s="18" t="str">
        <x:v>Hou 2023</x:v>
      </x:c>
      <x:c r="B50" s="18" t="str">
        <x:v>Hou 2023</x:v>
      </x:c>
      <x:c r="C50" s="18" t="str">
        <x:v>**PONV 0-24h (PRIMARY)**: TEAS group (n=36) 4/36 (11.1%) vs Sham TEAS group (n=36) 12/36 (33.3%) (P = 0.023) [RR 0.33, 95% CI 0.12 to 0.92]. **Participants r...</x:v>
      </x:c>
      <x:c r="D50" s="18" t="str">
        <x:v>Opioid: `20.4±4.8 vs 33.1±7.0` 🚨 **[FABRICATED BOILERPLATE]**&lt;br&gt;Pain: `2.4±0.8 vs 3.8±1.1` 🚨 **[FABRICATED]**&lt;br&gt;PONV: `5/30 vs 12/30` 🚨 **[FABRICATED]**</x:v>
      </x:c>
      <x:c r="E50" s="18" t="str">
        <x:v>🟡 Verified with Corrections 🟠 Author Contact Needed</x:v>
      </x:c>
      <x:c r="F50" s="18" t="str">
        <x:v>REFERENCE ONLY — not authoritative unless source-confirmed</x:v>
      </x:c>
    </x:row>
    <x:row r="51">
      <x:c r="A51" s="18" t="str">
        <x:v>He 2026 (hepatectomy/JIS)</x:v>
      </x:c>
      <x:c r="B51" s="18" t="str">
        <x:v>He 2026 (Hepatectomy)</x:v>
      </x:c>
      <x:c r="C51" s="18" t="str">
        <x:v>**Opioid 0-24h (PRIMARY)**: TEAS group (n=80) 20.0 ± 2.5 mg IV MME vs Control group (n=79) 20.6 ± 4.5 mg IV MME (P = 0.30) [MD -0.6 mg, 95% CI -1.7 to 0.5]. ...</x:v>
      </x:c>
      <x:c r="D51" s="18" t="str">
        <x:v>Opioid: `20.4±4.8 vs 33.1±7.0` 🚨 **[FABRICATED BOILERPLATE]**&lt;br&gt;Pain: `2.4±0.8 vs 3.8±1.1` 🚨 **[FABRICATED]**&lt;br&gt;PONV: `5/30 vs 12/30` 🚨 **[FABRICATED]**</x:v>
      </x:c>
      <x:c r="E51" s="18" t="str">
        <x:v>🟡 Verified with Corrections</x:v>
      </x:c>
      <x:c r="F51" s="18" t="str">
        <x:v>REFERENCE ONLY — not authoritative unless source-confirmed</x:v>
      </x:c>
    </x:row>
    <x:row r="52">
      <x:c r="A52" s="18" t="str">
        <x:v>He 2026 (breast/WJCO)</x:v>
      </x:c>
      <x:c r="B52" s="18" t="str">
        <x:v>He 2026</x:v>
      </x:c>
      <x:c r="C52" s="18" t="str">
        <x:v>**Pain VAS 24h at rest (PRIMARY)**: EA group (n=65) 1.789 ± 0.174 vs Control group (n=65) 2.692 ± 0.174 (P &lt; 0.01) [MD -0.903]. **Pain VAS 24h during movemen...</x:v>
      </x:c>
      <x:c r="D52" s="18" t="str">
        <x:v>Opioid: `20.4±4.8 vs 33.1±7.0` 🚨 **[FABRICATED BOILERPLATE]**&lt;br&gt;Pain: `2.4±0.8 vs 3.8±1.1` 🚨 **[FABRICATED]**&lt;br&gt;PONV: `5/30 vs 12/30` 🚨 **[FABRICATED]**</x:v>
      </x:c>
      <x:c r="E52" s="18" t="str">
        <x:v>🟡 Verified with Corrections 🟠 Author Contact Needed</x:v>
      </x:c>
      <x:c r="F52" s="18" t="str">
        <x:v>REFERENCE ONLY — not authoritative unless source-confirmed</x:v>
      </x:c>
    </x:row>
    <x:row r="53">
      <x:c r="A53" s="18" t="str">
        <x:v>Gu 2019</x:v>
      </x:c>
      <x:c r="B53" s="18" t="str">
        <x:v>Gu 2019</x:v>
      </x:c>
      <x:c r="C53" s="18" t="str">
        <x:v>**Pain VAS 24h at rest (PRIMARY)**: L-TEAS (n=58) 1.98 ± 0.39 vs C-TEAS (n=59) 2.72 ± 0.73 (P &lt; 0.05) [MD -0.74]. **PONV 0-24h (PRIMARY)**: L-TEAS 7/58 (12.1...</x:v>
      </x:c>
      <x:c r="D53" s="18" t="str">
        <x:v>Opioid: `10.02±2.26 vs 13.38±2.98`&lt;br&gt;Pain: `2.4±0.8 vs 3.8±1.1` 🚨 **[FABRICATED]**&lt;br&gt;PONV: `5/30 vs 12/30` 🚨 **[FABRICATED]**</x:v>
      </x:c>
      <x:c r="E53" s="18" t="str">
        <x:v>🟡 Verified with Corrections 🟠 Author Contact Needed</x:v>
      </x:c>
      <x:c r="F53" s="18" t="str">
        <x:v>REFERENCE ONLY — not authoritative unless source-confirmed</x:v>
      </x:c>
    </x:row>
    <x:row r="54">
      <x:c r="A54" s="18" t="str">
        <x:v>Guo 2023</x:v>
      </x:c>
      <x:c r="B54" s="18" t="str">
        <x:v>Guo 2023</x:v>
      </x:c>
      <x:c r="C54" s="18" t="str">
        <x:v>**Intraop remifentanil**: TEAS (n=55) 0.87 ± 0.30 mg vs Sham-TEAS (n=55) 1.01 ± 0.39 mg (P = 0.040). **Intraop sufentanil**: TEAS 29.42 ± 7.62 µg vs Sham-TEA...</x:v>
      </x:c>
      <x:c r="D54" s="18" t="str">
        <x:v>Opioid: `20.4±4.8 vs 33.1±7.0` 🚨 **[FABRICATED BOILERPLATE]**&lt;br&gt;Pain: `2.4±0.8 vs 3.8±1.1` 🚨 **[FABRICATED]**&lt;br&gt;PONV: `5/30 vs 12/30` 🚨 **[FABRICATED]**</x:v>
      </x:c>
      <x:c r="E54" s="18" t="str">
        <x:v>🟡 Verified with Corrections 🟠 Author Contact Needed</x:v>
      </x:c>
      <x:c r="F54" s="18" t="str">
        <x:v>REFERENCE ONLY — not authoritative unless source-confirmed</x:v>
      </x:c>
    </x:row>
    <x:row r="55">
      <x:c r="A55" s="18" t="str">
        <x:v>Grech 2016</x:v>
      </x:c>
      <x:c r="B55" s="18" t="str">
        <x:v>Grech 2016</x:v>
      </x:c>
      <x:c r="C55" s="18" t="str">
        <x:v>**Opioid 0-24h (PRIMARY)**: Measured-not-reported numerically in text/tables (graph-only in Fig 1, converted to missing_data: true, N=10 EA vs N=9 Control). ...</x:v>
      </x:c>
      <x:c r="D55" s="18" t="str">
        <x:v>Opioid: `48.15±2.45 vs 48.15±10.96` 🚨 **[AGE TRANSPOSED TO OPIOID]**&lt;br&gt;Pain: `2.4±0.8 vs 3.8±1.1` 🚨 **[FABRICATED]**&lt;br&gt;PONV: `5/30 vs 12/30` 🚨 **[FABRICATED]**</x:v>
      </x:c>
      <x:c r="E55" s="18" t="str">
        <x:v>🟡 Verified with Corrections 🟠 Author Contact Needed</x:v>
      </x:c>
      <x:c r="F55" s="18" t="str">
        <x:v>REFERENCE ONLY — not authoritative unless source-confirmed</x:v>
      </x:c>
    </x:row>
    <x:row r="56">
      <x:c r="A56" s="18" t="str">
        <x:v>Gao 2021</x:v>
      </x:c>
      <x:c r="B56" s="18" t="str">
        <x:v>Gao 2021</x:v>
      </x:c>
      <x:c r="C56" s="18" t="str">
        <x:v>**Opioid 0-24h (PRIMARY)**: Measured-not-reported (requires author contact). **Intraop sufentanil**: TEAS (n=303) 30.0 µg (IQR 25.0-35.0) [mean ~30.00 ± 7.41...</x:v>
      </x:c>
      <x:c r="D56" s="18" t="str">
        <x:v>Opioid: `20.4±4.8 vs 33.1±7.0` 🚨 **[FABRICATED BOILERPLATE]**&lt;br&gt;Pain: `2.4±0.8 vs 3.8±1.1` 🚨 **[FABRICATED]**&lt;br&gt;PONV: `5/30 vs 12/30` 🚨 **[FABRICATED]**</x:v>
      </x:c>
      <x:c r="E56" s="18" t="str">
        <x:v>🟡 Verified with Corrections 🟠 Author Contact Needed</x:v>
      </x:c>
      <x:c r="F56" s="18" t="str">
        <x:v>REFERENCE ONLY — not authoritative unless source-confirmed</x:v>
      </x:c>
    </x:row>
    <x:row r="57">
      <x:c r="A57" s="18" t="str">
        <x:v>El-Rakshy 2009</x:v>
      </x:c>
      <x:c r="B57" s="18" t="str">
        <x:v>El-Rakshy 2009</x:v>
      </x:c>
      <x:c r="C57" s="18" t="str">
        <x:v>**Opioid 0-24h (PRIMARY)**: PCA + acupuncture EA (n=42) 35.3 ± 18.0 mg morphine vs PCA alone (n=53) 36.9 ± 18.0 mg morphine (P = 0.961). **Opioid 0-4h**: EA ...</x:v>
      </x:c>
      <x:c r="D57" s="18" t="str">
        <x:v>Opioid: `36.9±18.0 vs 35.3±18.0`&lt;br&gt;Pain: `2.4±0.8 vs 3.8±1.1` 🚨 **[FABRICATED]**&lt;br&gt;PONV: `5/30 vs 12/30` 🚨 **[FABRICATED]**</x:v>
      </x:c>
      <x:c r="E57" s="18" t="str">
        <x:v>🟡 Verified with Corrections 🟠 Author Contact Needed</x:v>
      </x:c>
      <x:c r="F57" s="18" t="str">
        <x:v>REFERENCE ONLY — not authoritative unless source-confirmed</x:v>
      </x:c>
    </x:row>
    <x:row r="58">
      <x:c r="A58" s="18" t="str">
        <x:v>Coura 2011</x:v>
      </x:c>
      <x:c r="B58" s="18" t="str">
        <x:v>Coura 2011</x:v>
      </x:c>
      <x:c r="C58" s="18" t="str">
        <x:v>**Opioid 0-24h (PRIMARY)**: Treatment EA (n=13) 13.1 ± 2.2 µg/kg fentanyl vs Control Sham (n=9) 16.3 ± 1.6 µg/kg fentanyl (P &lt; 0.002) [PCA bolus: 4.1 ± 2.0 v...</x:v>
      </x:c>
      <x:c r="D58" s="18" t="str">
        <x:v>Opioid: `13.1±2.2 vs 16.3±1.6`&lt;br&gt;Pain: `2.4±0.8 vs 3.8±1.1` 🚨 **[FABRICATED]**&lt;br&gt;PONV: `5/30 vs 12/30` 🚨 **[FABRICATED]**</x:v>
      </x:c>
      <x:c r="E58" s="18" t="str">
        <x:v>🟡 Verified with Corrections 🟠 Author Contact Needed</x:v>
      </x:c>
      <x:c r="F58" s="18" t="str">
        <x:v>REFERENCE ONLY — not authoritative unless source-confirmed</x:v>
      </x:c>
    </x:row>
    <x:row r="59">
      <x:c r="A59" s="18" t="str">
        <x:v>Chen 1998</x:v>
      </x:c>
      <x:c r="B59" s="18" t="str">
        <x:v>Chen 1998</x:v>
      </x:c>
      <x:c r="C59" s="18" t="str">
        <x:v>**Opioid 0-24h (PRIMARY)**: Group IV Acupoint TEAS (n=25) 6.5 ± 3.5 mg hydromorphone vs Group I Sham TEAS (n=25) 10.7 ± 5.0 mg (P &lt; 0.05) [OME: 130 mg vs 214...</x:v>
      </x:c>
      <x:c r="D59" s="18" t="str">
        <x:v>Opioid: `6.5±3.5 vs 10.7±5.0`&lt;br&gt;Pain: `2.4±0.8 vs 3.8±1.1` 🚨 **[FABRICATED]**&lt;br&gt;PONV: `5/30 vs 12/30` 🚨 **[FABRICATED]**</x:v>
      </x:c>
      <x:c r="E59" s="18" t="str">
        <x:v>🟡 Verified with Corrections 🟠 Author Contact Needed</x:v>
      </x:c>
      <x:c r="F59" s="18" t="str">
        <x:v>REFERENCE ONLY — not authoritative unless source-confirmed</x:v>
      </x:c>
    </x:row>
    <x:row r="60">
      <x:c r="A60" s="18" t="str">
        <x:v>Chen 2020</x:v>
      </x:c>
      <x:c r="B60" s="18" t="str">
        <x:v>Chen 2020</x:v>
      </x:c>
      <x:c r="C60" s="18" t="str">
        <x:v>**Opioid 0-24h (PRIMARY)**: TEAS (n=40) 72.43 ± 4.78 µg sufentanil vs Sham TEAS (n=40) 100.62 ± 10.20 µg (P &lt; 0.001) [MD -28.19 µg]. **Opioid 0-48h**: TEAS 1...</x:v>
      </x:c>
      <x:c r="D60" s="18" t="str">
        <x:v>Opioid: `72.43±4.78 vs 100.62±10.20`&lt;br&gt;Pain: `2.4±0.8 vs 3.8±1.1` 🚨 **[FABRICATED]**&lt;br&gt;PONV: `5/30 vs 12/30` 🚨 **[FABRICATED]**</x:v>
      </x:c>
      <x:c r="E60" s="18" t="str">
        <x:v>🟢 Verified</x:v>
      </x:c>
      <x:c r="F60" s="18" t="str">
        <x:v>REFERENCE ONLY — not authoritative unless source-confirmed</x:v>
      </x:c>
    </x:row>
    <x:row r="61">
      <x:c r="A61" s="18" t="str">
        <x:v>Ao 2021</x:v>
      </x:c>
      <x:c r="B61" s="18" t="str">
        <x:v>Ao 2021</x:v>
      </x:c>
      <x:c r="C61" s="18" t="str">
        <x:v>**Opioid 0-48h**: TEAS (n=32) 102.8 ± 7.4 ml vs Sham TEAS (n=33) 120.6 ± 9.2 ml (sufentanil 1.5 µg/kg in 150 ml NS). **Opioid 0-24h**: Measured-not-reported ...</x:v>
      </x:c>
      <x:c r="D61" s="18" t="str">
        <x:v>Opioid: `102.8±7.4 vs 120.6±9.2`&lt;br&gt;Pain: `2.4±0.8 vs 3.8±1.1` 🚨 **[FABRICATED]**&lt;br&gt;PONV: `5/30 vs 12/30` 🚨 **[FABRICATED]**</x:v>
      </x:c>
      <x:c r="E61" s="18" t="str">
        <x:v>🟡 Verified with Corrections 🟠 Author Contact Needed</x:v>
      </x:c>
      <x:c r="F61" s="18" t="str">
        <x:v>REFERENCE ONLY — not authoritative unless source-confirmed</x:v>
      </x:c>
    </x:row>
    <x:row r="62">
      <x:c r="A62" s="18" t="str">
        <x:v>An 2014</x:v>
      </x:c>
      <x:c r="B62" s="18" t="str">
        <x:v>An 2014</x:v>
      </x:c>
      <x:c r="C62" s="18" t="str">
        <x:v>**Opioid 0-48h**: EA (n=41) 0.67 ± 0.09 mg fentanyl; Control (n=40) 0.73 ± 0.12 mg fentanyl. **Opioid 0-24h**: Measured-not-reported (requires author contact...</x:v>
      </x:c>
      <x:c r="D62" s="18" t="str">
        <x:v>Opioid: `null`&lt;br&gt;PONV: `6/41`</x:v>
      </x:c>
      <x:c r="E62" s="18" t="str">
        <x:v>🟡 Verified with Corrections 🟠 Author Contact Needed</x:v>
      </x:c>
      <x:c r="F62" s="18" t="str">
        <x:v>REFERENCE ONLY — not authoritative unless source-confirmed</x:v>
      </x:c>
    </x:row>
    <x:row r="63">
      <x:c r="A63" s="18" t="str">
        <x:v>Chen 2015</x:v>
      </x:c>
      <x:c r="B63" s="18" t="str">
        <x:v>Chen 2015</x:v>
      </x:c>
      <x:c r="C63" s="18" t="str">
        <x:v>**Opioid 0-24h (PRIMARY)**: TEAS (n=41) median 1 dose (IQR 1-3) [mean ~3.0 ± 2.96 mg morphine] vs Control (n=42) median 3.5 doses (IQR 2-7) [mean ~8.0 ± 7.41...</x:v>
      </x:c>
      <x:c r="D63" s="18" t="str">
        <x:v>Opioid: `2.6±0.7 vs 3.9±0.9`&lt;br&gt;Pain: `2.4±0.8 vs 3.8±1.1` 🚨 **[FABRICATED]**&lt;br&gt;PONV: `5/30 vs 12/30` 🚨 **[FABRICATED]**</x:v>
      </x:c>
      <x:c r="E63" s="18" t="str">
        <x:v>🟡 Verified with Corrections 🟠 Author Contact Needed</x:v>
      </x:c>
      <x:c r="F63" s="18" t="str">
        <x:v>REFERENCE ONLY — not authoritative unless source-confirmed</x:v>
      </x:c>
    </x:row>
    <x:row r="64">
      <x:c r="A64" s="18" t="str">
        <x:v>Chen 2015 (Hyperalgesia)</x:v>
      </x:c>
      <x:c r="B64" s="18" t="str">
        <x:v>Chen 2015 (Hyperalgesia)</x:v>
      </x:c>
      <x:c r="C64" s="18" t="str">
        <x:v>**Opioid 0-24h (PRIMARY)**: TEAS (n=29) median 3 boluses (IQR 2-4) [mean ~8.66 ± 4.27 µg sufentanil] vs Control median 7 boluses (IQR 6-8) [mean ~19.88 ± 4.2...</x:v>
      </x:c>
      <x:c r="D64" s="18" t="str">
        <x:v>Opioid: `41.9±9.9 vs 41.4±9.8`&lt;br&gt;Pain: `2.4±0.8 vs 3.8±1.1` 🚨 **[FABRICATED]**&lt;br&gt;PONV: `5/30 vs 12/30` 🚨 **[FABRICATED]**</x:v>
      </x:c>
      <x:c r="E64" s="18" t="str">
        <x:v>🟡 Verified with Corrections 🟠 Author Contact Needed</x:v>
      </x:c>
      <x:c r="F64" s="18" t="str">
        <x:v>REFERENCE ONLY — not authoritative unless source-confirmed</x:v>
      </x:c>
    </x:row>
  </x:sheetData>
  <x:pageMargins left="0.7" right="0.7" top="0.75" bottom="0.75" header="0.3" footer="0.3"/>
  <x:tableParts count="1">
    <x:tablePart xmlns:r="http://schemas.openxmlformats.org/officeDocument/2006/relationships" r:id="R0bf365ceb5364517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4" max="4" width="18" hidden="0" customWidth="1"/>
    <x:col min="5" max="5" width="18" hidden="0" customWidth="1"/>
    <x:col min="3" max="3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5" t="str">
        <x:v>Reconciliation Master — QC Dashboard</x:v>
      </x:c>
      <x:c r="B1" s="5"/>
      <x:c r="C1" s="5"/>
      <x:c r="D1" s="5"/>
      <x:c r="E1" s="5"/>
      <x:c r="F1" s="5"/>
      <x:c r="G1" s="5"/>
      <x:c r="H1" s="5"/>
    </x:row>
    <x:row r="3">
      <x:c r="A3" s="24" t="str">
        <x:v>Metric</x:v>
      </x:c>
      <x:c r="B3" s="24" t="str">
        <x:v>Count</x:v>
      </x:c>
      <x:c r="D3" s="24" t="str">
        <x:v>RoB replacement status</x:v>
      </x:c>
      <x:c r="E3" s="24" t="str">
        <x:v>Count</x:v>
      </x:c>
    </x:row>
    <x:row r="4">
      <x:c r="A4" s="18" t="str">
        <x:v>Canonical studies</x:v>
      </x:c>
      <x:c r="B4" s="18" t="n">
        <x:f>COUNTA(Study_Master!A2:A200)</x:f>
        <x:v>63</x:v>
      </x:c>
      <x:c r="D4" t="str">
        <x:v>FULL REPLACEMENT</x:v>
      </x:c>
      <x:c r="E4" t="n">
        <x:f>COUNTIF(Study_Master!C:C,"FULL REPLACEMENT")</x:f>
        <x:v>47</x:v>
      </x:c>
    </x:row>
    <x:row r="5">
      <x:c r="A5" s="18" t="str">
        <x:v>FULL REPLACEMENT</x:v>
      </x:c>
      <x:c r="B5" s="18" t="n">
        <x:f>COUNTIF(Study_Master!C:C,"FULL REPLACEMENT")</x:f>
        <x:v>47</x:v>
      </x:c>
      <x:c r="D5" t="str">
        <x:v>RE-ADJUDICATE</x:v>
      </x:c>
      <x:c r="E5" t="n">
        <x:f>COUNTIF(Study_Master!C:C,"RE-ADJUDICATE")</x:f>
        <x:v>4</x:v>
      </x:c>
    </x:row>
    <x:row r="6">
      <x:c r="A6" s="18" t="str">
        <x:v>RE-ADJUDICATE</x:v>
      </x:c>
      <x:c r="B6" s="18" t="n">
        <x:f>COUNTIF(Study_Master!C:C,"RE-ADJUDICATE")</x:f>
        <x:v>4</x:v>
      </x:c>
      <x:c r="D6" t="str">
        <x:v>SPECIAL / SOURCE-QC</x:v>
      </x:c>
      <x:c r="E6" t="n">
        <x:f>COUNTIF(Study_Master!C:C,"SPECIAL / SOURCE-QC")</x:f>
        <x:v>11</x:v>
      </x:c>
    </x:row>
    <x:row r="7">
      <x:c r="A7" s="18" t="str">
        <x:v>SPECIAL / SOURCE-QC</x:v>
      </x:c>
      <x:c r="B7" s="18" t="n">
        <x:f>COUNTIF(Study_Master!C:C,"SPECIAL / SOURCE-QC")</x:f>
        <x:v>11</x:v>
      </x:c>
      <x:c r="D7" t="str">
        <x:v>NO MATCHING RoB</x:v>
      </x:c>
      <x:c r="E7" t="n">
        <x:f>COUNTIF(Study_Master!C:C,"NO MATCHING RoB")</x:f>
        <x:v>1</x:v>
      </x:c>
    </x:row>
    <x:row r="8">
      <x:c r="A8" s="18" t="str">
        <x:v>NO MATCHING RoB</x:v>
      </x:c>
      <x:c r="B8" s="18" t="n">
        <x:f>COUNTIF(Study_Master!C:C,"NO MATCHING RoB")</x:f>
        <x:v>1</x:v>
      </x:c>
    </x:row>
    <x:row r="9">
      <x:c r="A9" s="18" t="str">
        <x:v>Known fabricated payload signatures</x:v>
      </x:c>
      <x:c r="B9" s="18" t="n">
        <x:f>COUNTIF(Study_Master!J:J,"Yes")</x:f>
        <x:v>61</x:v>
      </x:c>
    </x:row>
    <x:row r="10">
      <x:c r="A10" s="18" t="str">
        <x:v>Corrected selected RoB 2 complete</x:v>
      </x:c>
      <x:c r="B10" s="18" t="n">
        <x:f>COUNTIF(Study_Master!L:L,"Yes")</x:f>
        <x:v>27</x:v>
      </x:c>
    </x:row>
    <x:row r="11">
      <x:c r="A11" s="18" t="str">
        <x:v>Antigravity author-contact flags (not yet accepted as final)</x:v>
      </x:c>
      <x:c r="B11" s="18" t="n">
        <x:f>COUNTIF(Study_Master!K:K,"Yes")</x:f>
        <x:v>59</x:v>
      </x:c>
    </x:row>
    <x:row r="12">
      <x:c r="A12" t="str">
        <x:v>Source-normalized outcome rows</x:v>
      </x:c>
      <x:c r="B12" t="n">
        <x:f>COUNTA(Outcome_Data!A2:A500)</x:f>
        <x:v>119</x:v>
      </x:c>
    </x:row>
    <x:row r="13">
      <x:c r="A13" s="32" t="str">
        <x:v>Studies with ≥1 source-normalized outcome row</x:v>
      </x:c>
      <x:c r="B13" s="32" t="n">
        <x:f>COUNTIF(Study_Master!V2:V64,"&gt;0")</x:f>
        <x:v>31</x:v>
      </x:c>
      <x:c r="C13" s="32"/>
      <x:c r="D13" s="32"/>
      <x:c r="E13" s="32"/>
      <x:c r="F13" s="32"/>
      <x:c r="G13" s="32"/>
      <x:c r="H13" s="32"/>
    </x:row>
    <x:row r="14" ht="34" customHeight="1">
      <x:c r="A14" s="18" t="str">
        <x:v>The workbook intentionally separates canonical study identity, source/correction status, candidate Antigravity summaries, and corrected result-specific RoB 2.</x:v>
      </x:c>
      <x:c r="B14" s="18" t="str"/>
      <x:c r="C14" s="18" t="str"/>
      <x:c r="D14" s="18" t="str"/>
      <x:c r="E14" s="18" t="str"/>
      <x:c r="F14" s="18" t="str"/>
      <x:c r="G14" s="18" t="str"/>
      <x:c r="H14" s="18" t="str"/>
    </x:row>
    <x:row r="15" ht="34" customHeight="1">
      <x:c r="A15" s="44" t="str">
        <x:v>Master dataset interpretation — v2</x:v>
      </x:c>
      <x:c r="B15" s="44" t="str"/>
      <x:c r="C15" s="44" t="str"/>
      <x:c r="D15" s="44" t="str"/>
      <x:c r="E15" s="44" t="str"/>
      <x:c r="F15" s="44" t="str"/>
      <x:c r="G15" s="44" t="str"/>
      <x:c r="H15" s="44" t="str"/>
    </x:row>
    <x:row r="16" ht="30" customHeight="1">
      <x:c r="A16" s="18" t="str">
        <x:v>Outcome_Data now stores source-normalized result rows separately from candidate Antigravity payloads.</x:v>
      </x:c>
      <x:c r="B16" s="18" t="str"/>
      <x:c r="C16" s="18" t="str"/>
      <x:c r="D16" s="18" t="str"/>
      <x:c r="E16" s="18" t="str"/>
      <x:c r="F16" s="18" t="str"/>
      <x:c r="G16" s="18" t="str"/>
      <x:c r="H16" s="18" t="str"/>
    </x:row>
    <x:row r="17" ht="30" customHeight="1">
      <x:c r="A17" s="18" t="str">
        <x:v>Nine result-specific RoB 2 assessments are now rebuilt de novo from source-grounded evidence.</x:v>
      </x:c>
      <x:c r="B17" s="18" t="str"/>
      <x:c r="C17" s="18" t="str"/>
      <x:c r="D17" s="18" t="str"/>
      <x:c r="E17" s="18" t="str"/>
      <x:c r="F17" s="18" t="str"/>
      <x:c r="G17" s="18" t="str"/>
      <x:c r="H17" s="18" t="str"/>
    </x:row>
    <x:row r="18" ht="30" customHeight="1">
      <x:c r="A18" s="18" t="str">
        <x:v>Rows flagged QC HOLD, MISSING, DERIVED, or NEEDS ADJUDICATION must not be treated as final meta-analysis inputs.</x:v>
      </x:c>
      <x:c r="B18" s="18"/>
      <x:c r="C18" s="18"/>
      <x:c r="D18" s="18"/>
      <x:c r="E18" s="18"/>
      <x:c r="F18" s="18"/>
      <x:c r="G18" s="18"/>
      <x:c r="H18" s="18"/>
    </x:row>
    <x:row r="19" ht="30" customHeight="1">
      <x:c r="A19" s="18" t="str">
        <x:v>Shared-control multi-arm trials remain explicit; controls are not duplicated silently in pooled analyses.</x:v>
      </x:c>
      <x:c r="B19" s="18"/>
      <x:c r="C19" s="18"/>
      <x:c r="D19" s="18"/>
      <x:c r="E19" s="18"/>
      <x:c r="F19" s="18"/>
      <x:c r="G19" s="18"/>
      <x:c r="H19" s="18"/>
    </x:row>
  </x:sheetData>
  <x:mergeCells>
    <x:mergeCell ref="A1:H1"/>
    <x:mergeCell ref="A13:H13"/>
    <x:mergeCell ref="A15:H15"/>
    <x:mergeCell ref="A16:H16"/>
    <x:mergeCell ref="A17:H17"/>
    <x:mergeCell ref="A18:H18"/>
    <x:mergeCell ref="A19:H19"/>
  </x:mergeCells>
  <x:pageMargins left="0.7" right="0.7" top="0.75" bottom="0.75" header="0.3" footer="0.3"/>
  <x:drawing xmlns:r="http://schemas.openxmlformats.org/officeDocument/2006/relationships" r:id="R09dc04c21fca4859"/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6" hidden="0" customWidth="1"/>
    <x:col min="3" max="3" width="30" hidden="0" customWidth="1"/>
    <x:col min="4" max="4" width="28" hidden="0" customWidth="1"/>
    <x:col min="5" max="5" width="18" hidden="0" customWidth="1"/>
    <x:col min="6" max="6" width="32" hidden="0" customWidth="1"/>
    <x:col min="7" max="7" width="24" hidden="0" customWidth="1"/>
    <x:col min="8" max="8" width="20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2" hidden="0" customWidth="1"/>
    <x:col min="14" max="14" width="11" hidden="0" customWidth="1"/>
    <x:col min="15" max="15" width="12" hidden="0" customWidth="1"/>
    <x:col min="16" max="16" width="11" hidden="0" customWidth="1"/>
    <x:col min="17" max="17" width="11" hidden="0" customWidth="1"/>
    <x:col min="18" max="18" width="12" hidden="0" customWidth="1"/>
    <x:col min="19" max="19" width="12" hidden="0" customWidth="1"/>
    <x:col min="20" max="20" width="11" hidden="0" customWidth="1"/>
    <x:col min="21" max="21" width="12" hidden="0" customWidth="1"/>
    <x:col min="22" max="22" width="11" hidden="0" customWidth="1"/>
    <x:col min="23" max="23" width="11" hidden="0" customWidth="1"/>
    <x:col min="24" max="24" width="12" hidden="0" customWidth="1"/>
    <x:col min="25" max="25" width="18" hidden="0" customWidth="1"/>
    <x:col min="26" max="26" width="14" hidden="0" customWidth="1"/>
    <x:col min="27" max="27" width="15" hidden="0" customWidth="1"/>
    <x:col min="28" max="28" width="15" hidden="0" customWidth="1"/>
    <x:col min="29" max="29" width="18" hidden="0" customWidth="1"/>
    <x:col min="30" max="30" width="14" hidden="0" customWidth="1"/>
    <x:col min="31" max="31" width="18" hidden="0" customWidth="1"/>
    <x:col min="32" max="32" width="20" hidden="0" customWidth="1"/>
    <x:col min="33" max="33" width="32" hidden="0" customWidth="1"/>
    <x:col min="34" max="34" width="24" hidden="0" customWidth="1"/>
    <x:col min="35" max="35" width="50" hidden="0" customWidth="1"/>
    <x:col min="36" max="36" width="28" hidden="0" customWidth="1"/>
    <x:col min="37" max="37" width="48" hidden="0" customWidth="1"/>
    <x:col min="38" max="38" width="26" hidden="0" customWidth="1"/>
  </x:cols>
  <x:sheetData>
    <x:row r="1">
      <x:c r="A1" s="41" t="str">
        <x:v>Canonical study</x:v>
      </x:c>
      <x:c r="B1" s="41" t="str">
        <x:v>Comparison ID</x:v>
      </x:c>
      <x:c r="C1" s="41" t="str">
        <x:v>Intervention arm</x:v>
      </x:c>
      <x:c r="D1" s="41" t="str">
        <x:v>Comparator arm</x:v>
      </x:c>
      <x:c r="E1" s="41" t="str">
        <x:v>Outcome family</x:v>
      </x:c>
      <x:c r="F1" s="41" t="str">
        <x:v>Outcome/result</x:v>
      </x:c>
      <x:c r="G1" s="41" t="str">
        <x:v>Timepoint/window</x:v>
      </x:c>
      <x:c r="H1" s="41" t="str">
        <x:v>Data type</x:v>
      </x:c>
      <x:c r="I1" s="41" t="str">
        <x:v>Randomized n intervention</x:v>
      </x:c>
      <x:c r="J1" s="41" t="str">
        <x:v>Randomized n comparator</x:v>
      </x:c>
      <x:c r="K1" s="41" t="str">
        <x:v>Analyzed n intervention</x:v>
      </x:c>
      <x:c r="L1" s="41" t="str">
        <x:v>Analyzed n comparator</x:v>
      </x:c>
      <x:c r="M1" s="41" t="str">
        <x:v>Mean intervention</x:v>
      </x:c>
      <x:c r="N1" s="41" t="str">
        <x:v>SD intervention</x:v>
      </x:c>
      <x:c r="O1" s="41" t="str">
        <x:v>Median intervention</x:v>
      </x:c>
      <x:c r="P1" s="41" t="str">
        <x:v>Q1 intervention</x:v>
      </x:c>
      <x:c r="Q1" s="41" t="str">
        <x:v>Q3 intervention</x:v>
      </x:c>
      <x:c r="R1" s="41" t="str">
        <x:v>Events intervention</x:v>
      </x:c>
      <x:c r="S1" s="41" t="str">
        <x:v>Mean comparator</x:v>
      </x:c>
      <x:c r="T1" s="41" t="str">
        <x:v>SD comparator</x:v>
      </x:c>
      <x:c r="U1" s="41" t="str">
        <x:v>Median comparator</x:v>
      </x:c>
      <x:c r="V1" s="41" t="str">
        <x:v>Q1 comparator</x:v>
      </x:c>
      <x:c r="W1" s="41" t="str">
        <x:v>Q3 comparator</x:v>
      </x:c>
      <x:c r="X1" s="41" t="str">
        <x:v>Events comparator</x:v>
      </x:c>
      <x:c r="Y1" s="41" t="str">
        <x:v>Unit/scale</x:v>
      </x:c>
      <x:c r="Z1" s="41" t="str">
        <x:v>Reported P</x:v>
      </x:c>
      <x:c r="AA1" s="41" t="str">
        <x:v>Directly reported?</x:v>
      </x:c>
      <x:c r="AB1" s="41" t="str">
        <x:v>Derived/converted?</x:v>
      </x:c>
      <x:c r="AC1" s="41" t="str">
        <x:v>Derived effect measure</x:v>
      </x:c>
      <x:c r="AD1" s="41" t="str">
        <x:v>Derived effect</x:v>
      </x:c>
      <x:c r="AE1" s="41" t="str">
        <x:v>Exact 0-24 h postoperative opioid?</x:v>
      </x:c>
      <x:c r="AF1" s="41" t="str">
        <x:v>Primary opioid meta-analysis eligible?</x:v>
      </x:c>
      <x:c r="AG1" s="41" t="str">
        <x:v>Other analysis eligibility</x:v>
      </x:c>
      <x:c r="AH1" s="41" t="str">
        <x:v>Shared-control / multi-arm issue</x:v>
      </x:c>
      <x:c r="AI1" s="41" t="str">
        <x:v>Source-QC issue</x:v>
      </x:c>
      <x:c r="AJ1" s="41" t="str">
        <x:v>Source location</x:v>
      </x:c>
      <x:c r="AK1" s="41" t="str">
        <x:v>Source PDF URL</x:v>
      </x:c>
      <x:c r="AL1" s="41" t="str">
        <x:v>Record status</x:v>
      </x:c>
    </x:row>
    <x:row r="2">
      <x:c r="A2" s="18" t="str">
        <x:v>Yang 2020</x:v>
      </x:c>
      <x:c r="B2" s="18" t="str">
        <x:v>YANG20_EA_vs_UC</x:v>
      </x:c>
      <x:c r="C2" s="18" t="str">
        <x:v>EA + usual care</x:v>
      </x:c>
      <x:c r="D2" s="18" t="str">
        <x:v>Usual care</x:v>
      </x:c>
      <x:c r="E2" s="18" t="str">
        <x:v>GI recovery</x:v>
      </x:c>
      <x:c r="F2" s="18" t="str">
        <x:v>Time to first postoperative flatus</x:v>
      </x:c>
      <x:c r="G2" s="18" t="str">
        <x:v>From surgery to first flatus</x:v>
      </x:c>
      <x:c r="H2" s="18" t="str">
        <x:v>Mean/SD</x:v>
      </x:c>
      <x:c r="I2" s="18" t="n">
        <x:v>30</x:v>
      </x:c>
      <x:c r="J2" s="18" t="n">
        <x:v>29</x:v>
      </x:c>
      <x:c r="K2" s="18" t="n">
        <x:v>29</x:v>
      </x:c>
      <x:c r="L2" s="18" t="n">
        <x:v>28</x:v>
      </x:c>
      <x:c r="M2" s="18" t="n">
        <x:v>20.8</x:v>
      </x:c>
      <x:c r="N2" s="18" t="n">
        <x:v>4.6</x:v>
      </x:c>
      <x:c r="O2" s="18"/>
      <x:c r="P2" s="18"/>
      <x:c r="Q2" s="18"/>
      <x:c r="R2" s="18"/>
      <x:c r="S2" s="18" t="n">
        <x:v>24.1</x:v>
      </x:c>
      <x:c r="T2" s="18" t="n">
        <x:v>6.2</x:v>
      </x:c>
      <x:c r="U2" s="18"/>
      <x:c r="V2" s="18"/>
      <x:c r="W2" s="18"/>
      <x:c r="X2" s="18"/>
      <x:c r="Y2" s="18" t="str">
        <x:v>hours</x:v>
      </x:c>
      <x:c r="Z2" s="18" t="str">
        <x:v>0.026</x:v>
      </x:c>
      <x:c r="AA2" s="18" t="str">
        <x:v>Yes</x:v>
      </x:c>
      <x:c r="AB2" s="18" t="str">
        <x:v>No</x:v>
      </x:c>
      <x:c r="AC2" s="18" t="str">
        <x:f>IF(H2="Mean/SD","MD",IF(H2="Events/total","RR",""))</x:f>
        <x:v>MD</x:v>
      </x:c>
      <x:c r="AD2" s="18" t="n">
        <x:f>IF(H2="Mean/SD",M2-S2,IF(H2="Events/total",IFERROR((R2/K2)/(X2/L2),""),""))</x:f>
        <x:v>-3.3000000000000007</x:v>
      </x:c>
      <x:c r="AE2" s="18" t="str">
        <x:v>No</x:v>
      </x:c>
      <x:c r="AF2" s="18" t="str">
        <x:v>No</x:v>
      </x:c>
      <x:c r="AG2" s="18" t="str">
        <x:v>Eligible for GI-recovery meta-analysis</x:v>
      </x:c>
      <x:c r="AH2" s="18" t="str">
        <x:v>No</x:v>
      </x:c>
      <x:c r="AI2" s="18" t="str">
        <x:v>Open-label; 2/59 excluded after randomization; participant-report contribution unclear</x:v>
      </x:c>
      <x:c r="AJ2" s="18" t="str">
        <x:v>GI recovery results/table</x:v>
      </x:c>
      <x:c r="AK2" s="18" t="str">
        <x:v>https://drive.google.com/file/d/1hsQR_K6W-5QNP4rqkVxHQaopRp4f1XF0/view?usp=drivesdk</x:v>
      </x:c>
      <x:c r="AL2" s="18" t="str">
        <x:v>SOURCE-VERIFIED</x:v>
      </x:c>
    </x:row>
    <x:row r="3">
      <x:c r="A3" s="18" t="str">
        <x:v>Seevaunnamtum 2016</x:v>
      </x:c>
      <x:c r="B3" s="18" t="str">
        <x:v>SEEVA16_EA_vs_UC</x:v>
      </x:c>
      <x:c r="C3" s="18" t="str">
        <x:v>Intraoperative EA</x:v>
      </x:c>
      <x:c r="D3" s="18" t="str">
        <x:v>Standard care</x:v>
      </x:c>
      <x:c r="E3" s="18" t="str">
        <x:v>Opioid consumption</x:v>
      </x:c>
      <x:c r="F3" s="18" t="str">
        <x:v>Cumulative IV PCA morphine requirement</x:v>
      </x:c>
      <x:c r="G3" s="18" t="str">
        <x:v>First 24 h postoperatively</x:v>
      </x:c>
      <x:c r="H3" s="18" t="str">
        <x:v>Mean/SD</x:v>
      </x:c>
      <x:c r="I3" s="18" t="n">
        <x:v>32</x:v>
      </x:c>
      <x:c r="J3" s="18" t="n">
        <x:v>32</x:v>
      </x:c>
      <x:c r="K3" s="18" t="n">
        <x:v>32</x:v>
      </x:c>
      <x:c r="L3" s="18" t="n">
        <x:v>32</x:v>
      </x:c>
      <x:c r="M3" s="18" t="n">
        <x:v>21.38</x:v>
      </x:c>
      <x:c r="N3" s="18" t="n">
        <x:v>14.38</x:v>
      </x:c>
      <x:c r="O3" s="18"/>
      <x:c r="P3" s="18"/>
      <x:c r="Q3" s="18"/>
      <x:c r="R3" s="18"/>
      <x:c r="S3" s="18" t="n">
        <x:v>33.94</x:v>
      </x:c>
      <x:c r="T3" s="18" t="n">
        <x:v>20.24</x:v>
      </x:c>
      <x:c r="U3" s="18"/>
      <x:c r="V3" s="18"/>
      <x:c r="W3" s="18"/>
      <x:c r="X3" s="18"/>
      <x:c r="Y3" s="18" t="str">
        <x:v>mg morphine</x:v>
      </x:c>
      <x:c r="Z3" s="18" t="str">
        <x:v>0.006</x:v>
      </x:c>
      <x:c r="AA3" s="18" t="str">
        <x:v>Yes</x:v>
      </x:c>
      <x:c r="AB3" s="18" t="str">
        <x:v>No</x:v>
      </x:c>
      <x:c r="AC3" s="18" t="str">
        <x:f>IF(H3="Mean/SD","MD",IF(H3="Events/total","RR",""))</x:f>
        <x:v>MD</x:v>
      </x:c>
      <x:c r="AD3" s="18" t="n">
        <x:f>IF(H3="Mean/SD",M3-S3,IF(H3="Events/total",IFERROR((R3/K3)/(X3/L3),""),""))</x:f>
        <x:v>-12.559999999999999</x:v>
      </x:c>
      <x:c r="AE3" s="18" t="str">
        <x:v>Yes</x:v>
      </x:c>
      <x:c r="AF3" s="18" t="str">
        <x:v>Yes</x:v>
      </x:c>
      <x:c r="AG3" s="18" t="str">
        <x:v>Primary continuous 24-h opioid outcome</x:v>
      </x:c>
      <x:c r="AH3" s="18" t="str">
        <x:v>No</x:v>
      </x:c>
      <x:c r="AI3" s="18" t="str">
        <x:v>No allocation-concealment method reported</x:v>
      </x:c>
      <x:c r="AJ3" s="18" t="str">
        <x:v>Table 2 / 24-h PCA morphine</x:v>
      </x:c>
      <x:c r="AK3" s="18" t="str">
        <x:v>https://drive.google.com/file/d/1OhuqhDUCEmOij7fZFhHHCJNwfQ9xpMzd/view?usp=drivesdk</x:v>
      </x:c>
      <x:c r="AL3" s="18" t="str">
        <x:v>SOURCE-VERIFIED</x:v>
      </x:c>
    </x:row>
    <x:row r="4">
      <x:c r="A4" s="18" t="str">
        <x:v>Lin 2002</x:v>
      </x:c>
      <x:c r="B4" s="18" t="str">
        <x:v>LIN02_HIGH_vs_CONTROL</x:v>
      </x:c>
      <x:c r="C4" s="18" t="str">
        <x:v>100-Hz EA</x:v>
      </x:c>
      <x:c r="D4" s="18" t="str">
        <x:v>Untreated control</x:v>
      </x:c>
      <x:c r="E4" s="18" t="str">
        <x:v>Opioid consumption</x:v>
      </x:c>
      <x:c r="F4" s="18" t="str">
        <x:v>Cumulative IV PCA morphine delivered during postoperative test period</x:v>
      </x:c>
      <x:c r="G4" s="18" t="str">
        <x:v>Postoperative hour 1 through next 23 h (published as 24-h test-period value)</x:v>
      </x:c>
      <x:c r="H4" s="18" t="str">
        <x:v>Mean/SD</x:v>
      </x:c>
      <x:c r="I4" s="18" t="n">
        <x:v>25</x:v>
      </x:c>
      <x:c r="J4" s="18" t="n">
        <x:v>25</x:v>
      </x:c>
      <x:c r="K4" s="18" t="n">
        <x:v>25</x:v>
      </x:c>
      <x:c r="L4" s="18" t="n">
        <x:v>25</x:v>
      </x:c>
      <x:c r="M4" s="18" t="n">
        <x:v>15</x:v>
      </x:c>
      <x:c r="N4" s="18" t="n">
        <x:v>10.7</x:v>
      </x:c>
      <x:c r="O4" s="18"/>
      <x:c r="P4" s="18"/>
      <x:c r="Q4" s="18"/>
      <x:c r="R4" s="18"/>
      <x:c r="S4" s="18" t="n">
        <x:v>38.1</x:v>
      </x:c>
      <x:c r="T4" s="18" t="n">
        <x:v>16</x:v>
      </x:c>
      <x:c r="U4" s="18"/>
      <x:c r="V4" s="18"/>
      <x:c r="W4" s="18"/>
      <x:c r="X4" s="18"/>
      <x:c r="Y4" s="18" t="str">
        <x:v>mg morphine</x:v>
      </x:c>
      <x:c r="Z4" s="18" t="str"/>
      <x:c r="AA4" s="18" t="str">
        <x:v>Yes</x:v>
      </x:c>
      <x:c r="AB4" s="18" t="str">
        <x:v>No</x:v>
      </x:c>
      <x:c r="AC4" s="18" t="str">
        <x:f>IF(H4="Mean/SD","MD",IF(H4="Events/total","RR",""))</x:f>
        <x:v>MD</x:v>
      </x:c>
      <x:c r="AD4" s="18" t="n">
        <x:f>IF(H4="Mean/SD",M4-S4,IF(H4="Events/total",IFERROR((R4/K4)/(X4/L4),""),""))</x:f>
        <x:v>-23.1</x:v>
      </x:c>
      <x:c r="AE4" s="18" t="str">
        <x:v>No</x:v>
      </x:c>
      <x:c r="AF4" s="18" t="str">
        <x:v>No</x:v>
      </x:c>
      <x:c r="AG4" s="18" t="str">
        <x:v>Usable as published PCA-morphine endpoint; not complete all-opioid 0-24 h exposure</x:v>
      </x:c>
      <x:c r="AH4" s="18" t="str">
        <x:v>Yes</x:v>
      </x:c>
      <x:c r="AI4" s="18" t="str">
        <x:v>First postoperative hour could include IM pethidine; group-specific pethidine exposure not reported</x:v>
      </x:c>
      <x:c r="AJ4" s="18" t="str">
        <x:v>Table 2</x:v>
      </x:c>
      <x:c r="AK4" s="18" t="str">
        <x:v>https://drive.google.com/file/d/1Q5dNOPkf4PB_ctbHu1_3v3UIMIJzKRw9/view?usp=drivesdk</x:v>
      </x:c>
      <x:c r="AL4" s="18" t="str">
        <x:v>SOURCE-VERIFIED</x:v>
      </x:c>
    </x:row>
    <x:row r="5">
      <x:c r="A5" s="18" t="str">
        <x:v>Lin 2002</x:v>
      </x:c>
      <x:c r="B5" s="18" t="str">
        <x:v>LIN02_LOW_vs_CONTROL</x:v>
      </x:c>
      <x:c r="C5" s="18" t="str">
        <x:v>2-Hz EA</x:v>
      </x:c>
      <x:c r="D5" s="18" t="str">
        <x:v>Untreated control</x:v>
      </x:c>
      <x:c r="E5" s="18" t="str">
        <x:v>Opioid consumption</x:v>
      </x:c>
      <x:c r="F5" s="18" t="str">
        <x:v>Cumulative IV PCA morphine delivered during postoperative test period</x:v>
      </x:c>
      <x:c r="G5" s="18" t="str">
        <x:v>Postoperative hour 1 through next 23 h (published as 24-h test-period value)</x:v>
      </x:c>
      <x:c r="H5" s="18" t="str">
        <x:v>Mean/SD</x:v>
      </x:c>
      <x:c r="I5" s="18" t="n">
        <x:v>25</x:v>
      </x:c>
      <x:c r="J5" s="18" t="n">
        <x:v>25</x:v>
      </x:c>
      <x:c r="K5" s="18" t="n">
        <x:v>25</x:v>
      </x:c>
      <x:c r="L5" s="18" t="n">
        <x:v>25</x:v>
      </x:c>
      <x:c r="M5" s="18" t="n">
        <x:v>21.8</x:v>
      </x:c>
      <x:c r="N5" s="18" t="n">
        <x:v>14.7</x:v>
      </x:c>
      <x:c r="O5" s="18"/>
      <x:c r="P5" s="18"/>
      <x:c r="Q5" s="18"/>
      <x:c r="R5" s="18"/>
      <x:c r="S5" s="18" t="n">
        <x:v>38.1</x:v>
      </x:c>
      <x:c r="T5" s="18" t="n">
        <x:v>16</x:v>
      </x:c>
      <x:c r="U5" s="18"/>
      <x:c r="V5" s="18"/>
      <x:c r="W5" s="18"/>
      <x:c r="X5" s="18"/>
      <x:c r="Y5" s="18" t="str">
        <x:v>mg morphine</x:v>
      </x:c>
      <x:c r="Z5" s="18" t="str"/>
      <x:c r="AA5" s="18" t="str">
        <x:v>Yes</x:v>
      </x:c>
      <x:c r="AB5" s="18" t="str">
        <x:v>No</x:v>
      </x:c>
      <x:c r="AC5" s="18" t="str">
        <x:f>IF(H5="Mean/SD","MD",IF(H5="Events/total","RR",""))</x:f>
        <x:v>MD</x:v>
      </x:c>
      <x:c r="AD5" s="18" t="n">
        <x:f>IF(H5="Mean/SD",M5-S5,IF(H5="Events/total",IFERROR((R5/K5)/(X5/L5),""),""))</x:f>
        <x:v>-16.3</x:v>
      </x:c>
      <x:c r="AE5" s="18" t="str">
        <x:v>No</x:v>
      </x:c>
      <x:c r="AF5" s="18" t="str">
        <x:v>No</x:v>
      </x:c>
      <x:c r="AG5" s="18" t="str">
        <x:v>Usable as published PCA-morphine endpoint; not complete all-opioid 0-24 h exposure</x:v>
      </x:c>
      <x:c r="AH5" s="18" t="str">
        <x:v>Yes</x:v>
      </x:c>
      <x:c r="AI5" s="18" t="str">
        <x:v>First postoperative hour could include IM pethidine; group-specific pethidine exposure not reported</x:v>
      </x:c>
      <x:c r="AJ5" s="18" t="str">
        <x:v>Table 2</x:v>
      </x:c>
      <x:c r="AK5" s="18" t="str">
        <x:v>https://drive.google.com/file/d/1Q5dNOPkf4PB_ctbHu1_3v3UIMIJzKRw9/view?usp=drivesdk</x:v>
      </x:c>
      <x:c r="AL5" s="18" t="str">
        <x:v>SOURCE-VERIFIED</x:v>
      </x:c>
    </x:row>
    <x:row r="6">
      <x:c r="A6" s="18" t="str">
        <x:v>Lin 2002</x:v>
      </x:c>
      <x:c r="B6" s="18" t="str">
        <x:v>LIN02_HIGH_vs_SHAM</x:v>
      </x:c>
      <x:c r="C6" s="18" t="str">
        <x:v>100-Hz EA</x:v>
      </x:c>
      <x:c r="D6" s="18" t="str">
        <x:v>Sham EA</x:v>
      </x:c>
      <x:c r="E6" s="18" t="str">
        <x:v>Opioid consumption</x:v>
      </x:c>
      <x:c r="F6" s="18" t="str">
        <x:v>Cumulative IV PCA morphine delivered during postoperative test period</x:v>
      </x:c>
      <x:c r="G6" s="18" t="str">
        <x:v>Postoperative hour 1 through next 23 h (published as 24-h test-period value)</x:v>
      </x:c>
      <x:c r="H6" s="18" t="str">
        <x:v>Mean/SD</x:v>
      </x:c>
      <x:c r="I6" s="18" t="n">
        <x:v>25</x:v>
      </x:c>
      <x:c r="J6" s="18" t="n">
        <x:v>25</x:v>
      </x:c>
      <x:c r="K6" s="18" t="n">
        <x:v>25</x:v>
      </x:c>
      <x:c r="L6" s="18" t="n">
        <x:v>25</x:v>
      </x:c>
      <x:c r="M6" s="18" t="n">
        <x:v>15</x:v>
      </x:c>
      <x:c r="N6" s="18" t="n">
        <x:v>10.7</x:v>
      </x:c>
      <x:c r="O6" s="18"/>
      <x:c r="P6" s="18"/>
      <x:c r="Q6" s="18"/>
      <x:c r="R6" s="18"/>
      <x:c r="S6" s="18" t="n">
        <x:v>30.2</x:v>
      </x:c>
      <x:c r="T6" s="18" t="n">
        <x:v>14.4</x:v>
      </x:c>
      <x:c r="U6" s="18"/>
      <x:c r="V6" s="18"/>
      <x:c r="W6" s="18"/>
      <x:c r="X6" s="18"/>
      <x:c r="Y6" s="18" t="str">
        <x:v>mg morphine</x:v>
      </x:c>
      <x:c r="Z6" s="18" t="str"/>
      <x:c r="AA6" s="18" t="str">
        <x:v>Yes</x:v>
      </x:c>
      <x:c r="AB6" s="18" t="str">
        <x:v>No</x:v>
      </x:c>
      <x:c r="AC6" s="18" t="str">
        <x:f>IF(H6="Mean/SD","MD",IF(H6="Events/total","RR",""))</x:f>
        <x:v>MD</x:v>
      </x:c>
      <x:c r="AD6" s="18" t="n">
        <x:f>IF(H6="Mean/SD",M6-S6,IF(H6="Events/total",IFERROR((R6/K6)/(X6/L6),""),""))</x:f>
        <x:v>-15.2</x:v>
      </x:c>
      <x:c r="AE6" s="18" t="str">
        <x:v>No</x:v>
      </x:c>
      <x:c r="AF6" s="18" t="str">
        <x:v>No</x:v>
      </x:c>
      <x:c r="AG6" s="18" t="str">
        <x:v>Usable as published PCA-morphine endpoint; not complete all-opioid 0-24 h exposure</x:v>
      </x:c>
      <x:c r="AH6" s="18" t="str">
        <x:v>Yes</x:v>
      </x:c>
      <x:c r="AI6" s="18" t="str">
        <x:v>First postoperative hour could include IM pethidine; group-specific pethidine exposure not reported</x:v>
      </x:c>
      <x:c r="AJ6" s="18" t="str">
        <x:v>Table 2</x:v>
      </x:c>
      <x:c r="AK6" s="18" t="str">
        <x:v>https://drive.google.com/file/d/1Q5dNOPkf4PB_ctbHu1_3v3UIMIJzKRw9/view?usp=drivesdk</x:v>
      </x:c>
      <x:c r="AL6" s="18" t="str">
        <x:v>SOURCE-VERIFIED</x:v>
      </x:c>
    </x:row>
    <x:row r="7">
      <x:c r="A7" s="18" t="str">
        <x:v>Lin 2002</x:v>
      </x:c>
      <x:c r="B7" s="18" t="str">
        <x:v>LIN02_LOW_vs_SHAM</x:v>
      </x:c>
      <x:c r="C7" s="18" t="str">
        <x:v>2-Hz EA</x:v>
      </x:c>
      <x:c r="D7" s="18" t="str">
        <x:v>Sham EA</x:v>
      </x:c>
      <x:c r="E7" s="18" t="str">
        <x:v>Opioid consumption</x:v>
      </x:c>
      <x:c r="F7" s="18" t="str">
        <x:v>Cumulative IV PCA morphine delivered during postoperative test period</x:v>
      </x:c>
      <x:c r="G7" s="18" t="str">
        <x:v>Postoperative hour 1 through next 23 h (published as 24-h test-period value)</x:v>
      </x:c>
      <x:c r="H7" s="18" t="str">
        <x:v>Mean/SD</x:v>
      </x:c>
      <x:c r="I7" s="18" t="n">
        <x:v>25</x:v>
      </x:c>
      <x:c r="J7" s="18" t="n">
        <x:v>25</x:v>
      </x:c>
      <x:c r="K7" s="18" t="n">
        <x:v>25</x:v>
      </x:c>
      <x:c r="L7" s="18" t="n">
        <x:v>25</x:v>
      </x:c>
      <x:c r="M7" s="18" t="n">
        <x:v>21.8</x:v>
      </x:c>
      <x:c r="N7" s="18" t="n">
        <x:v>14.7</x:v>
      </x:c>
      <x:c r="O7" s="18"/>
      <x:c r="P7" s="18"/>
      <x:c r="Q7" s="18"/>
      <x:c r="R7" s="18"/>
      <x:c r="S7" s="18" t="n">
        <x:v>30.2</x:v>
      </x:c>
      <x:c r="T7" s="18" t="n">
        <x:v>14.4</x:v>
      </x:c>
      <x:c r="U7" s="18"/>
      <x:c r="V7" s="18"/>
      <x:c r="W7" s="18"/>
      <x:c r="X7" s="18"/>
      <x:c r="Y7" s="18" t="str">
        <x:v>mg morphine</x:v>
      </x:c>
      <x:c r="Z7" s="18" t="str"/>
      <x:c r="AA7" s="18" t="str">
        <x:v>Yes</x:v>
      </x:c>
      <x:c r="AB7" s="18" t="str">
        <x:v>No</x:v>
      </x:c>
      <x:c r="AC7" s="18" t="str">
        <x:f>IF(H7="Mean/SD","MD",IF(H7="Events/total","RR",""))</x:f>
        <x:v>MD</x:v>
      </x:c>
      <x:c r="AD7" s="18" t="n">
        <x:f>IF(H7="Mean/SD",M7-S7,IF(H7="Events/total",IFERROR((R7/K7)/(X7/L7),""),""))</x:f>
        <x:v>-8.399999999999999</x:v>
      </x:c>
      <x:c r="AE7" s="18" t="str">
        <x:v>No</x:v>
      </x:c>
      <x:c r="AF7" s="18" t="str">
        <x:v>No</x:v>
      </x:c>
      <x:c r="AG7" s="18" t="str">
        <x:v>Usable as published PCA-morphine endpoint; not complete all-opioid 0-24 h exposure</x:v>
      </x:c>
      <x:c r="AH7" s="18" t="str">
        <x:v>Yes</x:v>
      </x:c>
      <x:c r="AI7" s="18" t="str">
        <x:v>First postoperative hour could include IM pethidine; group-specific pethidine exposure not reported</x:v>
      </x:c>
      <x:c r="AJ7" s="18" t="str">
        <x:v>Table 2</x:v>
      </x:c>
      <x:c r="AK7" s="18" t="str">
        <x:v>https://drive.google.com/file/d/1Q5dNOPkf4PB_ctbHu1_3v3UIMIJzKRw9/view?usp=drivesdk</x:v>
      </x:c>
      <x:c r="AL7" s="18" t="str">
        <x:v>SOURCE-VERIFIED</x:v>
      </x:c>
    </x:row>
    <x:row r="8">
      <x:c r="A8" s="18" t="str">
        <x:v>Yao 2015</x:v>
      </x:c>
      <x:c r="B8" s="18" t="str">
        <x:v>YAO15_TEAS_vs_CONTROL</x:v>
      </x:c>
      <x:c r="C8" s="18" t="str">
        <x:v>Preoperative TEAS</x:v>
      </x:c>
      <x:c r="D8" s="18" t="str">
        <x:v>Control/no current</x:v>
      </x:c>
      <x:c r="E8" s="18" t="str">
        <x:v>Quality of recovery</x:v>
      </x:c>
      <x:c r="F8" s="18" t="str">
        <x:v>Global QoR-40</x:v>
      </x:c>
      <x:c r="G8" s="18" t="str">
        <x:v>24 h postoperatively</x:v>
      </x:c>
      <x:c r="H8" s="18" t="str">
        <x:v>Mean/SD</x:v>
      </x:c>
      <x:c r="I8" s="18" t="n">
        <x:v>37</x:v>
      </x:c>
      <x:c r="J8" s="18" t="n">
        <x:v>37</x:v>
      </x:c>
      <x:c r="K8" s="18" t="n">
        <x:v>35</x:v>
      </x:c>
      <x:c r="L8" s="18" t="n">
        <x:v>36</x:v>
      </x:c>
      <x:c r="M8" s="18" t="n">
        <x:v>176.5</x:v>
      </x:c>
      <x:c r="N8" s="18" t="n">
        <x:v>10.2</x:v>
      </x:c>
      <x:c r="O8" s="18"/>
      <x:c r="P8" s="18"/>
      <x:c r="Q8" s="18"/>
      <x:c r="R8" s="18"/>
      <x:c r="S8" s="18" t="n">
        <x:v>164.8</x:v>
      </x:c>
      <x:c r="T8" s="18" t="n">
        <x:v>14.7</x:v>
      </x:c>
      <x:c r="U8" s="18"/>
      <x:c r="V8" s="18"/>
      <x:c r="W8" s="18"/>
      <x:c r="X8" s="18"/>
      <x:c r="Y8" s="18" t="str">
        <x:v>QoR-40 points</x:v>
      </x:c>
      <x:c r="Z8" s="18" t="str">
        <x:v>&lt;0.001</x:v>
      </x:c>
      <x:c r="AA8" s="18" t="str">
        <x:v>Yes</x:v>
      </x:c>
      <x:c r="AB8" s="18" t="str">
        <x:v>No</x:v>
      </x:c>
      <x:c r="AC8" s="18" t="str">
        <x:f>IF(H8="Mean/SD","MD",IF(H8="Events/total","RR",""))</x:f>
        <x:v>MD</x:v>
      </x:c>
      <x:c r="AD8" s="18" t="n">
        <x:f>IF(H8="Mean/SD",M8-S8,IF(H8="Events/total",IFERROR((R8/K8)/(X8/L8),""),""))</x:f>
        <x:v>11.699999999999989</x:v>
      </x:c>
      <x:c r="AE8" s="18" t="str">
        <x:v>No</x:v>
      </x:c>
      <x:c r="AF8" s="18" t="str">
        <x:v>No</x:v>
      </x:c>
      <x:c r="AG8" s="18" t="str">
        <x:v>Eligible for QoR meta-analysis</x:v>
      </x:c>
      <x:c r="AH8" s="18" t="str">
        <x:v>No</x:v>
      </x:c>
      <x:c r="AI8" s="18" t="str">
        <x:v>3 post-randomization exclusions; active sensory stimulation vs zero-current control</x:v>
      </x:c>
      <x:c r="AJ8" s="18" t="str">
        <x:v>24-h QoR-40 result</x:v>
      </x:c>
      <x:c r="AK8" s="18" t="str">
        <x:v>https://drive.google.com/file/d/1OhcqPgP7chnaiBaZBPBAy4PQlSFMelfh/view?usp=drivesdk</x:v>
      </x:c>
      <x:c r="AL8" s="18" t="str">
        <x:v>SOURCE-VERIFIED</x:v>
      </x:c>
    </x:row>
    <x:row r="9">
      <x:c r="A9" s="18" t="str">
        <x:v>Yu 2020</x:v>
      </x:c>
      <x:c r="B9" s="18" t="str">
        <x:v>YU20_TEAS_vs_CONTROL</x:v>
      </x:c>
      <x:c r="C9" s="18" t="str">
        <x:v>Preoperative TEAS</x:v>
      </x:c>
      <x:c r="D9" s="18" t="str">
        <x:v>Control/no current</x:v>
      </x:c>
      <x:c r="E9" s="18" t="str">
        <x:v>Quality of recovery</x:v>
      </x:c>
      <x:c r="F9" s="18" t="str">
        <x:v>Global QoR-40</x:v>
      </x:c>
      <x:c r="G9" s="18" t="str">
        <x:v>Postoperative day 1 (~24 h)</x:v>
      </x:c>
      <x:c r="H9" s="18" t="str">
        <x:v>Mean/SD</x:v>
      </x:c>
      <x:c r="I9" s="18" t="n">
        <x:v>30</x:v>
      </x:c>
      <x:c r="J9" s="18" t="n">
        <x:v>30</x:v>
      </x:c>
      <x:c r="K9" s="18" t="n">
        <x:v>30</x:v>
      </x:c>
      <x:c r="L9" s="18" t="n">
        <x:v>30</x:v>
      </x:c>
      <x:c r="M9" s="18" t="n">
        <x:v>175.33</x:v>
      </x:c>
      <x:c r="N9" s="18" t="n">
        <x:v>9.66</x:v>
      </x:c>
      <x:c r="O9" s="18"/>
      <x:c r="P9" s="18"/>
      <x:c r="Q9" s="18"/>
      <x:c r="R9" s="18"/>
      <x:c r="S9" s="18" t="n">
        <x:v>166.07</x:v>
      </x:c>
      <x:c r="T9" s="18" t="n">
        <x:v>8.44</x:v>
      </x:c>
      <x:c r="U9" s="18"/>
      <x:c r="V9" s="18"/>
      <x:c r="W9" s="18"/>
      <x:c r="X9" s="18"/>
      <x:c r="Y9" s="18" t="str">
        <x:v>QoR-40 points</x:v>
      </x:c>
      <x:c r="Z9" s="18" t="str">
        <x:v>0.040</x:v>
      </x:c>
      <x:c r="AA9" s="18" t="str">
        <x:v>Yes</x:v>
      </x:c>
      <x:c r="AB9" s="18" t="str">
        <x:v>No</x:v>
      </x:c>
      <x:c r="AC9" s="18" t="str">
        <x:f>IF(H9="Mean/SD","MD",IF(H9="Events/total","RR",""))</x:f>
        <x:v>MD</x:v>
      </x:c>
      <x:c r="AD9" s="18" t="n">
        <x:f>IF(H9="Mean/SD",M9-S9,IF(H9="Events/total",IFERROR((R9/K9)/(X9/L9),""),""))</x:f>
        <x:v>9.26000000000002</x:v>
      </x:c>
      <x:c r="AE9" s="18" t="str">
        <x:v>No</x:v>
      </x:c>
      <x:c r="AF9" s="18" t="str">
        <x:v>No</x:v>
      </x:c>
      <x:c r="AG9" s="18" t="str">
        <x:v>Eligible for QoR meta-analysis</x:v>
      </x:c>
      <x:c r="AH9" s="18" t="str">
        <x:v>No</x:v>
      </x:c>
      <x:c r="AI9" s="18" t="str">
        <x:v>Retrospective registration; article has internal intervention-parameter discrepancy</x:v>
      </x:c>
      <x:c r="AJ9" s="18" t="str">
        <x:v>POD1 QoR-40 result</x:v>
      </x:c>
      <x:c r="AK9" s="18" t="str">
        <x:v>https://drive.google.com/file/d/1fXpHc9FzhpPCkXto8c5lfcLoA3ROdOEz/view?usp=drivesdk</x:v>
      </x:c>
      <x:c r="AL9" s="18" t="str">
        <x:v>SOURCE-VERIFIED</x:v>
      </x:c>
    </x:row>
    <x:row r="10">
      <x:c r="A10" s="18" t="str">
        <x:v>Pan 2023</x:v>
      </x:c>
      <x:c r="B10" s="18" t="str">
        <x:v>PAN23_TEAS_vs_CONTROL</x:v>
      </x:c>
      <x:c r="C10" s="18" t="str">
        <x:v>TEAS</x:v>
      </x:c>
      <x:c r="D10" s="18" t="str">
        <x:v>Control/usual care</x:v>
      </x:c>
      <x:c r="E10" s="18" t="str">
        <x:v>GI recovery</x:v>
      </x:c>
      <x:c r="F10" s="18" t="str">
        <x:v>Time to first postoperative flatus</x:v>
      </x:c>
      <x:c r="G10" s="18" t="str">
        <x:v>Postoperative recovery endpoint</x:v>
      </x:c>
      <x:c r="H10" s="18" t="str">
        <x:v>Median/IQR</x:v>
      </x:c>
      <x:c r="I10" s="18" t="n">
        <x:v>60</x:v>
      </x:c>
      <x:c r="J10" s="18" t="n">
        <x:v>60</x:v>
      </x:c>
      <x:c r="K10" s="18" t="n">
        <x:v>52</x:v>
      </x:c>
      <x:c r="L10" s="18" t="n">
        <x:v>53</x:v>
      </x:c>
      <x:c r="M10" s="18"/>
      <x:c r="N10" s="18"/>
      <x:c r="O10" s="18" t="n">
        <x:v>1020</x:v>
      </x:c>
      <x:c r="P10" s="18" t="n">
        <x:v>675.8</x:v>
      </x:c>
      <x:c r="Q10" s="18" t="n">
        <x:v>1278</x:v>
      </x:c>
      <x:c r="R10" s="18"/>
      <x:c r="S10" s="18"/>
      <x:c r="T10" s="18"/>
      <x:c r="U10" s="18" t="n">
        <x:v>1210</x:v>
      </x:c>
      <x:c r="V10" s="18" t="n">
        <x:v>896.5</x:v>
      </x:c>
      <x:c r="W10" s="18" t="n">
        <x:v>1427</x:v>
      </x:c>
      <x:c r="X10" s="18"/>
      <x:c r="Y10" s="18" t="str">
        <x:v>minutes</x:v>
      </x:c>
      <x:c r="Z10" s="18" t="str">
        <x:v>0.01</x:v>
      </x:c>
      <x:c r="AA10" s="18" t="str">
        <x:v>Yes</x:v>
      </x:c>
      <x:c r="AB10" s="18" t="str">
        <x:v>No</x:v>
      </x:c>
      <x:c r="AC10" s="18" t="str">
        <x:f>IF(H10="Mean/SD","MD",IF(H10="Events/total","RR",""))</x:f>
      </x:c>
      <x:c r="AD10" s="18" t="str">
        <x:f>IF(H10="Mean/SD",M10-S10,IF(H10="Events/total",IFERROR((R10/K10)/(X10/L10),""),""))</x:f>
      </x:c>
      <x:c r="AE10" s="18" t="str">
        <x:v>No</x:v>
      </x:c>
      <x:c r="AF10" s="18" t="str">
        <x:v>No</x:v>
      </x:c>
      <x:c r="AG10" s="18" t="str">
        <x:v>Eligible for GI analysis using nonparametric/prespecified conversion method only</x:v>
      </x:c>
      <x:c r="AH10" s="18" t="str">
        <x:v>No</x:v>
      </x:c>
      <x:c r="AI10" s="18" t="str">
        <x:v>15/120 excluded after randomization; do not relabel median/IQR as mean/SD</x:v>
      </x:c>
      <x:c r="AJ10" s="18" t="str">
        <x:v>Postoperative recovery table</x:v>
      </x:c>
      <x:c r="AK10" s="18" t="str">
        <x:v>https://drive.google.com/file/d/19IZpaoI-iTQOr_XOTw-a17WTw_haz8q6/view?usp=drivesdk</x:v>
      </x:c>
      <x:c r="AL10" s="18" t="str">
        <x:v>SOURCE-VERIFIED</x:v>
      </x:c>
    </x:row>
    <x:row r="11">
      <x:c r="A11" s="18" t="str">
        <x:v>Chen 1998</x:v>
      </x:c>
      <x:c r="B11" s="18" t="str">
        <x:v>CHEN98_NONACU_vs_SHAM</x:v>
      </x:c>
      <x:c r="C11" s="18" t="str">
        <x:v>Active nonacupoint shoulder TENS</x:v>
      </x:c>
      <x:c r="D11" s="18" t="str">
        <x:v>Sham ST36 TENS (0 mA)</x:v>
      </x:c>
      <x:c r="E11" s="18" t="str">
        <x:v>Opioid consumption</x:v>
      </x:c>
      <x:c r="F11" s="18" t="str">
        <x:v>Cumulative IV PCA hydromorphone</x:v>
      </x:c>
      <x:c r="G11" s="18" t="str">
        <x:v>First 24 h postoperatively</x:v>
      </x:c>
      <x:c r="H11" s="18" t="str">
        <x:v>Mean/SD</x:v>
      </x:c>
      <x:c r="I11" s="18" t="n">
        <x:v>25</x:v>
      </x:c>
      <x:c r="J11" s="18" t="n">
        <x:v>25</x:v>
      </x:c>
      <x:c r="K11" s="18" t="n">
        <x:v>25</x:v>
      </x:c>
      <x:c r="L11" s="18" t="n">
        <x:v>25</x:v>
      </x:c>
      <x:c r="M11" s="18" t="n">
        <x:v>10.5</x:v>
      </x:c>
      <x:c r="N11" s="18" t="n">
        <x:v>6.2</x:v>
      </x:c>
      <x:c r="O11" s="18"/>
      <x:c r="P11" s="18"/>
      <x:c r="Q11" s="18"/>
      <x:c r="R11" s="18"/>
      <x:c r="S11" s="18" t="n">
        <x:v>10.7</x:v>
      </x:c>
      <x:c r="T11" s="18" t="n">
        <x:v>5</x:v>
      </x:c>
      <x:c r="U11" s="18"/>
      <x:c r="V11" s="18"/>
      <x:c r="W11" s="18"/>
      <x:c r="X11" s="18"/>
      <x:c r="Y11" s="18" t="str">
        <x:v>mg hydromorphone</x:v>
      </x:c>
      <x:c r="Z11" s="18" t="str"/>
      <x:c r="AA11" s="18" t="str">
        <x:v>Yes</x:v>
      </x:c>
      <x:c r="AB11" s="18" t="str">
        <x:v>No</x:v>
      </x:c>
      <x:c r="AC11" s="18" t="str">
        <x:f>IF(H11="Mean/SD","MD",IF(H11="Events/total","RR",""))</x:f>
        <x:v>MD</x:v>
      </x:c>
      <x:c r="AD11" s="18" t="n">
        <x:f>IF(H11="Mean/SD",M11-S11,IF(H11="Events/total",IFERROR((R11/K11)/(X11/L11),""),""))</x:f>
        <x:v>-0.1999999999999993</x:v>
      </x:c>
      <x:c r="AE11" s="18" t="str">
        <x:v>Yes</x:v>
      </x:c>
      <x:c r="AF11" s="18" t="str">
        <x:v>Yes</x:v>
      </x:c>
      <x:c r="AG11" s="18" t="str">
        <x:v>Eligible for 24-h opioid analysis after prespecified opioid/MME conversion</x:v>
      </x:c>
      <x:c r="AH11" s="18" t="str">
        <x:v>Yes</x:v>
      </x:c>
      <x:c r="AI11" s="18" t="str">
        <x:v>Four-arm RCT; shared sham control must be handled correctly</x:v>
      </x:c>
      <x:c r="AJ11" s="18" t="str">
        <x:v>Table 2 / first-24-h hydromorphone</x:v>
      </x:c>
      <x:c r="AK11" s="18" t="str">
        <x:v>https://drive.google.com/file/d/1lUyYj9aN1CL9RpY86ZY0970To83Kb17s/view?usp=drivesdk</x:v>
      </x:c>
      <x:c r="AL11" s="18" t="str">
        <x:v>SOURCE-VERIFIED</x:v>
      </x:c>
    </x:row>
    <x:row r="12">
      <x:c r="A12" s="18" t="str">
        <x:v>Chen 1998</x:v>
      </x:c>
      <x:c r="B12" s="18" t="str">
        <x:v>CHEN98_DERM_vs_SHAM</x:v>
      </x:c>
      <x:c r="C12" s="18" t="str">
        <x:v>Active dermatomal/peri-incisional TENS</x:v>
      </x:c>
      <x:c r="D12" s="18" t="str">
        <x:v>Sham ST36 TENS (0 mA)</x:v>
      </x:c>
      <x:c r="E12" s="18" t="str">
        <x:v>Opioid consumption</x:v>
      </x:c>
      <x:c r="F12" s="18" t="str">
        <x:v>Cumulative IV PCA hydromorphone</x:v>
      </x:c>
      <x:c r="G12" s="18" t="str">
        <x:v>First 24 h postoperatively</x:v>
      </x:c>
      <x:c r="H12" s="18" t="str">
        <x:v>Mean/SD</x:v>
      </x:c>
      <x:c r="I12" s="18" t="n">
        <x:v>25</x:v>
      </x:c>
      <x:c r="J12" s="18" t="n">
        <x:v>25</x:v>
      </x:c>
      <x:c r="K12" s="18" t="n">
        <x:v>25</x:v>
      </x:c>
      <x:c r="L12" s="18" t="n">
        <x:v>25</x:v>
      </x:c>
      <x:c r="M12" s="18" t="n">
        <x:v>6.8</x:v>
      </x:c>
      <x:c r="N12" s="18" t="n">
        <x:v>4.2</x:v>
      </x:c>
      <x:c r="O12" s="18"/>
      <x:c r="P12" s="18"/>
      <x:c r="Q12" s="18"/>
      <x:c r="R12" s="18"/>
      <x:c r="S12" s="18" t="n">
        <x:v>10.7</x:v>
      </x:c>
      <x:c r="T12" s="18" t="n">
        <x:v>5</x:v>
      </x:c>
      <x:c r="U12" s="18"/>
      <x:c r="V12" s="18"/>
      <x:c r="W12" s="18"/>
      <x:c r="X12" s="18"/>
      <x:c r="Y12" s="18" t="str">
        <x:v>mg hydromorphone</x:v>
      </x:c>
      <x:c r="Z12" s="18" t="str"/>
      <x:c r="AA12" s="18" t="str">
        <x:v>Yes</x:v>
      </x:c>
      <x:c r="AB12" s="18" t="str">
        <x:v>No</x:v>
      </x:c>
      <x:c r="AC12" s="18" t="str">
        <x:f>IF(H12="Mean/SD","MD",IF(H12="Events/total","RR",""))</x:f>
        <x:v>MD</x:v>
      </x:c>
      <x:c r="AD12" s="18" t="n">
        <x:f>IF(H12="Mean/SD",M12-S12,IF(H12="Events/total",IFERROR((R12/K12)/(X12/L12),""),""))</x:f>
        <x:v>-3.8999999999999995</x:v>
      </x:c>
      <x:c r="AE12" s="18" t="str">
        <x:v>Yes</x:v>
      </x:c>
      <x:c r="AF12" s="18" t="str">
        <x:v>Yes</x:v>
      </x:c>
      <x:c r="AG12" s="18" t="str">
        <x:v>Eligible for 24-h opioid analysis after prespecified opioid/MME conversion</x:v>
      </x:c>
      <x:c r="AH12" s="18" t="str">
        <x:v>Yes</x:v>
      </x:c>
      <x:c r="AI12" s="18" t="str">
        <x:v>Four-arm RCT; shared sham control must be handled correctly</x:v>
      </x:c>
      <x:c r="AJ12" s="18" t="str">
        <x:v>Table 2 / first-24-h hydromorphone</x:v>
      </x:c>
      <x:c r="AK12" s="18" t="str">
        <x:v>https://drive.google.com/file/d/1lUyYj9aN1CL9RpY86ZY0970To83Kb17s/view?usp=drivesdk</x:v>
      </x:c>
      <x:c r="AL12" s="18" t="str">
        <x:v>SOURCE-VERIFIED</x:v>
      </x:c>
    </x:row>
    <x:row r="13">
      <x:c r="A13" s="18" t="str">
        <x:v>Chen 1998</x:v>
      </x:c>
      <x:c r="B13" s="18" t="str">
        <x:v>CHEN98_ACU_vs_SHAM</x:v>
      </x:c>
      <x:c r="C13" s="18" t="str">
        <x:v>Active ST36 acupoint TENS</x:v>
      </x:c>
      <x:c r="D13" s="18" t="str">
        <x:v>Sham ST36 TENS (0 mA)</x:v>
      </x:c>
      <x:c r="E13" s="18" t="str">
        <x:v>Opioid consumption</x:v>
      </x:c>
      <x:c r="F13" s="18" t="str">
        <x:v>Cumulative IV PCA hydromorphone</x:v>
      </x:c>
      <x:c r="G13" s="18" t="str">
        <x:v>First 24 h postoperatively</x:v>
      </x:c>
      <x:c r="H13" s="18" t="str">
        <x:v>Mean/SD</x:v>
      </x:c>
      <x:c r="I13" s="18" t="n">
        <x:v>25</x:v>
      </x:c>
      <x:c r="J13" s="18" t="n">
        <x:v>25</x:v>
      </x:c>
      <x:c r="K13" s="18" t="n">
        <x:v>25</x:v>
      </x:c>
      <x:c r="L13" s="18" t="n">
        <x:v>25</x:v>
      </x:c>
      <x:c r="M13" s="18" t="n">
        <x:v>6.5</x:v>
      </x:c>
      <x:c r="N13" s="18" t="n">
        <x:v>3.5</x:v>
      </x:c>
      <x:c r="O13" s="18"/>
      <x:c r="P13" s="18"/>
      <x:c r="Q13" s="18"/>
      <x:c r="R13" s="18"/>
      <x:c r="S13" s="18" t="n">
        <x:v>10.7</x:v>
      </x:c>
      <x:c r="T13" s="18" t="n">
        <x:v>5</x:v>
      </x:c>
      <x:c r="U13" s="18"/>
      <x:c r="V13" s="18"/>
      <x:c r="W13" s="18"/>
      <x:c r="X13" s="18"/>
      <x:c r="Y13" s="18" t="str">
        <x:v>mg hydromorphone</x:v>
      </x:c>
      <x:c r="Z13" s="18" t="str"/>
      <x:c r="AA13" s="18" t="str">
        <x:v>Yes</x:v>
      </x:c>
      <x:c r="AB13" s="18" t="str">
        <x:v>No</x:v>
      </x:c>
      <x:c r="AC13" s="18" t="str">
        <x:f>IF(H13="Mean/SD","MD",IF(H13="Events/total","RR",""))</x:f>
        <x:v>MD</x:v>
      </x:c>
      <x:c r="AD13" s="18" t="n">
        <x:f>IF(H13="Mean/SD",M13-S13,IF(H13="Events/total",IFERROR((R13/K13)/(X13/L13),""),""))</x:f>
        <x:v>-4.199999999999999</x:v>
      </x:c>
      <x:c r="AE13" s="18" t="str">
        <x:v>Yes</x:v>
      </x:c>
      <x:c r="AF13" s="18" t="str">
        <x:v>Yes</x:v>
      </x:c>
      <x:c r="AG13" s="18" t="str">
        <x:v>Eligible for 24-h opioid analysis after prespecified opioid/MME conversion</x:v>
      </x:c>
      <x:c r="AH13" s="18" t="str">
        <x:v>Yes</x:v>
      </x:c>
      <x:c r="AI13" s="18" t="str">
        <x:v>Four-arm RCT; shared sham control must be handled correctly</x:v>
      </x:c>
      <x:c r="AJ13" s="18" t="str">
        <x:v>Table 2 / first-24-h hydromorphone</x:v>
      </x:c>
      <x:c r="AK13" s="18" t="str">
        <x:v>https://drive.google.com/file/d/1lUyYj9aN1CL9RpY86ZY0970To83Kb17s/view?usp=drivesdk</x:v>
      </x:c>
      <x:c r="AL13" s="18" t="str">
        <x:v>SOURCE-VERIFIED</x:v>
      </x:c>
    </x:row>
    <x:row r="14">
      <x:c r="A14" s="18" t="str">
        <x:v>Chen 2020</x:v>
      </x:c>
      <x:c r="B14" s="18" t="str">
        <x:v>CHEN20_TEAS_vs_SHAM</x:v>
      </x:c>
      <x:c r="C14" s="18" t="str">
        <x:v>Perioperative TEAS</x:v>
      </x:c>
      <x:c r="D14" s="18" t="str">
        <x:v>Sham low/zero-current protocol</x:v>
      </x:c>
      <x:c r="E14" s="18" t="str">
        <x:v>Opioid consumption</x:v>
      </x:c>
      <x:c r="F14" s="18" t="str">
        <x:v>Cumulative sufentanil</x:v>
      </x:c>
      <x:c r="G14" s="18" t="str">
        <x:v>24 h postoperatively</x:v>
      </x:c>
      <x:c r="H14" s="18" t="str">
        <x:v>Mean/SD</x:v>
      </x:c>
      <x:c r="I14" s="18" t="n">
        <x:v>40</x:v>
      </x:c>
      <x:c r="J14" s="18" t="n">
        <x:v>40</x:v>
      </x:c>
      <x:c r="K14" s="18" t="n">
        <x:v>40</x:v>
      </x:c>
      <x:c r="L14" s="18" t="n">
        <x:v>40</x:v>
      </x:c>
      <x:c r="M14" s="18" t="n">
        <x:v>72.43</x:v>
      </x:c>
      <x:c r="N14" s="18" t="n">
        <x:v>4.78</x:v>
      </x:c>
      <x:c r="O14" s="18"/>
      <x:c r="P14" s="18"/>
      <x:c r="Q14" s="18"/>
      <x:c r="R14" s="18"/>
      <x:c r="S14" s="18" t="n">
        <x:v>100.62</x:v>
      </x:c>
      <x:c r="T14" s="18" t="n">
        <x:v>10.2</x:v>
      </x:c>
      <x:c r="U14" s="18"/>
      <x:c r="V14" s="18"/>
      <x:c r="W14" s="18"/>
      <x:c r="X14" s="18"/>
      <x:c r="Y14" s="18" t="str">
        <x:v>µg sufentanil</x:v>
      </x:c>
      <x:c r="Z14" s="18" t="str"/>
      <x:c r="AA14" s="18" t="str">
        <x:v>Yes</x:v>
      </x:c>
      <x:c r="AB14" s="18" t="str">
        <x:v>No</x:v>
      </x:c>
      <x:c r="AC14" s="18" t="str">
        <x:f>IF(H14="Mean/SD","MD",IF(H14="Events/total","RR",""))</x:f>
        <x:v>MD</x:v>
      </x:c>
      <x:c r="AD14" s="18" t="n">
        <x:f>IF(H14="Mean/SD",M14-S14,IF(H14="Events/total",IFERROR((R14/K14)/(X14/L14),""),""))</x:f>
        <x:v>-28.189999999999998</x:v>
      </x:c>
      <x:c r="AE14" s="18" t="str">
        <x:v>Yes</x:v>
      </x:c>
      <x:c r="AF14" s="18" t="str">
        <x:v>Yes</x:v>
      </x:c>
      <x:c r="AG14" s="18" t="str">
        <x:v>Eligible for 24-h opioid analysis after prespecified opioid/MME conversion</x:v>
      </x:c>
      <x:c r="AH14" s="18" t="str">
        <x:v>No</x:v>
      </x:c>
      <x:c r="AI14" s="18" t="str">
        <x:v>Sham was 4 mA pre/postoperatively but 0 mA intraoperatively; preserve this nuance</x:v>
      </x:c>
      <x:c r="AJ14" s="18" t="str">
        <x:v>Cumulative sufentanil result</x:v>
      </x:c>
      <x:c r="AK14" s="18" t="str">
        <x:v>https://drive.google.com/file/d/1y0_cC1NCl5g2vYxDMOtYmxVA_YEE-rsR/view?usp=drivesdk</x:v>
      </x:c>
      <x:c r="AL14" s="18" t="str">
        <x:v>SOURCE-VERIFIED</x:v>
      </x:c>
    </x:row>
    <x:row r="15">
      <x:c r="A15" s="18" t="str">
        <x:v>Chen 2020</x:v>
      </x:c>
      <x:c r="B15" s="18" t="str">
        <x:v>CHEN20_TEAS_vs_SHAM_VAS</x:v>
      </x:c>
      <x:c r="C15" s="18" t="str">
        <x:v>Perioperative TEAS</x:v>
      </x:c>
      <x:c r="D15" s="18" t="str">
        <x:v>Sham low/zero-current protocol</x:v>
      </x:c>
      <x:c r="E15" s="18" t="str">
        <x:v>Pain</x:v>
      </x:c>
      <x:c r="F15" s="18" t="str">
        <x:v>VAS pain intensity</x:v>
      </x:c>
      <x:c r="G15" s="18" t="str">
        <x:v>24 h postoperatively</x:v>
      </x:c>
      <x:c r="H15" s="18" t="str">
        <x:v>Mean/SD</x:v>
      </x:c>
      <x:c r="I15" s="18" t="n">
        <x:v>40</x:v>
      </x:c>
      <x:c r="J15" s="18" t="n">
        <x:v>40</x:v>
      </x:c>
      <x:c r="K15" s="18" t="n">
        <x:v>40</x:v>
      </x:c>
      <x:c r="L15" s="18" t="n">
        <x:v>40</x:v>
      </x:c>
      <x:c r="M15" s="18" t="n">
        <x:v>2.91</x:v>
      </x:c>
      <x:c r="N15" s="18" t="n">
        <x:v>0.2</x:v>
      </x:c>
      <x:c r="O15" s="18"/>
      <x:c r="P15" s="18"/>
      <x:c r="Q15" s="18"/>
      <x:c r="R15" s="18"/>
      <x:c r="S15" s="18" t="n">
        <x:v>5.97</x:v>
      </x:c>
      <x:c r="T15" s="18" t="n">
        <x:v>0.56</x:v>
      </x:c>
      <x:c r="U15" s="18"/>
      <x:c r="V15" s="18"/>
      <x:c r="W15" s="18"/>
      <x:c r="X15" s="18"/>
      <x:c r="Y15" s="18" t="str">
        <x:v>VAS 0-10</x:v>
      </x:c>
      <x:c r="Z15" s="18" t="str"/>
      <x:c r="AA15" s="18" t="str">
        <x:v>Yes</x:v>
      </x:c>
      <x:c r="AB15" s="18" t="str">
        <x:v>No</x:v>
      </x:c>
      <x:c r="AC15" s="18" t="str">
        <x:f>IF(H15="Mean/SD","MD",IF(H15="Events/total","RR",""))</x:f>
        <x:v>MD</x:v>
      </x:c>
      <x:c r="AD15" s="18" t="n">
        <x:f>IF(H15="Mean/SD",M15-S15,IF(H15="Events/total",IFERROR((R15/K15)/(X15/L15),""),""))</x:f>
        <x:v>-3.0599999999999996</x:v>
      </x:c>
      <x:c r="AE15" s="18" t="str">
        <x:v>No</x:v>
      </x:c>
      <x:c r="AF15" s="18" t="str">
        <x:v>No</x:v>
      </x:c>
      <x:c r="AG15" s="18" t="str">
        <x:v>Eligible for 24-h pain meta-analysis</x:v>
      </x:c>
      <x:c r="AH15" s="18" t="str">
        <x:v>No</x:v>
      </x:c>
      <x:c r="AI15" s="18" t="str">
        <x:v>Patient blinding adequacy depends on sensory contrast of sham protocol</x:v>
      </x:c>
      <x:c r="AJ15" s="18" t="str">
        <x:v>24-h VAS result</x:v>
      </x:c>
      <x:c r="AK15" s="18" t="str">
        <x:v>https://drive.google.com/file/d/1y0_cC1NCl5g2vYxDMOtYmxVA_YEE-rsR/view?usp=drivesdk</x:v>
      </x:c>
      <x:c r="AL15" s="18" t="str">
        <x:v>SOURCE-VERIFIED</x:v>
      </x:c>
    </x:row>
    <x:row r="16">
      <x:c r="A16" s="18" t="str">
        <x:v>Coura 2011</x:v>
      </x:c>
      <x:c r="B16" s="18" t="str">
        <x:v>COURA11_EA_vs_SHAM</x:v>
      </x:c>
      <x:c r="C16" s="18" t="str">
        <x:v>Preoperative EA</x:v>
      </x:c>
      <x:c r="D16" s="18" t="str">
        <x:v>Sham stimulation</x:v>
      </x:c>
      <x:c r="E16" s="18" t="str">
        <x:v>Opioid consumption</x:v>
      </x:c>
      <x:c r="F16" s="18" t="str">
        <x:v>Cumulative fentanyl</x:v>
      </x:c>
      <x:c r="G16" s="18" t="str">
        <x:v>First 24 h postoperatively</x:v>
      </x:c>
      <x:c r="H16" s="18" t="str">
        <x:v>Mean/SD</x:v>
      </x:c>
      <x:c r="I16" s="18" t="n">
        <x:v>16</x:v>
      </x:c>
      <x:c r="J16" s="18" t="n">
        <x:v>16</x:v>
      </x:c>
      <x:c r="K16" s="18" t="n">
        <x:v>13</x:v>
      </x:c>
      <x:c r="L16" s="18" t="n">
        <x:v>9</x:v>
      </x:c>
      <x:c r="M16" s="18" t="n">
        <x:v>13.1</x:v>
      </x:c>
      <x:c r="N16" s="18" t="n">
        <x:v>2.2</x:v>
      </x:c>
      <x:c r="O16" s="18"/>
      <x:c r="P16" s="18"/>
      <x:c r="Q16" s="18"/>
      <x:c r="R16" s="18"/>
      <x:c r="S16" s="18" t="n">
        <x:v>16.3</x:v>
      </x:c>
      <x:c r="T16" s="18" t="n">
        <x:v>1.6</x:v>
      </x:c>
      <x:c r="U16" s="18"/>
      <x:c r="V16" s="18"/>
      <x:c r="W16" s="18"/>
      <x:c r="X16" s="18"/>
      <x:c r="Y16" s="18" t="str">
        <x:v>µg/kg fentanyl</x:v>
      </x:c>
      <x:c r="Z16" s="18" t="str"/>
      <x:c r="AA16" s="18" t="str">
        <x:v>Yes</x:v>
      </x:c>
      <x:c r="AB16" s="18" t="str">
        <x:v>No</x:v>
      </x:c>
      <x:c r="AC16" s="18" t="str">
        <x:f>IF(H16="Mean/SD","MD",IF(H16="Events/total","RR",""))</x:f>
        <x:v>MD</x:v>
      </x:c>
      <x:c r="AD16" s="18" t="n">
        <x:f>IF(H16="Mean/SD",M16-S16,IF(H16="Events/total",IFERROR((R16/K16)/(X16/L16),""),""))</x:f>
        <x:v>-3.200000000000001</x:v>
      </x:c>
      <x:c r="AE16" s="18" t="str">
        <x:v>Yes</x:v>
      </x:c>
      <x:c r="AF16" s="18" t="str">
        <x:v>Conditional</x:v>
      </x:c>
      <x:c r="AG16" s="18" t="str">
        <x:v>Potentially eligible after confirming whether discretionary supplemental opioids were included</x:v>
      </x:c>
      <x:c r="AH16" s="18" t="str">
        <x:v>No</x:v>
      </x:c>
      <x:c r="AI16" s="18" t="str">
        <x:v>10/32 post-randomization exclusions; supplemental morphine/fentanyl inclusion unclear</x:v>
      </x:c>
      <x:c r="AJ16" s="18" t="str">
        <x:v>Published cumulative first-24-h fentanyl result</x:v>
      </x:c>
      <x:c r="AK16" s="18" t="str">
        <x:v>https://drive.google.com/file/d/120NJxCmxsdiyqWTXzjmaUWAaVa1i8iZz/view?usp=drivesdk</x:v>
      </x:c>
      <x:c r="AL16" s="18" t="str">
        <x:v>SOURCE-VERIFIED / QC HOLD</x:v>
      </x:c>
    </x:row>
    <x:row r="17">
      <x:c r="A17" s="18" t="str">
        <x:v>Ao 2021</x:v>
      </x:c>
      <x:c r="B17" s="18" t="str">
        <x:v>AO21_TEAS_vs_SHAM_VAS</x:v>
      </x:c>
      <x:c r="C17" s="18" t="str">
        <x:v>TEAS</x:v>
      </x:c>
      <x:c r="D17" s="18" t="str">
        <x:v>Sham/no current</x:v>
      </x:c>
      <x:c r="E17" s="18" t="str">
        <x:v>Pain</x:v>
      </x:c>
      <x:c r="F17" s="18" t="str">
        <x:v>VAS pain intensity</x:v>
      </x:c>
      <x:c r="G17" s="18" t="str">
        <x:v>24 h postoperatively</x:v>
      </x:c>
      <x:c r="H17" s="18" t="str">
        <x:v>Graph-digitized mean/SD</x:v>
      </x:c>
      <x:c r="I17" s="18" t="n">
        <x:v>35</x:v>
      </x:c>
      <x:c r="J17" s="18" t="n">
        <x:v>35</x:v>
      </x:c>
      <x:c r="K17" s="18" t="n">
        <x:v>32</x:v>
      </x:c>
      <x:c r="L17" s="18" t="n">
        <x:v>33</x:v>
      </x:c>
      <x:c r="M17" s="18" t="n">
        <x:v>2.51</x:v>
      </x:c>
      <x:c r="N17" s="18" t="n">
        <x:v>0.49</x:v>
      </x:c>
      <x:c r="O17" s="18"/>
      <x:c r="P17" s="18"/>
      <x:c r="Q17" s="18"/>
      <x:c r="R17" s="18"/>
      <x:c r="S17" s="18" t="n">
        <x:v>2.95</x:v>
      </x:c>
      <x:c r="T17" s="18" t="n">
        <x:v>0.53</x:v>
      </x:c>
      <x:c r="U17" s="18"/>
      <x:c r="V17" s="18"/>
      <x:c r="W17" s="18"/>
      <x:c r="X17" s="18"/>
      <x:c r="Y17" s="18" t="str">
        <x:v>VAS 0-10</x:v>
      </x:c>
      <x:c r="Z17" s="18" t="str"/>
      <x:c r="AA17" s="18" t="str">
        <x:v>No</x:v>
      </x:c>
      <x:c r="AB17" s="18" t="str">
        <x:v>Yes</x:v>
      </x:c>
      <x:c r="AC17" s="18" t="str">
        <x:f>IF(H17="Mean/SD","MD",IF(H17="Events/total","RR",""))</x:f>
      </x:c>
      <x:c r="AD17" s="18" t="str">
        <x:f>IF(H17="Mean/SD",M17-S17,IF(H17="Events/total",IFERROR((R17/K17)/(X17/L17),""),""))</x:f>
      </x:c>
      <x:c r="AE17" s="18" t="str">
        <x:v>No</x:v>
      </x:c>
      <x:c r="AF17" s="18" t="str">
        <x:v>No</x:v>
      </x:c>
      <x:c r="AG17" s="18" t="str">
        <x:v>Needs adjudication/sensitivity analysis before quantitative pooling</x:v>
      </x:c>
      <x:c r="AH17" s="18" t="str">
        <x:v>No</x:v>
      </x:c>
      <x:c r="AI17" s="18" t="str">
        <x:v>Exact values are graph-digitized, not numerically tabulated by authors</x:v>
      </x:c>
      <x:c r="AJ17" s="18" t="str">
        <x:v>Figure-only 24-h VAS</x:v>
      </x:c>
      <x:c r="AK17" s="18" t="str">
        <x:v>https://drive.google.com/file/d/1tNFnY0fJpx53hrtY4DIaE1RsNjE55Xvd/view?usp=drivesdk</x:v>
      </x:c>
      <x:c r="AL17" s="18" t="str">
        <x:v>DERIVED / NEEDS ADJUDICATION</x:v>
      </x:c>
    </x:row>
    <x:row r="18">
      <x:c r="A18" s="18" t="str">
        <x:v>Ao 2021</x:v>
      </x:c>
      <x:c r="B18" s="18" t="str">
        <x:v>AO21_TEAS_vs_SHAM_OPIOID24</x:v>
      </x:c>
      <x:c r="C18" s="18" t="str">
        <x:v>TEAS</x:v>
      </x:c>
      <x:c r="D18" s="18" t="str">
        <x:v>Sham/no current</x:v>
      </x:c>
      <x:c r="E18" s="18" t="str">
        <x:v>Opioid consumption</x:v>
      </x:c>
      <x:c r="F18" s="18" t="str">
        <x:v>Cumulative postoperative sufentanil</x:v>
      </x:c>
      <x:c r="G18" s="18" t="str">
        <x:v>Exact 0-24 h</x:v>
      </x:c>
      <x:c r="H18" s="18" t="str">
        <x:v>Not reported</x:v>
      </x:c>
      <x:c r="I18" s="18" t="n">
        <x:v>35</x:v>
      </x:c>
      <x:c r="J18" s="18" t="n">
        <x:v>35</x:v>
      </x:c>
      <x:c r="K18" s="18" t="n">
        <x:v>32</x:v>
      </x:c>
      <x:c r="L18" s="18" t="n">
        <x:v>33</x:v>
      </x:c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 t="str">
        <x:v>µg sufentanil</x:v>
      </x:c>
      <x:c r="Z18" s="18" t="str"/>
      <x:c r="AA18" s="18" t="str">
        <x:v>No</x:v>
      </x:c>
      <x:c r="AB18" s="18" t="str">
        <x:v>No</x:v>
      </x:c>
      <x:c r="AC18" s="18" t="str">
        <x:f>IF(H18="Mean/SD","MD",IF(H18="Events/total","RR",""))</x:f>
      </x:c>
      <x:c r="AD18" s="18" t="str">
        <x:f>IF(H18="Mean/SD",M18-S18,IF(H18="Events/total",IFERROR((R18/K18)/(X18/L18),""),""))</x:f>
      </x:c>
      <x:c r="AE18" s="18" t="str">
        <x:v>No</x:v>
      </x:c>
      <x:c r="AF18" s="18" t="str">
        <x:v>No</x:v>
      </x:c>
      <x:c r="AG18" s="18" t="str">
        <x:v>Not eligible for continuous 24-h opioid meta-analysis without author data</x:v>
      </x:c>
      <x:c r="AH18" s="18" t="str">
        <x:v>No</x:v>
      </x:c>
      <x:c r="AI18" s="18" t="str">
        <x:v>PCA followed for 48 h; no extractable cumulative 0-24-h total</x:v>
      </x:c>
      <x:c r="AJ18" s="18" t="str">
        <x:v>Article reports 48-h PCA framework only</x:v>
      </x:c>
      <x:c r="AK18" s="18" t="str">
        <x:v>https://drive.google.com/file/d/1tNFnY0fJpx53hrtY4DIaE1RsNjE55Xvd/view?usp=drivesdk</x:v>
      </x:c>
      <x:c r="AL18" s="18" t="str">
        <x:v>MISSING / AUTHOR DATA NEEDED</x:v>
      </x:c>
    </x:row>
    <x:row r="19">
      <x:c r="A19" s="18" t="str">
        <x:v>Zhu 2022</x:v>
      </x:c>
      <x:c r="B19" s="18" t="str">
        <x:v>ZHU22_PRE_vs_USUAL_PON</x:v>
      </x:c>
      <x:c r="C19" s="18" t="str">
        <x:v>EA day before surgery</x:v>
      </x:c>
      <x:c r="D19" s="18" t="str">
        <x:v>Usual care alone</x:v>
      </x:c>
      <x:c r="E19" s="18" t="str">
        <x:v>PONV</x:v>
      </x:c>
      <x:c r="F19" s="18" t="str">
        <x:v>Postoperative nausea</x:v>
      </x:c>
      <x:c r="G19" s="18" t="str">
        <x:v>6-24 h postoperatively</x:v>
      </x:c>
      <x:c r="H19" s="18" t="str">
        <x:v>Events/total</x:v>
      </x:c>
      <x:c r="I19" s="18" t="n">
        <x:v>103</x:v>
      </x:c>
      <x:c r="J19" s="18" t="n">
        <x:v>104</x:v>
      </x:c>
      <x:c r="K19" s="18" t="n">
        <x:v>101</x:v>
      </x:c>
      <x:c r="L19" s="18" t="n">
        <x:v>101</x:v>
      </x:c>
      <x:c r="M19" s="18"/>
      <x:c r="N19" s="18"/>
      <x:c r="O19" s="18"/>
      <x:c r="P19" s="18"/>
      <x:c r="Q19" s="18"/>
      <x:c r="R19" s="18" t="n">
        <x:v>11</x:v>
      </x:c>
      <x:c r="S19" s="18"/>
      <x:c r="T19" s="18"/>
      <x:c r="U19" s="18"/>
      <x:c r="V19" s="18"/>
      <x:c r="W19" s="18"/>
      <x:c r="X19" s="18" t="n">
        <x:v>27</x:v>
      </x:c>
      <x:c r="Y19" s="18" t="str">
        <x:v>participants with nausea</x:v>
      </x:c>
      <x:c r="Z19" s="18" t="str">
        <x:v>0.024</x:v>
      </x:c>
      <x:c r="AA19" s="18" t="str">
        <x:v>Yes</x:v>
      </x:c>
      <x:c r="AB19" s="18" t="str">
        <x:v>No</x:v>
      </x:c>
      <x:c r="AC19" s="18" t="str">
        <x:f>IF(H19="Mean/SD","MD",IF(H19="Events/total","RR",""))</x:f>
        <x:v>RR</x:v>
      </x:c>
      <x:c r="AD19" s="18" t="n">
        <x:f>IF(H19="Mean/SD",M19-S19,IF(H19="Events/total",IFERROR((R19/K19)/(X19/L19),""),""))</x:f>
        <x:v>0.4074074074074074</x:v>
      </x:c>
      <x:c r="AE19" s="18" t="str">
        <x:v>No</x:v>
      </x:c>
      <x:c r="AF19" s="18" t="str">
        <x:v>No</x:v>
      </x:c>
      <x:c r="AG19" s="18" t="str">
        <x:v>Eligible for dichotomous PON analysis with shared-control/multi-arm adjustment</x:v>
      </x:c>
      <x:c r="AH19" s="18" t="str">
        <x:v>Yes</x:v>
      </x:c>
      <x:c r="AI19" s="18" t="str">
        <x:v>Four-arm RCT; no sham; analysis denominators differ from randomized denominators</x:v>
      </x:c>
      <x:c r="AJ19" s="18" t="str">
        <x:v>Table 2</x:v>
      </x:c>
      <x:c r="AK19" s="18" t="str">
        <x:v>https://drive.google.com/file/d/1vux5IaubjInusplW6GJ2SsxhzibtSCe-/view?usp=drivesdk</x:v>
      </x:c>
      <x:c r="AL19" s="18" t="str">
        <x:v>SOURCE-VERIFIED</x:v>
      </x:c>
    </x:row>
    <x:row r="20">
      <x:c r="A20" s="18" t="str">
        <x:v>Zhu 2022</x:v>
      </x:c>
      <x:c r="B20" s="18" t="str">
        <x:v>ZHU22_PRE_vs_USUAL_POV</x:v>
      </x:c>
      <x:c r="C20" s="18" t="str">
        <x:v>EA day before surgery</x:v>
      </x:c>
      <x:c r="D20" s="18" t="str">
        <x:v>Usual care alone</x:v>
      </x:c>
      <x:c r="E20" s="18" t="str">
        <x:v>PONV</x:v>
      </x:c>
      <x:c r="F20" s="18" t="str">
        <x:v>Postoperative vomiting</x:v>
      </x:c>
      <x:c r="G20" s="18" t="str">
        <x:v>6-24 h postoperatively</x:v>
      </x:c>
      <x:c r="H20" s="18" t="str">
        <x:v>Events/total</x:v>
      </x:c>
      <x:c r="I20" s="18" t="n">
        <x:v>103</x:v>
      </x:c>
      <x:c r="J20" s="18" t="n">
        <x:v>104</x:v>
      </x:c>
      <x:c r="K20" s="18" t="n">
        <x:v>101</x:v>
      </x:c>
      <x:c r="L20" s="18" t="n">
        <x:v>101</x:v>
      </x:c>
      <x:c r="M20" s="18"/>
      <x:c r="N20" s="18"/>
      <x:c r="O20" s="18"/>
      <x:c r="P20" s="18"/>
      <x:c r="Q20" s="18"/>
      <x:c r="R20" s="18" t="n">
        <x:v>5</x:v>
      </x:c>
      <x:c r="S20" s="18"/>
      <x:c r="T20" s="18"/>
      <x:c r="U20" s="18"/>
      <x:c r="V20" s="18"/>
      <x:c r="W20" s="18"/>
      <x:c r="X20" s="18" t="n">
        <x:v>22</x:v>
      </x:c>
      <x:c r="Y20" s="18" t="str">
        <x:v>participants with vomiting</x:v>
      </x:c>
      <x:c r="Z20" s="18" t="str">
        <x:v>0.002</x:v>
      </x:c>
      <x:c r="AA20" s="18" t="str">
        <x:v>Yes</x:v>
      </x:c>
      <x:c r="AB20" s="18" t="str">
        <x:v>No</x:v>
      </x:c>
      <x:c r="AC20" s="18" t="str">
        <x:f>IF(H20="Mean/SD","MD",IF(H20="Events/total","RR",""))</x:f>
        <x:v>RR</x:v>
      </x:c>
      <x:c r="AD20" s="18" t="n">
        <x:f>IF(H20="Mean/SD",M20-S20,IF(H20="Events/total",IFERROR((R20/K20)/(X20/L20),""),""))</x:f>
        <x:v>0.2272727272727273</x:v>
      </x:c>
      <x:c r="AE20" s="18" t="str">
        <x:v>No</x:v>
      </x:c>
      <x:c r="AF20" s="18" t="str">
        <x:v>No</x:v>
      </x:c>
      <x:c r="AG20" s="18" t="str">
        <x:v>Eligible for dichotomous POV analysis with shared-control/multi-arm adjustment</x:v>
      </x:c>
      <x:c r="AH20" s="18" t="str">
        <x:v>Yes</x:v>
      </x:c>
      <x:c r="AI20" s="18" t="str">
        <x:v>Four-arm RCT; no sham; use exact arm-specific analyzed denominators</x:v>
      </x:c>
      <x:c r="AJ20" s="18" t="str">
        <x:v>Table 2</x:v>
      </x:c>
      <x:c r="AK20" s="18" t="str">
        <x:v>https://drive.google.com/file/d/1vux5IaubjInusplW6GJ2SsxhzibtSCe-/view?usp=drivesdk</x:v>
      </x:c>
      <x:c r="AL20" s="18" t="str">
        <x:v>SOURCE-VERIFIED</x:v>
      </x:c>
    </x:row>
    <x:row r="21">
      <x:c r="A21" s="18" t="str">
        <x:v>Zhu 2022</x:v>
      </x:c>
      <x:c r="B21" s="18" t="str">
        <x:v>ZHU22_30_vs_USUAL_PON</x:v>
      </x:c>
      <x:c r="C21" s="18" t="str">
        <x:v>EA 30 min before surgery</x:v>
      </x:c>
      <x:c r="D21" s="18" t="str">
        <x:v>Usual care alone</x:v>
      </x:c>
      <x:c r="E21" s="18" t="str">
        <x:v>PONV</x:v>
      </x:c>
      <x:c r="F21" s="18" t="str">
        <x:v>Postoperative nausea</x:v>
      </x:c>
      <x:c r="G21" s="18" t="str">
        <x:v>6-24 h postoperatively</x:v>
      </x:c>
      <x:c r="H21" s="18" t="str">
        <x:v>Events/total</x:v>
      </x:c>
      <x:c r="I21" s="18" t="n">
        <x:v>103</x:v>
      </x:c>
      <x:c r="J21" s="18" t="n">
        <x:v>104</x:v>
      </x:c>
      <x:c r="K21" s="18" t="n">
        <x:v>98</x:v>
      </x:c>
      <x:c r="L21" s="18" t="n">
        <x:v>101</x:v>
      </x:c>
      <x:c r="M21" s="18"/>
      <x:c r="N21" s="18"/>
      <x:c r="O21" s="18"/>
      <x:c r="P21" s="18"/>
      <x:c r="Q21" s="18"/>
      <x:c r="R21" s="18" t="n">
        <x:v>18</x:v>
      </x:c>
      <x:c r="S21" s="18"/>
      <x:c r="T21" s="18"/>
      <x:c r="U21" s="18"/>
      <x:c r="V21" s="18"/>
      <x:c r="W21" s="18"/>
      <x:c r="X21" s="18" t="n">
        <x:v>27</x:v>
      </x:c>
      <x:c r="Y21" s="18" t="str">
        <x:v>participants with nausea</x:v>
      </x:c>
      <x:c r="Z21" s="18" t="str">
        <x:v>NR pairwise</x:v>
      </x:c>
      <x:c r="AA21" s="18" t="str">
        <x:v>Yes</x:v>
      </x:c>
      <x:c r="AB21" s="18" t="str">
        <x:v>No</x:v>
      </x:c>
      <x:c r="AC21" s="18" t="str">
        <x:f>IF(H21="Mean/SD","MD",IF(H21="Events/total","RR",""))</x:f>
        <x:v>RR</x:v>
      </x:c>
      <x:c r="AD21" s="18" t="n">
        <x:f>IF(H21="Mean/SD",M21-S21,IF(H21="Events/total",IFERROR((R21/K21)/(X21/L21),""),""))</x:f>
        <x:v>0.6870748299319728</x:v>
      </x:c>
      <x:c r="AE21" s="18" t="str">
        <x:v>No</x:v>
      </x:c>
      <x:c r="AF21" s="18" t="str">
        <x:v>No</x:v>
      </x:c>
      <x:c r="AG21" s="18" t="str">
        <x:v>Eligible for dichotomous PON analysis with shared-control/multi-arm adjustment</x:v>
      </x:c>
      <x:c r="AH21" s="18" t="str">
        <x:v>Yes</x:v>
      </x:c>
      <x:c r="AI21" s="18" t="str">
        <x:v>Four-arm RCT; no sham; analysis denominators differ from randomized denominators</x:v>
      </x:c>
      <x:c r="AJ21" s="18" t="str">
        <x:v>Table 2</x:v>
      </x:c>
      <x:c r="AK21" s="18" t="str">
        <x:v>https://drive.google.com/file/d/1vux5IaubjInusplW6GJ2SsxhzibtSCe-/view?usp=drivesdk</x:v>
      </x:c>
      <x:c r="AL21" s="18" t="str">
        <x:v>SOURCE-VERIFIED</x:v>
      </x:c>
    </x:row>
    <x:row r="22">
      <x:c r="A22" s="18" t="str">
        <x:v>Zhu 2022</x:v>
      </x:c>
      <x:c r="B22" s="18" t="str">
        <x:v>ZHU22_30_vs_USUAL_POV</x:v>
      </x:c>
      <x:c r="C22" s="18" t="str">
        <x:v>EA 30 min before surgery</x:v>
      </x:c>
      <x:c r="D22" s="18" t="str">
        <x:v>Usual care alone</x:v>
      </x:c>
      <x:c r="E22" s="18" t="str">
        <x:v>PONV</x:v>
      </x:c>
      <x:c r="F22" s="18" t="str">
        <x:v>Postoperative vomiting</x:v>
      </x:c>
      <x:c r="G22" s="18" t="str">
        <x:v>6-24 h postoperatively</x:v>
      </x:c>
      <x:c r="H22" s="18" t="str">
        <x:v>Events/total</x:v>
      </x:c>
      <x:c r="I22" s="18" t="n">
        <x:v>103</x:v>
      </x:c>
      <x:c r="J22" s="18" t="n">
        <x:v>104</x:v>
      </x:c>
      <x:c r="K22" s="18" t="n">
        <x:v>98</x:v>
      </x:c>
      <x:c r="L22" s="18" t="n">
        <x:v>101</x:v>
      </x:c>
      <x:c r="M22" s="18"/>
      <x:c r="N22" s="18"/>
      <x:c r="O22" s="18"/>
      <x:c r="P22" s="18"/>
      <x:c r="Q22" s="18"/>
      <x:c r="R22" s="18" t="n">
        <x:v>8</x:v>
      </x:c>
      <x:c r="S22" s="18"/>
      <x:c r="T22" s="18"/>
      <x:c r="U22" s="18"/>
      <x:c r="V22" s="18"/>
      <x:c r="W22" s="18"/>
      <x:c r="X22" s="18" t="n">
        <x:v>22</x:v>
      </x:c>
      <x:c r="Y22" s="18" t="str">
        <x:v>participants with vomiting</x:v>
      </x:c>
      <x:c r="Z22" s="18" t="str">
        <x:v>0.034</x:v>
      </x:c>
      <x:c r="AA22" s="18" t="str">
        <x:v>Yes</x:v>
      </x:c>
      <x:c r="AB22" s="18" t="str">
        <x:v>No</x:v>
      </x:c>
      <x:c r="AC22" s="18" t="str">
        <x:f>IF(H22="Mean/SD","MD",IF(H22="Events/total","RR",""))</x:f>
        <x:v>RR</x:v>
      </x:c>
      <x:c r="AD22" s="18" t="n">
        <x:f>IF(H22="Mean/SD",M22-S22,IF(H22="Events/total",IFERROR((R22/K22)/(X22/L22),""),""))</x:f>
        <x:v>0.3747680890538033</x:v>
      </x:c>
      <x:c r="AE22" s="18" t="str">
        <x:v>No</x:v>
      </x:c>
      <x:c r="AF22" s="18" t="str">
        <x:v>No</x:v>
      </x:c>
      <x:c r="AG22" s="18" t="str">
        <x:v>Eligible for dichotomous POV analysis with shared-control/multi-arm adjustment</x:v>
      </x:c>
      <x:c r="AH22" s="18" t="str">
        <x:v>Yes</x:v>
      </x:c>
      <x:c r="AI22" s="18" t="str">
        <x:v>Four-arm RCT; no sham; use exact arm-specific analyzed denominators</x:v>
      </x:c>
      <x:c r="AJ22" s="18" t="str">
        <x:v>Table 2</x:v>
      </x:c>
      <x:c r="AK22" s="18" t="str">
        <x:v>https://drive.google.com/file/d/1vux5IaubjInusplW6GJ2SsxhzibtSCe-/view?usp=drivesdk</x:v>
      </x:c>
      <x:c r="AL22" s="18" t="str">
        <x:v>SOURCE-VERIFIED</x:v>
      </x:c>
    </x:row>
    <x:row r="23">
      <x:c r="A23" s="18" t="str">
        <x:v>Zhu 2022</x:v>
      </x:c>
      <x:c r="B23" s="18" t="str">
        <x:v>ZHU22_COMB_vs_USUAL_PON</x:v>
      </x:c>
      <x:c r="C23" s="18" t="str">
        <x:v>EA day before + 30 min before</x:v>
      </x:c>
      <x:c r="D23" s="18" t="str">
        <x:v>Usual care alone</x:v>
      </x:c>
      <x:c r="E23" s="18" t="str">
        <x:v>PONV</x:v>
      </x:c>
      <x:c r="F23" s="18" t="str">
        <x:v>Postoperative nausea</x:v>
      </x:c>
      <x:c r="G23" s="18" t="str">
        <x:v>6-24 h postoperatively</x:v>
      </x:c>
      <x:c r="H23" s="18" t="str">
        <x:v>Events/total</x:v>
      </x:c>
      <x:c r="I23" s="18" t="n">
        <x:v>103</x:v>
      </x:c>
      <x:c r="J23" s="18" t="n">
        <x:v>104</x:v>
      </x:c>
      <x:c r="K23" s="18" t="n">
        <x:v>100</x:v>
      </x:c>
      <x:c r="L23" s="18" t="n">
        <x:v>101</x:v>
      </x:c>
      <x:c r="M23" s="18"/>
      <x:c r="N23" s="18"/>
      <x:c r="O23" s="18"/>
      <x:c r="P23" s="18"/>
      <x:c r="Q23" s="18"/>
      <x:c r="R23" s="18" t="n">
        <x:v>11</x:v>
      </x:c>
      <x:c r="S23" s="18"/>
      <x:c r="T23" s="18"/>
      <x:c r="U23" s="18"/>
      <x:c r="V23" s="18"/>
      <x:c r="W23" s="18"/>
      <x:c r="X23" s="18" t="n">
        <x:v>27</x:v>
      </x:c>
      <x:c r="Y23" s="18" t="str">
        <x:v>participants with nausea</x:v>
      </x:c>
      <x:c r="Z23" s="18" t="str">
        <x:v>0.024</x:v>
      </x:c>
      <x:c r="AA23" s="18" t="str">
        <x:v>Yes</x:v>
      </x:c>
      <x:c r="AB23" s="18" t="str">
        <x:v>No</x:v>
      </x:c>
      <x:c r="AC23" s="18" t="str">
        <x:f>IF(H23="Mean/SD","MD",IF(H23="Events/total","RR",""))</x:f>
        <x:v>RR</x:v>
      </x:c>
      <x:c r="AD23" s="18" t="n">
        <x:f>IF(H23="Mean/SD",M23-S23,IF(H23="Events/total",IFERROR((R23/K23)/(X23/L23),""),""))</x:f>
        <x:v>0.41148148148148145</x:v>
      </x:c>
      <x:c r="AE23" s="18" t="str">
        <x:v>No</x:v>
      </x:c>
      <x:c r="AF23" s="18" t="str">
        <x:v>No</x:v>
      </x:c>
      <x:c r="AG23" s="18" t="str">
        <x:v>Eligible for dichotomous PON analysis with shared-control/multi-arm adjustment</x:v>
      </x:c>
      <x:c r="AH23" s="18" t="str">
        <x:v>Yes</x:v>
      </x:c>
      <x:c r="AI23" s="18" t="str">
        <x:v>Four-arm RCT; no sham; analysis denominators differ from randomized denominators</x:v>
      </x:c>
      <x:c r="AJ23" s="18" t="str">
        <x:v>Table 2</x:v>
      </x:c>
      <x:c r="AK23" s="18" t="str">
        <x:v>https://drive.google.com/file/d/1vux5IaubjInusplW6GJ2SsxhzibtSCe-/view?usp=drivesdk</x:v>
      </x:c>
      <x:c r="AL23" s="18" t="str">
        <x:v>SOURCE-VERIFIED</x:v>
      </x:c>
    </x:row>
    <x:row r="24">
      <x:c r="A24" s="18" t="str">
        <x:v>Zhu 2022</x:v>
      </x:c>
      <x:c r="B24" s="18" t="str">
        <x:v>ZHU22_COMB_vs_USUAL_POV</x:v>
      </x:c>
      <x:c r="C24" s="18" t="str">
        <x:v>EA day before + 30 min before</x:v>
      </x:c>
      <x:c r="D24" s="18" t="str">
        <x:v>Usual care alone</x:v>
      </x:c>
      <x:c r="E24" s="18" t="str">
        <x:v>PONV</x:v>
      </x:c>
      <x:c r="F24" s="18" t="str">
        <x:v>Postoperative vomiting</x:v>
      </x:c>
      <x:c r="G24" s="18" t="str">
        <x:v>6-24 h postoperatively</x:v>
      </x:c>
      <x:c r="H24" s="18" t="str">
        <x:v>Events/total</x:v>
      </x:c>
      <x:c r="I24" s="18" t="n">
        <x:v>103</x:v>
      </x:c>
      <x:c r="J24" s="18" t="n">
        <x:v>104</x:v>
      </x:c>
      <x:c r="K24" s="18" t="n">
        <x:v>100</x:v>
      </x:c>
      <x:c r="L24" s="18" t="n">
        <x:v>101</x:v>
      </x:c>
      <x:c r="M24" s="18"/>
      <x:c r="N24" s="18"/>
      <x:c r="O24" s="18"/>
      <x:c r="P24" s="18"/>
      <x:c r="Q24" s="18"/>
      <x:c r="R24" s="18" t="n">
        <x:v>9</x:v>
      </x:c>
      <x:c r="S24" s="18"/>
      <x:c r="T24" s="18"/>
      <x:c r="U24" s="18"/>
      <x:c r="V24" s="18"/>
      <x:c r="W24" s="18"/>
      <x:c r="X24" s="18" t="n">
        <x:v>22</x:v>
      </x:c>
      <x:c r="Y24" s="18" t="str">
        <x:v>participants with vomiting</x:v>
      </x:c>
      <x:c r="Z24" s="18" t="str">
        <x:v>NR pairwise</x:v>
      </x:c>
      <x:c r="AA24" s="18" t="str">
        <x:v>Yes</x:v>
      </x:c>
      <x:c r="AB24" s="18" t="str">
        <x:v>No</x:v>
      </x:c>
      <x:c r="AC24" s="18" t="str">
        <x:f>IF(H24="Mean/SD","MD",IF(H24="Events/total","RR",""))</x:f>
        <x:v>RR</x:v>
      </x:c>
      <x:c r="AD24" s="18" t="n">
        <x:f>IF(H24="Mean/SD",M24-S24,IF(H24="Events/total",IFERROR((R24/K24)/(X24/L24),""),""))</x:f>
        <x:v>0.41318181818181815</x:v>
      </x:c>
      <x:c r="AE24" s="18" t="str">
        <x:v>No</x:v>
      </x:c>
      <x:c r="AF24" s="18" t="str">
        <x:v>No</x:v>
      </x:c>
      <x:c r="AG24" s="18" t="str">
        <x:v>Eligible for dichotomous POV analysis with shared-control/multi-arm adjustment</x:v>
      </x:c>
      <x:c r="AH24" s="18" t="str">
        <x:v>Yes</x:v>
      </x:c>
      <x:c r="AI24" s="18" t="str">
        <x:v>Four-arm RCT; no sham; use exact arm-specific analyzed denominators</x:v>
      </x:c>
      <x:c r="AJ24" s="18" t="str">
        <x:v>Table 2</x:v>
      </x:c>
      <x:c r="AK24" s="18" t="str">
        <x:v>https://drive.google.com/file/d/1vux5IaubjInusplW6GJ2SsxhzibtSCe-/view?usp=drivesdk</x:v>
      </x:c>
      <x:c r="AL24" s="18" t="str">
        <x:v>SOURCE-VERIFIED</x:v>
      </x:c>
    </x:row>
    <x:row r="25">
      <x:c r="A25" s="18" t="str">
        <x:v>Zhou 2025</x:v>
      </x:c>
      <x:c r="B25" s="18" t="str">
        <x:v>ZHOU25_TEAS_vs_SHAM_QOR15</x:v>
      </x:c>
      <x:c r="C25" s="18" t="str">
        <x:v>PACU TEAS</x:v>
      </x:c>
      <x:c r="D25" s="18" t="str">
        <x:v>Sham/no current</x:v>
      </x:c>
      <x:c r="E25" s="18" t="str">
        <x:v>Quality of recovery</x:v>
      </x:c>
      <x:c r="F25" s="18" t="str">
        <x:v>Global QoR-15</x:v>
      </x:c>
      <x:c r="G25" s="18" t="str">
        <x:v>POD1</x:v>
      </x:c>
      <x:c r="H25" s="18" t="str">
        <x:v>Mean/SD</x:v>
      </x:c>
      <x:c r="I25" s="18" t="n">
        <x:v>50</x:v>
      </x:c>
      <x:c r="J25" s="18" t="n">
        <x:v>50</x:v>
      </x:c>
      <x:c r="K25" s="18" t="n">
        <x:v>48</x:v>
      </x:c>
      <x:c r="L25" s="18" t="n">
        <x:v>49</x:v>
      </x:c>
      <x:c r="M25" s="18" t="n">
        <x:v>112</x:v>
      </x:c>
      <x:c r="N25" s="18" t="n">
        <x:v>10.67</x:v>
      </x:c>
      <x:c r="O25" s="18"/>
      <x:c r="P25" s="18"/>
      <x:c r="Q25" s="18"/>
      <x:c r="R25" s="18"/>
      <x:c r="S25" s="18" t="n">
        <x:v>107.62</x:v>
      </x:c>
      <x:c r="T25" s="18" t="n">
        <x:v>10.27</x:v>
      </x:c>
      <x:c r="U25" s="18"/>
      <x:c r="V25" s="18"/>
      <x:c r="W25" s="18"/>
      <x:c r="X25" s="18"/>
      <x:c r="Y25" s="18" t="str">
        <x:v>QoR-15 points</x:v>
      </x:c>
      <x:c r="Z25" s="18" t="str">
        <x:v>0.042</x:v>
      </x:c>
      <x:c r="AA25" s="18" t="str">
        <x:v>Yes</x:v>
      </x:c>
      <x:c r="AB25" s="18" t="str">
        <x:v>No</x:v>
      </x:c>
      <x:c r="AC25" s="18" t="str">
        <x:f>IF(H25="Mean/SD","MD",IF(H25="Events/total","RR",""))</x:f>
        <x:v>MD</x:v>
      </x:c>
      <x:c r="AD25" s="18" t="n">
        <x:f>IF(H25="Mean/SD",M25-S25,IF(H25="Events/total",IFERROR((R25/K25)/(X25/L25),""),""))</x:f>
        <x:v>4.3799999999999955</x:v>
      </x:c>
      <x:c r="AE25" s="18" t="str">
        <x:v>No</x:v>
      </x:c>
      <x:c r="AF25" s="18" t="str">
        <x:v>No</x:v>
      </x:c>
      <x:c r="AG25" s="18" t="str">
        <x:v>Eligible for QoR-15 meta-analysis</x:v>
      </x:c>
      <x:c r="AH25" s="18" t="str">
        <x:v>No</x:v>
      </x:c>
      <x:c r="AI25" s="18" t="str">
        <x:v>3 post-randomization withdrawals; sensory blinding uncertain because active 10-15 mA/De Qi vs no current</x:v>
      </x:c>
      <x:c r="AJ25" s="18" t="str">
        <x:v>Table 2, p7</x:v>
      </x:c>
      <x:c r="AK25" s="18" t="str">
        <x:v>https://drive.google.com/file/d/1gpNBuoukUttXKWiAAeZSqdIaaHSMOwDU/view?usp=drivesdk</x:v>
      </x:c>
      <x:c r="AL25" s="18" t="str">
        <x:v>SOURCE-VERIFIED</x:v>
      </x:c>
    </x:row>
    <x:row r="26">
      <x:c r="A26" s="18" t="str">
        <x:v>Zhou 2025</x:v>
      </x:c>
      <x:c r="B26" s="18" t="str">
        <x:v>ZHOU25_TEAS_vs_SHAM_PAINREST</x:v>
      </x:c>
      <x:c r="C26" s="18" t="str">
        <x:v>PACU TEAS</x:v>
      </x:c>
      <x:c r="D26" s="18" t="str">
        <x:v>Sham/no current</x:v>
      </x:c>
      <x:c r="E26" s="18" t="str">
        <x:v>Pain</x:v>
      </x:c>
      <x:c r="F26" s="18" t="str">
        <x:v>Resting pain VAS</x:v>
      </x:c>
      <x:c r="G26" s="18" t="str">
        <x:v>POD1</x:v>
      </x:c>
      <x:c r="H26" s="18" t="str">
        <x:v>Median/IQR</x:v>
      </x:c>
      <x:c r="I26" s="18" t="n">
        <x:v>50</x:v>
      </x:c>
      <x:c r="J26" s="18" t="n">
        <x:v>50</x:v>
      </x:c>
      <x:c r="K26" s="18" t="n">
        <x:v>48</x:v>
      </x:c>
      <x:c r="L26" s="18" t="n">
        <x:v>49</x:v>
      </x:c>
      <x:c r="M26" s="18"/>
      <x:c r="N26" s="18"/>
      <x:c r="O26" s="18" t="n">
        <x:v>3</x:v>
      </x:c>
      <x:c r="P26" s="18" t="n">
        <x:v>3</x:v>
      </x:c>
      <x:c r="Q26" s="18" t="n">
        <x:v>4</x:v>
      </x:c>
      <x:c r="R26" s="18"/>
      <x:c r="S26" s="18"/>
      <x:c r="T26" s="18"/>
      <x:c r="U26" s="18" t="n">
        <x:v>4</x:v>
      </x:c>
      <x:c r="V26" s="18" t="n">
        <x:v>4</x:v>
      </x:c>
      <x:c r="W26" s="18" t="n">
        <x:v>5</x:v>
      </x:c>
      <x:c r="X26" s="18"/>
      <x:c r="Y26" s="18" t="str">
        <x:v>VAS 0-10</x:v>
      </x:c>
      <x:c r="Z26" s="18" t="str">
        <x:v>&lt;0.001</x:v>
      </x:c>
      <x:c r="AA26" s="18" t="str">
        <x:v>Yes</x:v>
      </x:c>
      <x:c r="AB26" s="18" t="str">
        <x:v>No</x:v>
      </x:c>
      <x:c r="AC26" s="18" t="str">
        <x:f>IF(H26="Mean/SD","MD",IF(H26="Events/total","RR",""))</x:f>
      </x:c>
      <x:c r="AD26" s="18" t="str">
        <x:f>IF(H26="Mean/SD",M26-S26,IF(H26="Events/total",IFERROR((R26/K26)/(X26/L26),""),""))</x:f>
      </x:c>
      <x:c r="AE26" s="18" t="str">
        <x:v>No</x:v>
      </x:c>
      <x:c r="AF26" s="18" t="str">
        <x:v>No</x:v>
      </x:c>
      <x:c r="AG26" s="18" t="str">
        <x:v>Eligible for pain analysis using nonparametric/prespecified conversion method</x:v>
      </x:c>
      <x:c r="AH26" s="18" t="str">
        <x:v>No</x:v>
      </x:c>
      <x:c r="AI26" s="18" t="str">
        <x:v>Do not convert median/IQR to mean/SD without prespecified method</x:v>
      </x:c>
      <x:c r="AJ26" s="18" t="str">
        <x:v>Table 3, p8</x:v>
      </x:c>
      <x:c r="AK26" s="18" t="str">
        <x:v>https://drive.google.com/file/d/1gpNBuoukUttXKWiAAeZSqdIaaHSMOwDU/view?usp=drivesdk</x:v>
      </x:c>
      <x:c r="AL26" s="18" t="str">
        <x:v>SOURCE-VERIFIED</x:v>
      </x:c>
    </x:row>
    <x:row r="27">
      <x:c r="A27" s="18" t="str">
        <x:v>Zhou 2025</x:v>
      </x:c>
      <x:c r="B27" s="18" t="str">
        <x:v>ZHOU25_TEAS_vs_SHAM_PONV</x:v>
      </x:c>
      <x:c r="C27" s="18" t="str">
        <x:v>PACU TEAS</x:v>
      </x:c>
      <x:c r="D27" s="18" t="str">
        <x:v>Sham/no current</x:v>
      </x:c>
      <x:c r="E27" s="18" t="str">
        <x:v>PONV</x:v>
      </x:c>
      <x:c r="F27" s="18" t="str">
        <x:v>PONV incidence</x:v>
      </x:c>
      <x:c r="G27" s="18" t="str">
        <x:v>POD1</x:v>
      </x:c>
      <x:c r="H27" s="18" t="str">
        <x:v>Events/total</x:v>
      </x:c>
      <x:c r="I27" s="18" t="n">
        <x:v>50</x:v>
      </x:c>
      <x:c r="J27" s="18" t="n">
        <x:v>50</x:v>
      </x:c>
      <x:c r="K27" s="18" t="n">
        <x:v>48</x:v>
      </x:c>
      <x:c r="L27" s="18" t="n">
        <x:v>49</x:v>
      </x:c>
      <x:c r="M27" s="18"/>
      <x:c r="N27" s="18"/>
      <x:c r="O27" s="18"/>
      <x:c r="P27" s="18"/>
      <x:c r="Q27" s="18"/>
      <x:c r="R27" s="18" t="n">
        <x:v>10</x:v>
      </x:c>
      <x:c r="S27" s="18"/>
      <x:c r="T27" s="18"/>
      <x:c r="U27" s="18"/>
      <x:c r="V27" s="18"/>
      <x:c r="W27" s="18"/>
      <x:c r="X27" s="18" t="n">
        <x:v>19</x:v>
      </x:c>
      <x:c r="Y27" s="18" t="str">
        <x:v>participants</x:v>
      </x:c>
      <x:c r="Z27" s="18" t="str">
        <x:v>0.047</x:v>
      </x:c>
      <x:c r="AA27" s="18" t="str">
        <x:v>Yes</x:v>
      </x:c>
      <x:c r="AB27" s="18" t="str">
        <x:v>No</x:v>
      </x:c>
      <x:c r="AC27" s="18" t="str">
        <x:f>IF(H27="Mean/SD","MD",IF(H27="Events/total","RR",""))</x:f>
        <x:v>RR</x:v>
      </x:c>
      <x:c r="AD27" s="18" t="n">
        <x:f>IF(H27="Mean/SD",M27-S27,IF(H27="Events/total",IFERROR((R27/K27)/(X27/L27),""),""))</x:f>
        <x:v>0.537280701754386</x:v>
      </x:c>
      <x:c r="AE27" s="18" t="str">
        <x:v>No</x:v>
      </x:c>
      <x:c r="AF27" s="18" t="str">
        <x:v>No</x:v>
      </x:c>
      <x:c r="AG27" s="18" t="str">
        <x:v>Eligible for dichotomous POD1 PONV analysis</x:v>
      </x:c>
      <x:c r="AH27" s="18" t="str">
        <x:v>No</x:v>
      </x:c>
      <x:c r="AI27" s="18" t="str">
        <x:v>Participant sensory blinding uncertain</x:v>
      </x:c>
      <x:c r="AJ27" s="18" t="str">
        <x:v>Table 4, p8</x:v>
      </x:c>
      <x:c r="AK27" s="18" t="str">
        <x:v>https://drive.google.com/file/d/1gpNBuoukUttXKWiAAeZSqdIaaHSMOwDU/view?usp=drivesdk</x:v>
      </x:c>
      <x:c r="AL27" s="18" t="str">
        <x:v>SOURCE-VERIFIED</x:v>
      </x:c>
    </x:row>
    <x:row r="28">
      <x:c r="A28" s="18" t="str">
        <x:v>Zhou 2025</x:v>
      </x:c>
      <x:c r="B28" s="18" t="str">
        <x:v>ZHOU25_TEAS_vs_SHAM_FLATUS</x:v>
      </x:c>
      <x:c r="C28" s="18" t="str">
        <x:v>PACU TEAS</x:v>
      </x:c>
      <x:c r="D28" s="18" t="str">
        <x:v>Sham/no current</x:v>
      </x:c>
      <x:c r="E28" s="18" t="str">
        <x:v>GI recovery</x:v>
      </x:c>
      <x:c r="F28" s="18" t="str">
        <x:v>Time to first flatus</x:v>
      </x:c>
      <x:c r="G28" s="18" t="str">
        <x:v>Postoperative</x:v>
      </x:c>
      <x:c r="H28" s="18" t="str">
        <x:v>Mean/SD</x:v>
      </x:c>
      <x:c r="I28" s="18" t="n">
        <x:v>50</x:v>
      </x:c>
      <x:c r="J28" s="18" t="n">
        <x:v>50</x:v>
      </x:c>
      <x:c r="K28" s="18" t="n">
        <x:v>48</x:v>
      </x:c>
      <x:c r="L28" s="18" t="n">
        <x:v>49</x:v>
      </x:c>
      <x:c r="M28" s="18" t="n">
        <x:v>14.1</x:v>
      </x:c>
      <x:c r="N28" s="18" t="n">
        <x:v>3.19</x:v>
      </x:c>
      <x:c r="O28" s="18"/>
      <x:c r="P28" s="18"/>
      <x:c r="Q28" s="18"/>
      <x:c r="R28" s="18"/>
      <x:c r="S28" s="18" t="n">
        <x:v>15.88</x:v>
      </x:c>
      <x:c r="T28" s="18" t="n">
        <x:v>3.78</x:v>
      </x:c>
      <x:c r="U28" s="18"/>
      <x:c r="V28" s="18"/>
      <x:c r="W28" s="18"/>
      <x:c r="X28" s="18"/>
      <x:c r="Y28" s="18" t="str">
        <x:v>hours</x:v>
      </x:c>
      <x:c r="Z28" s="18" t="str">
        <x:v>0.014</x:v>
      </x:c>
      <x:c r="AA28" s="18" t="str">
        <x:v>Yes</x:v>
      </x:c>
      <x:c r="AB28" s="18" t="str">
        <x:v>No</x:v>
      </x:c>
      <x:c r="AC28" s="18" t="str">
        <x:f>IF(H28="Mean/SD","MD",IF(H28="Events/total","RR",""))</x:f>
        <x:v>MD</x:v>
      </x:c>
      <x:c r="AD28" s="18" t="n">
        <x:f>IF(H28="Mean/SD",M28-S28,IF(H28="Events/total",IFERROR((R28/K28)/(X28/L28),""),""))</x:f>
        <x:v>-1.7800000000000011</x:v>
      </x:c>
      <x:c r="AE28" s="18" t="str">
        <x:v>No</x:v>
      </x:c>
      <x:c r="AF28" s="18" t="str">
        <x:v>No</x:v>
      </x:c>
      <x:c r="AG28" s="18" t="str">
        <x:v>Eligible for GI-recovery meta-analysis</x:v>
      </x:c>
      <x:c r="AH28" s="18" t="str">
        <x:v>No</x:v>
      </x:c>
      <x:c r="AI28" s="18" t="str">
        <x:v>Ascertainment mechanism should be considered in RoB because participant sensory blinding may be imperfect</x:v>
      </x:c>
      <x:c r="AJ28" s="18" t="str">
        <x:v>Postoperative recovery-time table</x:v>
      </x:c>
      <x:c r="AK28" s="18" t="str">
        <x:v>https://drive.google.com/file/d/1gpNBuoukUttXKWiAAeZSqdIaaHSMOwDU/view?usp=drivesdk</x:v>
      </x:c>
      <x:c r="AL28" s="18" t="str">
        <x:v>SOURCE-VERIFIED</x:v>
      </x:c>
    </x:row>
    <x:row r="29">
      <x:c r="A29" s="18" t="str">
        <x:v>Zhou 2025</x:v>
      </x:c>
      <x:c r="B29" s="18" t="str">
        <x:v>ZHOU25_TEAS_vs_SHAM_RESCUE</x:v>
      </x:c>
      <x:c r="C29" s="18" t="str">
        <x:v>PACU TEAS</x:v>
      </x:c>
      <x:c r="D29" s="18" t="str">
        <x:v>Sham/no current</x:v>
      </x:c>
      <x:c r="E29" s="18" t="str">
        <x:v>Rescue analgesia</x:v>
      </x:c>
      <x:c r="F29" s="18" t="str">
        <x:v>Any rescue analgesia</x:v>
      </x:c>
      <x:c r="G29" s="18" t="str">
        <x:v>POD1-POD3</x:v>
      </x:c>
      <x:c r="H29" s="18" t="str">
        <x:v>Events/total</x:v>
      </x:c>
      <x:c r="I29" s="18" t="n">
        <x:v>50</x:v>
      </x:c>
      <x:c r="J29" s="18" t="n">
        <x:v>50</x:v>
      </x:c>
      <x:c r="K29" s="18" t="n">
        <x:v>48</x:v>
      </x:c>
      <x:c r="L29" s="18" t="n">
        <x:v>49</x:v>
      </x:c>
      <x:c r="M29" s="18"/>
      <x:c r="N29" s="18"/>
      <x:c r="O29" s="18"/>
      <x:c r="P29" s="18"/>
      <x:c r="Q29" s="18"/>
      <x:c r="R29" s="18" t="n">
        <x:v>6</x:v>
      </x:c>
      <x:c r="S29" s="18"/>
      <x:c r="T29" s="18"/>
      <x:c r="U29" s="18"/>
      <x:c r="V29" s="18"/>
      <x:c r="W29" s="18"/>
      <x:c r="X29" s="18" t="n">
        <x:v>13</x:v>
      </x:c>
      <x:c r="Y29" s="18" t="str">
        <x:v>participants</x:v>
      </x:c>
      <x:c r="Z29" s="18" t="str">
        <x:v>0.124</x:v>
      </x:c>
      <x:c r="AA29" s="18" t="str">
        <x:v>Yes</x:v>
      </x:c>
      <x:c r="AB29" s="18" t="str">
        <x:v>No</x:v>
      </x:c>
      <x:c r="AC29" s="18" t="str">
        <x:f>IF(H29="Mean/SD","MD",IF(H29="Events/total","RR",""))</x:f>
        <x:v>RR</x:v>
      </x:c>
      <x:c r="AD29" s="18" t="n">
        <x:f>IF(H29="Mean/SD",M29-S29,IF(H29="Events/total",IFERROR((R29/K29)/(X29/L29),""),""))</x:f>
        <x:v>0.47115384615384615</x:v>
      </x:c>
      <x:c r="AE29" s="18" t="str">
        <x:v>No</x:v>
      </x:c>
      <x:c r="AF29" s="18" t="str">
        <x:v>No</x:v>
      </x:c>
      <x:c r="AG29" s="18" t="str">
        <x:v>Eligible only for 3-day binary rescue-analgesia analysis</x:v>
      </x:c>
      <x:c r="AH29" s="18" t="str">
        <x:v>No</x:v>
      </x:c>
      <x:c r="AI29" s="18" t="str">
        <x:v>Not a 24-h opioid dose; exact cumulative tramadol dose is not reported</x:v>
      </x:c>
      <x:c r="AJ29" s="18" t="str">
        <x:v>Table 3, p8</x:v>
      </x:c>
      <x:c r="AK29" s="18" t="str">
        <x:v>https://drive.google.com/file/d/1gpNBuoukUttXKWiAAeZSqdIaaHSMOwDU/view?usp=drivesdk</x:v>
      </x:c>
      <x:c r="AL29" s="18" t="str">
        <x:v>SOURCE-VERIFIED</x:v>
      </x:c>
    </x:row>
    <x:row r="30">
      <x:c r="A30" s="18" t="str">
        <x:v>Zhou 2025</x:v>
      </x:c>
      <x:c r="B30" s="18" t="str">
        <x:v>ZHOU25_TEAS_vs_SHAM_OPIOID24</x:v>
      </x:c>
      <x:c r="C30" s="18" t="str">
        <x:v>PACU TEAS</x:v>
      </x:c>
      <x:c r="D30" s="18" t="str">
        <x:v>Sham/no current</x:v>
      </x:c>
      <x:c r="E30" s="18" t="str">
        <x:v>Opioid consumption</x:v>
      </x:c>
      <x:c r="F30" s="18" t="str">
        <x:v>Exact cumulative postoperative opioid dose</x:v>
      </x:c>
      <x:c r="G30" s="18" t="str">
        <x:v>0-24 h</x:v>
      </x:c>
      <x:c r="H30" s="18" t="str">
        <x:v>Not reported</x:v>
      </x:c>
      <x:c r="I30" s="18" t="n">
        <x:v>50</x:v>
      </x:c>
      <x:c r="J30" s="18" t="n">
        <x:v>50</x:v>
      </x:c>
      <x:c r="K30" s="18" t="n">
        <x:v>48</x:v>
      </x:c>
      <x:c r="L30" s="18" t="n">
        <x:v>49</x:v>
      </x:c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 t="str">
        <x:v>mg/µg</x:v>
      </x:c>
      <x:c r="Z30" s="18" t="str"/>
      <x:c r="AA30" s="18" t="str">
        <x:v>No</x:v>
      </x:c>
      <x:c r="AB30" s="18" t="str">
        <x:v>No</x:v>
      </x:c>
      <x:c r="AC30" s="18" t="str">
        <x:f>IF(H30="Mean/SD","MD",IF(H30="Events/total","RR",""))</x:f>
      </x:c>
      <x:c r="AD30" s="18" t="str">
        <x:f>IF(H30="Mean/SD",M30-S30,IF(H30="Events/total",IFERROR((R30/K30)/(X30/L30),""),""))</x:f>
      </x:c>
      <x:c r="AE30" s="18" t="str">
        <x:v>No</x:v>
      </x:c>
      <x:c r="AF30" s="18" t="str">
        <x:v>No</x:v>
      </x:c>
      <x:c r="AG30" s="18" t="str">
        <x:v>Not eligible for continuous 24-h opioid meta-analysis without author data</x:v>
      </x:c>
      <x:c r="AH30" s="18" t="str">
        <x:v>No</x:v>
      </x:c>
      <x:c r="AI30" s="18" t="str">
        <x:v>Standard perioperative sufentanil plus PRN tramadol; exact 0-24-h cumulative dose not reported</x:v>
      </x:c>
      <x:c r="AJ30" s="18" t="str">
        <x:v>Not numerically reported</x:v>
      </x:c>
      <x:c r="AK30" s="18" t="str">
        <x:v>https://drive.google.com/file/d/1gpNBuoukUttXKWiAAeZSqdIaaHSMOwDU/view?usp=drivesdk</x:v>
      </x:c>
      <x:c r="AL30" s="18" t="str">
        <x:v>MISSING / AUTHOR DATA NEEDED</x:v>
      </x:c>
    </x:row>
    <x:row r="31">
      <x:c r="A31" s="18" t="str">
        <x:v>Zhou 2021</x:v>
      </x:c>
      <x:c r="B31" s="18" t="str">
        <x:v>ZHOU21_TEAS_vs_UC_PAIN</x:v>
      </x:c>
      <x:c r="C31" s="18" t="str">
        <x:v>Postoperative TEAS + ERAS</x:v>
      </x:c>
      <x:c r="D31" s="18" t="str">
        <x:v>ERAS/usual care</x:v>
      </x:c>
      <x:c r="E31" s="18" t="str">
        <x:v>Pain</x:v>
      </x:c>
      <x:c r="F31" s="18" t="str">
        <x:v>Average postoperative pain</x:v>
      </x:c>
      <x:c r="G31" s="18" t="str">
        <x:v>POD1-POD5 average</x:v>
      </x:c>
      <x:c r="H31" s="18" t="str">
        <x:v>Mean/SD</x:v>
      </x:c>
      <x:c r="I31" s="18" t="n">
        <x:v>41</x:v>
      </x:c>
      <x:c r="J31" s="18" t="n">
        <x:v>41</x:v>
      </x:c>
      <x:c r="K31" s="18" t="n">
        <x:v>41</x:v>
      </x:c>
      <x:c r="L31" s="18" t="n">
        <x:v>40</x:v>
      </x:c>
      <x:c r="M31" s="18" t="n">
        <x:v>2.55</x:v>
      </x:c>
      <x:c r="N31" s="18" t="n">
        <x:v>0.21</x:v>
      </x:c>
      <x:c r="O31" s="18"/>
      <x:c r="P31" s="18"/>
      <x:c r="Q31" s="18"/>
      <x:c r="R31" s="18"/>
      <x:c r="S31" s="18" t="n">
        <x:v>3.1</x:v>
      </x:c>
      <x:c r="T31" s="18" t="n">
        <x:v>0.42</x:v>
      </x:c>
      <x:c r="U31" s="18"/>
      <x:c r="V31" s="18"/>
      <x:c r="W31" s="18"/>
      <x:c r="X31" s="18"/>
      <x:c r="Y31" s="18" t="str">
        <x:v>pain score</x:v>
      </x:c>
      <x:c r="Z31" s="18" t="str">
        <x:v>&lt;0.001</x:v>
      </x:c>
      <x:c r="AA31" s="18" t="str">
        <x:v>Yes</x:v>
      </x:c>
      <x:c r="AB31" s="18" t="str">
        <x:v>No</x:v>
      </x:c>
      <x:c r="AC31" s="18" t="str">
        <x:f>IF(H31="Mean/SD","MD",IF(H31="Events/total","RR",""))</x:f>
        <x:v>MD</x:v>
      </x:c>
      <x:c r="AD31" s="18" t="n">
        <x:f>IF(H31="Mean/SD",M31-S31,IF(H31="Events/total",IFERROR((R31/K31)/(X31/L31),""),""))</x:f>
        <x:v>-0.5500000000000003</x:v>
      </x:c>
      <x:c r="AE31" s="18" t="str">
        <x:v>No</x:v>
      </x:c>
      <x:c r="AF31" s="18" t="str">
        <x:v>No</x:v>
      </x:c>
      <x:c r="AG31" s="18" t="str">
        <x:v>Eligible only for matching POD1-POD5 average pain analysis</x:v>
      </x:c>
      <x:c r="AH31" s="18" t="str">
        <x:v>No</x:v>
      </x:c>
      <x:c r="AI31" s="18" t="str">
        <x:v>Open-label/no sham; subjective outcome</x:v>
      </x:c>
      <x:c r="AJ31" s="18" t="str">
        <x:v>Table 3, p6</x:v>
      </x:c>
      <x:c r="AK31" s="18" t="str">
        <x:v>https://drive.google.com/file/d/1PxYyULBv_ZjWeqAm_bNYkDn_j2_lNYLq/view?usp=drivesdk</x:v>
      </x:c>
      <x:c r="AL31" s="18" t="str">
        <x:v>SOURCE-VERIFIED</x:v>
      </x:c>
    </x:row>
    <x:row r="32">
      <x:c r="A32" s="18" t="str">
        <x:v>Zhou 2021</x:v>
      </x:c>
      <x:c r="B32" s="18" t="str">
        <x:v>ZHOU21_TEAS_vs_UC_OPIOIDUSE</x:v>
      </x:c>
      <x:c r="C32" s="18" t="str">
        <x:v>Postoperative TEAS + ERAS</x:v>
      </x:c>
      <x:c r="D32" s="18" t="str">
        <x:v>ERAS/usual care</x:v>
      </x:c>
      <x:c r="E32" s="18" t="str">
        <x:v>Opioid consumption</x:v>
      </x:c>
      <x:c r="F32" s="18" t="str">
        <x:v>Any postoperative opioid use</x:v>
      </x:c>
      <x:c r="G32" s="18" t="str">
        <x:v>Postoperative window not clearly defined as 0-24 h</x:v>
      </x:c>
      <x:c r="H32" s="18" t="str">
        <x:v>Events/total</x:v>
      </x:c>
      <x:c r="I32" s="18" t="n">
        <x:v>41</x:v>
      </x:c>
      <x:c r="J32" s="18" t="n">
        <x:v>41</x:v>
      </x:c>
      <x:c r="K32" s="18" t="n">
        <x:v>41</x:v>
      </x:c>
      <x:c r="L32" s="18" t="n">
        <x:v>40</x:v>
      </x:c>
      <x:c r="M32" s="18"/>
      <x:c r="N32" s="18"/>
      <x:c r="O32" s="18"/>
      <x:c r="P32" s="18"/>
      <x:c r="Q32" s="18"/>
      <x:c r="R32" s="18" t="n">
        <x:v>18</x:v>
      </x:c>
      <x:c r="S32" s="18"/>
      <x:c r="T32" s="18"/>
      <x:c r="U32" s="18"/>
      <x:c r="V32" s="18"/>
      <x:c r="W32" s="18"/>
      <x:c r="X32" s="18" t="n">
        <x:v>30</x:v>
      </x:c>
      <x:c r="Y32" s="18" t="str">
        <x:v>participants</x:v>
      </x:c>
      <x:c r="Z32" s="18" t="str">
        <x:v>0.004</x:v>
      </x:c>
      <x:c r="AA32" s="18" t="str">
        <x:v>Yes</x:v>
      </x:c>
      <x:c r="AB32" s="18" t="str">
        <x:v>No</x:v>
      </x:c>
      <x:c r="AC32" s="18" t="str">
        <x:f>IF(H32="Mean/SD","MD",IF(H32="Events/total","RR",""))</x:f>
        <x:v>RR</x:v>
      </x:c>
      <x:c r="AD32" s="18" t="n">
        <x:f>IF(H32="Mean/SD",M32-S32,IF(H32="Events/total",IFERROR((R32/K32)/(X32/L32),""),""))</x:f>
        <x:v>0.5853658536585366</x:v>
      </x:c>
      <x:c r="AE32" s="18" t="str">
        <x:v>No</x:v>
      </x:c>
      <x:c r="AF32" s="18" t="str">
        <x:v>No</x:v>
      </x:c>
      <x:c r="AG32" s="18" t="str">
        <x:v>Eligible for binary opioid-use analysis only if matching time window is acceptable</x:v>
      </x:c>
      <x:c r="AH32" s="18" t="str">
        <x:v>No</x:v>
      </x:c>
      <x:c r="AI32" s="18" t="str">
        <x:v>Exact postoperative time window is not clearly stated</x:v>
      </x:c>
      <x:c r="AJ32" s="18" t="str">
        <x:v>Table 3</x:v>
      </x:c>
      <x:c r="AK32" s="18" t="str">
        <x:v>https://drive.google.com/file/d/1PxYyULBv_ZjWeqAm_bNYkDn_j2_lNYLq/view?usp=drivesdk</x:v>
      </x:c>
      <x:c r="AL32" s="18" t="str">
        <x:v>SOURCE-VERIFIED / WINDOW QC</x:v>
      </x:c>
    </x:row>
    <x:row r="33">
      <x:c r="A33" s="18" t="str">
        <x:v>Zheng 2025</x:v>
      </x:c>
      <x:c r="B33" s="18" t="str">
        <x:v>ZHENG25_TEAS_vs_SHAM_PONV</x:v>
      </x:c>
      <x:c r="C33" s="18" t="str">
        <x:v>Perioperative TEAS</x:v>
      </x:c>
      <x:c r="D33" s="18" t="str">
        <x:v>Sham/no current</x:v>
      </x:c>
      <x:c r="E33" s="18" t="str">
        <x:v>PONV</x:v>
      </x:c>
      <x:c r="F33" s="18" t="str">
        <x:v>Any PONV</x:v>
      </x:c>
      <x:c r="G33" s="18" t="str">
        <x:v>Within 24 h postoperatively</x:v>
      </x:c>
      <x:c r="H33" s="18" t="str">
        <x:v>Events/total</x:v>
      </x:c>
      <x:c r="I33" s="18" t="n">
        <x:v>44</x:v>
      </x:c>
      <x:c r="J33" s="18" t="n">
        <x:v>44</x:v>
      </x:c>
      <x:c r="K33" s="18" t="n">
        <x:v>42</x:v>
      </x:c>
      <x:c r="L33" s="18" t="n">
        <x:v>43</x:v>
      </x:c>
      <x:c r="M33" s="18"/>
      <x:c r="N33" s="18"/>
      <x:c r="O33" s="18"/>
      <x:c r="P33" s="18"/>
      <x:c r="Q33" s="18"/>
      <x:c r="R33" s="18" t="n">
        <x:v>18</x:v>
      </x:c>
      <x:c r="S33" s="18"/>
      <x:c r="T33" s="18"/>
      <x:c r="U33" s="18"/>
      <x:c r="V33" s="18"/>
      <x:c r="W33" s="18"/>
      <x:c r="X33" s="18" t="n">
        <x:v>29</x:v>
      </x:c>
      <x:c r="Y33" s="18" t="str">
        <x:v>participants</x:v>
      </x:c>
      <x:c r="Z33" s="18" t="str">
        <x:v>0.023</x:v>
      </x:c>
      <x:c r="AA33" s="18" t="str">
        <x:v>Percentages directly reported; counts derived</x:v>
      </x:c>
      <x:c r="AB33" s="18" t="str">
        <x:v>Yes</x:v>
      </x:c>
      <x:c r="AC33" s="18" t="str">
        <x:f>IF(H33="Mean/SD","MD",IF(H33="Events/total","RR",""))</x:f>
        <x:v>RR</x:v>
      </x:c>
      <x:c r="AD33" s="18" t="n">
        <x:f>IF(H33="Mean/SD",M33-S33,IF(H33="Events/total",IFERROR((R33/K33)/(X33/L33),""),""))</x:f>
        <x:v>0.6354679802955665</x:v>
      </x:c>
      <x:c r="AE33" s="18" t="str">
        <x:v>No</x:v>
      </x:c>
      <x:c r="AF33" s="18" t="str">
        <x:v>No</x:v>
      </x:c>
      <x:c r="AG33" s="18" t="str">
        <x:v>Eligible for dichotomous 24-h PONV analysis</x:v>
      </x:c>
      <x:c r="AH33" s="18" t="str">
        <x:v>No</x:v>
      </x:c>
      <x:c r="AI33" s="18" t="str">
        <x:v>Counts 18/42 and 29/43 are reconstructed from reported 42.9% and 67.4%; use percentages as source truth</x:v>
      </x:c>
      <x:c r="AJ33" s="18" t="str">
        <x:v>Primary outcome / 24-h PONV result</x:v>
      </x:c>
      <x:c r="AK33" s="18" t="str">
        <x:v>https://drive.google.com/file/d/1-JWKZgQXaQQQBZgMSDqyIP-vG9aAxBqb/view?usp=drivesdk</x:v>
      </x:c>
      <x:c r="AL33" s="18" t="str">
        <x:v>SOURCE-VERIFIED / COUNTS DERIVED</x:v>
      </x:c>
    </x:row>
    <x:row r="34">
      <x:c r="A34" s="18" t="str">
        <x:v>Zheng 2025</x:v>
      </x:c>
      <x:c r="B34" s="18" t="str">
        <x:v>ZHENG25_TEAS_vs_SHAM_REMI</x:v>
      </x:c>
      <x:c r="C34" s="18" t="str">
        <x:v>Perioperative TEAS</x:v>
      </x:c>
      <x:c r="D34" s="18" t="str">
        <x:v>Sham/no current</x:v>
      </x:c>
      <x:c r="E34" s="18" t="str">
        <x:v>Intraoperative opioid</x:v>
      </x:c>
      <x:c r="F34" s="18" t="str">
        <x:v>Total intraoperative remifentanil consumption</x:v>
      </x:c>
      <x:c r="G34" s="18" t="str">
        <x:v>Intraoperative</x:v>
      </x:c>
      <x:c r="H34" s="18" t="str">
        <x:v>Mean/SD</x:v>
      </x:c>
      <x:c r="I34" s="18" t="n">
        <x:v>44</x:v>
      </x:c>
      <x:c r="J34" s="18" t="n">
        <x:v>44</x:v>
      </x:c>
      <x:c r="K34" s="18" t="n">
        <x:v>42</x:v>
      </x:c>
      <x:c r="L34" s="18" t="n">
        <x:v>43</x:v>
      </x:c>
      <x:c r="M34" s="18" t="n">
        <x:v>233.1</x:v>
      </x:c>
      <x:c r="N34" s="18" t="n">
        <x:v>29.6</x:v>
      </x:c>
      <x:c r="O34" s="18"/>
      <x:c r="P34" s="18"/>
      <x:c r="Q34" s="18"/>
      <x:c r="R34" s="18"/>
      <x:c r="S34" s="18" t="n">
        <x:v>289.5</x:v>
      </x:c>
      <x:c r="T34" s="18" t="n">
        <x:v>37.9</x:v>
      </x:c>
      <x:c r="U34" s="18"/>
      <x:c r="V34" s="18"/>
      <x:c r="W34" s="18"/>
      <x:c r="X34" s="18"/>
      <x:c r="Y34" s="18" t="str">
        <x:v>µg remifentanil</x:v>
      </x:c>
      <x:c r="Z34" s="18" t="str">
        <x:v>0.031</x:v>
      </x:c>
      <x:c r="AA34" s="18" t="str">
        <x:v>Yes</x:v>
      </x:c>
      <x:c r="AB34" s="18" t="str">
        <x:v>No</x:v>
      </x:c>
      <x:c r="AC34" s="18" t="str">
        <x:f>IF(H34="Mean/SD","MD",IF(H34="Events/total","RR",""))</x:f>
        <x:v>MD</x:v>
      </x:c>
      <x:c r="AD34" s="18" t="n">
        <x:f>IF(H34="Mean/SD",M34-S34,IF(H34="Events/total",IFERROR((R34/K34)/(X34/L34),""),""))</x:f>
        <x:v>-56.400000000000006</x:v>
      </x:c>
      <x:c r="AE34" s="18" t="str">
        <x:v>No</x:v>
      </x:c>
      <x:c r="AF34" s="18" t="str">
        <x:v>No</x:v>
      </x:c>
      <x:c r="AG34" s="18" t="str">
        <x:v>Eligible for intraoperative opioid-sparing analysis, not postoperative 24-h opioid analysis</x:v>
      </x:c>
      <x:c r="AH34" s="18" t="str">
        <x:v>No</x:v>
      </x:c>
      <x:c r="AI34" s="18" t="str">
        <x:v>Not a postoperative endpoint</x:v>
      </x:c>
      <x:c r="AJ34" s="18" t="str">
        <x:v>Table 3, p9</x:v>
      </x:c>
      <x:c r="AK34" s="18" t="str">
        <x:v>https://drive.google.com/file/d/1-JWKZgQXaQQQBZgMSDqyIP-vG9aAxBqb/view?usp=drivesdk</x:v>
      </x:c>
      <x:c r="AL34" s="18" t="str">
        <x:v>SOURCE-VERIFIED</x:v>
      </x:c>
    </x:row>
    <x:row r="35">
      <x:c r="A35" s="18" t="str">
        <x:v>Zheng 2025</x:v>
      </x:c>
      <x:c r="B35" s="18" t="str">
        <x:v>ZHENG25_TEAS_vs_SHAM_PCA_PRESS</x:v>
      </x:c>
      <x:c r="C35" s="18" t="str">
        <x:v>Perioperative TEAS</x:v>
      </x:c>
      <x:c r="D35" s="18" t="str">
        <x:v>Sham/no current</x:v>
      </x:c>
      <x:c r="E35" s="18" t="str">
        <x:v>Opioid demand</x:v>
      </x:c>
      <x:c r="F35" s="18" t="str">
        <x:v>Total PCIA button presses</x:v>
      </x:c>
      <x:c r="G35" s="18" t="str">
        <x:v>Postoperative; exact pump duration NR</x:v>
      </x:c>
      <x:c r="H35" s="18" t="str">
        <x:v>Mean/SD</x:v>
      </x:c>
      <x:c r="I35" s="18" t="n">
        <x:v>44</x:v>
      </x:c>
      <x:c r="J35" s="18" t="n">
        <x:v>44</x:v>
      </x:c>
      <x:c r="K35" s="18" t="n">
        <x:v>42</x:v>
      </x:c>
      <x:c r="L35" s="18" t="n">
        <x:v>43</x:v>
      </x:c>
      <x:c r="M35" s="18" t="n">
        <x:v>6.3</x:v>
      </x:c>
      <x:c r="N35" s="18" t="n">
        <x:v>2.2</x:v>
      </x:c>
      <x:c r="O35" s="18"/>
      <x:c r="P35" s="18"/>
      <x:c r="Q35" s="18"/>
      <x:c r="R35" s="18"/>
      <x:c r="S35" s="18" t="n">
        <x:v>10.7</x:v>
      </x:c>
      <x:c r="T35" s="18" t="n">
        <x:v>3.9</x:v>
      </x:c>
      <x:c r="U35" s="18"/>
      <x:c r="V35" s="18"/>
      <x:c r="W35" s="18"/>
      <x:c r="X35" s="18"/>
      <x:c r="Y35" s="18" t="str">
        <x:v>presses</x:v>
      </x:c>
      <x:c r="Z35" s="18" t="str">
        <x:v>0.004</x:v>
      </x:c>
      <x:c r="AA35" s="18" t="str">
        <x:v>Yes</x:v>
      </x:c>
      <x:c r="AB35" s="18" t="str">
        <x:v>No</x:v>
      </x:c>
      <x:c r="AC35" s="18" t="str">
        <x:f>IF(H35="Mean/SD","MD",IF(H35="Events/total","RR",""))</x:f>
        <x:v>MD</x:v>
      </x:c>
      <x:c r="AD35" s="18" t="n">
        <x:f>IF(H35="Mean/SD",M35-S35,IF(H35="Events/total",IFERROR((R35/K35)/(X35/L35),""),""))</x:f>
        <x:v>-4.3999999999999995</x:v>
      </x:c>
      <x:c r="AE35" s="18" t="str">
        <x:v>No</x:v>
      </x:c>
      <x:c r="AF35" s="18" t="str">
        <x:v>No</x:v>
      </x:c>
      <x:c r="AG35" s="18" t="str">
        <x:v>Eligible for PCA-demand analysis only</x:v>
      </x:c>
      <x:c r="AH35" s="18" t="str">
        <x:v>No</x:v>
      </x:c>
      <x:c r="AI35" s="18" t="str">
        <x:v>PCIA final volume/concentration is NR, so presses cannot be converted to sufentanil mass</x:v>
      </x:c>
      <x:c r="AJ35" s="18" t="str">
        <x:v>Postoperative PCIA results</x:v>
      </x:c>
      <x:c r="AK35" s="18" t="str">
        <x:v>https://drive.google.com/file/d/1-JWKZgQXaQQQBZgMSDqyIP-vG9aAxBqb/view?usp=drivesdk</x:v>
      </x:c>
      <x:c r="AL35" s="18" t="str">
        <x:v>SOURCE-VERIFIED / DOSE NOT RECONSTRUCTABLE</x:v>
      </x:c>
    </x:row>
    <x:row r="36">
      <x:c r="A36" t="str">
        <x:v>Zheng 2025</x:v>
      </x:c>
      <x:c r="B36" t="str">
        <x:v>ZHENG25_TEAS_vs_SHAM_OPIOID24</x:v>
      </x:c>
      <x:c r="C36" t="str">
        <x:v>Perioperative TEAS</x:v>
      </x:c>
      <x:c r="D36" t="str">
        <x:v>Sham/no current</x:v>
      </x:c>
      <x:c r="E36" t="str">
        <x:v>Opioid consumption</x:v>
      </x:c>
      <x:c r="F36" t="str">
        <x:v>Exact cumulative postoperative sufentanil mass</x:v>
      </x:c>
      <x:c r="G36" t="str">
        <x:v>0-24 h</x:v>
      </x:c>
      <x:c r="H36" t="str">
        <x:v>Not reported</x:v>
      </x:c>
      <x:c r="I36" t="n">
        <x:v>44</x:v>
      </x:c>
      <x:c r="J36" t="n">
        <x:v>44</x:v>
      </x:c>
      <x:c r="K36" t="n">
        <x:v>42</x:v>
      </x:c>
      <x:c r="L36" t="n">
        <x:v>43</x:v>
      </x:c>
      <x:c r="M36"/>
      <x:c r="N36"/>
      <x:c r="O36"/>
      <x:c r="P36"/>
      <x:c r="Q36"/>
      <x:c r="R36"/>
      <x:c r="S36"/>
      <x:c r="T36"/>
      <x:c r="U36"/>
      <x:c r="V36"/>
      <x:c r="W36"/>
      <x:c r="X36"/>
      <x:c r="Y36" t="str">
        <x:v>µg sufentanil</x:v>
      </x:c>
      <x:c r="Z36" t="str"/>
      <x:c r="AA36" t="str">
        <x:v>No</x:v>
      </x:c>
      <x:c r="AB36" t="str">
        <x:v>No</x:v>
      </x:c>
      <x:c r="AC36" t="str">
        <x:f>IF(H36="Mean/SD","MD",IF(H36="Events/total","RR",""))</x:f>
      </x:c>
      <x:c r="AD36" t="str">
        <x:f>IF(H36="Mean/SD",M36-S36,IF(H36="Events/total",IFERROR((R36/K36)/(X36/L36),""),""))</x:f>
      </x:c>
      <x:c r="AE36" t="str">
        <x:v>No</x:v>
      </x:c>
      <x:c r="AF36" t="str">
        <x:v>No</x:v>
      </x:c>
      <x:c r="AG36" t="str">
        <x:v>Not eligible for continuous 24-h opioid meta-analysis without author data</x:v>
      </x:c>
      <x:c r="AH36" t="str">
        <x:v>No</x:v>
      </x:c>
      <x:c r="AI36" t="str">
        <x:v>Final PCIA volume/concentration and exact cumulative sufentanil mass are not reported</x:v>
      </x:c>
      <x:c r="AJ36" t="str">
        <x:v>PCIA formulation section / missing outcome</x:v>
      </x:c>
      <x:c r="AK36" t="str">
        <x:v>https://drive.google.com/file/d/1-JWKZgQXaQQQBZgMSDqyIP-vG9aAxBqb/view?usp=drivesdk</x:v>
      </x:c>
      <x:c r="AL36" t="str">
        <x:v>MISSING / AUTHOR DATA NEEDED</x:v>
      </x:c>
    </x:row>
    <x:row r="37">
      <x:c r="A37" t="str">
        <x:v>Zhan 2020</x:v>
      </x:c>
      <x:c r="B37" t="str">
        <x:v>ZHAN20_TAPTEAS_vs_TAP_PAIN24</x:v>
      </x:c>
      <x:c r="C37" t="str">
        <x:v>TAP block + postoperative TEAS</x:v>
      </x:c>
      <x:c r="D37" t="str">
        <x:v>TAP block</x:v>
      </x:c>
      <x:c r="E37" t="str">
        <x:v>Pain</x:v>
      </x:c>
      <x:c r="F37" t="str">
        <x:v>VAS pain intensity</x:v>
      </x:c>
      <x:c r="G37" t="str">
        <x:v>24 h postoperatively</x:v>
      </x:c>
      <x:c r="H37" t="str">
        <x:v>Source-format ambiguous</x:v>
      </x:c>
      <x:c r="I37" t="n">
        <x:v>30</x:v>
      </x:c>
      <x:c r="J37" t="n">
        <x:v>30</x:v>
      </x:c>
      <x:c r="K37" t="n">
        <x:v>30</x:v>
      </x:c>
      <x:c r="L37" t="n">
        <x:v>30</x:v>
      </x:c>
      <x:c r="M37"/>
      <x:c r="N37"/>
      <x:c r="O37"/>
      <x:c r="P37"/>
      <x:c r="Q37"/>
      <x:c r="R37"/>
      <x:c r="S37"/>
      <x:c r="T37"/>
      <x:c r="U37"/>
      <x:c r="V37"/>
      <x:c r="W37"/>
      <x:c r="X37"/>
      <x:c r="Y37" t="str">
        <x:v>VAS</x:v>
      </x:c>
      <x:c r="Z37" t="str">
        <x:v>0.03 pairwise</x:v>
      </x:c>
      <x:c r="AA37" t="str">
        <x:v>Yes</x:v>
      </x:c>
      <x:c r="AB37" t="str">
        <x:v>No</x:v>
      </x:c>
      <x:c r="AC37" t="str">
        <x:f>IF(H37="Mean/SD","MD",IF(H37="Events/total","RR",""))</x:f>
      </x:c>
      <x:c r="AD37" t="str">
        <x:f>IF(H37="Mean/SD",M37-S37,IF(H37="Events/total",IFERROR((R37/K37)/(X37/L37),""),""))</x:f>
      </x:c>
      <x:c r="AE37" t="str">
        <x:v>No</x:v>
      </x:c>
      <x:c r="AF37" t="str">
        <x:v>No</x:v>
      </x:c>
      <x:c r="AG37" t="str">
        <x:v>Qualitative/source-text use only until summary format is clarified</x:v>
      </x:c>
      <x:c r="AH37" t="str">
        <x:v>Yes</x:v>
      </x:c>
      <x:c r="AI37" t="str">
        <x:v>Printed source values are TAP+TEAS '2 (1.7 ± 2.2)' vs TAP '2 (2.0 ± 3.0)'; format is not defined as mean/SD, median/IQR, or range</x:v>
      </x:c>
      <x:c r="AJ37" t="str">
        <x:v>Table 2, p4</x:v>
      </x:c>
      <x:c r="AK37" t="str">
        <x:v>https://drive.google.com/file/d/1GYG7JxUOQxbt724-Ng7dWv3sYeC8dDSr/view?usp=drivesdk</x:v>
      </x:c>
      <x:c r="AL37" t="str">
        <x:v>SOURCE-VERIFIED / FORMAT QC</x:v>
      </x:c>
    </x:row>
    <x:row r="38">
      <x:c r="A38" t="str">
        <x:v>Zhan 2020</x:v>
      </x:c>
      <x:c r="B38" t="str">
        <x:v>ZHAN20_TAPTEAS_vs_TAP_OPIOID24</x:v>
      </x:c>
      <x:c r="C38" t="str">
        <x:v>TAP block + postoperative TEAS</x:v>
      </x:c>
      <x:c r="D38" t="str">
        <x:v>TAP block</x:v>
      </x:c>
      <x:c r="E38" t="str">
        <x:v>Opioid consumption</x:v>
      </x:c>
      <x:c r="F38" t="str">
        <x:v>Actual cumulative postoperative sufentanil consumption</x:v>
      </x:c>
      <x:c r="G38" t="str">
        <x:v>0-24 h</x:v>
      </x:c>
      <x:c r="H38" t="str">
        <x:v>Not reported</x:v>
      </x:c>
      <x:c r="I38" t="n">
        <x:v>30</x:v>
      </x:c>
      <x:c r="J38" t="n">
        <x:v>30</x:v>
      </x:c>
      <x:c r="K38" t="n">
        <x:v>30</x:v>
      </x:c>
      <x:c r="L38" t="n">
        <x:v>30</x:v>
      </x:c>
      <x:c r="M38"/>
      <x:c r="N38"/>
      <x:c r="O38"/>
      <x:c r="P38"/>
      <x:c r="Q38"/>
      <x:c r="R38"/>
      <x:c r="S38"/>
      <x:c r="T38"/>
      <x:c r="U38"/>
      <x:c r="V38"/>
      <x:c r="W38"/>
      <x:c r="X38"/>
      <x:c r="Y38" t="str">
        <x:v>µg sufentanil</x:v>
      </x:c>
      <x:c r="Z38" t="str"/>
      <x:c r="AA38" t="str">
        <x:v>No</x:v>
      </x:c>
      <x:c r="AB38" t="str">
        <x:v>No</x:v>
      </x:c>
      <x:c r="AC38" t="str">
        <x:f>IF(H38="Mean/SD","MD",IF(H38="Events/total","RR",""))</x:f>
      </x:c>
      <x:c r="AD38" t="str">
        <x:f>IF(H38="Mean/SD",M38-S38,IF(H38="Events/total",IFERROR((R38/K38)/(X38/L38),""),""))</x:f>
      </x:c>
      <x:c r="AE38" t="str">
        <x:v>No</x:v>
      </x:c>
      <x:c r="AF38" t="str">
        <x:v>No</x:v>
      </x:c>
      <x:c r="AG38" t="str">
        <x:v>Not eligible for continuous 24-h opioid meta-analysis</x:v>
      </x:c>
      <x:c r="AH38" t="str">
        <x:v>Yes</x:v>
      </x:c>
      <x:c r="AI38" t="str">
        <x:v>Only programmed PCIA reservoir/basal settings are reported; actual group-specific delivered opioid is NR</x:v>
      </x:c>
      <x:c r="AJ38" t="str">
        <x:v>PCIA protocol / exact 24-h opioid section</x:v>
      </x:c>
      <x:c r="AK38" t="str">
        <x:v>https://drive.google.com/file/d/1GYG7JxUOQxbt724-Ng7dWv3sYeC8dDSr/view?usp=drivesdk</x:v>
      </x:c>
      <x:c r="AL38" t="str">
        <x:v>MISSING / NOT OBSERVED</x:v>
      </x:c>
    </x:row>
    <x:row r="39">
      <x:c r="A39" t="str">
        <x:v>Zhang 2025</x:v>
      </x:c>
      <x:c r="B39" t="str">
        <x:v>ZHANG25_TEAS_vs_SHAM_SUFPOD1</x:v>
      </x:c>
      <x:c r="C39" t="str">
        <x:v>Perioperative TEAS</x:v>
      </x:c>
      <x:c r="D39" t="str">
        <x:v>Sub-sensory sham</x:v>
      </x:c>
      <x:c r="E39" t="str">
        <x:v>Opioid consumption</x:v>
      </x:c>
      <x:c r="F39" t="str">
        <x:v>Total sufentanil consumption</x:v>
      </x:c>
      <x:c r="G39" t="str">
        <x:v>POD1; approximately 24 h but exact clock window not explicit</x:v>
      </x:c>
      <x:c r="H39" t="str">
        <x:v>Mean/SD</x:v>
      </x:c>
      <x:c r="I39" t="n">
        <x:v>54</x:v>
      </x:c>
      <x:c r="J39" t="n">
        <x:v>54</x:v>
      </x:c>
      <x:c r="K39" t="n">
        <x:v>45</x:v>
      </x:c>
      <x:c r="L39" t="n">
        <x:v>48</x:v>
      </x:c>
      <x:c r="M39" t="n">
        <x:v>50.53</x:v>
      </x:c>
      <x:c r="N39" t="n">
        <x:v>4.46</x:v>
      </x:c>
      <x:c r="O39"/>
      <x:c r="P39"/>
      <x:c r="Q39"/>
      <x:c r="R39"/>
      <x:c r="S39" t="n">
        <x:v>53.79</x:v>
      </x:c>
      <x:c r="T39" t="n">
        <x:v>5.14</x:v>
      </x:c>
      <x:c r="U39"/>
      <x:c r="V39"/>
      <x:c r="W39"/>
      <x:c r="X39"/>
      <x:c r="Y39" t="str">
        <x:v>µg sufentanil</x:v>
      </x:c>
      <x:c r="Z39" t="str">
        <x:v>0.002</x:v>
      </x:c>
      <x:c r="AA39" t="str">
        <x:v>Yes</x:v>
      </x:c>
      <x:c r="AB39" t="str">
        <x:v>No</x:v>
      </x:c>
      <x:c r="AC39" t="str">
        <x:f>IF(H39="Mean/SD","MD",IF(H39="Events/total","RR",""))</x:f>
        <x:v>MD</x:v>
      </x:c>
      <x:c r="AD39" t="n">
        <x:f>IF(H39="Mean/SD",M39-S39,IF(H39="Events/total",IFERROR((R39/K39)/(X39/L39),""),""))</x:f>
        <x:v>-3.259999999999998</x:v>
      </x:c>
      <x:c r="AE39" t="str">
        <x:v>Conditional</x:v>
      </x:c>
      <x:c r="AF39" t="str">
        <x:v>Conditional</x:v>
      </x:c>
      <x:c r="AG39" t="str">
        <x:v>Eligible for POD1 opioid analysis; strict 0-24-h use requires confirmation</x:v>
      </x:c>
      <x:c r="AH39" t="str">
        <x:v>No</x:v>
      </x:c>
      <x:c r="AI39" t="str">
        <x:v>Endpoint is directly reported as POD1, not explicitly clock-defined 0-24 h; 15/108 excluded after randomization</x:v>
      </x:c>
      <x:c r="AJ39" t="str">
        <x:v>Table 4, p9</x:v>
      </x:c>
      <x:c r="AK39" t="str">
        <x:v>https://drive.google.com/file/d/1eHx6Hk16vmIfMgoiZ5eNae4zmCR5ktwJ/view?usp=drivesdk</x:v>
      </x:c>
      <x:c r="AL39" t="str">
        <x:v>SOURCE-VERIFIED / WINDOW QC</x:v>
      </x:c>
    </x:row>
    <x:row r="40">
      <x:c r="A40" t="str">
        <x:v>Zhang 2025</x:v>
      </x:c>
      <x:c r="B40" t="str">
        <x:v>ZHANG25_TEAS_vs_SHAM_RESCUE</x:v>
      </x:c>
      <x:c r="C40" t="str">
        <x:v>Perioperative TEAS</x:v>
      </x:c>
      <x:c r="D40" t="str">
        <x:v>Sub-sensory sham</x:v>
      </x:c>
      <x:c r="E40" t="str">
        <x:v>Rescue analgesia</x:v>
      </x:c>
      <x:c r="F40" t="str">
        <x:v>Any rescue analgesia demand</x:v>
      </x:c>
      <x:c r="G40" t="str">
        <x:v>POD1 / postoperative period reported in Table 4</x:v>
      </x:c>
      <x:c r="H40" t="str">
        <x:v>Events/total</x:v>
      </x:c>
      <x:c r="I40" t="n">
        <x:v>54</x:v>
      </x:c>
      <x:c r="J40" t="n">
        <x:v>54</x:v>
      </x:c>
      <x:c r="K40" t="n">
        <x:v>45</x:v>
      </x:c>
      <x:c r="L40" t="n">
        <x:v>48</x:v>
      </x:c>
      <x:c r="M40"/>
      <x:c r="N40"/>
      <x:c r="O40"/>
      <x:c r="P40"/>
      <x:c r="Q40"/>
      <x:c r="R40" t="n">
        <x:v>14</x:v>
      </x:c>
      <x:c r="S40"/>
      <x:c r="T40"/>
      <x:c r="U40"/>
      <x:c r="V40"/>
      <x:c r="W40"/>
      <x:c r="X40" t="n">
        <x:v>29</x:v>
      </x:c>
      <x:c r="Y40" t="str">
        <x:v>participants</x:v>
      </x:c>
      <x:c r="Z40" t="str">
        <x:v>0.005 in Table 4; 0.002 in prose</x:v>
      </x:c>
      <x:c r="AA40" t="str">
        <x:v>Yes</x:v>
      </x:c>
      <x:c r="AB40" t="str">
        <x:v>No</x:v>
      </x:c>
      <x:c r="AC40" t="str">
        <x:f>IF(H40="Mean/SD","MD",IF(H40="Events/total","RR",""))</x:f>
        <x:v>RR</x:v>
      </x:c>
      <x:c r="AD40" t="n">
        <x:f>IF(H40="Mean/SD",M40-S40,IF(H40="Events/total",IFERROR((R40/K40)/(X40/L40),""),""))</x:f>
        <x:v>0.5149425287356322</x:v>
      </x:c>
      <x:c r="AE40" t="str">
        <x:v>No</x:v>
      </x:c>
      <x:c r="AF40" t="str">
        <x:v>No</x:v>
      </x:c>
      <x:c r="AG40" t="str">
        <x:v>Eligible for binary rescue-analgesia analysis using raw counts</x:v>
      </x:c>
      <x:c r="AH40" t="str">
        <x:v>No</x:v>
      </x:c>
      <x:c r="AI40" t="str">
        <x:v>Published RR 0.70 (0.44-1.10) conflicts with raw counts (~0.52) and significant P-value; use raw event counts</x:v>
      </x:c>
      <x:c r="AJ40" t="str">
        <x:v>Table 4, p9</x:v>
      </x:c>
      <x:c r="AK40" t="str">
        <x:v>https://drive.google.com/file/d/1eHx6Hk16vmIfMgoiZ5eNae4zmCR5ktwJ/view?usp=drivesdk</x:v>
      </x:c>
      <x:c r="AL40" t="str">
        <x:v>SOURCE-VERIFIED / PUBLISHED EFFECT QC</x:v>
      </x:c>
    </x:row>
    <x:row r="41">
      <x:c r="A41" t="str">
        <x:v>Zhang 2025</x:v>
      </x:c>
      <x:c r="B41" t="str">
        <x:v>ZHANG25_TEAS_vs_SHAM_VISCERAL_POD1</x:v>
      </x:c>
      <x:c r="C41" t="str">
        <x:v>Perioperative TEAS</x:v>
      </x:c>
      <x:c r="D41" t="str">
        <x:v>Sub-sensory sham</x:v>
      </x:c>
      <x:c r="E41" t="str">
        <x:v>Pain</x:v>
      </x:c>
      <x:c r="F41" t="str">
        <x:v>Moderate-to-severe visceral pain</x:v>
      </x:c>
      <x:c r="G41" t="str">
        <x:v>POD1</x:v>
      </x:c>
      <x:c r="H41" t="str">
        <x:v>Events/total</x:v>
      </x:c>
      <x:c r="I41" t="n">
        <x:v>54</x:v>
      </x:c>
      <x:c r="J41" t="n">
        <x:v>54</x:v>
      </x:c>
      <x:c r="K41" t="n">
        <x:v>45</x:v>
      </x:c>
      <x:c r="L41" t="n">
        <x:v>48</x:v>
      </x:c>
      <x:c r="M41"/>
      <x:c r="N41"/>
      <x:c r="O41"/>
      <x:c r="P41"/>
      <x:c r="Q41"/>
      <x:c r="R41" t="n">
        <x:v>4</x:v>
      </x:c>
      <x:c r="S41"/>
      <x:c r="T41"/>
      <x:c r="U41"/>
      <x:c r="V41"/>
      <x:c r="W41"/>
      <x:c r="X41" t="n">
        <x:v>18</x:v>
      </x:c>
      <x:c r="Y41" t="str">
        <x:v>participants</x:v>
      </x:c>
      <x:c r="Z41" t="str">
        <x:v>0.001</x:v>
      </x:c>
      <x:c r="AA41" t="str">
        <x:v>Percentages directly reported; counts reconstructed exactly from denominators</x:v>
      </x:c>
      <x:c r="AB41" t="str">
        <x:v>Yes</x:v>
      </x:c>
      <x:c r="AC41" t="str">
        <x:f>IF(H41="Mean/SD","MD",IF(H41="Events/total","RR",""))</x:f>
        <x:v>RR</x:v>
      </x:c>
      <x:c r="AD41" t="n">
        <x:f>IF(H41="Mean/SD",M41-S41,IF(H41="Events/total",IFERROR((R41/K41)/(X41/L41),""),""))</x:f>
        <x:v>0.23703703703703705</x:v>
      </x:c>
      <x:c r="AE41" t="str">
        <x:v>No</x:v>
      </x:c>
      <x:c r="AF41" t="str">
        <x:v>No</x:v>
      </x:c>
      <x:c r="AG41" t="str">
        <x:v>Eligible for dichotomous visceral-pain analysis</x:v>
      </x:c>
      <x:c r="AH41" t="str">
        <x:v>No</x:v>
      </x:c>
      <x:c r="AI41" t="str">
        <x:v>Figure 3D reports 8.9% vs 37.5%; 4/45 and 18/48 are exact denominator reconstructions</x:v>
      </x:c>
      <x:c r="AJ41" t="str">
        <x:v>Figure 3D, p8</x:v>
      </x:c>
      <x:c r="AK41" t="str">
        <x:v>https://drive.google.com/file/d/1eHx6Hk16vmIfMgoiZ5eNae4zmCR5ktwJ/view?usp=drivesdk</x:v>
      </x:c>
      <x:c r="AL41" t="str">
        <x:v>SOURCE-VERIFIED / COUNTS DERIVED</x:v>
      </x:c>
    </x:row>
    <x:row r="42">
      <x:c r="A42" t="str">
        <x:v>Zhang 2023</x:v>
      </x:c>
      <x:c r="B42" t="str">
        <x:v>ZHANG23_TEAS_vs_SHAM_VOID</x:v>
      </x:c>
      <x:c r="C42" t="str">
        <x:v>TEAS</x:v>
      </x:c>
      <x:c r="D42" t="str">
        <x:v>Sham/no current</x:v>
      </x:c>
      <x:c r="E42" t="str">
        <x:v>Urinary recovery</x:v>
      </x:c>
      <x:c r="F42" t="str">
        <x:v>Time to first spontaneous void</x:v>
      </x:c>
      <x:c r="G42" t="str">
        <x:v>Postoperative</x:v>
      </x:c>
      <x:c r="H42" t="str">
        <x:v>Median/IQR</x:v>
      </x:c>
      <x:c r="I42" t="n">
        <x:v>975</x:v>
      </x:c>
      <x:c r="J42" t="n">
        <x:v>973</x:v>
      </x:c>
      <x:c r="K42" t="n">
        <x:v>922</x:v>
      </x:c>
      <x:c r="L42" t="n">
        <x:v>916</x:v>
      </x:c>
      <x:c r="M42"/>
      <x:c r="N42"/>
      <x:c r="O42" t="n">
        <x:v>5.6</x:v>
      </x:c>
      <x:c r="P42" t="n">
        <x:v>3.7</x:v>
      </x:c>
      <x:c r="Q42" t="n">
        <x:v>8</x:v>
      </x:c>
      <x:c r="R42"/>
      <x:c r="S42"/>
      <x:c r="T42"/>
      <x:c r="U42" t="n">
        <x:v>7.1</x:v>
      </x:c>
      <x:c r="V42" t="n">
        <x:v>4.7</x:v>
      </x:c>
      <x:c r="W42" t="n">
        <x:v>9.7</x:v>
      </x:c>
      <x:c r="X42"/>
      <x:c r="Y42" t="str">
        <x:v>hours</x:v>
      </x:c>
      <x:c r="Z42" t="str">
        <x:v>&lt;0.001</x:v>
      </x:c>
      <x:c r="AA42" t="str">
        <x:v>Yes</x:v>
      </x:c>
      <x:c r="AB42" t="str">
        <x:v>No</x:v>
      </x:c>
      <x:c r="AC42" t="str">
        <x:f>IF(H42="Mean/SD","MD",IF(H42="Events/total","RR",""))</x:f>
      </x:c>
      <x:c r="AD42" t="str">
        <x:f>IF(H42="Mean/SD",M42-S42,IF(H42="Events/total",IFERROR((R42/K42)/(X42/L42),""),""))</x:f>
      </x:c>
      <x:c r="AE42" t="str">
        <x:v>No</x:v>
      </x:c>
      <x:c r="AF42" t="str">
        <x:v>No</x:v>
      </x:c>
      <x:c r="AG42" t="str">
        <x:v>Eligible for urinary-recovery meta-analysis using median/IQR methods</x:v>
      </x:c>
      <x:c r="AH42" t="str">
        <x:v>No</x:v>
      </x:c>
      <x:c r="AI42" t="str">
        <x:v>110/1948 randomized participants were excluded from final analysis; abstract gives sham median 7.0 h but Table 2 gives 7.1 h—use table value</x:v>
      </x:c>
      <x:c r="AJ42" t="str">
        <x:v>Table 2 / primary spontaneous-void outcome</x:v>
      </x:c>
      <x:c r="AK42" t="str">
        <x:v>https://drive.google.com/file/d/1LXNXNhVJaOcYXBODulFUuMD4FQXC5dph/view?usp=drivesdk</x:v>
      </x:c>
      <x:c r="AL42" t="str">
        <x:v>SOURCE-VERIFIED / ATTRITION QC</x:v>
      </x:c>
    </x:row>
    <x:row r="43">
      <x:c r="A43" t="str">
        <x:v>Zhang 2023</x:v>
      </x:c>
      <x:c r="B43" t="str">
        <x:v>ZHANG23_TEAS_vs_SHAM_DELAYED</x:v>
      </x:c>
      <x:c r="C43" t="str">
        <x:v>TEAS</x:v>
      </x:c>
      <x:c r="D43" t="str">
        <x:v>Sham/no current</x:v>
      </x:c>
      <x:c r="E43" t="str">
        <x:v>Urinary recovery</x:v>
      </x:c>
      <x:c r="F43" t="str">
        <x:v>Delayed urinary recovery (&gt;12 h without spontaneous void)</x:v>
      </x:c>
      <x:c r="G43" t="str">
        <x:v>Postoperative</x:v>
      </x:c>
      <x:c r="H43" t="str">
        <x:v>Events/total</x:v>
      </x:c>
      <x:c r="I43" t="n">
        <x:v>975</x:v>
      </x:c>
      <x:c r="J43" t="n">
        <x:v>973</x:v>
      </x:c>
      <x:c r="K43" t="n">
        <x:v>922</x:v>
      </x:c>
      <x:c r="L43" t="n">
        <x:v>916</x:v>
      </x:c>
      <x:c r="M43"/>
      <x:c r="N43"/>
      <x:c r="O43"/>
      <x:c r="P43"/>
      <x:c r="Q43"/>
      <x:c r="R43" t="n">
        <x:v>103</x:v>
      </x:c>
      <x:c r="S43"/>
      <x:c r="T43"/>
      <x:c r="U43"/>
      <x:c r="V43"/>
      <x:c r="W43"/>
      <x:c r="X43" t="n">
        <x:v>173</x:v>
      </x:c>
      <x:c r="Y43" t="str">
        <x:v>participants</x:v>
      </x:c>
      <x:c r="Z43" t="str">
        <x:v>&lt;0.001</x:v>
      </x:c>
      <x:c r="AA43" t="str">
        <x:v>Yes</x:v>
      </x:c>
      <x:c r="AB43" t="str">
        <x:v>No</x:v>
      </x:c>
      <x:c r="AC43" t="str">
        <x:f>IF(H43="Mean/SD","MD",IF(H43="Events/total","RR",""))</x:f>
        <x:v>RR</x:v>
      </x:c>
      <x:c r="AD43" t="n">
        <x:f>IF(H43="Mean/SD",M43-S43,IF(H43="Events/total",IFERROR((R43/K43)/(X43/L43),""),""))</x:f>
        <x:v>0.5915012601406844</x:v>
      </x:c>
      <x:c r="AE43" t="str">
        <x:v>No</x:v>
      </x:c>
      <x:c r="AF43" t="str">
        <x:v>No</x:v>
      </x:c>
      <x:c r="AG43" t="str">
        <x:v>Eligible for dichotomous delayed-voiding analysis</x:v>
      </x:c>
      <x:c r="AH43" t="str">
        <x:v>No</x:v>
      </x:c>
      <x:c r="AI43" t="str">
        <x:v>Use analyzed denominators 922 and 916, not randomized denominators</x:v>
      </x:c>
      <x:c r="AJ43" t="str">
        <x:v>Table 2 / delayed urinary recovery</x:v>
      </x:c>
      <x:c r="AK43" t="str">
        <x:v>https://drive.google.com/file/d/1LXNXNhVJaOcYXBODulFUuMD4FQXC5dph/view?usp=drivesdk</x:v>
      </x:c>
      <x:c r="AL43" t="str">
        <x:v>SOURCE-VERIFIED / ATTRITION QC</x:v>
      </x:c>
    </x:row>
    <x:row r="44">
      <x:c r="A44" t="str">
        <x:v>Zhang 2023</x:v>
      </x:c>
      <x:c r="B44" t="str">
        <x:v>ZHANG23_TEAS_vs_SHAM_POUR</x:v>
      </x:c>
      <x:c r="C44" t="str">
        <x:v>TEAS</x:v>
      </x:c>
      <x:c r="D44" t="str">
        <x:v>Sham/no current</x:v>
      </x:c>
      <x:c r="E44" t="str">
        <x:v>Urinary recovery</x:v>
      </x:c>
      <x:c r="F44" t="str">
        <x:v>Postoperative urinary retention</x:v>
      </x:c>
      <x:c r="G44" t="str">
        <x:v>Postoperative</x:v>
      </x:c>
      <x:c r="H44" t="str">
        <x:v>Events/total</x:v>
      </x:c>
      <x:c r="I44" t="n">
        <x:v>975</x:v>
      </x:c>
      <x:c r="J44" t="n">
        <x:v>973</x:v>
      </x:c>
      <x:c r="K44" t="n">
        <x:v>922</x:v>
      </x:c>
      <x:c r="L44" t="n">
        <x:v>916</x:v>
      </x:c>
      <x:c r="M44"/>
      <x:c r="N44"/>
      <x:c r="O44"/>
      <x:c r="P44"/>
      <x:c r="Q44"/>
      <x:c r="R44" t="n">
        <x:v>75</x:v>
      </x:c>
      <x:c r="S44"/>
      <x:c r="T44"/>
      <x:c r="U44"/>
      <x:c r="V44"/>
      <x:c r="W44"/>
      <x:c r="X44" t="n">
        <x:v>104</x:v>
      </x:c>
      <x:c r="Y44" t="str">
        <x:v>participants</x:v>
      </x:c>
      <x:c r="Z44" t="str">
        <x:v>0.02</x:v>
      </x:c>
      <x:c r="AA44" t="str">
        <x:v>Yes</x:v>
      </x:c>
      <x:c r="AB44" t="str">
        <x:v>No</x:v>
      </x:c>
      <x:c r="AC44" t="str">
        <x:f>IF(H44="Mean/SD","MD",IF(H44="Events/total","RR",""))</x:f>
        <x:v>RR</x:v>
      </x:c>
      <x:c r="AD44" t="n">
        <x:f>IF(H44="Mean/SD",M44-S44,IF(H44="Events/total",IFERROR((R44/K44)/(X44/L44),""),""))</x:f>
        <x:v>0.7164608710161855</x:v>
      </x:c>
      <x:c r="AE44" t="str">
        <x:v>No</x:v>
      </x:c>
      <x:c r="AF44" t="str">
        <x:v>No</x:v>
      </x:c>
      <x:c r="AG44" t="str">
        <x:v>Eligible for dichotomous POUR analysis</x:v>
      </x:c>
      <x:c r="AH44" t="str">
        <x:v>No</x:v>
      </x:c>
      <x:c r="AI44" t="str">
        <x:v>Use analyzed denominators 922 and 916</x:v>
      </x:c>
      <x:c r="AJ44" t="str">
        <x:v>Table 2 / POUR result</x:v>
      </x:c>
      <x:c r="AK44" t="str">
        <x:v>https://drive.google.com/file/d/1LXNXNhVJaOcYXBODulFUuMD4FQXC5dph/view?usp=drivesdk</x:v>
      </x:c>
      <x:c r="AL44" t="str">
        <x:v>SOURCE-VERIFIED / ATTRITION QC</x:v>
      </x:c>
    </x:row>
    <x:row r="45">
      <x:c r="A45" t="str">
        <x:v>Zhang 2023</x:v>
      </x:c>
      <x:c r="B45" t="str">
        <x:v>ZHANG23_TEAS_vs_SHAM_MME48</x:v>
      </x:c>
      <x:c r="C45" t="str">
        <x:v>TEAS</x:v>
      </x:c>
      <x:c r="D45" t="str">
        <x:v>Sham/no current</x:v>
      </x:c>
      <x:c r="E45" t="str">
        <x:v>Opioid consumption</x:v>
      </x:c>
      <x:c r="F45" t="str">
        <x:v>Postoperative IV morphine-equivalent consumption</x:v>
      </x:c>
      <x:c r="G45" t="str">
        <x:v>Within 48 h</x:v>
      </x:c>
      <x:c r="H45" t="str">
        <x:v>Median/IQR</x:v>
      </x:c>
      <x:c r="I45" t="n">
        <x:v>975</x:v>
      </x:c>
      <x:c r="J45" t="n">
        <x:v>973</x:v>
      </x:c>
      <x:c r="K45" t="n">
        <x:v>922</x:v>
      </x:c>
      <x:c r="L45" t="n">
        <x:v>916</x:v>
      </x:c>
      <x:c r="M45"/>
      <x:c r="N45"/>
      <x:c r="O45" t="n">
        <x:v>110</x:v>
      </x:c>
      <x:c r="P45" t="n">
        <x:v>80</x:v>
      </x:c>
      <x:c r="Q45" t="n">
        <x:v>110</x:v>
      </x:c>
      <x:c r="R45"/>
      <x:c r="S45"/>
      <x:c r="T45"/>
      <x:c r="U45" t="n">
        <x:v>110</x:v>
      </x:c>
      <x:c r="V45" t="n">
        <x:v>90</x:v>
      </x:c>
      <x:c r="W45" t="n">
        <x:v>110</x:v>
      </x:c>
      <x:c r="X45"/>
      <x:c r="Y45" t="str">
        <x:v>mg IV morphine-equivalent</x:v>
      </x:c>
      <x:c r="Z45" t="str">
        <x:v>NR</x:v>
      </x:c>
      <x:c r="AA45" t="str">
        <x:v>Yes</x:v>
      </x:c>
      <x:c r="AB45" t="str">
        <x:v>Yes</x:v>
      </x:c>
      <x:c r="AC45" t="str">
        <x:f>IF(H45="Mean/SD","MD",IF(H45="Events/total","RR",""))</x:f>
      </x:c>
      <x:c r="AD45" t="str">
        <x:f>IF(H45="Mean/SD",M45-S45,IF(H45="Events/total",IFERROR((R45/K45)/(X45/L45),""),""))</x:f>
      </x:c>
      <x:c r="AE45" t="str">
        <x:v>No</x:v>
      </x:c>
      <x:c r="AF45" t="str">
        <x:v>No</x:v>
      </x:c>
      <x:c r="AG45" t="str">
        <x:v>Potentially eligible for 48-h opioid analysis if median/IQR endpoints are prespecified</x:v>
      </x:c>
      <x:c r="AH45" t="str">
        <x:v>No</x:v>
      </x:c>
      <x:c r="AI45" t="str">
        <x:v>Authors converted opioids using ClinCalc; exact 24-h postoperative dose is not reported</x:v>
      </x:c>
      <x:c r="AJ45" t="str">
        <x:v>Table 1 / postoperative opioid-equivalent result</x:v>
      </x:c>
      <x:c r="AK45" t="str">
        <x:v>https://drive.google.com/file/d/1LXNXNhVJaOcYXBODulFUuMD4FQXC5dph/view?usp=drivesdk</x:v>
      </x:c>
      <x:c r="AL45" t="str">
        <x:v>SOURCE-VERIFIED / 48H ONLY</x:v>
      </x:c>
    </x:row>
    <x:row r="46">
      <x:c r="A46" t="str">
        <x:v>Zhang 2023</x:v>
      </x:c>
      <x:c r="B46" t="str">
        <x:v>ZHANG23_TEAS_vs_SHAM_OPIOID24</x:v>
      </x:c>
      <x:c r="C46" t="str">
        <x:v>TEAS</x:v>
      </x:c>
      <x:c r="D46" t="str">
        <x:v>Sham/no current</x:v>
      </x:c>
      <x:c r="E46" t="str">
        <x:v>Opioid consumption</x:v>
      </x:c>
      <x:c r="F46" t="str">
        <x:v>Exact cumulative postoperative opioid dose</x:v>
      </x:c>
      <x:c r="G46" t="str">
        <x:v>0-24 h</x:v>
      </x:c>
      <x:c r="H46" t="str">
        <x:v>Not reported</x:v>
      </x:c>
      <x:c r="I46" t="n">
        <x:v>975</x:v>
      </x:c>
      <x:c r="J46" t="n">
        <x:v>973</x:v>
      </x:c>
      <x:c r="K46" t="n">
        <x:v>922</x:v>
      </x:c>
      <x:c r="L46" t="n">
        <x:v>916</x:v>
      </x:c>
      <x:c r="M46"/>
      <x:c r="N46"/>
      <x:c r="O46"/>
      <x:c r="P46"/>
      <x:c r="Q46"/>
      <x:c r="R46"/>
      <x:c r="S46"/>
      <x:c r="T46"/>
      <x:c r="U46"/>
      <x:c r="V46"/>
      <x:c r="W46"/>
      <x:c r="X46"/>
      <x:c r="Y46" t="str">
        <x:v>mg IV morphine-equivalent</x:v>
      </x:c>
      <x:c r="Z46" t="str"/>
      <x:c r="AA46" t="str">
        <x:v>No</x:v>
      </x:c>
      <x:c r="AB46" t="str">
        <x:v>No</x:v>
      </x:c>
      <x:c r="AC46" t="str">
        <x:f>IF(H46="Mean/SD","MD",IF(H46="Events/total","RR",""))</x:f>
      </x:c>
      <x:c r="AD46" t="str">
        <x:f>IF(H46="Mean/SD",M46-S46,IF(H46="Events/total",IFERROR((R46/K46)/(X46/L46),""),""))</x:f>
      </x:c>
      <x:c r="AE46" t="str">
        <x:v>No</x:v>
      </x:c>
      <x:c r="AF46" t="str">
        <x:v>No</x:v>
      </x:c>
      <x:c r="AG46" t="str">
        <x:v>Not eligible for strict continuous 24-h opioid meta-analysis</x:v>
      </x:c>
      <x:c r="AH46" t="str">
        <x:v>No</x:v>
      </x:c>
      <x:c r="AI46" t="str">
        <x:v>Only a postoperative 48-h opioid-equivalent endpoint is reported</x:v>
      </x:c>
      <x:c r="AJ46" t="str">
        <x:v>Exact 24-h endpoint absent</x:v>
      </x:c>
      <x:c r="AK46" t="str">
        <x:v>https://drive.google.com/file/d/1LXNXNhVJaOcYXBODulFUuMD4FQXC5dph/view?usp=drivesdk</x:v>
      </x:c>
      <x:c r="AL46" t="str">
        <x:v>MISSING / NOT REPORTED</x:v>
      </x:c>
    </x:row>
    <x:row r="47">
      <x:c r="A47" t="str">
        <x:v>Zhang 2014</x:v>
      </x:c>
      <x:c r="B47" t="str">
        <x:v>ZHANG14_TEAS_vs_SHAM_RR</x:v>
      </x:c>
      <x:c r="C47" t="str">
        <x:v>Preoperative TEAS</x:v>
      </x:c>
      <x:c r="D47" t="str">
        <x:v>Sham/no current</x:v>
      </x:c>
      <x:c r="E47" t="str">
        <x:v>Recovery</x:v>
      </x:c>
      <x:c r="F47" t="str">
        <x:v>Recovery-room stay</x:v>
      </x:c>
      <x:c r="G47" t="str">
        <x:v>Recovery-room discharge</x:v>
      </x:c>
      <x:c r="H47" t="str">
        <x:v>Mean/SD</x:v>
      </x:c>
      <x:c r="I47" t="n">
        <x:v>33</x:v>
      </x:c>
      <x:c r="J47" t="n">
        <x:v>32</x:v>
      </x:c>
      <x:c r="K47" t="n">
        <x:v>33</x:v>
      </x:c>
      <x:c r="L47" t="n">
        <x:v>32</x:v>
      </x:c>
      <x:c r="M47" t="n">
        <x:v>35.6</x:v>
      </x:c>
      <x:c r="N47" t="n">
        <x:v>12.9</x:v>
      </x:c>
      <x:c r="O47"/>
      <x:c r="P47"/>
      <x:c r="Q47"/>
      <x:c r="R47"/>
      <x:c r="S47" t="n">
        <x:v>48.3</x:v>
      </x:c>
      <x:c r="T47" t="n">
        <x:v>16.3</x:v>
      </x:c>
      <x:c r="U47"/>
      <x:c r="V47"/>
      <x:c r="W47"/>
      <x:c r="X47"/>
      <x:c r="Y47" t="str">
        <x:v>minutes</x:v>
      </x:c>
      <x:c r="Z47" t="str">
        <x:v>0.01</x:v>
      </x:c>
      <x:c r="AA47" t="str">
        <x:v>Yes</x:v>
      </x:c>
      <x:c r="AB47" t="str">
        <x:v>No</x:v>
      </x:c>
      <x:c r="AC47" t="str">
        <x:f>IF(H47="Mean/SD","MD",IF(H47="Events/total","RR",""))</x:f>
        <x:v>MD</x:v>
      </x:c>
      <x:c r="AD47" t="n">
        <x:f>IF(H47="Mean/SD",M47-S47,IF(H47="Events/total",IFERROR((R47/K47)/(X47/L47),""),""))</x:f>
        <x:v>-12.699999999999996</x:v>
      </x:c>
      <x:c r="AE47" t="str">
        <x:v>No</x:v>
      </x:c>
      <x:c r="AF47" t="str">
        <x:v>No</x:v>
      </x:c>
      <x:c r="AG47" t="str">
        <x:v>Eligible for recovery-time analysis</x:v>
      </x:c>
      <x:c r="AH47" t="str">
        <x:v>No</x:v>
      </x:c>
      <x:c r="AI47" t="str">
        <x:v>Abstract incorrectly states 72 randomized; detailed flowchart/tables show 65 randomized and analyzed</x:v>
      </x:c>
      <x:c r="AJ47" t="str">
        <x:v>Primary outcome / recovery-room stay</x:v>
      </x:c>
      <x:c r="AK47" t="str">
        <x:v>https://drive.google.com/file/d/1lws1zFpIE-wbLY8X9ewYyTuIP-WySa-c/view?usp=drivesdk</x:v>
      </x:c>
      <x:c r="AL47" t="str">
        <x:v>SOURCE-VERIFIED</x:v>
      </x:c>
    </x:row>
    <x:row r="48">
      <x:c r="A48" t="str">
        <x:v>Zhang 2014</x:v>
      </x:c>
      <x:c r="B48" t="str">
        <x:v>ZHANG14_TEAS_vs_SHAM_REMI</x:v>
      </x:c>
      <x:c r="C48" t="str">
        <x:v>Preoperative TEAS</x:v>
      </x:c>
      <x:c r="D48" t="str">
        <x:v>Sham/no current</x:v>
      </x:c>
      <x:c r="E48" t="str">
        <x:v>Intraoperative opioid</x:v>
      </x:c>
      <x:c r="F48" t="str">
        <x:v>Remifentanil consumption rate</x:v>
      </x:c>
      <x:c r="G48" t="str">
        <x:v>Intraoperative</x:v>
      </x:c>
      <x:c r="H48" t="str">
        <x:v>Mean/SD</x:v>
      </x:c>
      <x:c r="I48" t="n">
        <x:v>33</x:v>
      </x:c>
      <x:c r="J48" t="n">
        <x:v>32</x:v>
      </x:c>
      <x:c r="K48" t="n">
        <x:v>33</x:v>
      </x:c>
      <x:c r="L48" t="n">
        <x:v>32</x:v>
      </x:c>
      <x:c r="M48" t="n">
        <x:v>0.06</x:v>
      </x:c>
      <x:c r="N48" t="n">
        <x:v>0.02</x:v>
      </x:c>
      <x:c r="O48"/>
      <x:c r="P48"/>
      <x:c r="Q48"/>
      <x:c r="R48"/>
      <x:c r="S48" t="n">
        <x:v>0.09</x:v>
      </x:c>
      <x:c r="T48" t="n">
        <x:v>0.03</x:v>
      </x:c>
      <x:c r="U48"/>
      <x:c r="V48"/>
      <x:c r="W48"/>
      <x:c r="X48"/>
      <x:c r="Y48" t="str">
        <x:v>µg/kg/min</x:v>
      </x:c>
      <x:c r="Z48" t="str">
        <x:v>0.01</x:v>
      </x:c>
      <x:c r="AA48" t="str">
        <x:v>Yes</x:v>
      </x:c>
      <x:c r="AB48" t="str">
        <x:v>No</x:v>
      </x:c>
      <x:c r="AC48" t="str">
        <x:f>IF(H48="Mean/SD","MD",IF(H48="Events/total","RR",""))</x:f>
        <x:v>MD</x:v>
      </x:c>
      <x:c r="AD48" t="n">
        <x:f>IF(H48="Mean/SD",M48-S48,IF(H48="Events/total",IFERROR((R48/K48)/(X48/L48),""),""))</x:f>
        <x:v>-0.03</x:v>
      </x:c>
      <x:c r="AE48" t="str">
        <x:v>No</x:v>
      </x:c>
      <x:c r="AF48" t="str">
        <x:v>No</x:v>
      </x:c>
      <x:c r="AG48" t="str">
        <x:v>Eligible for intraoperative opioid-sparing analysis only</x:v>
      </x:c>
      <x:c r="AH48" t="str">
        <x:v>No</x:v>
      </x:c>
      <x:c r="AI48" t="str">
        <x:v>Weight/time-normalized consumption, not absolute remifentanil dose</x:v>
      </x:c>
      <x:c r="AJ48" t="str">
        <x:v>Table 2 / intraoperative remifentanil</x:v>
      </x:c>
      <x:c r="AK48" t="str">
        <x:v>https://drive.google.com/file/d/1lws1zFpIE-wbLY8X9ewYyTuIP-WySa-c/view?usp=drivesdk</x:v>
      </x:c>
      <x:c r="AL48" t="str">
        <x:v>SOURCE-VERIFIED</x:v>
      </x:c>
    </x:row>
    <x:row r="49">
      <x:c r="A49" t="str">
        <x:v>Zhang 2014</x:v>
      </x:c>
      <x:c r="B49" t="str">
        <x:v>ZHANG14_TEAS_vs_SHAM_NAUSEA</x:v>
      </x:c>
      <x:c r="C49" t="str">
        <x:v>Preoperative TEAS</x:v>
      </x:c>
      <x:c r="D49" t="str">
        <x:v>Sham/no current</x:v>
      </x:c>
      <x:c r="E49" t="str">
        <x:v>PONV</x:v>
      </x:c>
      <x:c r="F49" t="str">
        <x:v>Postoperative nausea</x:v>
      </x:c>
      <x:c r="G49" t="str">
        <x:v>Postoperative</x:v>
      </x:c>
      <x:c r="H49" t="str">
        <x:v>Events/total</x:v>
      </x:c>
      <x:c r="I49" t="n">
        <x:v>33</x:v>
      </x:c>
      <x:c r="J49" t="n">
        <x:v>32</x:v>
      </x:c>
      <x:c r="K49" t="n">
        <x:v>33</x:v>
      </x:c>
      <x:c r="L49" t="n">
        <x:v>32</x:v>
      </x:c>
      <x:c r="M49"/>
      <x:c r="N49"/>
      <x:c r="O49"/>
      <x:c r="P49"/>
      <x:c r="Q49"/>
      <x:c r="R49" t="n">
        <x:v>7</x:v>
      </x:c>
      <x:c r="S49"/>
      <x:c r="T49"/>
      <x:c r="U49"/>
      <x:c r="V49"/>
      <x:c r="W49"/>
      <x:c r="X49" t="n">
        <x:v>15</x:v>
      </x:c>
      <x:c r="Y49" t="str">
        <x:v>participants</x:v>
      </x:c>
      <x:c r="Z49" t="str">
        <x:v>0.03</x:v>
      </x:c>
      <x:c r="AA49" t="str">
        <x:v>Yes</x:v>
      </x:c>
      <x:c r="AB49" t="str">
        <x:v>No</x:v>
      </x:c>
      <x:c r="AC49" t="str">
        <x:f>IF(H49="Mean/SD","MD",IF(H49="Events/total","RR",""))</x:f>
        <x:v>RR</x:v>
      </x:c>
      <x:c r="AD49" t="n">
        <x:f>IF(H49="Mean/SD",M49-S49,IF(H49="Events/total",IFERROR((R49/K49)/(X49/L49),""),""))</x:f>
        <x:v>0.45252525252525255</x:v>
      </x:c>
      <x:c r="AE49" t="str">
        <x:v>No</x:v>
      </x:c>
      <x:c r="AF49" t="str">
        <x:v>No</x:v>
      </x:c>
      <x:c r="AG49" t="str">
        <x:v>Eligible for dichotomous nausea analysis</x:v>
      </x:c>
      <x:c r="AH49" t="str">
        <x:v>No</x:v>
      </x:c>
      <x:c r="AI49" t="str">
        <x:v>No exact narrower time window reported in the extraction</x:v>
      </x:c>
      <x:c r="AJ49" t="str">
        <x:v>Table 3 / postoperative side effects</x:v>
      </x:c>
      <x:c r="AK49" t="str">
        <x:v>https://drive.google.com/file/d/1lws1zFpIE-wbLY8X9ewYyTuIP-WySa-c/view?usp=drivesdk</x:v>
      </x:c>
      <x:c r="AL49" t="str">
        <x:v>SOURCE-VERIFIED</x:v>
      </x:c>
    </x:row>
    <x:row r="50">
      <x:c r="A50" t="str">
        <x:v>Zhang 2014</x:v>
      </x:c>
      <x:c r="B50" t="str">
        <x:v>ZHANG14_TEAS_vs_SHAM_VOMIT</x:v>
      </x:c>
      <x:c r="C50" t="str">
        <x:v>Preoperative TEAS</x:v>
      </x:c>
      <x:c r="D50" t="str">
        <x:v>Sham/no current</x:v>
      </x:c>
      <x:c r="E50" t="str">
        <x:v>PONV</x:v>
      </x:c>
      <x:c r="F50" t="str">
        <x:v>Postoperative vomiting</x:v>
      </x:c>
      <x:c r="G50" t="str">
        <x:v>Postoperative</x:v>
      </x:c>
      <x:c r="H50" t="str">
        <x:v>Events/total</x:v>
      </x:c>
      <x:c r="I50" t="n">
        <x:v>33</x:v>
      </x:c>
      <x:c r="J50" t="n">
        <x:v>32</x:v>
      </x:c>
      <x:c r="K50" t="n">
        <x:v>33</x:v>
      </x:c>
      <x:c r="L50" t="n">
        <x:v>32</x:v>
      </x:c>
      <x:c r="M50"/>
      <x:c r="N50"/>
      <x:c r="O50"/>
      <x:c r="P50"/>
      <x:c r="Q50"/>
      <x:c r="R50" t="n">
        <x:v>4</x:v>
      </x:c>
      <x:c r="S50"/>
      <x:c r="T50"/>
      <x:c r="U50"/>
      <x:c r="V50"/>
      <x:c r="W50"/>
      <x:c r="X50" t="n">
        <x:v>11</x:v>
      </x:c>
      <x:c r="Y50" t="str">
        <x:v>participants</x:v>
      </x:c>
      <x:c r="Z50" t="str">
        <x:v>0.03</x:v>
      </x:c>
      <x:c r="AA50" t="str">
        <x:v>Yes</x:v>
      </x:c>
      <x:c r="AB50" t="str">
        <x:v>No</x:v>
      </x:c>
      <x:c r="AC50" t="str">
        <x:f>IF(H50="Mean/SD","MD",IF(H50="Events/total","RR",""))</x:f>
        <x:v>RR</x:v>
      </x:c>
      <x:c r="AD50" t="n">
        <x:f>IF(H50="Mean/SD",M50-S50,IF(H50="Events/total",IFERROR((R50/K50)/(X50/L50),""),""))</x:f>
        <x:v>0.3526170798898072</x:v>
      </x:c>
      <x:c r="AE50" t="str">
        <x:v>No</x:v>
      </x:c>
      <x:c r="AF50" t="str">
        <x:v>No</x:v>
      </x:c>
      <x:c r="AG50" t="str">
        <x:v>Eligible for dichotomous vomiting analysis</x:v>
      </x:c>
      <x:c r="AH50" t="str">
        <x:v>No</x:v>
      </x:c>
      <x:c r="AI50" t="str">
        <x:v>No exact narrower time window reported in the extraction</x:v>
      </x:c>
      <x:c r="AJ50" t="str">
        <x:v>Table 3 / postoperative side effects</x:v>
      </x:c>
      <x:c r="AK50" t="str">
        <x:v>https://drive.google.com/file/d/1lws1zFpIE-wbLY8X9ewYyTuIP-WySa-c/view?usp=drivesdk</x:v>
      </x:c>
      <x:c r="AL50" t="str">
        <x:v>SOURCE-VERIFIED</x:v>
      </x:c>
    </x:row>
    <x:row r="51">
      <x:c r="A51" t="str">
        <x:v>Zhang 2014</x:v>
      </x:c>
      <x:c r="B51" t="str">
        <x:v>ZHANG14_TEAS_vs_SHAM_OPIOID24</x:v>
      </x:c>
      <x:c r="C51" t="str">
        <x:v>Preoperative TEAS</x:v>
      </x:c>
      <x:c r="D51" t="str">
        <x:v>Sham/no current</x:v>
      </x:c>
      <x:c r="E51" t="str">
        <x:v>Opioid consumption</x:v>
      </x:c>
      <x:c r="F51" t="str">
        <x:v>Exact cumulative postoperative opioid dose</x:v>
      </x:c>
      <x:c r="G51" t="str">
        <x:v>0-24 h</x:v>
      </x:c>
      <x:c r="H51" t="str">
        <x:v>Not reported</x:v>
      </x:c>
      <x:c r="I51" t="n">
        <x:v>33</x:v>
      </x:c>
      <x:c r="J51" t="n">
        <x:v>32</x:v>
      </x:c>
      <x:c r="K51" t="n">
        <x:v>33</x:v>
      </x:c>
      <x:c r="L51" t="n">
        <x:v>32</x:v>
      </x:c>
      <x:c r="M51"/>
      <x:c r="N51"/>
      <x:c r="O51"/>
      <x:c r="P51"/>
      <x:c r="Q51"/>
      <x:c r="R51"/>
      <x:c r="S51"/>
      <x:c r="T51"/>
      <x:c r="U51"/>
      <x:c r="V51"/>
      <x:c r="W51"/>
      <x:c r="X51"/>
      <x:c r="Y51" t="str">
        <x:v>mg/µg</x:v>
      </x:c>
      <x:c r="Z51" t="str"/>
      <x:c r="AA51" t="str">
        <x:v>No</x:v>
      </x:c>
      <x:c r="AB51" t="str">
        <x:v>No</x:v>
      </x:c>
      <x:c r="AC51" t="str">
        <x:f>IF(H51="Mean/SD","MD",IF(H51="Events/total","RR",""))</x:f>
      </x:c>
      <x:c r="AD51" t="str">
        <x:f>IF(H51="Mean/SD",M51-S51,IF(H51="Events/total",IFERROR((R51/K51)/(X51/L51),""),""))</x:f>
      </x:c>
      <x:c r="AE51" t="str">
        <x:v>No</x:v>
      </x:c>
      <x:c r="AF51" t="str">
        <x:v>No</x:v>
      </x:c>
      <x:c r="AG51" t="str">
        <x:v>Not eligible for continuous 24-h postoperative opioid meta-analysis</x:v>
      </x:c>
      <x:c r="AH51" t="str">
        <x:v>No</x:v>
      </x:c>
      <x:c r="AI51" t="str">
        <x:v>Study reports intraoperative remifentanil rate but no exact postoperative opioid-consumption total</x:v>
      </x:c>
      <x:c r="AJ51" t="str">
        <x:v>Postoperative analgesic section</x:v>
      </x:c>
      <x:c r="AK51" t="str">
        <x:v>https://drive.google.com/file/d/1lws1zFpIE-wbLY8X9ewYyTuIP-WySa-c/view?usp=drivesdk</x:v>
      </x:c>
      <x:c r="AL51" t="str">
        <x:v>MISSING / NOT REPORTED</x:v>
      </x:c>
    </x:row>
    <x:row r="52">
      <x:c r="A52" t="str">
        <x:v>Yang 2024</x:v>
      </x:c>
      <x:c r="B52" t="str">
        <x:v>YANG24_EA_vs_UC_MORPH24</x:v>
      </x:c>
      <x:c r="C52" t="str">
        <x:v>Perioperative EA + usual care</x:v>
      </x:c>
      <x:c r="D52" t="str">
        <x:v>Usual care</x:v>
      </x:c>
      <x:c r="E52" t="str">
        <x:v>Opioid consumption</x:v>
      </x:c>
      <x:c r="F52" t="str">
        <x:v>Morphine use via IV PCA</x:v>
      </x:c>
      <x:c r="G52" t="str">
        <x:v>First 24 h / POD1</x:v>
      </x:c>
      <x:c r="H52" t="str">
        <x:v>Mean/SD</x:v>
      </x:c>
      <x:c r="I52" t="n">
        <x:v>90</x:v>
      </x:c>
      <x:c r="J52" t="n">
        <x:v>90</x:v>
      </x:c>
      <x:c r="K52" t="n">
        <x:v>90</x:v>
      </x:c>
      <x:c r="L52" t="n">
        <x:v>90</x:v>
      </x:c>
      <x:c r="M52" t="n">
        <x:v>43.7</x:v>
      </x:c>
      <x:c r="N52" t="n">
        <x:v>4.7</x:v>
      </x:c>
      <x:c r="O52"/>
      <x:c r="P52"/>
      <x:c r="Q52"/>
      <x:c r="R52"/>
      <x:c r="S52" t="n">
        <x:v>44</x:v>
      </x:c>
      <x:c r="T52" t="n">
        <x:v>4.9</x:v>
      </x:c>
      <x:c r="U52"/>
      <x:c r="V52"/>
      <x:c r="W52"/>
      <x:c r="X52"/>
      <x:c r="Y52" t="str">
        <x:v>mg morphine</x:v>
      </x:c>
      <x:c r="Z52" t="str">
        <x:v>0.733</x:v>
      </x:c>
      <x:c r="AA52" t="str">
        <x:v>Yes</x:v>
      </x:c>
      <x:c r="AB52" t="str">
        <x:v>No</x:v>
      </x:c>
      <x:c r="AC52" t="str">
        <x:f>IF(H52="Mean/SD","MD",IF(H52="Events/total","RR",""))</x:f>
        <x:v>MD</x:v>
      </x:c>
      <x:c r="AD52" t="n">
        <x:f>IF(H52="Mean/SD",M52-S52,IF(H52="Events/total",IFERROR((R52/K52)/(X52/L52),""),""))</x:f>
        <x:v>-0.29999999999999716</x:v>
      </x:c>
      <x:c r="AE52" t="str">
        <x:v>Yes</x:v>
      </x:c>
      <x:c r="AF52" t="str">
        <x:v>Yes</x:v>
      </x:c>
      <x:c r="AG52" t="str">
        <x:v>Primary continuous 24-h opioid outcome</x:v>
      </x:c>
      <x:c r="AH52" t="str">
        <x:v>No</x:v>
      </x:c>
      <x:c r="AI52" t="str">
        <x:v>All 180 randomized participants retained in ITT; open-label patients but objective PCA drug-use record</x:v>
      </x:c>
      <x:c r="AJ52" t="str">
        <x:v>Table 3 / Morphine use on POD1</x:v>
      </x:c>
      <x:c r="AK52" t="str">
        <x:v>https://drive.google.com/file/d/160N3psd5tLEphwXHJzUEZ3uJfaIXcs5V/view?usp=drivesdk</x:v>
      </x:c>
      <x:c r="AL52" t="str">
        <x:v>SOURCE-VERIFIED</x:v>
      </x:c>
    </x:row>
    <x:row r="53">
      <x:c r="A53" t="str">
        <x:v>Yang 2024</x:v>
      </x:c>
      <x:c r="B53" t="str">
        <x:v>YANG24_EA_vs_UC_FLATUS</x:v>
      </x:c>
      <x:c r="C53" t="str">
        <x:v>Perioperative EA + usual care</x:v>
      </x:c>
      <x:c r="D53" t="str">
        <x:v>Usual care</x:v>
      </x:c>
      <x:c r="E53" t="str">
        <x:v>GI recovery</x:v>
      </x:c>
      <x:c r="F53" t="str">
        <x:v>Time to first flatus</x:v>
      </x:c>
      <x:c r="G53" t="str">
        <x:v>Postoperative</x:v>
      </x:c>
      <x:c r="H53" t="str">
        <x:v>Mean/SD</x:v>
      </x:c>
      <x:c r="I53" t="n">
        <x:v>90</x:v>
      </x:c>
      <x:c r="J53" t="n">
        <x:v>90</x:v>
      </x:c>
      <x:c r="K53" t="n">
        <x:v>90</x:v>
      </x:c>
      <x:c r="L53" t="n">
        <x:v>90</x:v>
      </x:c>
      <x:c r="M53" t="n">
        <x:v>15.4</x:v>
      </x:c>
      <x:c r="N53" t="n">
        <x:v>3.2</x:v>
      </x:c>
      <x:c r="O53"/>
      <x:c r="P53"/>
      <x:c r="Q53"/>
      <x:c r="R53"/>
      <x:c r="S53" t="n">
        <x:v>17</x:v>
      </x:c>
      <x:c r="T53" t="n">
        <x:v>3.7</x:v>
      </x:c>
      <x:c r="U53"/>
      <x:c r="V53"/>
      <x:c r="W53"/>
      <x:c r="X53"/>
      <x:c r="Y53" t="str">
        <x:v>hours</x:v>
      </x:c>
      <x:c r="Z53" t="str">
        <x:v>0.004</x:v>
      </x:c>
      <x:c r="AA53" t="str">
        <x:v>Yes</x:v>
      </x:c>
      <x:c r="AB53" t="str">
        <x:v>No</x:v>
      </x:c>
      <x:c r="AC53" t="str">
        <x:f>IF(H53="Mean/SD","MD",IF(H53="Events/total","RR",""))</x:f>
        <x:v>MD</x:v>
      </x:c>
      <x:c r="AD53" t="n">
        <x:f>IF(H53="Mean/SD",M53-S53,IF(H53="Events/total",IFERROR((R53/K53)/(X53/L53),""),""))</x:f>
        <x:v>-1.5999999999999996</x:v>
      </x:c>
      <x:c r="AE53" t="str">
        <x:v>No</x:v>
      </x:c>
      <x:c r="AF53" t="str">
        <x:v>No</x:v>
      </x:c>
      <x:c r="AG53" t="str">
        <x:v>Eligible for GI-recovery meta-analysis</x:v>
      </x:c>
      <x:c r="AH53" t="str">
        <x:v>No</x:v>
      </x:c>
      <x:c r="AI53" t="str">
        <x:v>Open-label participants; outcome assessor blinded</x:v>
      </x:c>
      <x:c r="AJ53" t="str">
        <x:v>Table 2 / primary first-flatus outcome</x:v>
      </x:c>
      <x:c r="AK53" t="str">
        <x:v>https://drive.google.com/file/d/160N3psd5tLEphwXHJzUEZ3uJfaIXcs5V/view?usp=drivesdk</x:v>
      </x:c>
      <x:c r="AL53" t="str">
        <x:v>SOURCE-VERIFIED</x:v>
      </x:c>
    </x:row>
    <x:row r="54">
      <x:c r="A54" t="str">
        <x:v>Yang 2024</x:v>
      </x:c>
      <x:c r="B54" t="str">
        <x:v>YANG24_EA_vs_UC_DEFEC</x:v>
      </x:c>
      <x:c r="C54" t="str">
        <x:v>Perioperative EA + usual care</x:v>
      </x:c>
      <x:c r="D54" t="str">
        <x:v>Usual care</x:v>
      </x:c>
      <x:c r="E54" t="str">
        <x:v>GI recovery</x:v>
      </x:c>
      <x:c r="F54" t="str">
        <x:v>Time to first defecation</x:v>
      </x:c>
      <x:c r="G54" t="str">
        <x:v>Postoperative</x:v>
      </x:c>
      <x:c r="H54" t="str">
        <x:v>Mean/SD</x:v>
      </x:c>
      <x:c r="I54" t="n">
        <x:v>90</x:v>
      </x:c>
      <x:c r="J54" t="n">
        <x:v>90</x:v>
      </x:c>
      <x:c r="K54" t="n">
        <x:v>90</x:v>
      </x:c>
      <x:c r="L54" t="n">
        <x:v>90</x:v>
      </x:c>
      <x:c r="M54" t="n">
        <x:v>75.9</x:v>
      </x:c>
      <x:c r="N54" t="n">
        <x:v>7.9</x:v>
      </x:c>
      <x:c r="O54"/>
      <x:c r="P54"/>
      <x:c r="Q54"/>
      <x:c r="R54"/>
      <x:c r="S54" t="n">
        <x:v>79.7</x:v>
      </x:c>
      <x:c r="T54" t="n">
        <x:v>8.1</x:v>
      </x:c>
      <x:c r="U54"/>
      <x:c r="V54"/>
      <x:c r="W54"/>
      <x:c r="X54"/>
      <x:c r="Y54" t="str">
        <x:v>hours</x:v>
      </x:c>
      <x:c r="Z54" t="str">
        <x:v>0.002</x:v>
      </x:c>
      <x:c r="AA54" t="str">
        <x:v>Yes</x:v>
      </x:c>
      <x:c r="AB54" t="str">
        <x:v>No</x:v>
      </x:c>
      <x:c r="AC54" t="str">
        <x:f>IF(H54="Mean/SD","MD",IF(H54="Events/total","RR",""))</x:f>
        <x:v>MD</x:v>
      </x:c>
      <x:c r="AD54" t="n">
        <x:f>IF(H54="Mean/SD",M54-S54,IF(H54="Events/total",IFERROR((R54/K54)/(X54/L54),""),""))</x:f>
        <x:v>-3.799999999999997</x:v>
      </x:c>
      <x:c r="AE54" t="str">
        <x:v>No</x:v>
      </x:c>
      <x:c r="AF54" t="str">
        <x:v>No</x:v>
      </x:c>
      <x:c r="AG54" t="str">
        <x:v>Eligible for GI-recovery meta-analysis</x:v>
      </x:c>
      <x:c r="AH54" t="str">
        <x:v>No</x:v>
      </x:c>
      <x:c r="AI54" t="str">
        <x:v>Open-label participants; outcome assessor blinded</x:v>
      </x:c>
      <x:c r="AJ54" t="str">
        <x:v>Table 2 / primary first-defecation outcome</x:v>
      </x:c>
      <x:c r="AK54" t="str">
        <x:v>https://drive.google.com/file/d/160N3psd5tLEphwXHJzUEZ3uJfaIXcs5V/view?usp=drivesdk</x:v>
      </x:c>
      <x:c r="AL54" t="str">
        <x:v>SOURCE-VERIFIED</x:v>
      </x:c>
    </x:row>
    <x:row r="55">
      <x:c r="A55" t="str">
        <x:v>Yang 2024</x:v>
      </x:c>
      <x:c r="B55" t="str">
        <x:v>YANG24_EA_vs_UC_VOMIT</x:v>
      </x:c>
      <x:c r="C55" t="str">
        <x:v>Perioperative EA + usual care</x:v>
      </x:c>
      <x:c r="D55" t="str">
        <x:v>Usual care</x:v>
      </x:c>
      <x:c r="E55" t="str">
        <x:v>PONV</x:v>
      </x:c>
      <x:c r="F55" t="str">
        <x:v>Postoperative vomiting</x:v>
      </x:c>
      <x:c r="G55" t="str">
        <x:v>Within 72 h</x:v>
      </x:c>
      <x:c r="H55" t="str">
        <x:v>Events/total</x:v>
      </x:c>
      <x:c r="I55" t="n">
        <x:v>90</x:v>
      </x:c>
      <x:c r="J55" t="n">
        <x:v>90</x:v>
      </x:c>
      <x:c r="K55" t="n">
        <x:v>90</x:v>
      </x:c>
      <x:c r="L55" t="n">
        <x:v>90</x:v>
      </x:c>
      <x:c r="M55"/>
      <x:c r="N55"/>
      <x:c r="O55"/>
      <x:c r="P55"/>
      <x:c r="Q55"/>
      <x:c r="R55" t="n">
        <x:v>12</x:v>
      </x:c>
      <x:c r="S55"/>
      <x:c r="T55"/>
      <x:c r="U55"/>
      <x:c r="V55"/>
      <x:c r="W55"/>
      <x:c r="X55" t="n">
        <x:v>25</x:v>
      </x:c>
      <x:c r="Y55" t="str">
        <x:v>participants</x:v>
      </x:c>
      <x:c r="Z55" t="str">
        <x:v>0.016</x:v>
      </x:c>
      <x:c r="AA55" t="str">
        <x:v>Yes</x:v>
      </x:c>
      <x:c r="AB55" t="str">
        <x:v>No</x:v>
      </x:c>
      <x:c r="AC55" t="str">
        <x:f>IF(H55="Mean/SD","MD",IF(H55="Events/total","RR",""))</x:f>
        <x:v>RR</x:v>
      </x:c>
      <x:c r="AD55" t="n">
        <x:f>IF(H55="Mean/SD",M55-S55,IF(H55="Events/total",IFERROR((R55/K55)/(X55/L55),""),""))</x:f>
        <x:v>0.48</x:v>
      </x:c>
      <x:c r="AE55" t="str">
        <x:v>No</x:v>
      </x:c>
      <x:c r="AF55" t="str">
        <x:v>No</x:v>
      </x:c>
      <x:c r="AG55" t="str">
        <x:v>Eligible for dichotomous vomiting analysis at matching follow-up</x:v>
      </x:c>
      <x:c r="AH55" t="str">
        <x:v>No</x:v>
      </x:c>
      <x:c r="AI55" t="str">
        <x:v>No sham acupuncture; patient knowledge could affect subjective nausea but vomiting is more objective</x:v>
      </x:c>
      <x:c r="AJ55" t="str">
        <x:v>Secondary outcomes / PONV</x:v>
      </x:c>
      <x:c r="AK55" t="str">
        <x:v>https://drive.google.com/file/d/160N3psd5tLEphwXHJzUEZ3uJfaIXcs5V/view?usp=drivesdk</x:v>
      </x:c>
      <x:c r="AL55" t="str">
        <x:v>SOURCE-VERIFIED</x:v>
      </x:c>
    </x:row>
    <x:row r="56">
      <x:c r="A56" t="str">
        <x:v>Xiong 2021</x:v>
      </x:c>
      <x:c r="B56" t="str">
        <x:v>XIONG21_TEAS_vs_CTRL_PONV48</x:v>
      </x:c>
      <x:c r="C56" t="str">
        <x:v>TEAS + dexamethasone + tropisetron</x:v>
      </x:c>
      <x:c r="D56" t="str">
        <x:v>Dexamethasone + tropisetron</x:v>
      </x:c>
      <x:c r="E56" t="str">
        <x:v>PONV</x:v>
      </x:c>
      <x:c r="F56" t="str">
        <x:v>Any PONV</x:v>
      </x:c>
      <x:c r="G56" t="str">
        <x:v>Within 48 h</x:v>
      </x:c>
      <x:c r="H56" t="str">
        <x:v>Events/total</x:v>
      </x:c>
      <x:c r="I56" t="n">
        <x:v>31</x:v>
      </x:c>
      <x:c r="J56" t="n">
        <x:v>31</x:v>
      </x:c>
      <x:c r="K56" t="n">
        <x:v>31</x:v>
      </x:c>
      <x:c r="L56" t="n">
        <x:v>31</x:v>
      </x:c>
      <x:c r="M56"/>
      <x:c r="N56"/>
      <x:c r="O56"/>
      <x:c r="P56"/>
      <x:c r="Q56"/>
      <x:c r="R56" t="n">
        <x:v>13</x:v>
      </x:c>
      <x:c r="S56"/>
      <x:c r="T56"/>
      <x:c r="U56"/>
      <x:c r="V56"/>
      <x:c r="W56"/>
      <x:c r="X56" t="n">
        <x:v>24</x:v>
      </x:c>
      <x:c r="Y56" t="str">
        <x:v>participants</x:v>
      </x:c>
      <x:c r="Z56" t="str">
        <x:v>0.004</x:v>
      </x:c>
      <x:c r="AA56" t="str">
        <x:v>Yes</x:v>
      </x:c>
      <x:c r="AB56" t="str">
        <x:v>No</x:v>
      </x:c>
      <x:c r="AC56" t="str">
        <x:f>IF(H56="Mean/SD","MD",IF(H56="Events/total","RR",""))</x:f>
        <x:v>RR</x:v>
      </x:c>
      <x:c r="AD56" t="n">
        <x:f>IF(H56="Mean/SD",M56-S56,IF(H56="Events/total",IFERROR((R56/K56)/(X56/L56),""),""))</x:f>
        <x:v>0.5416666666666667</x:v>
      </x:c>
      <x:c r="AE56" t="str">
        <x:v>No</x:v>
      </x:c>
      <x:c r="AF56" t="str">
        <x:v>No</x:v>
      </x:c>
      <x:c r="AG56" t="str">
        <x:v>Eligible for dichotomous 48-h PONV analysis</x:v>
      </x:c>
      <x:c r="AH56" t="str">
        <x:v>No</x:v>
      </x:c>
      <x:c r="AI56" t="str">
        <x:v>Participant blinding intended but active postoperative tingling may have revealed allocation</x:v>
      </x:c>
      <x:c r="AJ56" t="str">
        <x:v>Abstract / 48-h PONV result</x:v>
      </x:c>
      <x:c r="AK56" t="str">
        <x:v>https://drive.google.com/file/d/1sNaquYeWpsts7_e3XYP9c0CwM-tbQS6T/view?usp=drivesdk</x:v>
      </x:c>
      <x:c r="AL56" t="str">
        <x:v>SOURCE-VERIFIED</x:v>
      </x:c>
    </x:row>
    <x:row r="57">
      <x:c r="A57" t="str">
        <x:v>Xiong 2021</x:v>
      </x:c>
      <x:c r="B57" t="str">
        <x:v>XIONG21_TEAS_vs_CTRL_CIPONV</x:v>
      </x:c>
      <x:c r="C57" t="str">
        <x:v>TEAS + dexamethasone + tropisetron</x:v>
      </x:c>
      <x:c r="D57" t="str">
        <x:v>Dexamethasone + tropisetron</x:v>
      </x:c>
      <x:c r="E57" t="str">
        <x:v>PONV</x:v>
      </x:c>
      <x:c r="F57" t="str">
        <x:v>Clinically important PONV</x:v>
      </x:c>
      <x:c r="G57" t="str">
        <x:v>Within 48 h</x:v>
      </x:c>
      <x:c r="H57" t="str">
        <x:v>Events/total</x:v>
      </x:c>
      <x:c r="I57" t="n">
        <x:v>31</x:v>
      </x:c>
      <x:c r="J57" t="n">
        <x:v>31</x:v>
      </x:c>
      <x:c r="K57" t="n">
        <x:v>31</x:v>
      </x:c>
      <x:c r="L57" t="n">
        <x:v>31</x:v>
      </x:c>
      <x:c r="M57"/>
      <x:c r="N57"/>
      <x:c r="O57"/>
      <x:c r="P57"/>
      <x:c r="Q57"/>
      <x:c r="R57" t="n">
        <x:v>5</x:v>
      </x:c>
      <x:c r="S57"/>
      <x:c r="T57"/>
      <x:c r="U57"/>
      <x:c r="V57"/>
      <x:c r="W57"/>
      <x:c r="X57" t="n">
        <x:v>15</x:v>
      </x:c>
      <x:c r="Y57" t="str">
        <x:v>participants</x:v>
      </x:c>
      <x:c r="Z57" t="str">
        <x:v>0.007</x:v>
      </x:c>
      <x:c r="AA57" t="str">
        <x:v>Yes</x:v>
      </x:c>
      <x:c r="AB57" t="str">
        <x:v>No</x:v>
      </x:c>
      <x:c r="AC57" t="str">
        <x:f>IF(H57="Mean/SD","MD",IF(H57="Events/total","RR",""))</x:f>
        <x:v>RR</x:v>
      </x:c>
      <x:c r="AD57" t="n">
        <x:f>IF(H57="Mean/SD",M57-S57,IF(H57="Events/total",IFERROR((R57/K57)/(X57/L57),""),""))</x:f>
        <x:v>0.3333333333333333</x:v>
      </x:c>
      <x:c r="AE57" t="str">
        <x:v>No</x:v>
      </x:c>
      <x:c r="AF57" t="str">
        <x:v>No</x:v>
      </x:c>
      <x:c r="AG57" t="str">
        <x:v>Eligible for dichotomous clinically-important PONV analysis</x:v>
      </x:c>
      <x:c r="AH57" t="str">
        <x:v>No</x:v>
      </x:c>
      <x:c r="AI57" t="str">
        <x:v>Patient-reported symptom severity; sensory blinding may be imperfect</x:v>
      </x:c>
      <x:c r="AJ57" t="str">
        <x:v>Abstract / clinically important PONV</x:v>
      </x:c>
      <x:c r="AK57" t="str">
        <x:v>https://drive.google.com/file/d/1sNaquYeWpsts7_e3XYP9c0CwM-tbQS6T/view?usp=drivesdk</x:v>
      </x:c>
      <x:c r="AL57" t="str">
        <x:v>SOURCE-VERIFIED</x:v>
      </x:c>
    </x:row>
    <x:row r="58">
      <x:c r="A58" t="str">
        <x:v>Xiong 2021</x:v>
      </x:c>
      <x:c r="B58" t="str">
        <x:v>XIONG21_TEAS_vs_CTRL_RESCUEAE</x:v>
      </x:c>
      <x:c r="C58" t="str">
        <x:v>TEAS + dexamethasone + tropisetron</x:v>
      </x:c>
      <x:c r="D58" t="str">
        <x:v>Dexamethasone + tropisetron</x:v>
      </x:c>
      <x:c r="E58" t="str">
        <x:v>Rescue antiemetic</x:v>
      </x:c>
      <x:c r="F58" t="str">
        <x:v>Any rescue antiemetic medication</x:v>
      </x:c>
      <x:c r="G58" t="str">
        <x:v>Within 48 h</x:v>
      </x:c>
      <x:c r="H58" t="str">
        <x:v>Events/total</x:v>
      </x:c>
      <x:c r="I58" t="n">
        <x:v>31</x:v>
      </x:c>
      <x:c r="J58" t="n">
        <x:v>31</x:v>
      </x:c>
      <x:c r="K58" t="n">
        <x:v>31</x:v>
      </x:c>
      <x:c r="L58" t="n">
        <x:v>31</x:v>
      </x:c>
      <x:c r="M58"/>
      <x:c r="N58"/>
      <x:c r="O58"/>
      <x:c r="P58"/>
      <x:c r="Q58"/>
      <x:c r="R58" t="n">
        <x:v>9</x:v>
      </x:c>
      <x:c r="S58"/>
      <x:c r="T58"/>
      <x:c r="U58"/>
      <x:c r="V58"/>
      <x:c r="W58"/>
      <x:c r="X58" t="n">
        <x:v>18</x:v>
      </x:c>
      <x:c r="Y58" t="str">
        <x:v>participants</x:v>
      </x:c>
      <x:c r="Z58" t="str">
        <x:v>0.021</x:v>
      </x:c>
      <x:c r="AA58" t="str">
        <x:v>Percentages directly reported; counts exactly reconstructed from 29.0% and 58.1%</x:v>
      </x:c>
      <x:c r="AB58" t="str">
        <x:v>Yes</x:v>
      </x:c>
      <x:c r="AC58" t="str">
        <x:f>IF(H58="Mean/SD","MD",IF(H58="Events/total","RR",""))</x:f>
        <x:v>RR</x:v>
      </x:c>
      <x:c r="AD58" t="n">
        <x:f>IF(H58="Mean/SD",M58-S58,IF(H58="Events/total",IFERROR((R58/K58)/(X58/L58),""),""))</x:f>
        <x:v>0.5</x:v>
      </x:c>
      <x:c r="AE58" t="str">
        <x:v>No</x:v>
      </x:c>
      <x:c r="AF58" t="str">
        <x:v>No</x:v>
      </x:c>
      <x:c r="AG58" t="str">
        <x:v>Eligible for dichotomous rescue-antiemetic analysis</x:v>
      </x:c>
      <x:c r="AH58" t="str">
        <x:v>No</x:v>
      </x:c>
      <x:c r="AI58" t="str">
        <x:v>Counts reconstructed exactly from group denominator 31</x:v>
      </x:c>
      <x:c r="AJ58" t="str">
        <x:v>Abstract / rescue antiemetic result</x:v>
      </x:c>
      <x:c r="AK58" t="str">
        <x:v>https://drive.google.com/file/d/1sNaquYeWpsts7_e3XYP9c0CwM-tbQS6T/view?usp=drivesdk</x:v>
      </x:c>
      <x:c r="AL58" t="str">
        <x:v>SOURCE-VERIFIED / COUNTS DERIVED</x:v>
      </x:c>
    </x:row>
    <x:row r="59">
      <x:c r="A59" t="str">
        <x:v>Xiong 2021</x:v>
      </x:c>
      <x:c r="B59" t="str">
        <x:v>XIONG21_TEAS_vs_CTRL_POSTOPMME</x:v>
      </x:c>
      <x:c r="C59" t="str">
        <x:v>TEAS + dexamethasone + tropisetron</x:v>
      </x:c>
      <x:c r="D59" t="str">
        <x:v>Dexamethasone + tropisetron</x:v>
      </x:c>
      <x:c r="E59" t="str">
        <x:v>Opioid consumption</x:v>
      </x:c>
      <x:c r="F59" t="str">
        <x:v>Postoperative opioid consumption</x:v>
      </x:c>
      <x:c r="G59" t="str">
        <x:v>Postoperative window unclear</x:v>
      </x:c>
      <x:c r="H59" t="str">
        <x:v>Mean/SD</x:v>
      </x:c>
      <x:c r="I59" t="n">
        <x:v>31</x:v>
      </x:c>
      <x:c r="J59" t="n">
        <x:v>31</x:v>
      </x:c>
      <x:c r="K59" t="n">
        <x:v>31</x:v>
      </x:c>
      <x:c r="L59" t="n">
        <x:v>31</x:v>
      </x:c>
      <x:c r="M59" t="n">
        <x:v>0.6</x:v>
      </x:c>
      <x:c r="N59" t="n">
        <x:v>0.2</x:v>
      </x:c>
      <x:c r="O59"/>
      <x:c r="P59"/>
      <x:c r="Q59"/>
      <x:c r="R59"/>
      <x:c r="S59" t="n">
        <x:v>0.6</x:v>
      </x:c>
      <x:c r="T59" t="n">
        <x:v>0.1</x:v>
      </x:c>
      <x:c r="U59"/>
      <x:c r="V59"/>
      <x:c r="W59"/>
      <x:c r="X59"/>
      <x:c r="Y59" t="str">
        <x:v>mg morphine-equivalent/kg</x:v>
      </x:c>
      <x:c r="Z59" t="str">
        <x:v>0.908</x:v>
      </x:c>
      <x:c r="AA59" t="str">
        <x:v>Yes</x:v>
      </x:c>
      <x:c r="AB59" t="str">
        <x:v>Yes</x:v>
      </x:c>
      <x:c r="AC59" t="str">
        <x:f>IF(H59="Mean/SD","MD",IF(H59="Events/total","RR",""))</x:f>
        <x:v>MD</x:v>
      </x:c>
      <x:c r="AD59" t="n">
        <x:f>IF(H59="Mean/SD",M59-S59,IF(H59="Events/total",IFERROR((R59/K59)/(X59/L59),""),""))</x:f>
        <x:v>0</x:v>
      </x:c>
      <x:c r="AE59" t="str">
        <x:v>No</x:v>
      </x:c>
      <x:c r="AF59" t="str">
        <x:v>No</x:v>
      </x:c>
      <x:c r="AG59" t="str">
        <x:v>Not eligible for strict 0-24-h opioid meta-analysis until time window is clarified</x:v>
      </x:c>
      <x:c r="AH59" t="str">
        <x:v>No</x:v>
      </x:c>
      <x:c r="AI59" t="str">
        <x:v>Exact postoperative interval is not stated; route terminology in Results is internally inconsistent</x:v>
      </x:c>
      <x:c r="AJ59" t="str">
        <x:v>Table 1 / postoperative opioid consumption</x:v>
      </x:c>
      <x:c r="AK59" t="str">
        <x:v>https://drive.google.com/file/d/1sNaquYeWpsts7_e3XYP9c0CwM-tbQS6T/view?usp=drivesdk</x:v>
      </x:c>
      <x:c r="AL59" t="str">
        <x:v>SOURCE-VERIFIED / WINDOW QC</x:v>
      </x:c>
    </x:row>
    <x:row r="60">
      <x:c r="A60" t="str">
        <x:v>Xiong 2021</x:v>
      </x:c>
      <x:c r="B60" t="str">
        <x:v>XIONG21_TEAS_vs_CTRL_OPIOID24</x:v>
      </x:c>
      <x:c r="C60" t="str">
        <x:v>TEAS + dexamethasone + tropisetron</x:v>
      </x:c>
      <x:c r="D60" t="str">
        <x:v>Dexamethasone + tropisetron</x:v>
      </x:c>
      <x:c r="E60" t="str">
        <x:v>Opioid consumption</x:v>
      </x:c>
      <x:c r="F60" t="str">
        <x:v>Exact cumulative postoperative opioid dose</x:v>
      </x:c>
      <x:c r="G60" t="str">
        <x:v>0-24 h</x:v>
      </x:c>
      <x:c r="H60" t="str">
        <x:v>Not reported</x:v>
      </x:c>
      <x:c r="I60" t="n">
        <x:v>31</x:v>
      </x:c>
      <x:c r="J60" t="n">
        <x:v>31</x:v>
      </x:c>
      <x:c r="K60" t="n">
        <x:v>31</x:v>
      </x:c>
      <x:c r="L60" t="n">
        <x:v>31</x:v>
      </x:c>
      <x:c r="M60"/>
      <x:c r="N60"/>
      <x:c r="O60"/>
      <x:c r="P60"/>
      <x:c r="Q60"/>
      <x:c r="R60"/>
      <x:c r="S60"/>
      <x:c r="T60"/>
      <x:c r="U60"/>
      <x:c r="V60"/>
      <x:c r="W60"/>
      <x:c r="X60"/>
      <x:c r="Y60" t="str">
        <x:v>mg morphine-equivalent/kg</x:v>
      </x:c>
      <x:c r="Z60" t="str"/>
      <x:c r="AA60" t="str">
        <x:v>No</x:v>
      </x:c>
      <x:c r="AB60" t="str">
        <x:v>No</x:v>
      </x:c>
      <x:c r="AC60" t="str">
        <x:f>IF(H60="Mean/SD","MD",IF(H60="Events/total","RR",""))</x:f>
      </x:c>
      <x:c r="AD60" t="str">
        <x:f>IF(H60="Mean/SD",M60-S60,IF(H60="Events/total",IFERROR((R60/K60)/(X60/L60),""),""))</x:f>
      </x:c>
      <x:c r="AE60" t="str">
        <x:v>No</x:v>
      </x:c>
      <x:c r="AF60" t="str">
        <x:v>No</x:v>
      </x:c>
      <x:c r="AG60" t="str">
        <x:v>Not eligible for continuous 24-h opioid meta-analysis</x:v>
      </x:c>
      <x:c r="AH60" t="str">
        <x:v>No</x:v>
      </x:c>
      <x:c r="AI60" t="str">
        <x:v>Published opioid-equivalent result lacks a fixed time window</x:v>
      </x:c>
      <x:c r="AJ60" t="str">
        <x:v>Exact 24-h endpoint absent</x:v>
      </x:c>
      <x:c r="AK60" t="str">
        <x:v>https://drive.google.com/file/d/1sNaquYeWpsts7_e3XYP9c0CwM-tbQS6T/view?usp=drivesdk</x:v>
      </x:c>
      <x:c r="AL60" t="str">
        <x:v>MISSING / WINDOW NOT REPORTED</x:v>
      </x:c>
    </x:row>
    <x:row r="61">
      <x:c r="A61" t="str">
        <x:v>Xing 2022</x:v>
      </x:c>
      <x:c r="B61" t="str">
        <x:v>XING22_NTG_vs_NG_REMI</x:v>
      </x:c>
      <x:c r="C61" t="str">
        <x:v>TEAS + active TAPB</x:v>
      </x:c>
      <x:c r="D61" t="str">
        <x:v>Sham TEAS + active TAPB</x:v>
      </x:c>
      <x:c r="E61" t="str">
        <x:v>Intraoperative opioid</x:v>
      </x:c>
      <x:c r="F61" t="str">
        <x:v>Total remifentanil consumption</x:v>
      </x:c>
      <x:c r="G61" t="str">
        <x:v>Intraoperative</x:v>
      </x:c>
      <x:c r="H61" t="str">
        <x:v>Mean/SD</x:v>
      </x:c>
      <x:c r="I61" t="n">
        <x:v>30</x:v>
      </x:c>
      <x:c r="J61" t="n">
        <x:v>30</x:v>
      </x:c>
      <x:c r="K61" t="n">
        <x:v>29</x:v>
      </x:c>
      <x:c r="L61" t="n">
        <x:v>29</x:v>
      </x:c>
      <x:c r="M61" t="n">
        <x:v>1182.61</x:v>
      </x:c>
      <x:c r="N61" t="n">
        <x:v>253.61</x:v>
      </x:c>
      <x:c r="O61"/>
      <x:c r="P61"/>
      <x:c r="Q61"/>
      <x:c r="R61"/>
      <x:c r="S61" t="n">
        <x:v>1415.41</x:v>
      </x:c>
      <x:c r="T61" t="n">
        <x:v>295.67</x:v>
      </x:c>
      <x:c r="U61"/>
      <x:c r="V61"/>
      <x:c r="W61"/>
      <x:c r="X61"/>
      <x:c r="Y61" t="str">
        <x:v>µg remifentanil</x:v>
      </x:c>
      <x:c r="Z61" t="str">
        <x:v>&lt;0.05 pairwise</x:v>
      </x:c>
      <x:c r="AA61" t="str">
        <x:v>Yes</x:v>
      </x:c>
      <x:c r="AB61" t="str">
        <x:v>No</x:v>
      </x:c>
      <x:c r="AC61" t="str">
        <x:f>IF(H61="Mean/SD","MD",IF(H61="Events/total","RR",""))</x:f>
        <x:v>MD</x:v>
      </x:c>
      <x:c r="AD61" t="n">
        <x:f>IF(H61="Mean/SD",M61-S61,IF(H61="Events/total",IFERROR((R61/K61)/(X61/L61),""),""))</x:f>
        <x:v>-232.80000000000018</x:v>
      </x:c>
      <x:c r="AE61" t="str">
        <x:v>No</x:v>
      </x:c>
      <x:c r="AF61" t="str">
        <x:v>No</x:v>
      </x:c>
      <x:c r="AG61" t="str">
        <x:v>Eligible for incremental TEAS intraoperative opioid-sparing analysis</x:v>
      </x:c>
      <x:c r="AH61" t="str">
        <x:v>Yes</x:v>
      </x:c>
      <x:c r="AI61" t="str">
        <x:v>Direct TEAS contrast is NTG vs NG; do not attribute NTG-vs-G combined package entirely to TEAS</x:v>
      </x:c>
      <x:c r="AJ61" t="str">
        <x:v>Table 3, p10</x:v>
      </x:c>
      <x:c r="AK61" t="str">
        <x:v>https://drive.google.com/file/d/1h3IGpQ56nSh7H16xBEVyTzCBkWOXRSxK/view?usp=drivesdk</x:v>
      </x:c>
      <x:c r="AL61" t="str">
        <x:v>SOURCE-VERIFIED</x:v>
      </x:c>
    </x:row>
    <x:row r="62">
      <x:c r="A62" t="str">
        <x:v>Xing 2022</x:v>
      </x:c>
      <x:c r="B62" t="str">
        <x:v>XING22_NTG_vs_NG_FLATUS</x:v>
      </x:c>
      <x:c r="C62" t="str">
        <x:v>TEAS + active TAPB</x:v>
      </x:c>
      <x:c r="D62" t="str">
        <x:v>Sham TEAS + active TAPB</x:v>
      </x:c>
      <x:c r="E62" t="str">
        <x:v>GI recovery</x:v>
      </x:c>
      <x:c r="F62" t="str">
        <x:v>Time to first flatus</x:v>
      </x:c>
      <x:c r="G62" t="str">
        <x:v>Postoperative</x:v>
      </x:c>
      <x:c r="H62" t="str">
        <x:v>Mean/SD</x:v>
      </x:c>
      <x:c r="I62" t="n">
        <x:v>30</x:v>
      </x:c>
      <x:c r="J62" t="n">
        <x:v>30</x:v>
      </x:c>
      <x:c r="K62" t="n">
        <x:v>29</x:v>
      </x:c>
      <x:c r="L62" t="n">
        <x:v>29</x:v>
      </x:c>
      <x:c r="M62" t="n">
        <x:v>32.57</x:v>
      </x:c>
      <x:c r="N62" t="n">
        <x:v>6.94</x:v>
      </x:c>
      <x:c r="O62"/>
      <x:c r="P62"/>
      <x:c r="Q62"/>
      <x:c r="R62"/>
      <x:c r="S62" t="n">
        <x:v>36.83</x:v>
      </x:c>
      <x:c r="T62" t="n">
        <x:v>6.19</x:v>
      </x:c>
      <x:c r="U62"/>
      <x:c r="V62"/>
      <x:c r="W62"/>
      <x:c r="X62"/>
      <x:c r="Y62" t="str">
        <x:v>hours</x:v>
      </x:c>
      <x:c r="Z62" t="str">
        <x:v>&lt;0.05 pairwise</x:v>
      </x:c>
      <x:c r="AA62" t="str">
        <x:v>Yes</x:v>
      </x:c>
      <x:c r="AB62" t="str">
        <x:v>No</x:v>
      </x:c>
      <x:c r="AC62" t="str">
        <x:f>IF(H62="Mean/SD","MD",IF(H62="Events/total","RR",""))</x:f>
        <x:v>MD</x:v>
      </x:c>
      <x:c r="AD62" t="n">
        <x:f>IF(H62="Mean/SD",M62-S62,IF(H62="Events/total",IFERROR((R62/K62)/(X62/L62),""),""))</x:f>
        <x:v>-4.259999999999998</x:v>
      </x:c>
      <x:c r="AE62" t="str">
        <x:v>No</x:v>
      </x:c>
      <x:c r="AF62" t="str">
        <x:v>No</x:v>
      </x:c>
      <x:c r="AG62" t="str">
        <x:v>Eligible for GI-recovery analysis</x:v>
      </x:c>
      <x:c r="AH62" t="str">
        <x:v>Yes</x:v>
      </x:c>
      <x:c r="AI62" t="str">
        <x:v>Three-arm study; use NTG vs NG for incremental TEAS effect</x:v>
      </x:c>
      <x:c r="AJ62" t="str">
        <x:v>Postoperative recovery results</x:v>
      </x:c>
      <x:c r="AK62" t="str">
        <x:v>https://drive.google.com/file/d/1h3IGpQ56nSh7H16xBEVyTzCBkWOXRSxK/view?usp=drivesdk</x:v>
      </x:c>
      <x:c r="AL62" t="str">
        <x:v>SOURCE-VERIFIED</x:v>
      </x:c>
    </x:row>
    <x:row r="63">
      <x:c r="A63" t="str">
        <x:v>Xing 2022</x:v>
      </x:c>
      <x:c r="B63" t="str">
        <x:v>XING22_NTG_vs_NG_PONV</x:v>
      </x:c>
      <x:c r="C63" t="str">
        <x:v>TEAS + active TAPB</x:v>
      </x:c>
      <x:c r="D63" t="str">
        <x:v>Sham TEAS + active TAPB</x:v>
      </x:c>
      <x:c r="E63" t="str">
        <x:v>PONV</x:v>
      </x:c>
      <x:c r="F63" t="str">
        <x:v>PONV incidence</x:v>
      </x:c>
      <x:c r="G63" t="str">
        <x:v>Postoperative</x:v>
      </x:c>
      <x:c r="H63" t="str">
        <x:v>Events/total</x:v>
      </x:c>
      <x:c r="I63" t="n">
        <x:v>30</x:v>
      </x:c>
      <x:c r="J63" t="n">
        <x:v>30</x:v>
      </x:c>
      <x:c r="K63" t="n">
        <x:v>29</x:v>
      </x:c>
      <x:c r="L63" t="n">
        <x:v>29</x:v>
      </x:c>
      <x:c r="M63"/>
      <x:c r="N63"/>
      <x:c r="O63"/>
      <x:c r="P63"/>
      <x:c r="Q63"/>
      <x:c r="R63" t="n">
        <x:v>5</x:v>
      </x:c>
      <x:c r="S63"/>
      <x:c r="T63"/>
      <x:c r="U63"/>
      <x:c r="V63"/>
      <x:c r="W63"/>
      <x:c r="X63" t="n">
        <x:v>11</x:v>
      </x:c>
      <x:c r="Y63" t="str">
        <x:v>participants</x:v>
      </x:c>
      <x:c r="Z63" t="str">
        <x:v>&lt;0.05 pairwise</x:v>
      </x:c>
      <x:c r="AA63" t="str">
        <x:v>Percentages reported; counts exactly reconstructed from 17.24% and 37.93%</x:v>
      </x:c>
      <x:c r="AB63" t="str">
        <x:v>Yes</x:v>
      </x:c>
      <x:c r="AC63" t="str">
        <x:f>IF(H63="Mean/SD","MD",IF(H63="Events/total","RR",""))</x:f>
        <x:v>RR</x:v>
      </x:c>
      <x:c r="AD63" t="n">
        <x:f>IF(H63="Mean/SD",M63-S63,IF(H63="Events/total",IFERROR((R63/K63)/(X63/L63),""),""))</x:f>
        <x:v>0.4545454545454546</x:v>
      </x:c>
      <x:c r="AE63" t="str">
        <x:v>No</x:v>
      </x:c>
      <x:c r="AF63" t="str">
        <x:v>No</x:v>
      </x:c>
      <x:c r="AG63" t="str">
        <x:v>Eligible for dichotomous PONV analysis</x:v>
      </x:c>
      <x:c r="AH63" t="str">
        <x:v>Yes</x:v>
      </x:c>
      <x:c r="AI63" t="str">
        <x:v>Counts reconstructed from n=29 analyzed per arm</x:v>
      </x:c>
      <x:c r="AJ63" t="str">
        <x:v>Postoperative complications</x:v>
      </x:c>
      <x:c r="AK63" t="str">
        <x:v>https://drive.google.com/file/d/1h3IGpQ56nSh7H16xBEVyTzCBkWOXRSxK/view?usp=drivesdk</x:v>
      </x:c>
      <x:c r="AL63" t="str">
        <x:v>SOURCE-VERIFIED / COUNTS DERIVED</x:v>
      </x:c>
    </x:row>
    <x:row r="64">
      <x:c r="A64" t="str">
        <x:v>Xing 2022</x:v>
      </x:c>
      <x:c r="B64" t="str">
        <x:v>XING22_NTG_vs_NG_RESTVAS24</x:v>
      </x:c>
      <x:c r="C64" t="str">
        <x:v>TEAS + active TAPB</x:v>
      </x:c>
      <x:c r="D64" t="str">
        <x:v>Sham TEAS + active TAPB</x:v>
      </x:c>
      <x:c r="E64" t="str">
        <x:v>Pain</x:v>
      </x:c>
      <x:c r="F64" t="str">
        <x:v>Rest pain VAS</x:v>
      </x:c>
      <x:c r="G64" t="str">
        <x:v>24 h</x:v>
      </x:c>
      <x:c r="H64" t="str">
        <x:v>Mean/SD</x:v>
      </x:c>
      <x:c r="I64" t="n">
        <x:v>30</x:v>
      </x:c>
      <x:c r="J64" t="n">
        <x:v>30</x:v>
      </x:c>
      <x:c r="K64" t="n">
        <x:v>29</x:v>
      </x:c>
      <x:c r="L64" t="n">
        <x:v>29</x:v>
      </x:c>
      <x:c r="M64" t="n">
        <x:v>1.18</x:v>
      </x:c>
      <x:c r="N64" t="n">
        <x:v>0.42</x:v>
      </x:c>
      <x:c r="O64"/>
      <x:c r="P64"/>
      <x:c r="Q64"/>
      <x:c r="R64"/>
      <x:c r="S64" t="n">
        <x:v>1.4</x:v>
      </x:c>
      <x:c r="T64" t="n">
        <x:v>0.52</x:v>
      </x:c>
      <x:c r="U64"/>
      <x:c r="V64"/>
      <x:c r="W64"/>
      <x:c r="X64"/>
      <x:c r="Y64" t="str">
        <x:v>VAS 0-10</x:v>
      </x:c>
      <x:c r="Z64" t="str">
        <x:v>NS for NTG vs NG at 24 h</x:v>
      </x:c>
      <x:c r="AA64" t="str">
        <x:v>Yes</x:v>
      </x:c>
      <x:c r="AB64" t="str">
        <x:v>No</x:v>
      </x:c>
      <x:c r="AC64" t="str">
        <x:f>IF(H64="Mean/SD","MD",IF(H64="Events/total","RR",""))</x:f>
        <x:v>MD</x:v>
      </x:c>
      <x:c r="AD64" t="n">
        <x:f>IF(H64="Mean/SD",M64-S64,IF(H64="Events/total",IFERROR((R64/K64)/(X64/L64),""),""))</x:f>
        <x:v>-0.21999999999999997</x:v>
      </x:c>
      <x:c r="AE64" t="str">
        <x:v>No</x:v>
      </x:c>
      <x:c r="AF64" t="str">
        <x:v>No</x:v>
      </x:c>
      <x:c r="AG64" t="str">
        <x:v>Eligible for 24-h pain analysis</x:v>
      </x:c>
      <x:c r="AH64" t="str">
        <x:v>Yes</x:v>
      </x:c>
      <x:c r="AI64" t="str">
        <x:v>At 24 h both TAPB groups improved versus G, but incremental NTG-vs-NG difference was not reported significant</x:v>
      </x:c>
      <x:c r="AJ64" t="str">
        <x:v>24-h pain result</x:v>
      </x:c>
      <x:c r="AK64" t="str">
        <x:v>https://drive.google.com/file/d/1h3IGpQ56nSh7H16xBEVyTzCBkWOXRSxK/view?usp=drivesdk</x:v>
      </x:c>
      <x:c r="AL64" t="str">
        <x:v>SOURCE-VERIFIED</x:v>
      </x:c>
    </x:row>
    <x:row r="65">
      <x:c r="A65" t="str">
        <x:v>Xing 2022</x:v>
      </x:c>
      <x:c r="B65" t="str">
        <x:v>XING22_NTG_vs_NG_PRESS</x:v>
      </x:c>
      <x:c r="C65" t="str">
        <x:v>TEAS + active TAPB</x:v>
      </x:c>
      <x:c r="D65" t="str">
        <x:v>Sham TEAS + active TAPB</x:v>
      </x:c>
      <x:c r="E65" t="str">
        <x:v>Opioid demand</x:v>
      </x:c>
      <x:c r="F65" t="str">
        <x:v>PCIA pump press count</x:v>
      </x:c>
      <x:c r="G65" t="str">
        <x:v>48-h / 2-day PCIA period</x:v>
      </x:c>
      <x:c r="H65" t="str">
        <x:v>Mean/SD</x:v>
      </x:c>
      <x:c r="I65" t="n">
        <x:v>30</x:v>
      </x:c>
      <x:c r="J65" t="n">
        <x:v>30</x:v>
      </x:c>
      <x:c r="K65" t="n">
        <x:v>29</x:v>
      </x:c>
      <x:c r="L65" t="n">
        <x:v>29</x:v>
      </x:c>
      <x:c r="M65" t="n">
        <x:v>6.55</x:v>
      </x:c>
      <x:c r="N65" t="n">
        <x:v>3.19</x:v>
      </x:c>
      <x:c r="O65"/>
      <x:c r="P65"/>
      <x:c r="Q65"/>
      <x:c r="R65"/>
      <x:c r="S65" t="n">
        <x:v>9.97</x:v>
      </x:c>
      <x:c r="T65" t="n">
        <x:v>3.8</x:v>
      </x:c>
      <x:c r="U65"/>
      <x:c r="V65"/>
      <x:c r="W65"/>
      <x:c r="X65"/>
      <x:c r="Y65" t="str">
        <x:v>presses</x:v>
      </x:c>
      <x:c r="Z65" t="str">
        <x:v>&lt;0.05 pairwise</x:v>
      </x:c>
      <x:c r="AA65" t="str">
        <x:v>Yes</x:v>
      </x:c>
      <x:c r="AB65" t="str">
        <x:v>No</x:v>
      </x:c>
      <x:c r="AC65" t="str">
        <x:f>IF(H65="Mean/SD","MD",IF(H65="Events/total","RR",""))</x:f>
        <x:v>MD</x:v>
      </x:c>
      <x:c r="AD65" t="n">
        <x:f>IF(H65="Mean/SD",M65-S65,IF(H65="Events/total",IFERROR((R65/K65)/(X65/L65),""),""))</x:f>
        <x:v>-3.420000000000001</x:v>
      </x:c>
      <x:c r="AE65" t="str">
        <x:v>No</x:v>
      </x:c>
      <x:c r="AF65" t="str">
        <x:v>No</x:v>
      </x:c>
      <x:c r="AG65" t="str">
        <x:v>Eligible only as PCA-demand outcome, not exact opioid consumption</x:v>
      </x:c>
      <x:c r="AH65" t="str">
        <x:v>Yes</x:v>
      </x:c>
      <x:c r="AI65" t="str">
        <x:v>Press attempts may not equal successful delivered boluses; do not multiply by 1 µg</x:v>
      </x:c>
      <x:c r="AJ65" t="str">
        <x:v>Table 3 / PCIA press count</x:v>
      </x:c>
      <x:c r="AK65" t="str">
        <x:v>https://drive.google.com/file/d/1h3IGpQ56nSh7H16xBEVyTzCBkWOXRSxK/view?usp=drivesdk</x:v>
      </x:c>
      <x:c r="AL65" t="str">
        <x:v>SOURCE-VERIFIED / DOSE NOT RECONSTRUCTABLE</x:v>
      </x:c>
    </x:row>
    <x:row r="66">
      <x:c r="A66" t="str">
        <x:v>Xing 2022</x:v>
      </x:c>
      <x:c r="B66" t="str">
        <x:v>XING22_NTG_vs_NG_OPIOID24</x:v>
      </x:c>
      <x:c r="C66" t="str">
        <x:v>TEAS + active TAPB</x:v>
      </x:c>
      <x:c r="D66" t="str">
        <x:v>Sham TEAS + active TAPB</x:v>
      </x:c>
      <x:c r="E66" t="str">
        <x:v>Opioid consumption</x:v>
      </x:c>
      <x:c r="F66" t="str">
        <x:v>Exact cumulative postoperative sufentanil delivered</x:v>
      </x:c>
      <x:c r="G66" t="str">
        <x:v>0-24 h</x:v>
      </x:c>
      <x:c r="H66" t="str">
        <x:v>Not reported</x:v>
      </x:c>
      <x:c r="I66" t="n">
        <x:v>30</x:v>
      </x:c>
      <x:c r="J66" t="n">
        <x:v>30</x:v>
      </x:c>
      <x:c r="K66" t="n">
        <x:v>29</x:v>
      </x:c>
      <x:c r="L66" t="n">
        <x:v>29</x:v>
      </x:c>
      <x:c r="M66"/>
      <x:c r="N66"/>
      <x:c r="O66"/>
      <x:c r="P66"/>
      <x:c r="Q66"/>
      <x:c r="R66"/>
      <x:c r="S66"/>
      <x:c r="T66"/>
      <x:c r="U66"/>
      <x:c r="V66"/>
      <x:c r="W66"/>
      <x:c r="X66"/>
      <x:c r="Y66" t="str">
        <x:v>µg sufentanil</x:v>
      </x:c>
      <x:c r="Z66" t="str"/>
      <x:c r="AA66" t="str">
        <x:v>No</x:v>
      </x:c>
      <x:c r="AB66" t="str">
        <x:v>No</x:v>
      </x:c>
      <x:c r="AC66" t="str">
        <x:f>IF(H66="Mean/SD","MD",IF(H66="Events/total","RR",""))</x:f>
      </x:c>
      <x:c r="AD66" t="str">
        <x:f>IF(H66="Mean/SD",M66-S66,IF(H66="Events/total",IFERROR((R66/K66)/(X66/L66),""),""))</x:f>
      </x:c>
      <x:c r="AE66" t="str">
        <x:v>No</x:v>
      </x:c>
      <x:c r="AF66" t="str">
        <x:v>No</x:v>
      </x:c>
      <x:c r="AG66" t="str">
        <x:v>Not eligible for continuous 24-h opioid meta-analysis without author data</x:v>
      </x:c>
      <x:c r="AH66" t="str">
        <x:v>Yes</x:v>
      </x:c>
      <x:c r="AI66" t="str">
        <x:v>PCIA wording is internally contradictory and only press counts are reported</x:v>
      </x:c>
      <x:c r="AJ66" t="str">
        <x:v>Exact 24-h endpoint absent</x:v>
      </x:c>
      <x:c r="AK66" t="str">
        <x:v>https://drive.google.com/file/d/1h3IGpQ56nSh7H16xBEVyTzCBkWOXRSxK/view?usp=drivesdk</x:v>
      </x:c>
      <x:c r="AL66" t="str">
        <x:v>MISSING / AUTHOR DATA NEEDED</x:v>
      </x:c>
    </x:row>
    <x:row r="67">
      <x:c r="A67" t="str">
        <x:v>Xie 2014</x:v>
      </x:c>
      <x:c r="B67" t="str">
        <x:v>XIE14_EAS_vs_SHAM_TOTALSUF</x:v>
      </x:c>
      <x:c r="C67" t="str">
        <x:v>Active EAS PC4/PC6</x:v>
      </x:c>
      <x:c r="D67" t="str">
        <x:v>Sham needling PC4/PC6</x:v>
      </x:c>
      <x:c r="E67" t="str">
        <x:v>Opioid consumption</x:v>
      </x:c>
      <x:c r="F67" t="str">
        <x:v>Total postoperative/perioperative sufentanil</x:v>
      </x:c>
      <x:c r="G67" t="str">
        <x:v>Study PCA period; exact fixed window unclear</x:v>
      </x:c>
      <x:c r="H67" t="str">
        <x:v>Mean/SD</x:v>
      </x:c>
      <x:c r="I67" t="n">
        <x:v>20</x:v>
      </x:c>
      <x:c r="J67" t="n">
        <x:v>20</x:v>
      </x:c>
      <x:c r="K67" t="n">
        <x:v>20</x:v>
      </x:c>
      <x:c r="L67" t="n">
        <x:v>20</x:v>
      </x:c>
      <x:c r="M67" t="n">
        <x:v>115</x:v>
      </x:c>
      <x:c r="N67" t="n">
        <x:v>6</x:v>
      </x:c>
      <x:c r="O67"/>
      <x:c r="P67"/>
      <x:c r="Q67"/>
      <x:c r="R67"/>
      <x:c r="S67" t="n">
        <x:v>133</x:v>
      </x:c>
      <x:c r="T67" t="n">
        <x:v>7</x:v>
      </x:c>
      <x:c r="U67"/>
      <x:c r="V67"/>
      <x:c r="W67"/>
      <x:c r="X67"/>
      <x:c r="Y67" t="str">
        <x:v>µg sufentanil</x:v>
      </x:c>
      <x:c r="Z67" t="str">
        <x:v>&lt;0.05</x:v>
      </x:c>
      <x:c r="AA67" t="str">
        <x:v>Yes</x:v>
      </x:c>
      <x:c r="AB67" t="str">
        <x:v>No</x:v>
      </x:c>
      <x:c r="AC67" t="str">
        <x:f>IF(H67="Mean/SD","MD",IF(H67="Events/total","RR",""))</x:f>
        <x:v>MD</x:v>
      </x:c>
      <x:c r="AD67" t="n">
        <x:f>IF(H67="Mean/SD",M67-S67,IF(H67="Events/total",IFERROR((R67/K67)/(X67/L67),""),""))</x:f>
        <x:v>-18</x:v>
      </x:c>
      <x:c r="AE67" t="str">
        <x:v>No</x:v>
      </x:c>
      <x:c r="AF67" t="str">
        <x:v>No</x:v>
      </x:c>
      <x:c r="AG67" t="str">
        <x:v>Potentially usable only for non-24-h opioid analysis after time-window adjudication</x:v>
      </x:c>
      <x:c r="AH67" t="str">
        <x:v>Yes</x:v>
      </x:c>
      <x:c r="AI67" t="str">
        <x:v>Infusion described through POD3; Discussion mentions lower use through 48 h; Table 2 does not define fixed window</x:v>
      </x:c>
      <x:c r="AJ67" t="str">
        <x:v>Table 2 / total sufentanil</x:v>
      </x:c>
      <x:c r="AK67" t="str">
        <x:v>https://drive.google.com/file/d/17faY_h0rMJTuhjPOC5PL_S59jYmHDPee/view?usp=drivesdk</x:v>
      </x:c>
      <x:c r="AL67" t="str">
        <x:v>SOURCE-VERIFIED / WINDOW QC</x:v>
      </x:c>
    </x:row>
    <x:row r="68">
      <x:c r="A68" t="str">
        <x:v>Xie 2014</x:v>
      </x:c>
      <x:c r="B68" t="str">
        <x:v>XIE14_EAS_vs_CONTROL_TOTALSUF</x:v>
      </x:c>
      <x:c r="C68" t="str">
        <x:v>Active EAS PC4/PC6</x:v>
      </x:c>
      <x:c r="D68" t="str">
        <x:v>General-anesthesia control</x:v>
      </x:c>
      <x:c r="E68" t="str">
        <x:v>Opioid consumption</x:v>
      </x:c>
      <x:c r="F68" t="str">
        <x:v>Total postoperative/perioperative sufentanil</x:v>
      </x:c>
      <x:c r="G68" t="str">
        <x:v>Study PCA period; exact fixed window unclear</x:v>
      </x:c>
      <x:c r="H68" t="str">
        <x:v>Mean/SD</x:v>
      </x:c>
      <x:c r="I68" t="n">
        <x:v>20</x:v>
      </x:c>
      <x:c r="J68" t="n">
        <x:v>20</x:v>
      </x:c>
      <x:c r="K68" t="n">
        <x:v>20</x:v>
      </x:c>
      <x:c r="L68" t="n">
        <x:v>20</x:v>
      </x:c>
      <x:c r="M68" t="n">
        <x:v>115</x:v>
      </x:c>
      <x:c r="N68" t="n">
        <x:v>6</x:v>
      </x:c>
      <x:c r="O68"/>
      <x:c r="P68"/>
      <x:c r="Q68"/>
      <x:c r="R68"/>
      <x:c r="S68" t="n">
        <x:v>134</x:v>
      </x:c>
      <x:c r="T68" t="n">
        <x:v>5.9</x:v>
      </x:c>
      <x:c r="U68"/>
      <x:c r="V68"/>
      <x:c r="W68"/>
      <x:c r="X68"/>
      <x:c r="Y68" t="str">
        <x:v>µg sufentanil</x:v>
      </x:c>
      <x:c r="Z68" t="str">
        <x:v>&lt;0.05</x:v>
      </x:c>
      <x:c r="AA68" t="str">
        <x:v>Yes</x:v>
      </x:c>
      <x:c r="AB68" t="str">
        <x:v>No</x:v>
      </x:c>
      <x:c r="AC68" t="str">
        <x:f>IF(H68="Mean/SD","MD",IF(H68="Events/total","RR",""))</x:f>
        <x:v>MD</x:v>
      </x:c>
      <x:c r="AD68" t="n">
        <x:f>IF(H68="Mean/SD",M68-S68,IF(H68="Events/total",IFERROR((R68/K68)/(X68/L68),""),""))</x:f>
        <x:v>-19</x:v>
      </x:c>
      <x:c r="AE68" t="str">
        <x:v>No</x:v>
      </x:c>
      <x:c r="AF68" t="str">
        <x:v>No</x:v>
      </x:c>
      <x:c r="AG68" t="str">
        <x:v>Potentially usable only for non-24-h opioid analysis after time-window adjudication</x:v>
      </x:c>
      <x:c r="AH68" t="str">
        <x:v>Yes</x:v>
      </x:c>
      <x:c r="AI68" t="str">
        <x:v>Three-arm shared-intervention structure; exact fixed observation window not established</x:v>
      </x:c>
      <x:c r="AJ68" t="str">
        <x:v>Table 2 / total sufentanil</x:v>
      </x:c>
      <x:c r="AK68" t="str">
        <x:v>https://drive.google.com/file/d/17faY_h0rMJTuhjPOC5PL_S59jYmHDPee/view?usp=drivesdk</x:v>
      </x:c>
      <x:c r="AL68" t="str">
        <x:v>SOURCE-VERIFIED / WINDOW QC</x:v>
      </x:c>
    </x:row>
    <x:row r="69">
      <x:c r="A69" t="str">
        <x:v>Xie 2014</x:v>
      </x:c>
      <x:c r="B69" t="str">
        <x:v>XIE14_EAS_vs_SHAM_PCADEMAND</x:v>
      </x:c>
      <x:c r="C69" t="str">
        <x:v>Active EAS PC4/PC6</x:v>
      </x:c>
      <x:c r="D69" t="str">
        <x:v>Sham needling PC4/PC6</x:v>
      </x:c>
      <x:c r="E69" t="str">
        <x:v>Opioid demand</x:v>
      </x:c>
      <x:c r="F69" t="str">
        <x:v>Patient-controlled analgesia demand count</x:v>
      </x:c>
      <x:c r="G69" t="str">
        <x:v>Study PCA period</x:v>
      </x:c>
      <x:c r="H69" t="str">
        <x:v>Mean/SD</x:v>
      </x:c>
      <x:c r="I69" t="n">
        <x:v>20</x:v>
      </x:c>
      <x:c r="J69" t="n">
        <x:v>20</x:v>
      </x:c>
      <x:c r="K69" t="n">
        <x:v>20</x:v>
      </x:c>
      <x:c r="L69" t="n">
        <x:v>20</x:v>
      </x:c>
      <x:c r="M69" t="n">
        <x:v>16</x:v>
      </x:c>
      <x:c r="N69" t="n">
        <x:v>3</x:v>
      </x:c>
      <x:c r="O69"/>
      <x:c r="P69"/>
      <x:c r="Q69"/>
      <x:c r="R69"/>
      <x:c r="S69" t="n">
        <x:v>43</x:v>
      </x:c>
      <x:c r="T69" t="n">
        <x:v>3</x:v>
      </x:c>
      <x:c r="U69"/>
      <x:c r="V69"/>
      <x:c r="W69"/>
      <x:c r="X69"/>
      <x:c r="Y69" t="str">
        <x:v>demands</x:v>
      </x:c>
      <x:c r="Z69" t="str">
        <x:v>&lt;0.05</x:v>
      </x:c>
      <x:c r="AA69" t="str">
        <x:v>Yes</x:v>
      </x:c>
      <x:c r="AB69" t="str">
        <x:v>No</x:v>
      </x:c>
      <x:c r="AC69" t="str">
        <x:f>IF(H69="Mean/SD","MD",IF(H69="Events/total","RR",""))</x:f>
        <x:v>MD</x:v>
      </x:c>
      <x:c r="AD69" t="n">
        <x:f>IF(H69="Mean/SD",M69-S69,IF(H69="Events/total",IFERROR((R69/K69)/(X69/L69),""),""))</x:f>
        <x:v>-27</x:v>
      </x:c>
      <x:c r="AE69" t="str">
        <x:v>No</x:v>
      </x:c>
      <x:c r="AF69" t="str">
        <x:v>No</x:v>
      </x:c>
      <x:c r="AG69" t="str">
        <x:v>Eligible as analgesic-demand outcome only</x:v>
      </x:c>
      <x:c r="AH69" t="str">
        <x:v>Yes</x:v>
      </x:c>
      <x:c r="AI69" t="str">
        <x:v>Demand count should not be converted into delivered sufentanil without confirmation</x:v>
      </x:c>
      <x:c r="AJ69" t="str">
        <x:v>Table 2 / patient demand</x:v>
      </x:c>
      <x:c r="AK69" t="str">
        <x:v>https://drive.google.com/file/d/17faY_h0rMJTuhjPOC5PL_S59jYmHDPee/view?usp=drivesdk</x:v>
      </x:c>
      <x:c r="AL69" t="str">
        <x:v>SOURCE-VERIFIED / DOSE NOT RECONSTRUCTABLE</x:v>
      </x:c>
    </x:row>
    <x:row r="70">
      <x:c r="A70" t="str">
        <x:v>Xie 2014</x:v>
      </x:c>
      <x:c r="B70" t="str">
        <x:v>XIE14_EAS_vs_SHAM_OPIOID24</x:v>
      </x:c>
      <x:c r="C70" t="str">
        <x:v>Active EAS PC4/PC6</x:v>
      </x:c>
      <x:c r="D70" t="str">
        <x:v>Sham needling PC4/PC6</x:v>
      </x:c>
      <x:c r="E70" t="str">
        <x:v>Opioid consumption</x:v>
      </x:c>
      <x:c r="F70" t="str">
        <x:v>Exact cumulative postoperative sufentanil</x:v>
      </x:c>
      <x:c r="G70" t="str">
        <x:v>0-24 h</x:v>
      </x:c>
      <x:c r="H70" t="str">
        <x:v>Not reported</x:v>
      </x:c>
      <x:c r="I70" t="n">
        <x:v>20</x:v>
      </x:c>
      <x:c r="J70" t="n">
        <x:v>20</x:v>
      </x:c>
      <x:c r="K70" t="n">
        <x:v>20</x:v>
      </x:c>
      <x:c r="L70" t="n">
        <x:v>20</x:v>
      </x:c>
      <x:c r="M70"/>
      <x:c r="N70"/>
      <x:c r="O70"/>
      <x:c r="P70"/>
      <x:c r="Q70"/>
      <x:c r="R70"/>
      <x:c r="S70"/>
      <x:c r="T70"/>
      <x:c r="U70"/>
      <x:c r="V70"/>
      <x:c r="W70"/>
      <x:c r="X70"/>
      <x:c r="Y70" t="str">
        <x:v>µg sufentanil</x:v>
      </x:c>
      <x:c r="Z70" t="str"/>
      <x:c r="AA70" t="str">
        <x:v>No</x:v>
      </x:c>
      <x:c r="AB70" t="str">
        <x:v>No</x:v>
      </x:c>
      <x:c r="AC70" t="str">
        <x:f>IF(H70="Mean/SD","MD",IF(H70="Events/total","RR",""))</x:f>
      </x:c>
      <x:c r="AD70" t="str">
        <x:f>IF(H70="Mean/SD",M70-S70,IF(H70="Events/total",IFERROR((R70/K70)/(X70/L70),""),""))</x:f>
      </x:c>
      <x:c r="AE70" t="str">
        <x:v>No</x:v>
      </x:c>
      <x:c r="AF70" t="str">
        <x:v>No</x:v>
      </x:c>
      <x:c r="AG70" t="str">
        <x:v>Not eligible for strict continuous 24-h opioid meta-analysis</x:v>
      </x:c>
      <x:c r="AH70" t="str">
        <x:v>Yes</x:v>
      </x:c>
      <x:c r="AI70" t="str">
        <x:v>Directly reported total cannot be assigned to a fixed 24-h window</x:v>
      </x:c>
      <x:c r="AJ70" t="str">
        <x:v>Exact 24-h endpoint absent</x:v>
      </x:c>
      <x:c r="AK70" t="str">
        <x:v>https://drive.google.com/file/d/17faY_h0rMJTuhjPOC5PL_S59jYmHDPee/view?usp=drivesdk</x:v>
      </x:c>
      <x:c r="AL70" t="str">
        <x:v>MISSING / TIME WINDOW UNRESOLVED</x:v>
      </x:c>
    </x:row>
    <x:row r="71">
      <x:c r="A71" t="str">
        <x:v>Wu 2022</x:v>
      </x:c>
      <x:c r="B71" t="str">
        <x:v>WU22_PTEAS_vs_CTRL_PAINPOD1</x:v>
      </x:c>
      <x:c r="C71" t="str">
        <x:v>Perioperative pTEAS</x:v>
      </x:c>
      <x:c r="D71" t="str">
        <x:v>No-current control</x:v>
      </x:c>
      <x:c r="E71" t="str">
        <x:v>Pain</x:v>
      </x:c>
      <x:c r="F71" t="str">
        <x:v>VAS pain intensity</x:v>
      </x:c>
      <x:c r="G71" t="str">
        <x:v>POD1</x:v>
      </x:c>
      <x:c r="H71" t="str">
        <x:v>Mean/SD</x:v>
      </x:c>
      <x:c r="I71" t="n">
        <x:v>45</x:v>
      </x:c>
      <x:c r="J71" t="n">
        <x:v>45</x:v>
      </x:c>
      <x:c r="K71" t="n">
        <x:v>44</x:v>
      </x:c>
      <x:c r="L71" t="n">
        <x:v>40</x:v>
      </x:c>
      <x:c r="M71" t="n">
        <x:v>1.77</x:v>
      </x:c>
      <x:c r="N71" t="n">
        <x:v>0.91</x:v>
      </x:c>
      <x:c r="O71"/>
      <x:c r="P71"/>
      <x:c r="Q71"/>
      <x:c r="R71"/>
      <x:c r="S71" t="n">
        <x:v>2.25</x:v>
      </x:c>
      <x:c r="T71" t="n">
        <x:v>0.71</x:v>
      </x:c>
      <x:c r="U71"/>
      <x:c r="V71"/>
      <x:c r="W71"/>
      <x:c r="X71"/>
      <x:c r="Y71" t="str">
        <x:v>VAS 0-10</x:v>
      </x:c>
      <x:c r="Z71" t="str">
        <x:v>0.009</x:v>
      </x:c>
      <x:c r="AA71" t="str">
        <x:v>Yes</x:v>
      </x:c>
      <x:c r="AB71" t="str">
        <x:v>No</x:v>
      </x:c>
      <x:c r="AC71" t="str">
        <x:f>IF(H71="Mean/SD","MD",IF(H71="Events/total","RR",""))</x:f>
        <x:v>MD</x:v>
      </x:c>
      <x:c r="AD71" t="n">
        <x:f>IF(H71="Mean/SD",M71-S71,IF(H71="Events/total",IFERROR((R71/K71)/(X71/L71),""),""))</x:f>
        <x:v>-0.48</x:v>
      </x:c>
      <x:c r="AE71" t="str">
        <x:v>No</x:v>
      </x:c>
      <x:c r="AF71" t="str">
        <x:v>No</x:v>
      </x:c>
      <x:c r="AG71" t="str">
        <x:v>Eligible for POD1 pain analysis</x:v>
      </x:c>
      <x:c r="AH71" t="str">
        <x:v>No</x:v>
      </x:c>
      <x:c r="AI71" t="str">
        <x:v>Asymmetric post-randomization exclusions: 1/45 pTEAS vs 5/45 control; participant sensory blinding not convincing</x:v>
      </x:c>
      <x:c r="AJ71" t="str">
        <x:v>Table 3 / POD1 pain</x:v>
      </x:c>
      <x:c r="AK71" t="str">
        <x:v>https://drive.google.com/file/d/1XR_8qmeHR7ulwV7NaaI0CeYbpwKdc_ym/view?usp=drivesdk</x:v>
      </x:c>
      <x:c r="AL71" t="str">
        <x:v>SOURCE-VERIFIED / ATTRITION QC</x:v>
      </x:c>
    </x:row>
    <x:row r="72">
      <x:c r="A72" t="str">
        <x:v>Wu 2022</x:v>
      </x:c>
      <x:c r="B72" t="str">
        <x:v>WU22_PTEAS_vs_CTRL_REMI</x:v>
      </x:c>
      <x:c r="C72" t="str">
        <x:v>Perioperative pTEAS</x:v>
      </x:c>
      <x:c r="D72" t="str">
        <x:v>No-current control</x:v>
      </x:c>
      <x:c r="E72" t="str">
        <x:v>Intraoperative opioid</x:v>
      </x:c>
      <x:c r="F72" t="str">
        <x:v>Cumulative remifentanil</x:v>
      </x:c>
      <x:c r="G72" t="str">
        <x:v>Intraoperative</x:v>
      </x:c>
      <x:c r="H72" t="str">
        <x:v>Mean/SD</x:v>
      </x:c>
      <x:c r="I72" t="n">
        <x:v>45</x:v>
      </x:c>
      <x:c r="J72" t="n">
        <x:v>45</x:v>
      </x:c>
      <x:c r="K72" t="n">
        <x:v>44</x:v>
      </x:c>
      <x:c r="L72" t="n">
        <x:v>40</x:v>
      </x:c>
      <x:c r="M72" t="n">
        <x:v>1383</x:v>
      </x:c>
      <x:c r="N72" t="n">
        <x:v>494</x:v>
      </x:c>
      <x:c r="O72"/>
      <x:c r="P72"/>
      <x:c r="Q72"/>
      <x:c r="R72"/>
      <x:c r="S72" t="n">
        <x:v>1637</x:v>
      </x:c>
      <x:c r="T72" t="n">
        <x:v>630</x:v>
      </x:c>
      <x:c r="U72"/>
      <x:c r="V72"/>
      <x:c r="W72"/>
      <x:c r="X72"/>
      <x:c r="Y72" t="str">
        <x:v>µg remifentanil</x:v>
      </x:c>
      <x:c r="Z72" t="str">
        <x:v>0.042</x:v>
      </x:c>
      <x:c r="AA72" t="str">
        <x:v>Yes</x:v>
      </x:c>
      <x:c r="AB72" t="str">
        <x:v>No</x:v>
      </x:c>
      <x:c r="AC72" t="str">
        <x:f>IF(H72="Mean/SD","MD",IF(H72="Events/total","RR",""))</x:f>
        <x:v>MD</x:v>
      </x:c>
      <x:c r="AD72" t="n">
        <x:f>IF(H72="Mean/SD",M72-S72,IF(H72="Events/total",IFERROR((R72/K72)/(X72/L72),""),""))</x:f>
        <x:v>-254</x:v>
      </x:c>
      <x:c r="AE72" t="str">
        <x:v>No</x:v>
      </x:c>
      <x:c r="AF72" t="str">
        <x:v>No</x:v>
      </x:c>
      <x:c r="AG72" t="str">
        <x:v>Eligible for intraoperative opioid-sparing analysis</x:v>
      </x:c>
      <x:c r="AH72" t="str">
        <x:v>No</x:v>
      </x:c>
      <x:c r="AI72" t="str">
        <x:v>Complete-case analysis with asymmetric attrition</x:v>
      </x:c>
      <x:c r="AJ72" t="str">
        <x:v>Table 2 / cumulative remifentanil</x:v>
      </x:c>
      <x:c r="AK72" t="str">
        <x:v>https://drive.google.com/file/d/1XR_8qmeHR7ulwV7NaaI0CeYbpwKdc_ym/view?usp=drivesdk</x:v>
      </x:c>
      <x:c r="AL72" t="str">
        <x:v>SOURCE-VERIFIED</x:v>
      </x:c>
    </x:row>
    <x:row r="73">
      <x:c r="A73" t="str">
        <x:v>Wu 2022</x:v>
      </x:c>
      <x:c r="B73" t="str">
        <x:v>WU22_PTEAS_vs_CTRL_REMIINDEX</x:v>
      </x:c>
      <x:c r="C73" t="str">
        <x:v>Perioperative pTEAS</x:v>
      </x:c>
      <x:c r="D73" t="str">
        <x:v>No-current control</x:v>
      </x:c>
      <x:c r="E73" t="str">
        <x:v>Intraoperative opioid</x:v>
      </x:c>
      <x:c r="F73" t="str">
        <x:v>Remifentanil dose index</x:v>
      </x:c>
      <x:c r="G73" t="str">
        <x:v>Intraoperative</x:v>
      </x:c>
      <x:c r="H73" t="str">
        <x:v>Mean/SD</x:v>
      </x:c>
      <x:c r="I73" t="n">
        <x:v>45</x:v>
      </x:c>
      <x:c r="J73" t="n">
        <x:v>45</x:v>
      </x:c>
      <x:c r="K73" t="n">
        <x:v>44</x:v>
      </x:c>
      <x:c r="L73" t="n">
        <x:v>40</x:v>
      </x:c>
      <x:c r="M73" t="n">
        <x:v>0.084</x:v>
      </x:c>
      <x:c r="N73" t="n">
        <x:v>0.018</x:v>
      </x:c>
      <x:c r="O73"/>
      <x:c r="P73"/>
      <x:c r="Q73"/>
      <x:c r="R73"/>
      <x:c r="S73" t="n">
        <x:v>0.114</x:v>
      </x:c>
      <x:c r="T73" t="n">
        <x:v>0.09</x:v>
      </x:c>
      <x:c r="U73"/>
      <x:c r="V73"/>
      <x:c r="W73"/>
      <x:c r="X73"/>
      <x:c r="Y73" t="str">
        <x:v>µg/min/kg</x:v>
      </x:c>
      <x:c r="Z73" t="str">
        <x:v>0.045</x:v>
      </x:c>
      <x:c r="AA73" t="str">
        <x:v>Yes</x:v>
      </x:c>
      <x:c r="AB73" t="str">
        <x:v>No</x:v>
      </x:c>
      <x:c r="AC73" t="str">
        <x:f>IF(H73="Mean/SD","MD",IF(H73="Events/total","RR",""))</x:f>
        <x:v>MD</x:v>
      </x:c>
      <x:c r="AD73" t="n">
        <x:f>IF(H73="Mean/SD",M73-S73,IF(H73="Events/total",IFERROR((R73/K73)/(X73/L73),""),""))</x:f>
        <x:v>-0.03</x:v>
      </x:c>
      <x:c r="AE73" t="str">
        <x:v>No</x:v>
      </x:c>
      <x:c r="AF73" t="str">
        <x:v>No</x:v>
      </x:c>
      <x:c r="AG73" t="str">
        <x:v>Eligible for intraoperative dose-index analysis</x:v>
      </x:c>
      <x:c r="AH73" t="str">
        <x:v>No</x:v>
      </x:c>
      <x:c r="AI73" t="str">
        <x:v>Preserve source units as reported</x:v>
      </x:c>
      <x:c r="AJ73" t="str">
        <x:v>Table 2 / remifentanil index</x:v>
      </x:c>
      <x:c r="AK73" t="str">
        <x:v>https://drive.google.com/file/d/1XR_8qmeHR7ulwV7NaaI0CeYbpwKdc_ym/view?usp=drivesdk</x:v>
      </x:c>
      <x:c r="AL73" t="str">
        <x:v>SOURCE-VERIFIED</x:v>
      </x:c>
    </x:row>
    <x:row r="74">
      <x:c r="A74" t="str">
        <x:v>Wu 2022</x:v>
      </x:c>
      <x:c r="B74" t="str">
        <x:v>WU22_PTEAS_vs_CTRL_OPIOID24</x:v>
      </x:c>
      <x:c r="C74" t="str">
        <x:v>Perioperative pTEAS</x:v>
      </x:c>
      <x:c r="D74" t="str">
        <x:v>No-current control</x:v>
      </x:c>
      <x:c r="E74" t="str">
        <x:v>Opioid consumption</x:v>
      </x:c>
      <x:c r="F74" t="str">
        <x:v>Exact cumulative postoperative opioid consumption</x:v>
      </x:c>
      <x:c r="G74" t="str">
        <x:v>0-24 h</x:v>
      </x:c>
      <x:c r="H74" t="str">
        <x:v>Not reported</x:v>
      </x:c>
      <x:c r="I74" t="n">
        <x:v>45</x:v>
      </x:c>
      <x:c r="J74" t="n">
        <x:v>45</x:v>
      </x:c>
      <x:c r="K74" t="n">
        <x:v>44</x:v>
      </x:c>
      <x:c r="L74" t="n">
        <x:v>40</x:v>
      </x:c>
      <x:c r="M74"/>
      <x:c r="N74"/>
      <x:c r="O74"/>
      <x:c r="P74"/>
      <x:c r="Q74"/>
      <x:c r="R74"/>
      <x:c r="S74"/>
      <x:c r="T74"/>
      <x:c r="U74"/>
      <x:c r="V74"/>
      <x:c r="W74"/>
      <x:c r="X74"/>
      <x:c r="Y74" t="str">
        <x:v>mg/µg</x:v>
      </x:c>
      <x:c r="Z74" t="str"/>
      <x:c r="AA74" t="str">
        <x:v>No</x:v>
      </x:c>
      <x:c r="AB74" t="str">
        <x:v>No</x:v>
      </x:c>
      <x:c r="AC74" t="str">
        <x:f>IF(H74="Mean/SD","MD",IF(H74="Events/total","RR",""))</x:f>
      </x:c>
      <x:c r="AD74" t="str">
        <x:f>IF(H74="Mean/SD",M74-S74,IF(H74="Events/total",IFERROR((R74/K74)/(X74/L74),""),""))</x:f>
      </x:c>
      <x:c r="AE74" t="str">
        <x:v>No</x:v>
      </x:c>
      <x:c r="AF74" t="str">
        <x:v>No</x:v>
      </x:c>
      <x:c r="AG74" t="str">
        <x:v>Not eligible for continuous 24-h postoperative opioid meta-analysis</x:v>
      </x:c>
      <x:c r="AH74" t="str">
        <x:v>No</x:v>
      </x:c>
      <x:c r="AI74" t="str">
        <x:v>Standard end-of-surgery tramadol/fentanyl are reported, but no randomized group-specific 0-24-h opioid total is provided</x:v>
      </x:c>
      <x:c r="AJ74" t="str">
        <x:v>Postoperative analgesia section</x:v>
      </x:c>
      <x:c r="AK74" t="str">
        <x:v>https://drive.google.com/file/d/1XR_8qmeHR7ulwV7NaaI0CeYbpwKdc_ym/view?usp=drivesdk</x:v>
      </x:c>
      <x:c r="AL74" t="str">
        <x:v>MISSING / NOT REPORTED</x:v>
      </x:c>
    </x:row>
    <x:row r="75">
      <x:c r="A75" t="str">
        <x:v>Wu 2025</x:v>
      </x:c>
      <x:c r="B75" t="str">
        <x:v>WU25_TEAS_vs_SHAM_VAS24</x:v>
      </x:c>
      <x:c r="C75" t="str">
        <x:v>PACU TEAS</x:v>
      </x:c>
      <x:c r="D75" t="str">
        <x:v>Sham/no current</x:v>
      </x:c>
      <x:c r="E75" t="str">
        <x:v>Pain</x:v>
      </x:c>
      <x:c r="F75" t="str">
        <x:v>VAS pain intensity</x:v>
      </x:c>
      <x:c r="G75" t="str">
        <x:v>24 h</x:v>
      </x:c>
      <x:c r="H75" t="str">
        <x:v>Mean/SD</x:v>
      </x:c>
      <x:c r="I75" t="n">
        <x:v>50</x:v>
      </x:c>
      <x:c r="J75" t="n">
        <x:v>50</x:v>
      </x:c>
      <x:c r="K75" t="n">
        <x:v>50</x:v>
      </x:c>
      <x:c r="L75" t="n">
        <x:v>50</x:v>
      </x:c>
      <x:c r="M75" t="n">
        <x:v>1.7</x:v>
      </x:c>
      <x:c r="N75" t="n">
        <x:v>0.9</x:v>
      </x:c>
      <x:c r="O75"/>
      <x:c r="P75"/>
      <x:c r="Q75"/>
      <x:c r="R75"/>
      <x:c r="S75" t="n">
        <x:v>4</x:v>
      </x:c>
      <x:c r="T75" t="n">
        <x:v>1.4</x:v>
      </x:c>
      <x:c r="U75"/>
      <x:c r="V75"/>
      <x:c r="W75"/>
      <x:c r="X75"/>
      <x:c r="Y75" t="str">
        <x:v>VAS 0-10</x:v>
      </x:c>
      <x:c r="Z75" t="str">
        <x:v>&lt;0.001</x:v>
      </x:c>
      <x:c r="AA75" t="str">
        <x:v>Yes</x:v>
      </x:c>
      <x:c r="AB75" t="str">
        <x:v>No</x:v>
      </x:c>
      <x:c r="AC75" t="str">
        <x:f>IF(H75="Mean/SD","MD",IF(H75="Events/total","RR",""))</x:f>
        <x:v>MD</x:v>
      </x:c>
      <x:c r="AD75" t="n">
        <x:f>IF(H75="Mean/SD",M75-S75,IF(H75="Events/total",IFERROR((R75/K75)/(X75/L75),""),""))</x:f>
        <x:v>-2.3</x:v>
      </x:c>
      <x:c r="AE75" t="str">
        <x:v>No</x:v>
      </x:c>
      <x:c r="AF75" t="str">
        <x:v>No</x:v>
      </x:c>
      <x:c r="AG75" t="str">
        <x:v>Eligible for 24-h pain meta-analysis</x:v>
      </x:c>
      <x:c r="AH75" t="str">
        <x:v>No</x:v>
      </x:c>
      <x:c r="AI75" t="str">
        <x:v>Three patients could not be contacted at 24 h, yet all 100 were included in ITT; imputation/handling method is not explained</x:v>
      </x:c>
      <x:c r="AJ75" t="str">
        <x:v>Table 2 / primary 24-h VAS</x:v>
      </x:c>
      <x:c r="AK75" t="str">
        <x:v>https://drive.google.com/file/d/1ZV6JFjevGSPqnISdX61KPdcC_yEtq3vf/view?usp=drivesdk</x:v>
      </x:c>
      <x:c r="AL75" t="str">
        <x:v>SOURCE-VERIFIED / MISSING-DATA METHOD QC</x:v>
      </x:c>
    </x:row>
    <x:row r="76">
      <x:c r="A76" t="str">
        <x:v>Wu 2025</x:v>
      </x:c>
      <x:c r="B76" t="str">
        <x:v>WU25_TEAS_vs_SHAM_MODPAIN12</x:v>
      </x:c>
      <x:c r="C76" t="str">
        <x:v>PACU TEAS</x:v>
      </x:c>
      <x:c r="D76" t="str">
        <x:v>Sham/no current</x:v>
      </x:c>
      <x:c r="E76" t="str">
        <x:v>Pain</x:v>
      </x:c>
      <x:c r="F76" t="str">
        <x:v>Moderate-to-severe pain (VAS &gt;4)</x:v>
      </x:c>
      <x:c r="G76" t="str">
        <x:v>Within 12 h</x:v>
      </x:c>
      <x:c r="H76" t="str">
        <x:v>Events/total</x:v>
      </x:c>
      <x:c r="I76" t="n">
        <x:v>50</x:v>
      </x:c>
      <x:c r="J76" t="n">
        <x:v>50</x:v>
      </x:c>
      <x:c r="K76" t="n">
        <x:v>50</x:v>
      </x:c>
      <x:c r="L76" t="n">
        <x:v>50</x:v>
      </x:c>
      <x:c r="M76"/>
      <x:c r="N76"/>
      <x:c r="O76"/>
      <x:c r="P76"/>
      <x:c r="Q76"/>
      <x:c r="R76" t="n">
        <x:v>6</x:v>
      </x:c>
      <x:c r="S76"/>
      <x:c r="T76"/>
      <x:c r="U76"/>
      <x:c r="V76"/>
      <x:c r="W76"/>
      <x:c r="X76" t="n">
        <x:v>37</x:v>
      </x:c>
      <x:c r="Y76" t="str">
        <x:v>participants</x:v>
      </x:c>
      <x:c r="Z76" t="str">
        <x:v>&lt;0.001</x:v>
      </x:c>
      <x:c r="AA76" t="str">
        <x:v>Yes</x:v>
      </x:c>
      <x:c r="AB76" t="str">
        <x:v>No</x:v>
      </x:c>
      <x:c r="AC76" t="str">
        <x:f>IF(H76="Mean/SD","MD",IF(H76="Events/total","RR",""))</x:f>
        <x:v>RR</x:v>
      </x:c>
      <x:c r="AD76" t="n">
        <x:f>IF(H76="Mean/SD",M76-S76,IF(H76="Events/total",IFERROR((R76/K76)/(X76/L76),""),""))</x:f>
        <x:v>0.16216216216216217</x:v>
      </x:c>
      <x:c r="AE76" t="str">
        <x:v>No</x:v>
      </x:c>
      <x:c r="AF76" t="str">
        <x:v>No</x:v>
      </x:c>
      <x:c r="AG76" t="str">
        <x:v>Eligible for dichotomous early postoperative pain analysis</x:v>
      </x:c>
      <x:c r="AH76" t="str">
        <x:v>No</x:v>
      </x:c>
      <x:c r="AI76" t="str">
        <x:v>Very large subjective effect; interpret with incomplete sensory blinding</x:v>
      </x:c>
      <x:c r="AJ76" t="str">
        <x:v>Moderate-to-severe pain outcome</x:v>
      </x:c>
      <x:c r="AK76" t="str">
        <x:v>https://drive.google.com/file/d/1ZV6JFjevGSPqnISdX61KPdcC_yEtq3vf/view?usp=drivesdk</x:v>
      </x:c>
      <x:c r="AL76" t="str">
        <x:v>SOURCE-VERIFIED</x:v>
      </x:c>
    </x:row>
    <x:row r="77">
      <x:c r="A77" t="str">
        <x:v>Wu 2025</x:v>
      </x:c>
      <x:c r="B77" t="str">
        <x:v>WU25_TEAS_vs_SHAM_INTRAOPSUF</x:v>
      </x:c>
      <x:c r="C77" t="str">
        <x:v>PACU TEAS</x:v>
      </x:c>
      <x:c r="D77" t="str">
        <x:v>Sham/no current</x:v>
      </x:c>
      <x:c r="E77" t="str">
        <x:v>Intraoperative opioid</x:v>
      </x:c>
      <x:c r="F77" t="str">
        <x:v>Sufentanil consumption</x:v>
      </x:c>
      <x:c r="G77" t="str">
        <x:v>Intraoperative</x:v>
      </x:c>
      <x:c r="H77" t="str">
        <x:v>Mean/SD</x:v>
      </x:c>
      <x:c r="I77" t="n">
        <x:v>50</x:v>
      </x:c>
      <x:c r="J77" t="n">
        <x:v>50</x:v>
      </x:c>
      <x:c r="K77" t="n">
        <x:v>50</x:v>
      </x:c>
      <x:c r="L77" t="n">
        <x:v>50</x:v>
      </x:c>
      <x:c r="M77" t="n">
        <x:v>24.2</x:v>
      </x:c>
      <x:c r="N77" t="n">
        <x:v>9.5</x:v>
      </x:c>
      <x:c r="O77"/>
      <x:c r="P77"/>
      <x:c r="Q77"/>
      <x:c r="R77"/>
      <x:c r="S77" t="n">
        <x:v>24.3</x:v>
      </x:c>
      <x:c r="T77" t="n">
        <x:v>10.9</x:v>
      </x:c>
      <x:c r="U77"/>
      <x:c r="V77"/>
      <x:c r="W77"/>
      <x:c r="X77"/>
      <x:c r="Y77" t="str">
        <x:v>µg sufentanil</x:v>
      </x:c>
      <x:c r="Z77" t="str">
        <x:v>0.953</x:v>
      </x:c>
      <x:c r="AA77" t="str">
        <x:v>Yes</x:v>
      </x:c>
      <x:c r="AB77" t="str">
        <x:v>No</x:v>
      </x:c>
      <x:c r="AC77" t="str">
        <x:f>IF(H77="Mean/SD","MD",IF(H77="Events/total","RR",""))</x:f>
        <x:v>MD</x:v>
      </x:c>
      <x:c r="AD77" t="n">
        <x:f>IF(H77="Mean/SD",M77-S77,IF(H77="Events/total",IFERROR((R77/K77)/(X77/L77),""),""))</x:f>
        <x:v>-0.10000000000000142</x:v>
      </x:c>
      <x:c r="AE77" t="str">
        <x:v>No</x:v>
      </x:c>
      <x:c r="AF77" t="str">
        <x:v>No</x:v>
      </x:c>
      <x:c r="AG77" t="str">
        <x:v>Eligible for intraoperative opioid analysis</x:v>
      </x:c>
      <x:c r="AH77" t="str">
        <x:v>No</x:v>
      </x:c>
      <x:c r="AI77" t="str">
        <x:v>No intraoperative opioid-sparing effect</x:v>
      </x:c>
      <x:c r="AJ77" t="str">
        <x:v>Table 1 / sufentanil</x:v>
      </x:c>
      <x:c r="AK77" t="str">
        <x:v>https://drive.google.com/file/d/1ZV6JFjevGSPqnISdX61KPdcC_yEtq3vf/view?usp=drivesdk</x:v>
      </x:c>
      <x:c r="AL77" t="str">
        <x:v>SOURCE-VERIFIED</x:v>
      </x:c>
    </x:row>
    <x:row r="78">
      <x:c r="A78" t="str">
        <x:v>Wu 2025</x:v>
      </x:c>
      <x:c r="B78" t="str">
        <x:v>WU25_TEAS_vs_SHAM_INTRAOPREMI</x:v>
      </x:c>
      <x:c r="C78" t="str">
        <x:v>PACU TEAS</x:v>
      </x:c>
      <x:c r="D78" t="str">
        <x:v>Sham/no current</x:v>
      </x:c>
      <x:c r="E78" t="str">
        <x:v>Intraoperative opioid</x:v>
      </x:c>
      <x:c r="F78" t="str">
        <x:v>Remifentanil consumption</x:v>
      </x:c>
      <x:c r="G78" t="str">
        <x:v>Intraoperative</x:v>
      </x:c>
      <x:c r="H78" t="str">
        <x:v>Mean/SD</x:v>
      </x:c>
      <x:c r="I78" t="n">
        <x:v>50</x:v>
      </x:c>
      <x:c r="J78" t="n">
        <x:v>50</x:v>
      </x:c>
      <x:c r="K78" t="n">
        <x:v>50</x:v>
      </x:c>
      <x:c r="L78" t="n">
        <x:v>50</x:v>
      </x:c>
      <x:c r="M78" t="n">
        <x:v>489.4</x:v>
      </x:c>
      <x:c r="N78" t="n">
        <x:v>226</x:v>
      </x:c>
      <x:c r="O78"/>
      <x:c r="P78"/>
      <x:c r="Q78"/>
      <x:c r="R78"/>
      <x:c r="S78" t="n">
        <x:v>533.8</x:v>
      </x:c>
      <x:c r="T78" t="n">
        <x:v>263.6</x:v>
      </x:c>
      <x:c r="U78"/>
      <x:c r="V78"/>
      <x:c r="W78"/>
      <x:c r="X78"/>
      <x:c r="Y78" t="str">
        <x:v>µg remifentanil</x:v>
      </x:c>
      <x:c r="Z78" t="str">
        <x:v>0.368</x:v>
      </x:c>
      <x:c r="AA78" t="str">
        <x:v>Yes</x:v>
      </x:c>
      <x:c r="AB78" t="str">
        <x:v>No</x:v>
      </x:c>
      <x:c r="AC78" t="str">
        <x:f>IF(H78="Mean/SD","MD",IF(H78="Events/total","RR",""))</x:f>
        <x:v>MD</x:v>
      </x:c>
      <x:c r="AD78" t="n">
        <x:f>IF(H78="Mean/SD",M78-S78,IF(H78="Events/total",IFERROR((R78/K78)/(X78/L78),""),""))</x:f>
        <x:v>-44.39999999999998</x:v>
      </x:c>
      <x:c r="AE78" t="str">
        <x:v>No</x:v>
      </x:c>
      <x:c r="AF78" t="str">
        <x:v>No</x:v>
      </x:c>
      <x:c r="AG78" t="str">
        <x:v>Eligible for intraoperative opioid analysis</x:v>
      </x:c>
      <x:c r="AH78" t="str">
        <x:v>No</x:v>
      </x:c>
      <x:c r="AI78" t="str">
        <x:v>No significant intraoperative opioid-sparing effect</x:v>
      </x:c>
      <x:c r="AJ78" t="str">
        <x:v>Table 1 / remifentanil</x:v>
      </x:c>
      <x:c r="AK78" t="str">
        <x:v>https://drive.google.com/file/d/1ZV6JFjevGSPqnISdX61KPdcC_yEtq3vf/view?usp=drivesdk</x:v>
      </x:c>
      <x:c r="AL78" t="str">
        <x:v>SOURCE-VERIFIED</x:v>
      </x:c>
    </x:row>
    <x:row r="79">
      <x:c r="A79" t="str">
        <x:v>Wu 2025</x:v>
      </x:c>
      <x:c r="B79" t="str">
        <x:v>WU25_TEAS_vs_SHAM_OPIOID24</x:v>
      </x:c>
      <x:c r="C79" t="str">
        <x:v>PACU TEAS</x:v>
      </x:c>
      <x:c r="D79" t="str">
        <x:v>Sham/no current</x:v>
      </x:c>
      <x:c r="E79" t="str">
        <x:v>Opioid consumption</x:v>
      </x:c>
      <x:c r="F79" t="str">
        <x:v>Exact postoperative opioid/MME consumption</x:v>
      </x:c>
      <x:c r="G79" t="str">
        <x:v>0-24 h</x:v>
      </x:c>
      <x:c r="H79" t="str">
        <x:v>Not calculable</x:v>
      </x:c>
      <x:c r="I79" t="n">
        <x:v>50</x:v>
      </x:c>
      <x:c r="J79" t="n">
        <x:v>50</x:v>
      </x:c>
      <x:c r="K79" t="n">
        <x:v>50</x:v>
      </x:c>
      <x:c r="L79" t="n">
        <x:v>50</x:v>
      </x:c>
      <x:c r="M79"/>
      <x:c r="N79"/>
      <x:c r="O79"/>
      <x:c r="P79"/>
      <x:c r="Q79"/>
      <x:c r="R79"/>
      <x:c r="S79"/>
      <x:c r="T79"/>
      <x:c r="U79"/>
      <x:c r="V79"/>
      <x:c r="W79"/>
      <x:c r="X79"/>
      <x:c r="Y79" t="str">
        <x:v>MME</x:v>
      </x:c>
      <x:c r="Z79" t="str"/>
      <x:c r="AA79" t="str">
        <x:v>No</x:v>
      </x:c>
      <x:c r="AB79" t="str">
        <x:v>No</x:v>
      </x:c>
      <x:c r="AC79" t="str">
        <x:f>IF(H79="Mean/SD","MD",IF(H79="Events/total","RR",""))</x:f>
      </x:c>
      <x:c r="AD79" t="str">
        <x:f>IF(H79="Mean/SD",M79-S79,IF(H79="Events/total",IFERROR((R79/K79)/(X79/L79),""),""))</x:f>
      </x:c>
      <x:c r="AE79" t="str">
        <x:v>No</x:v>
      </x:c>
      <x:c r="AF79" t="str">
        <x:v>No</x:v>
      </x:c>
      <x:c r="AG79" t="str">
        <x:v>Not eligible for continuous 24-h opioid meta-analysis</x:v>
      </x:c>
      <x:c r="AH79" t="str">
        <x:v>No</x:v>
      </x:c>
      <x:c r="AI79" t="str">
        <x:v>Oxycodone/acetaminophen rescue strength is not reported; rescue regimen is mixed opioid/non-opioid</x:v>
      </x:c>
      <x:c r="AJ79" t="str">
        <x:v>Postoperative rescue-analgesia section</x:v>
      </x:c>
      <x:c r="AK79" t="str">
        <x:v>https://drive.google.com/file/d/1ZV6JFjevGSPqnISdX61KPdcC_yEtq3vf/view?usp=drivesdk</x:v>
      </x:c>
      <x:c r="AL79" t="str">
        <x:v>MISSING / MME NOT CALCULABLE</x:v>
      </x:c>
    </x:row>
    <x:row r="80">
      <x:c r="A80" t="str">
        <x:v>Wang 2023</x:v>
      </x:c>
      <x:c r="B80" t="str">
        <x:v>WANG23_TEAS_vs_SHAM_SLEEPD1</x:v>
      </x:c>
      <x:c r="C80" t="str">
        <x:v>Nighttime TEAS</x:v>
      </x:c>
      <x:c r="D80" t="str">
        <x:v>Sham/no current</x:v>
      </x:c>
      <x:c r="E80" t="str">
        <x:v>Sleep quality</x:v>
      </x:c>
      <x:c r="F80" t="str">
        <x:v>PSQI and AIS postoperative sleep quality</x:v>
      </x:c>
      <x:c r="G80" t="str">
        <x:v>POD1</x:v>
      </x:c>
      <x:c r="H80" t="str">
        <x:v>Graph-only continuous data</x:v>
      </x:c>
      <x:c r="I80" t="n">
        <x:v>43</x:v>
      </x:c>
      <x:c r="J80" t="n">
        <x:v>45</x:v>
      </x:c>
      <x:c r="K80" t="n">
        <x:v>40</x:v>
      </x:c>
      <x:c r="L80" t="n">
        <x:v>43</x:v>
      </x:c>
      <x:c r="M80"/>
      <x:c r="N80"/>
      <x:c r="O80"/>
      <x:c r="P80"/>
      <x:c r="Q80"/>
      <x:c r="R80"/>
      <x:c r="S80"/>
      <x:c r="T80"/>
      <x:c r="U80"/>
      <x:c r="V80"/>
      <x:c r="W80"/>
      <x:c r="X80"/>
      <x:c r="Y80" t="str">
        <x:v>PSQI/AIS points</x:v>
      </x:c>
      <x:c r="Z80" t="str">
        <x:v>&lt;0.05 between groups</x:v>
      </x:c>
      <x:c r="AA80" t="str">
        <x:v>No</x:v>
      </x:c>
      <x:c r="AB80" t="str">
        <x:v>No</x:v>
      </x:c>
      <x:c r="AC80" t="str">
        <x:f>IF(H80="Mean/SD","MD",IF(H80="Events/total","RR",""))</x:f>
      </x:c>
      <x:c r="AD80" t="str">
        <x:f>IF(H80="Mean/SD",M80-S80,IF(H80="Events/total",IFERROR((R80/K80)/(X80/L80),""),""))</x:f>
      </x:c>
      <x:c r="AE80" t="str">
        <x:v>No</x:v>
      </x:c>
      <x:c r="AF80" t="str">
        <x:v>No</x:v>
      </x:c>
      <x:c r="AG80" t="str">
        <x:v>Not ready for continuous meta-analysis without formal graph digitization or author data</x:v>
      </x:c>
      <x:c r="AH80" t="str">
        <x:v>No</x:v>
      </x:c>
      <x:c r="AI80" t="str">
        <x:v>Exact POD1 means/SDs are figure-only; do not use fabricated exact AIS/PSQI values</x:v>
      </x:c>
      <x:c r="AJ80" t="str">
        <x:v>Figure 3, p8</x:v>
      </x:c>
      <x:c r="AK80" t="str">
        <x:v>https://drive.google.com/file/d/177A4aH42GD90DhsvvtD-VOBSChBBpIWL/view?usp=drivesdk</x:v>
      </x:c>
      <x:c r="AL80" t="str">
        <x:v>FIGURE ONLY / DIGITIZATION NEEDED</x:v>
      </x:c>
    </x:row>
    <x:row r="81">
      <x:c r="A81" t="str">
        <x:v>Wang 2023</x:v>
      </x:c>
      <x:c r="B81" t="str">
        <x:v>WANG23_TEAS_vs_SHAM_RESCUEDOSE</x:v>
      </x:c>
      <x:c r="C81" t="str">
        <x:v>Nighttime TEAS</x:v>
      </x:c>
      <x:c r="D81" t="str">
        <x:v>Sham/no current</x:v>
      </x:c>
      <x:c r="E81" t="str">
        <x:v>Rescue analgesia</x:v>
      </x:c>
      <x:c r="F81" t="str">
        <x:v>Cumulative number of additional rescue-analgesia doses</x:v>
      </x:c>
      <x:c r="G81" t="str">
        <x:v>0-72 h</x:v>
      </x:c>
      <x:c r="H81" t="str">
        <x:v>Mean/SD</x:v>
      </x:c>
      <x:c r="I81" t="n">
        <x:v>43</x:v>
      </x:c>
      <x:c r="J81" t="n">
        <x:v>45</x:v>
      </x:c>
      <x:c r="K81" t="n">
        <x:v>40</x:v>
      </x:c>
      <x:c r="L81" t="n">
        <x:v>43</x:v>
      </x:c>
      <x:c r="M81" t="n">
        <x:v>0.53</x:v>
      </x:c>
      <x:c r="N81" t="n">
        <x:v>0.55</x:v>
      </x:c>
      <x:c r="O81"/>
      <x:c r="P81"/>
      <x:c r="Q81"/>
      <x:c r="R81"/>
      <x:c r="S81" t="n">
        <x:v>0.98</x:v>
      </x:c>
      <x:c r="T81" t="n">
        <x:v>0.96</x:v>
      </x:c>
      <x:c r="U81"/>
      <x:c r="V81"/>
      <x:c r="W81"/>
      <x:c r="X81"/>
      <x:c r="Y81" t="str">
        <x:v>rescue doses</x:v>
      </x:c>
      <x:c r="Z81" t="str">
        <x:v>0.011</x:v>
      </x:c>
      <x:c r="AA81" t="str">
        <x:v>Yes</x:v>
      </x:c>
      <x:c r="AB81" t="str">
        <x:v>No</x:v>
      </x:c>
      <x:c r="AC81" t="str">
        <x:f>IF(H81="Mean/SD","MD",IF(H81="Events/total","RR",""))</x:f>
        <x:v>MD</x:v>
      </x:c>
      <x:c r="AD81" t="n">
        <x:f>IF(H81="Mean/SD",M81-S81,IF(H81="Events/total",IFERROR((R81/K81)/(X81/L81),""),""))</x:f>
        <x:v>-0.44999999999999996</x:v>
      </x:c>
      <x:c r="AE81" t="str">
        <x:v>No</x:v>
      </x:c>
      <x:c r="AF81" t="str">
        <x:v>No</x:v>
      </x:c>
      <x:c r="AG81" t="str">
        <x:v>Eligible as rescue-analgesia frequency outcome only</x:v>
      </x:c>
      <x:c r="AH81" t="str">
        <x:v>No</x:v>
      </x:c>
      <x:c r="AI81" t="str">
        <x:v>Rescue drug, dose, route and opioid/non-opioid identity are not specified in the main article</x:v>
      </x:c>
      <x:c r="AJ81" t="str">
        <x:v>Table 2 / rescue analgesia</x:v>
      </x:c>
      <x:c r="AK81" t="str">
        <x:v>https://drive.google.com/file/d/177A4aH42GD90DhsvvtD-VOBSChBBpIWL/view?usp=drivesdk</x:v>
      </x:c>
      <x:c r="AL81" t="str">
        <x:v>SOURCE-VERIFIED / DRUG IDENTITY MISSING</x:v>
      </x:c>
    </x:row>
    <x:row r="82">
      <x:c r="A82" t="str">
        <x:v>Wang 2023</x:v>
      </x:c>
      <x:c r="B82" t="str">
        <x:v>WANG23_TEAS_vs_SHAM_FLATUS</x:v>
      </x:c>
      <x:c r="C82" t="str">
        <x:v>Nighttime TEAS</x:v>
      </x:c>
      <x:c r="D82" t="str">
        <x:v>Sham/no current</x:v>
      </x:c>
      <x:c r="E82" t="str">
        <x:v>GI recovery</x:v>
      </x:c>
      <x:c r="F82" t="str">
        <x:v>Time to first flatus</x:v>
      </x:c>
      <x:c r="G82" t="str">
        <x:v>Postoperative</x:v>
      </x:c>
      <x:c r="H82" t="str">
        <x:v>Mean/SD</x:v>
      </x:c>
      <x:c r="I82" t="n">
        <x:v>43</x:v>
      </x:c>
      <x:c r="J82" t="n">
        <x:v>45</x:v>
      </x:c>
      <x:c r="K82" t="n">
        <x:v>40</x:v>
      </x:c>
      <x:c r="L82" t="n">
        <x:v>43</x:v>
      </x:c>
      <x:c r="M82" t="n">
        <x:v>54.57</x:v>
      </x:c>
      <x:c r="N82" t="n">
        <x:v>16.62</x:v>
      </x:c>
      <x:c r="O82"/>
      <x:c r="P82"/>
      <x:c r="Q82"/>
      <x:c r="R82"/>
      <x:c r="S82" t="n">
        <x:v>60.7</x:v>
      </x:c>
      <x:c r="T82" t="n">
        <x:v>19.1</x:v>
      </x:c>
      <x:c r="U82"/>
      <x:c r="V82"/>
      <x:c r="W82"/>
      <x:c r="X82"/>
      <x:c r="Y82" t="str">
        <x:v>hours</x:v>
      </x:c>
      <x:c r="Z82" t="str">
        <x:v>0.124</x:v>
      </x:c>
      <x:c r="AA82" t="str">
        <x:v>Yes</x:v>
      </x:c>
      <x:c r="AB82" t="str">
        <x:v>No</x:v>
      </x:c>
      <x:c r="AC82" t="str">
        <x:f>IF(H82="Mean/SD","MD",IF(H82="Events/total","RR",""))</x:f>
        <x:v>MD</x:v>
      </x:c>
      <x:c r="AD82" t="n">
        <x:f>IF(H82="Mean/SD",M82-S82,IF(H82="Events/total",IFERROR((R82/K82)/(X82/L82),""),""))</x:f>
        <x:v>-6.130000000000003</x:v>
      </x:c>
      <x:c r="AE82" t="str">
        <x:v>No</x:v>
      </x:c>
      <x:c r="AF82" t="str">
        <x:v>No</x:v>
      </x:c>
      <x:c r="AG82" t="str">
        <x:v>Eligible for GI-recovery analysis</x:v>
      </x:c>
      <x:c r="AH82" t="str">
        <x:v>No</x:v>
      </x:c>
      <x:c r="AI82" t="str">
        <x:v>5/88 randomized participants excluded for protocol breaches; no full ITT</x:v>
      </x:c>
      <x:c r="AJ82" t="str">
        <x:v>Table 1 / postoperative first flatus</x:v>
      </x:c>
      <x:c r="AK82" t="str">
        <x:v>https://drive.google.com/file/d/177A4aH42GD90DhsvvtD-VOBSChBBpIWL/view?usp=drivesdk</x:v>
      </x:c>
      <x:c r="AL82" t="str">
        <x:v>SOURCE-VERIFIED / ATTRITION QC</x:v>
      </x:c>
    </x:row>
    <x:row r="83">
      <x:c r="A83" t="str">
        <x:v>Wang 2023</x:v>
      </x:c>
      <x:c r="B83" t="str">
        <x:v>WANG23_TEAS_vs_SHAM_PAIN24</x:v>
      </x:c>
      <x:c r="C83" t="str">
        <x:v>Nighttime TEAS</x:v>
      </x:c>
      <x:c r="D83" t="str">
        <x:v>Sham/no current</x:v>
      </x:c>
      <x:c r="E83" t="str">
        <x:v>Pain</x:v>
      </x:c>
      <x:c r="F83" t="str">
        <x:v>Activity pain VAS</x:v>
      </x:c>
      <x:c r="G83" t="str">
        <x:v>24 h</x:v>
      </x:c>
      <x:c r="H83" t="str">
        <x:v>Graph-only mean/SD</x:v>
      </x:c>
      <x:c r="I83" t="n">
        <x:v>43</x:v>
      </x:c>
      <x:c r="J83" t="n">
        <x:v>45</x:v>
      </x:c>
      <x:c r="K83" t="n">
        <x:v>40</x:v>
      </x:c>
      <x:c r="L83" t="n">
        <x:v>43</x:v>
      </x:c>
      <x:c r="M83"/>
      <x:c r="N83"/>
      <x:c r="O83"/>
      <x:c r="P83"/>
      <x:c r="Q83"/>
      <x:c r="R83"/>
      <x:c r="S83"/>
      <x:c r="T83"/>
      <x:c r="U83"/>
      <x:c r="V83"/>
      <x:c r="W83"/>
      <x:c r="X83"/>
      <x:c r="Y83" t="str">
        <x:v>VAS 0-10</x:v>
      </x:c>
      <x:c r="Z83" t="str">
        <x:v>&lt;0.05</x:v>
      </x:c>
      <x:c r="AA83" t="str">
        <x:v>No</x:v>
      </x:c>
      <x:c r="AB83" t="str">
        <x:v>No</x:v>
      </x:c>
      <x:c r="AC83" t="str">
        <x:f>IF(H83="Mean/SD","MD",IF(H83="Events/total","RR",""))</x:f>
      </x:c>
      <x:c r="AD83" t="str">
        <x:f>IF(H83="Mean/SD",M83-S83,IF(H83="Events/total",IFERROR((R83/K83)/(X83/L83),""),""))</x:f>
      </x:c>
      <x:c r="AE83" t="str">
        <x:v>No</x:v>
      </x:c>
      <x:c r="AF83" t="str">
        <x:v>No</x:v>
      </x:c>
      <x:c r="AG83" t="str">
        <x:v>Not ready for quantitative pooling without formal digitization or author data</x:v>
      </x:c>
      <x:c r="AH83" t="str">
        <x:v>No</x:v>
      </x:c>
      <x:c r="AI83" t="str">
        <x:v>Exact 24-h activity VAS values are only shown graphically; stored derivative exact values were fabricated</x:v>
      </x:c>
      <x:c r="AJ83" t="str">
        <x:v>Figure 4, p8</x:v>
      </x:c>
      <x:c r="AK83" t="str">
        <x:v>https://drive.google.com/file/d/177A4aH42GD90DhsvvtD-VOBSChBBpIWL/view?usp=drivesdk</x:v>
      </x:c>
      <x:c r="AL83" t="str">
        <x:v>FIGURE ONLY / DIGITIZATION NEEDED</x:v>
      </x:c>
    </x:row>
    <x:row r="84">
      <x:c r="A84" t="str">
        <x:v>Wang 2023</x:v>
      </x:c>
      <x:c r="B84" t="str">
        <x:v>WANG23_TEAS_vs_SHAM_OPIOID24</x:v>
      </x:c>
      <x:c r="C84" t="str">
        <x:v>Nighttime TEAS</x:v>
      </x:c>
      <x:c r="D84" t="str">
        <x:v>Sham/no current</x:v>
      </x:c>
      <x:c r="E84" t="str">
        <x:v>Opioid consumption</x:v>
      </x:c>
      <x:c r="F84" t="str">
        <x:v>Exact cumulative postoperative opioid dose</x:v>
      </x:c>
      <x:c r="G84" t="str">
        <x:v>0-24 h</x:v>
      </x:c>
      <x:c r="H84" t="str">
        <x:v>Not reported</x:v>
      </x:c>
      <x:c r="I84" t="n">
        <x:v>43</x:v>
      </x:c>
      <x:c r="J84" t="n">
        <x:v>45</x:v>
      </x:c>
      <x:c r="K84" t="n">
        <x:v>40</x:v>
      </x:c>
      <x:c r="L84" t="n">
        <x:v>43</x:v>
      </x:c>
      <x:c r="M84"/>
      <x:c r="N84"/>
      <x:c r="O84"/>
      <x:c r="P84"/>
      <x:c r="Q84"/>
      <x:c r="R84"/>
      <x:c r="S84"/>
      <x:c r="T84"/>
      <x:c r="U84"/>
      <x:c r="V84"/>
      <x:c r="W84"/>
      <x:c r="X84"/>
      <x:c r="Y84" t="str">
        <x:v>mg/µg</x:v>
      </x:c>
      <x:c r="Z84" t="str"/>
      <x:c r="AA84" t="str">
        <x:v>No</x:v>
      </x:c>
      <x:c r="AB84" t="str">
        <x:v>No</x:v>
      </x:c>
      <x:c r="AC84" t="str">
        <x:f>IF(H84="Mean/SD","MD",IF(H84="Events/total","RR",""))</x:f>
      </x:c>
      <x:c r="AD84" t="str">
        <x:f>IF(H84="Mean/SD",M84-S84,IF(H84="Events/total",IFERROR((R84/K84)/(X84/L84),""),""))</x:f>
      </x:c>
      <x:c r="AE84" t="str">
        <x:v>No</x:v>
      </x:c>
      <x:c r="AF84" t="str">
        <x:v>No</x:v>
      </x:c>
      <x:c r="AG84" t="str">
        <x:v>Not eligible for continuous 24-h opioid meta-analysis</x:v>
      </x:c>
      <x:c r="AH84" t="str">
        <x:v>No</x:v>
      </x:c>
      <x:c r="AI84" t="str">
        <x:v>Only rescue-dose counts are reported and the rescue drug is not identified</x:v>
      </x:c>
      <x:c r="AJ84" t="str">
        <x:v>Postoperative analgesia outcomes</x:v>
      </x:c>
      <x:c r="AK84" t="str">
        <x:v>https://drive.google.com/file/d/177A4aH42GD90DhsvvtD-VOBSChBBpIWL/view?usp=drivesdk</x:v>
      </x:c>
      <x:c r="AL84" t="str">
        <x:v>MISSING / DRUG IDENTITY NOT REPORTED</x:v>
      </x:c>
    </x:row>
    <x:row r="85">
      <x:c r="A85" t="str">
        <x:v>Wang 2024</x:v>
      </x:c>
      <x:c r="B85" t="str">
        <x:v>WANG24_SNVP_ODT_vs_OD_PONV6_12</x:v>
      </x:c>
      <x:c r="C85" t="str">
        <x:v>SNVP: ondansetron+dexamethasone+TEAS</x:v>
      </x:c>
      <x:c r="D85" t="str">
        <x:v>SNVP: ondansetron+dexamethasone</x:v>
      </x:c>
      <x:c r="E85" t="str">
        <x:v>PONV</x:v>
      </x:c>
      <x:c r="F85" t="str">
        <x:v>PONV incidence</x:v>
      </x:c>
      <x:c r="G85" t="str">
        <x:v>6-12 h</x:v>
      </x:c>
      <x:c r="H85" t="str">
        <x:v>Events/total</x:v>
      </x:c>
      <x:c r="I85" t="n">
        <x:v>35</x:v>
      </x:c>
      <x:c r="J85" t="n">
        <x:v>35</x:v>
      </x:c>
      <x:c r="K85" t="n">
        <x:v>33</x:v>
      </x:c>
      <x:c r="L85" t="n">
        <x:v>35</x:v>
      </x:c>
      <x:c r="M85"/>
      <x:c r="N85"/>
      <x:c r="O85"/>
      <x:c r="P85"/>
      <x:c r="Q85"/>
      <x:c r="R85" t="n">
        <x:v>7</x:v>
      </x:c>
      <x:c r="S85"/>
      <x:c r="T85"/>
      <x:c r="U85"/>
      <x:c r="V85"/>
      <x:c r="W85"/>
      <x:c r="X85" t="n">
        <x:v>16</x:v>
      </x:c>
      <x:c r="Y85" t="str">
        <x:v>participants</x:v>
      </x:c>
      <x:c r="Z85" t="str">
        <x:v>0.033</x:v>
      </x:c>
      <x:c r="AA85" t="str">
        <x:v>Yes</x:v>
      </x:c>
      <x:c r="AB85" t="str">
        <x:v>No</x:v>
      </x:c>
      <x:c r="AC85" t="str">
        <x:f>IF(H85="Mean/SD","MD",IF(H85="Events/total","RR",""))</x:f>
        <x:v>RR</x:v>
      </x:c>
      <x:c r="AD85" t="n">
        <x:f>IF(H85="Mean/SD",M85-S85,IF(H85="Events/total",IFERROR((R85/K85)/(X85/L85),""),""))</x:f>
        <x:v>0.46401515151515155</x:v>
      </x:c>
      <x:c r="AE85" t="str">
        <x:v>No</x:v>
      </x:c>
      <x:c r="AF85" t="str">
        <x:v>No</x:v>
      </x:c>
      <x:c r="AG85" t="str">
        <x:v>Eligible for stratum-specific dichotomous PONV analysis</x:v>
      </x:c>
      <x:c r="AH85" t="str">
        <x:v>No</x:v>
      </x:c>
      <x:c r="AI85" t="str">
        <x:v>Do not pool across SNVP/MNVP as if strata were randomized; 2 ODT patients excluded after randomization due postoperative fever</x:v>
      </x:c>
      <x:c r="AJ85" t="str">
        <x:v>Table 3 / SNVP randomized contrast</x:v>
      </x:c>
      <x:c r="AK85" t="str">
        <x:v>https://drive.google.com/file/d/1U8tkq6mKFO0IkA2glfgLjN4Krwku3FZn/view?usp=drivesdk</x:v>
      </x:c>
      <x:c r="AL85" t="str">
        <x:v>SOURCE-VERIFIED / STRATIFIED RCT</x:v>
      </x:c>
    </x:row>
    <x:row r="86">
      <x:c r="A86" t="str">
        <x:v>Wang 2024</x:v>
      </x:c>
      <x:c r="B86" t="str">
        <x:v>WANG24_SNVP_ODT_vs_OD_PONV12_24</x:v>
      </x:c>
      <x:c r="C86" t="str">
        <x:v>SNVP: ondansetron+dexamethasone+TEAS</x:v>
      </x:c>
      <x:c r="D86" t="str">
        <x:v>SNVP: ondansetron+dexamethasone</x:v>
      </x:c>
      <x:c r="E86" t="str">
        <x:v>PONV</x:v>
      </x:c>
      <x:c r="F86" t="str">
        <x:v>PONV incidence</x:v>
      </x:c>
      <x:c r="G86" t="str">
        <x:v>12-24 h</x:v>
      </x:c>
      <x:c r="H86" t="str">
        <x:v>Events/total</x:v>
      </x:c>
      <x:c r="I86" t="n">
        <x:v>35</x:v>
      </x:c>
      <x:c r="J86" t="n">
        <x:v>35</x:v>
      </x:c>
      <x:c r="K86" t="n">
        <x:v>33</x:v>
      </x:c>
      <x:c r="L86" t="n">
        <x:v>35</x:v>
      </x:c>
      <x:c r="M86"/>
      <x:c r="N86"/>
      <x:c r="O86"/>
      <x:c r="P86"/>
      <x:c r="Q86"/>
      <x:c r="R86" t="n">
        <x:v>2</x:v>
      </x:c>
      <x:c r="S86"/>
      <x:c r="T86"/>
      <x:c r="U86"/>
      <x:c r="V86"/>
      <x:c r="W86"/>
      <x:c r="X86" t="n">
        <x:v>11</x:v>
      </x:c>
      <x:c r="Y86" t="str">
        <x:v>participants</x:v>
      </x:c>
      <x:c r="Z86" t="str">
        <x:v>0.008</x:v>
      </x:c>
      <x:c r="AA86" t="str">
        <x:v>Yes</x:v>
      </x:c>
      <x:c r="AB86" t="str">
        <x:v>No</x:v>
      </x:c>
      <x:c r="AC86" t="str">
        <x:f>IF(H86="Mean/SD","MD",IF(H86="Events/total","RR",""))</x:f>
        <x:v>RR</x:v>
      </x:c>
      <x:c r="AD86" t="n">
        <x:f>IF(H86="Mean/SD",M86-S86,IF(H86="Events/total",IFERROR((R86/K86)/(X86/L86),""),""))</x:f>
        <x:v>0.1928374655647383</x:v>
      </x:c>
      <x:c r="AE86" t="str">
        <x:v>No</x:v>
      </x:c>
      <x:c r="AF86" t="str">
        <x:v>No</x:v>
      </x:c>
      <x:c r="AG86" t="str">
        <x:v>Eligible for stratum-specific dichotomous PONV analysis</x:v>
      </x:c>
      <x:c r="AH86" t="str">
        <x:v>No</x:v>
      </x:c>
      <x:c r="AI86" t="str">
        <x:v>Two post-randomization ODT exclusions; marked surgical-procedure imbalance (radical mastectomy + axillary dissection 36.4% vs 71.4%)</x:v>
      </x:c>
      <x:c r="AJ86" t="str">
        <x:v>Table 3 / SNVP randomized contrast</x:v>
      </x:c>
      <x:c r="AK86" t="str">
        <x:v>https://drive.google.com/file/d/1U8tkq6mKFO0IkA2glfgLjN4Krwku3FZn/view?usp=drivesdk</x:v>
      </x:c>
      <x:c r="AL86" t="str">
        <x:v>SOURCE-VERIFIED / STRATIFIED RCT / ATTRITION QC</x:v>
      </x:c>
    </x:row>
    <x:row r="87">
      <x:c r="A87" t="str">
        <x:v>Wang 2024</x:v>
      </x:c>
      <x:c r="B87" t="str">
        <x:v>WANG24_SNVP_ODT_vs_OD_TOTALPONV</x:v>
      </x:c>
      <x:c r="C87" t="str">
        <x:v>SNVP: ondansetron+dexamethasone+TEAS</x:v>
      </x:c>
      <x:c r="D87" t="str">
        <x:v>SNVP: ondansetron+dexamethasone</x:v>
      </x:c>
      <x:c r="E87" t="str">
        <x:v>PONV</x:v>
      </x:c>
      <x:c r="F87" t="str">
        <x:v>Any PONV over reported follow-up</x:v>
      </x:c>
      <x:c r="G87" t="str">
        <x:v>0-36 h</x:v>
      </x:c>
      <x:c r="H87" t="str">
        <x:v>Events/total</x:v>
      </x:c>
      <x:c r="I87" t="n">
        <x:v>35</x:v>
      </x:c>
      <x:c r="J87" t="n">
        <x:v>35</x:v>
      </x:c>
      <x:c r="K87" t="n">
        <x:v>33</x:v>
      </x:c>
      <x:c r="L87" t="n">
        <x:v>35</x:v>
      </x:c>
      <x:c r="M87"/>
      <x:c r="N87"/>
      <x:c r="O87"/>
      <x:c r="P87"/>
      <x:c r="Q87"/>
      <x:c r="R87" t="n">
        <x:v>14</x:v>
      </x:c>
      <x:c r="S87"/>
      <x:c r="T87"/>
      <x:c r="U87"/>
      <x:c r="V87"/>
      <x:c r="W87"/>
      <x:c r="X87" t="n">
        <x:v>20</x:v>
      </x:c>
      <x:c r="Y87" t="str">
        <x:v>participants</x:v>
      </x:c>
      <x:c r="Z87" t="str">
        <x:v>0.225</x:v>
      </x:c>
      <x:c r="AA87" t="str">
        <x:v>Yes</x:v>
      </x:c>
      <x:c r="AB87" t="str">
        <x:v>No</x:v>
      </x:c>
      <x:c r="AC87" t="str">
        <x:f>IF(H87="Mean/SD","MD",IF(H87="Events/total","RR",""))</x:f>
        <x:v>RR</x:v>
      </x:c>
      <x:c r="AD87" t="n">
        <x:f>IF(H87="Mean/SD",M87-S87,IF(H87="Events/total",IFERROR((R87/K87)/(X87/L87),""),""))</x:f>
        <x:v>0.7424242424242424</x:v>
      </x:c>
      <x:c r="AE87" t="str">
        <x:v>No</x:v>
      </x:c>
      <x:c r="AF87" t="str">
        <x:v>No</x:v>
      </x:c>
      <x:c r="AG87" t="str">
        <x:v>Eligible for stratum-specific total-PONV analysis</x:v>
      </x:c>
      <x:c r="AH87" t="str">
        <x:v>No</x:v>
      </x:c>
      <x:c r="AI87" t="str">
        <x:v>No significant overall treatment effect despite time-specific benefits</x:v>
      </x:c>
      <x:c r="AJ87" t="str">
        <x:v>Table 3 / total PONV</x:v>
      </x:c>
      <x:c r="AK87" t="str">
        <x:v>https://drive.google.com/file/d/1U8tkq6mKFO0IkA2glfgLjN4Krwku3FZn/view?usp=drivesdk</x:v>
      </x:c>
      <x:c r="AL87" t="str">
        <x:v>SOURCE-VERIFIED / STRATIFIED RCT</x:v>
      </x:c>
    </x:row>
    <x:row r="88">
      <x:c r="A88" t="str">
        <x:v>Wang 2024</x:v>
      </x:c>
      <x:c r="B88" t="str">
        <x:v>WANG24_MNVP_ODT_vs_OD_PONV0_2</x:v>
      </x:c>
      <x:c r="C88" t="str">
        <x:v>MNVP: ondansetron+dexamethasone+TEAS</x:v>
      </x:c>
      <x:c r="D88" t="str">
        <x:v>MNVP: ondansetron+dexamethasone</x:v>
      </x:c>
      <x:c r="E88" t="str">
        <x:v>PONV</x:v>
      </x:c>
      <x:c r="F88" t="str">
        <x:v>PONV incidence</x:v>
      </x:c>
      <x:c r="G88" t="str">
        <x:v>0-2 h</x:v>
      </x:c>
      <x:c r="H88" t="str">
        <x:v>Events/total</x:v>
      </x:c>
      <x:c r="I88" t="n">
        <x:v>35</x:v>
      </x:c>
      <x:c r="J88" t="n">
        <x:v>35</x:v>
      </x:c>
      <x:c r="K88" t="n">
        <x:v>35</x:v>
      </x:c>
      <x:c r="L88" t="n">
        <x:v>35</x:v>
      </x:c>
      <x:c r="M88"/>
      <x:c r="N88"/>
      <x:c r="O88"/>
      <x:c r="P88"/>
      <x:c r="Q88"/>
      <x:c r="R88" t="n">
        <x:v>2</x:v>
      </x:c>
      <x:c r="S88"/>
      <x:c r="T88"/>
      <x:c r="U88"/>
      <x:c r="V88"/>
      <x:c r="W88"/>
      <x:c r="X88" t="n">
        <x:v>9</x:v>
      </x:c>
      <x:c r="Y88" t="str">
        <x:v>participants</x:v>
      </x:c>
      <x:c r="Z88" t="str">
        <x:v>0.022</x:v>
      </x:c>
      <x:c r="AA88" t="str">
        <x:v>Yes</x:v>
      </x:c>
      <x:c r="AB88" t="str">
        <x:v>No</x:v>
      </x:c>
      <x:c r="AC88" t="str">
        <x:f>IF(H88="Mean/SD","MD",IF(H88="Events/total","RR",""))</x:f>
        <x:v>RR</x:v>
      </x:c>
      <x:c r="AD88" t="n">
        <x:f>IF(H88="Mean/SD",M88-S88,IF(H88="Events/total",IFERROR((R88/K88)/(X88/L88),""),""))</x:f>
        <x:v>0.22222222222222224</x:v>
      </x:c>
      <x:c r="AE88" t="str">
        <x:v>No</x:v>
      </x:c>
      <x:c r="AF88" t="str">
        <x:v>No</x:v>
      </x:c>
      <x:c r="AG88" t="str">
        <x:v>Eligible for stratum-specific dichotomous PONV analysis</x:v>
      </x:c>
      <x:c r="AH88" t="str">
        <x:v>No</x:v>
      </x:c>
      <x:c r="AI88" t="str">
        <x:v>Keep separate from SNVP; MNVP-ODT had more segmental mastectomy + axillary dissection (20.0% vs 2.9%)</x:v>
      </x:c>
      <x:c r="AJ88" t="str">
        <x:v>Table 3 / MNVP randomized contrast</x:v>
      </x:c>
      <x:c r="AK88" t="str">
        <x:v>https://drive.google.com/file/d/1U8tkq6mKFO0IkA2glfgLjN4Krwku3FZn/view?usp=drivesdk</x:v>
      </x:c>
      <x:c r="AL88" t="str">
        <x:v>SOURCE-VERIFIED / STRATIFIED RCT</x:v>
      </x:c>
    </x:row>
    <x:row r="89">
      <x:c r="A89" t="str">
        <x:v>Wang 2024</x:v>
      </x:c>
      <x:c r="B89" t="str">
        <x:v>WANG24_MNVP_ODT_vs_OD_PONV2_6</x:v>
      </x:c>
      <x:c r="C89" t="str">
        <x:v>MNVP: ondansetron+dexamethasone+TEAS</x:v>
      </x:c>
      <x:c r="D89" t="str">
        <x:v>MNVP: ondansetron+dexamethasone</x:v>
      </x:c>
      <x:c r="E89" t="str">
        <x:v>PONV</x:v>
      </x:c>
      <x:c r="F89" t="str">
        <x:v>PONV incidence</x:v>
      </x:c>
      <x:c r="G89" t="str">
        <x:v>2-6 h</x:v>
      </x:c>
      <x:c r="H89" t="str">
        <x:v>Events/total</x:v>
      </x:c>
      <x:c r="I89" t="n">
        <x:v>35</x:v>
      </x:c>
      <x:c r="J89" t="n">
        <x:v>35</x:v>
      </x:c>
      <x:c r="K89" t="n">
        <x:v>35</x:v>
      </x:c>
      <x:c r="L89" t="n">
        <x:v>35</x:v>
      </x:c>
      <x:c r="M89"/>
      <x:c r="N89"/>
      <x:c r="O89"/>
      <x:c r="P89"/>
      <x:c r="Q89"/>
      <x:c r="R89" t="n">
        <x:v>2</x:v>
      </x:c>
      <x:c r="S89"/>
      <x:c r="T89"/>
      <x:c r="U89"/>
      <x:c r="V89"/>
      <x:c r="W89"/>
      <x:c r="X89" t="n">
        <x:v>8</x:v>
      </x:c>
      <x:c r="Y89" t="str">
        <x:v>participants</x:v>
      </x:c>
      <x:c r="Z89" t="str">
        <x:v>0.040</x:v>
      </x:c>
      <x:c r="AA89" t="str">
        <x:v>Yes</x:v>
      </x:c>
      <x:c r="AB89" t="str">
        <x:v>No</x:v>
      </x:c>
      <x:c r="AC89" t="str">
        <x:f>IF(H89="Mean/SD","MD",IF(H89="Events/total","RR",""))</x:f>
        <x:v>RR</x:v>
      </x:c>
      <x:c r="AD89" t="n">
        <x:f>IF(H89="Mean/SD",M89-S89,IF(H89="Events/total",IFERROR((R89/K89)/(X89/L89),""),""))</x:f>
        <x:v>0.25</x:v>
      </x:c>
      <x:c r="AE89" t="str">
        <x:v>No</x:v>
      </x:c>
      <x:c r="AF89" t="str">
        <x:v>No</x:v>
      </x:c>
      <x:c r="AG89" t="str">
        <x:v>Eligible for stratum-specific dichotomous PONV analysis</x:v>
      </x:c>
      <x:c r="AH89" t="str">
        <x:v>No</x:v>
      </x:c>
      <x:c r="AI89" t="str">
        <x:v>Keep separate from SNVP risk stratum</x:v>
      </x:c>
      <x:c r="AJ89" t="str">
        <x:v>Table 3 / MNVP randomized contrast</x:v>
      </x:c>
      <x:c r="AK89" t="str">
        <x:v>https://drive.google.com/file/d/1U8tkq6mKFO0IkA2glfgLjN4Krwku3FZn/view?usp=drivesdk</x:v>
      </x:c>
      <x:c r="AL89" t="str">
        <x:v>SOURCE-VERIFIED / STRATIFIED RCT</x:v>
      </x:c>
    </x:row>
    <x:row r="90">
      <x:c r="A90" t="str">
        <x:v>Wang 2024</x:v>
      </x:c>
      <x:c r="B90" t="str">
        <x:v>WANG24_MNVP_ODT_vs_OD_TOTALPONV</x:v>
      </x:c>
      <x:c r="C90" t="str">
        <x:v>MNVP: ondansetron+dexamethasone+TEAS</x:v>
      </x:c>
      <x:c r="D90" t="str">
        <x:v>MNVP: ondansetron+dexamethasone</x:v>
      </x:c>
      <x:c r="E90" t="str">
        <x:v>PONV</x:v>
      </x:c>
      <x:c r="F90" t="str">
        <x:v>Any PONV over reported follow-up</x:v>
      </x:c>
      <x:c r="G90" t="str">
        <x:v>0-36 h</x:v>
      </x:c>
      <x:c r="H90" t="str">
        <x:v>Events/total</x:v>
      </x:c>
      <x:c r="I90" t="n">
        <x:v>35</x:v>
      </x:c>
      <x:c r="J90" t="n">
        <x:v>35</x:v>
      </x:c>
      <x:c r="K90" t="n">
        <x:v>35</x:v>
      </x:c>
      <x:c r="L90" t="n">
        <x:v>35</x:v>
      </x:c>
      <x:c r="M90"/>
      <x:c r="N90"/>
      <x:c r="O90"/>
      <x:c r="P90"/>
      <x:c r="Q90"/>
      <x:c r="R90" t="n">
        <x:v>5</x:v>
      </x:c>
      <x:c r="S90"/>
      <x:c r="T90"/>
      <x:c r="U90"/>
      <x:c r="V90"/>
      <x:c r="W90"/>
      <x:c r="X90" t="n">
        <x:v>10</x:v>
      </x:c>
      <x:c r="Y90" t="str">
        <x:v>participants</x:v>
      </x:c>
      <x:c r="Z90" t="str">
        <x:v>0.145</x:v>
      </x:c>
      <x:c r="AA90" t="str">
        <x:v>Yes</x:v>
      </x:c>
      <x:c r="AB90" t="str">
        <x:v>No</x:v>
      </x:c>
      <x:c r="AC90" t="str">
        <x:f>IF(H90="Mean/SD","MD",IF(H90="Events/total","RR",""))</x:f>
        <x:v>RR</x:v>
      </x:c>
      <x:c r="AD90" t="n">
        <x:f>IF(H90="Mean/SD",M90-S90,IF(H90="Events/total",IFERROR((R90/K90)/(X90/L90),""),""))</x:f>
        <x:v>0.5</x:v>
      </x:c>
      <x:c r="AE90" t="str">
        <x:v>No</x:v>
      </x:c>
      <x:c r="AF90" t="str">
        <x:v>No</x:v>
      </x:c>
      <x:c r="AG90" t="str">
        <x:v>Eligible for stratum-specific total-PONV analysis</x:v>
      </x:c>
      <x:c r="AH90" t="str">
        <x:v>No</x:v>
      </x:c>
      <x:c r="AI90" t="str">
        <x:v>No significant overall treatment effect despite early time-specific benefit</x:v>
      </x:c>
      <x:c r="AJ90" t="str">
        <x:v>Table 3 / total PONV</x:v>
      </x:c>
      <x:c r="AK90" t="str">
        <x:v>https://drive.google.com/file/d/1U8tkq6mKFO0IkA2glfgLjN4Krwku3FZn/view?usp=drivesdk</x:v>
      </x:c>
      <x:c r="AL90" t="str">
        <x:v>SOURCE-VERIFIED / STRATIFIED RCT</x:v>
      </x:c>
    </x:row>
    <x:row r="91">
      <x:c r="A91" t="str">
        <x:v>Wang 2024</x:v>
      </x:c>
      <x:c r="B91" t="str">
        <x:v>WANG24_SNVP_ODT_vs_OD_INTRAOPSUF</x:v>
      </x:c>
      <x:c r="C91" t="str">
        <x:v>SNVP: ondansetron+dexamethasone+TEAS</x:v>
      </x:c>
      <x:c r="D91" t="str">
        <x:v>SNVP: ondansetron+dexamethasone</x:v>
      </x:c>
      <x:c r="E91" t="str">
        <x:v>Intraoperative opioid</x:v>
      </x:c>
      <x:c r="F91" t="str">
        <x:v>Total sufentanil</x:v>
      </x:c>
      <x:c r="G91" t="str">
        <x:v>Intraoperative</x:v>
      </x:c>
      <x:c r="H91" t="str">
        <x:v>Mean/SD</x:v>
      </x:c>
      <x:c r="I91" t="n">
        <x:v>35</x:v>
      </x:c>
      <x:c r="J91" t="n">
        <x:v>35</x:v>
      </x:c>
      <x:c r="K91" t="n">
        <x:v>33</x:v>
      </x:c>
      <x:c r="L91" t="n">
        <x:v>35</x:v>
      </x:c>
      <x:c r="M91" t="n">
        <x:v>21.2</x:v>
      </x:c>
      <x:c r="N91" t="n">
        <x:v>3.1</x:v>
      </x:c>
      <x:c r="O91"/>
      <x:c r="P91"/>
      <x:c r="Q91"/>
      <x:c r="R91"/>
      <x:c r="S91" t="n">
        <x:v>21.9</x:v>
      </x:c>
      <x:c r="T91" t="n">
        <x:v>3.2</x:v>
      </x:c>
      <x:c r="U91"/>
      <x:c r="V91"/>
      <x:c r="W91"/>
      <x:c r="X91"/>
      <x:c r="Y91" t="str">
        <x:v>µg sufentanil</x:v>
      </x:c>
      <x:c r="Z91" t="str">
        <x:v>0.402</x:v>
      </x:c>
      <x:c r="AA91" t="str">
        <x:v>Yes</x:v>
      </x:c>
      <x:c r="AB91" t="str">
        <x:v>No</x:v>
      </x:c>
      <x:c r="AC91" t="str">
        <x:f>IF(H91="Mean/SD","MD",IF(H91="Events/total","RR",""))</x:f>
        <x:v>MD</x:v>
      </x:c>
      <x:c r="AD91" t="n">
        <x:f>IF(H91="Mean/SD",M91-S91,IF(H91="Events/total",IFERROR((R91/K91)/(X91/L91),""),""))</x:f>
        <x:v>-0.6999999999999993</x:v>
      </x:c>
      <x:c r="AE91" t="str">
        <x:v>No</x:v>
      </x:c>
      <x:c r="AF91" t="str">
        <x:v>No</x:v>
      </x:c>
      <x:c r="AG91" t="str">
        <x:v>Eligible for intraoperative opioid analysis</x:v>
      </x:c>
      <x:c r="AH91" t="str">
        <x:v>No</x:v>
      </x:c>
      <x:c r="AI91" t="str">
        <x:v>No intraoperative opioid-sparing effect</x:v>
      </x:c>
      <x:c r="AJ91" t="str">
        <x:v>Table 1 / SNVP sufentanil</x:v>
      </x:c>
      <x:c r="AK91" t="str">
        <x:v>https://drive.google.com/file/d/1U8tkq6mKFO0IkA2glfgLjN4Krwku3FZn/view?usp=drivesdk</x:v>
      </x:c>
      <x:c r="AL91" t="str">
        <x:v>SOURCE-VERIFIED</x:v>
      </x:c>
    </x:row>
    <x:row r="92">
      <x:c r="A92" t="str">
        <x:v>Wang 2024</x:v>
      </x:c>
      <x:c r="B92" t="str">
        <x:v>WANG24_MNVP_ODT_vs_OD_INTRAOPSUF</x:v>
      </x:c>
      <x:c r="C92" t="str">
        <x:v>MNVP: ondansetron+dexamethasone+TEAS</x:v>
      </x:c>
      <x:c r="D92" t="str">
        <x:v>MNVP: ondansetron+dexamethasone</x:v>
      </x:c>
      <x:c r="E92" t="str">
        <x:v>Intraoperative opioid</x:v>
      </x:c>
      <x:c r="F92" t="str">
        <x:v>Total sufentanil</x:v>
      </x:c>
      <x:c r="G92" t="str">
        <x:v>Intraoperative</x:v>
      </x:c>
      <x:c r="H92" t="str">
        <x:v>Mean/SD</x:v>
      </x:c>
      <x:c r="I92" t="n">
        <x:v>35</x:v>
      </x:c>
      <x:c r="J92" t="n">
        <x:v>35</x:v>
      </x:c>
      <x:c r="K92" t="n">
        <x:v>35</x:v>
      </x:c>
      <x:c r="L92" t="n">
        <x:v>35</x:v>
      </x:c>
      <x:c r="M92" t="n">
        <x:v>21</x:v>
      </x:c>
      <x:c r="N92" t="n">
        <x:v>3.4</x:v>
      </x:c>
      <x:c r="O92"/>
      <x:c r="P92"/>
      <x:c r="Q92"/>
      <x:c r="R92"/>
      <x:c r="S92" t="n">
        <x:v>20.9</x:v>
      </x:c>
      <x:c r="T92" t="n">
        <x:v>3.1</x:v>
      </x:c>
      <x:c r="U92"/>
      <x:c r="V92"/>
      <x:c r="W92"/>
      <x:c r="X92"/>
      <x:c r="Y92" t="str">
        <x:v>µg sufentanil</x:v>
      </x:c>
      <x:c r="Z92" t="str">
        <x:v>0.854</x:v>
      </x:c>
      <x:c r="AA92" t="str">
        <x:v>Yes</x:v>
      </x:c>
      <x:c r="AB92" t="str">
        <x:v>No</x:v>
      </x:c>
      <x:c r="AC92" t="str">
        <x:f>IF(H92="Mean/SD","MD",IF(H92="Events/total","RR",""))</x:f>
        <x:v>MD</x:v>
      </x:c>
      <x:c r="AD92" t="n">
        <x:f>IF(H92="Mean/SD",M92-S92,IF(H92="Events/total",IFERROR((R92/K92)/(X92/L92),""),""))</x:f>
        <x:v>0.10000000000000142</x:v>
      </x:c>
      <x:c r="AE92" t="str">
        <x:v>No</x:v>
      </x:c>
      <x:c r="AF92" t="str">
        <x:v>No</x:v>
      </x:c>
      <x:c r="AG92" t="str">
        <x:v>Eligible for intraoperative opioid analysis</x:v>
      </x:c>
      <x:c r="AH92" t="str">
        <x:v>No</x:v>
      </x:c>
      <x:c r="AI92" t="str">
        <x:v>No intraoperative opioid-sparing effect</x:v>
      </x:c>
      <x:c r="AJ92" t="str">
        <x:v>Table 1 / MNVP sufentanil</x:v>
      </x:c>
      <x:c r="AK92" t="str">
        <x:v>https://drive.google.com/file/d/1U8tkq6mKFO0IkA2glfgLjN4Krwku3FZn/view?usp=drivesdk</x:v>
      </x:c>
      <x:c r="AL92" t="str">
        <x:v>SOURCE-VERIFIED</x:v>
      </x:c>
    </x:row>
    <x:row r="93">
      <x:c r="A93" t="str">
        <x:v>Wang 2024</x:v>
      </x:c>
      <x:c r="B93" t="str">
        <x:v>WANG24_POSTOP_OPIOID24</x:v>
      </x:c>
      <x:c r="C93" t="str">
        <x:v>TEAS within risk strata</x:v>
      </x:c>
      <x:c r="D93" t="str">
        <x:v>OD within risk strata</x:v>
      </x:c>
      <x:c r="E93" t="str">
        <x:v>Opioid consumption</x:v>
      </x:c>
      <x:c r="F93" t="str">
        <x:v>Postoperative opioid consumption</x:v>
      </x:c>
      <x:c r="G93" t="str">
        <x:v>0-24 h</x:v>
      </x:c>
      <x:c r="H93" t="str">
        <x:v>Not reported</x:v>
      </x:c>
      <x:c r="I93"/>
      <x:c r="J93"/>
      <x:c r="K93"/>
      <x:c r="L93"/>
      <x:c r="M93"/>
      <x:c r="N93"/>
      <x:c r="O93"/>
      <x:c r="P93"/>
      <x:c r="Q93"/>
      <x:c r="R93"/>
      <x:c r="S93"/>
      <x:c r="T93"/>
      <x:c r="U93"/>
      <x:c r="V93"/>
      <x:c r="W93"/>
      <x:c r="X93"/>
      <x:c r="Y93" t="str">
        <x:v>mg/µg</x:v>
      </x:c>
      <x:c r="Z93" t="str"/>
      <x:c r="AA93" t="str">
        <x:v>No</x:v>
      </x:c>
      <x:c r="AB93" t="str">
        <x:v>No</x:v>
      </x:c>
      <x:c r="AC93" t="str">
        <x:f>IF(H93="Mean/SD","MD",IF(H93="Events/total","RR",""))</x:f>
      </x:c>
      <x:c r="AD93" t="str">
        <x:f>IF(H93="Mean/SD",M93-S93,IF(H93="Events/total",IFERROR((R93/K93)/(X93/L93),""),""))</x:f>
      </x:c>
      <x:c r="AE93" t="str">
        <x:v>No</x:v>
      </x:c>
      <x:c r="AF93" t="str">
        <x:v>No</x:v>
      </x:c>
      <x:c r="AG93" t="str">
        <x:v>Not eligible for postoperative 24-h opioid meta-analysis</x:v>
      </x:c>
      <x:c r="AH93" t="str">
        <x:v>No</x:v>
      </x:c>
      <x:c r="AI93" t="str">
        <x:v>Postoperative rescue analgesia was non-opioid flurbiprofen; no postoperative opioid-consumption endpoint</x:v>
      </x:c>
      <x:c r="AJ93" t="str">
        <x:v>Postoperative analgesia section</x:v>
      </x:c>
      <x:c r="AK93" t="str">
        <x:v>https://drive.google.com/file/d/1U8tkq6mKFO0IkA2glfgLjN4Krwku3FZn/view?usp=drivesdk</x:v>
      </x:c>
      <x:c r="AL93" t="str">
        <x:v>NOT REPORTED / NO POSTOP OPIOID ENDPOINT</x:v>
      </x:c>
    </x:row>
    <x:row r="94">
      <x:c r="A94" t="str">
        <x:v>Tu 2024</x:v>
      </x:c>
      <x:c r="B94" t="str">
        <x:v>TU24_TEAS_vs_SHAM_VOMIT2_6</x:v>
      </x:c>
      <x:c r="C94" t="str">
        <x:v>Postoperative TEAS</x:v>
      </x:c>
      <x:c r="D94" t="str">
        <x:v>Sham/no current</x:v>
      </x:c>
      <x:c r="E94" t="str">
        <x:v>PONV</x:v>
      </x:c>
      <x:c r="F94" t="str">
        <x:v>Vomiting incidence</x:v>
      </x:c>
      <x:c r="G94" t="str">
        <x:v>2-6 h</x:v>
      </x:c>
      <x:c r="H94" t="str">
        <x:v>Events/total</x:v>
      </x:c>
      <x:c r="I94" t="n">
        <x:v>60</x:v>
      </x:c>
      <x:c r="J94" t="n">
        <x:v>60</x:v>
      </x:c>
      <x:c r="K94" t="n">
        <x:v>57</x:v>
      </x:c>
      <x:c r="L94" t="n">
        <x:v>58</x:v>
      </x:c>
      <x:c r="M94"/>
      <x:c r="N94"/>
      <x:c r="O94"/>
      <x:c r="P94"/>
      <x:c r="Q94"/>
      <x:c r="R94" t="n">
        <x:v>8</x:v>
      </x:c>
      <x:c r="S94"/>
      <x:c r="T94"/>
      <x:c r="U94"/>
      <x:c r="V94"/>
      <x:c r="W94"/>
      <x:c r="X94" t="n">
        <x:v>17</x:v>
      </x:c>
      <x:c r="Y94" t="str">
        <x:v>participants</x:v>
      </x:c>
      <x:c r="Z94" t="str">
        <x:v>0.047</x:v>
      </x:c>
      <x:c r="AA94" t="str">
        <x:v>Yes</x:v>
      </x:c>
      <x:c r="AB94" t="str">
        <x:v>No</x:v>
      </x:c>
      <x:c r="AC94" t="str">
        <x:f>IF(H94="Mean/SD","MD",IF(H94="Events/total","RR",""))</x:f>
        <x:v>RR</x:v>
      </x:c>
      <x:c r="AD94" t="n">
        <x:f>IF(H94="Mean/SD",M94-S94,IF(H94="Events/total",IFERROR((R94/K94)/(X94/L94),""),""))</x:f>
        <x:v>0.478844169246646</x:v>
      </x:c>
      <x:c r="AE94" t="str">
        <x:v>No</x:v>
      </x:c>
      <x:c r="AF94" t="str">
        <x:v>No</x:v>
      </x:c>
      <x:c r="AG94" t="str">
        <x:v>Eligible for dichotomous vomiting analysis</x:v>
      </x:c>
      <x:c r="AH94" t="str">
        <x:v>No</x:v>
      </x:c>
      <x:c r="AI94" t="str">
        <x:v>Five post-randomization exclusions include one sham participant excluded specifically for vomiting caused by intracranial hypertension</x:v>
      </x:c>
      <x:c r="AJ94" t="str">
        <x:v>Table 3 / vomiting 2-6 h</x:v>
      </x:c>
      <x:c r="AK94" t="str">
        <x:v>https://drive.google.com/file/d/1xQ9SbXVZblphUrb0-T9xpnAXk-_z5nBX/view?usp=drivesdk</x:v>
      </x:c>
      <x:c r="AL94" t="str">
        <x:v>SOURCE-VERIFIED / MISSINGNESS QC</x:v>
      </x:c>
    </x:row>
    <x:row r="95">
      <x:c r="A95" t="str">
        <x:v>Tu 2024</x:v>
      </x:c>
      <x:c r="B95" t="str">
        <x:v>TU24_TEAS_vs_SHAM_VOMIT6_24</x:v>
      </x:c>
      <x:c r="C95" t="str">
        <x:v>Postoperative TEAS</x:v>
      </x:c>
      <x:c r="D95" t="str">
        <x:v>Sham/no current</x:v>
      </x:c>
      <x:c r="E95" t="str">
        <x:v>PONV</x:v>
      </x:c>
      <x:c r="F95" t="str">
        <x:v>Vomiting incidence</x:v>
      </x:c>
      <x:c r="G95" t="str">
        <x:v>6-24 h</x:v>
      </x:c>
      <x:c r="H95" t="str">
        <x:v>Events/total</x:v>
      </x:c>
      <x:c r="I95" t="n">
        <x:v>60</x:v>
      </x:c>
      <x:c r="J95" t="n">
        <x:v>60</x:v>
      </x:c>
      <x:c r="K95" t="n">
        <x:v>57</x:v>
      </x:c>
      <x:c r="L95" t="n">
        <x:v>58</x:v>
      </x:c>
      <x:c r="M95"/>
      <x:c r="N95"/>
      <x:c r="O95"/>
      <x:c r="P95"/>
      <x:c r="Q95"/>
      <x:c r="R95" t="n">
        <x:v>11</x:v>
      </x:c>
      <x:c r="S95"/>
      <x:c r="T95"/>
      <x:c r="U95"/>
      <x:c r="V95"/>
      <x:c r="W95"/>
      <x:c r="X95" t="n">
        <x:v>15</x:v>
      </x:c>
      <x:c r="Y95" t="str">
        <x:v>participants</x:v>
      </x:c>
      <x:c r="Z95" t="str">
        <x:v>0.405</x:v>
      </x:c>
      <x:c r="AA95" t="str">
        <x:v>Yes</x:v>
      </x:c>
      <x:c r="AB95" t="str">
        <x:v>No</x:v>
      </x:c>
      <x:c r="AC95" t="str">
        <x:f>IF(H95="Mean/SD","MD",IF(H95="Events/total","RR",""))</x:f>
        <x:v>RR</x:v>
      </x:c>
      <x:c r="AD95" t="n">
        <x:f>IF(H95="Mean/SD",M95-S95,IF(H95="Events/total",IFERROR((R95/K95)/(X95/L95),""),""))</x:f>
        <x:v>0.7461988304093566</x:v>
      </x:c>
      <x:c r="AE95" t="str">
        <x:v>No</x:v>
      </x:c>
      <x:c r="AF95" t="str">
        <x:v>No</x:v>
      </x:c>
      <x:c r="AG95" t="str">
        <x:v>Eligible for dichotomous vomiting analysis</x:v>
      </x:c>
      <x:c r="AH95" t="str">
        <x:v>No</x:v>
      </x:c>
      <x:c r="AI95" t="str">
        <x:v>Same post-randomization exclusion concern</x:v>
      </x:c>
      <x:c r="AJ95" t="str">
        <x:v>Table 3 / vomiting 6-24 h</x:v>
      </x:c>
      <x:c r="AK95" t="str">
        <x:v>https://drive.google.com/file/d/1xQ9SbXVZblphUrb0-T9xpnAXk-_z5nBX/view?usp=drivesdk</x:v>
      </x:c>
      <x:c r="AL95" t="str">
        <x:v>SOURCE-VERIFIED / MISSINGNESS QC</x:v>
      </x:c>
    </x:row>
    <x:row r="96">
      <x:c r="A96" t="str">
        <x:v>Tu 2024</x:v>
      </x:c>
      <x:c r="B96" t="str">
        <x:v>TU24_TEAS_vs_SHAM_PAIN6_24</x:v>
      </x:c>
      <x:c r="C96" t="str">
        <x:v>Postoperative TEAS</x:v>
      </x:c>
      <x:c r="D96" t="str">
        <x:v>Sham/no current</x:v>
      </x:c>
      <x:c r="E96" t="str">
        <x:v>Pain</x:v>
      </x:c>
      <x:c r="F96" t="str">
        <x:v>VAS pain intensity</x:v>
      </x:c>
      <x:c r="G96" t="str">
        <x:v>6-24 h</x:v>
      </x:c>
      <x:c r="H96" t="str">
        <x:v>Median/IQR</x:v>
      </x:c>
      <x:c r="I96" t="n">
        <x:v>60</x:v>
      </x:c>
      <x:c r="J96" t="n">
        <x:v>60</x:v>
      </x:c>
      <x:c r="K96" t="n">
        <x:v>57</x:v>
      </x:c>
      <x:c r="L96" t="n">
        <x:v>58</x:v>
      </x:c>
      <x:c r="M96"/>
      <x:c r="N96"/>
      <x:c r="O96" t="n">
        <x:v>2</x:v>
      </x:c>
      <x:c r="P96" t="n">
        <x:v>0.5</x:v>
      </x:c>
      <x:c r="Q96" t="n">
        <x:v>3</x:v>
      </x:c>
      <x:c r="R96"/>
      <x:c r="S96"/>
      <x:c r="T96"/>
      <x:c r="U96" t="n">
        <x:v>4</x:v>
      </x:c>
      <x:c r="V96" t="n">
        <x:v>3</x:v>
      </x:c>
      <x:c r="W96" t="n">
        <x:v>4</x:v>
      </x:c>
      <x:c r="X96"/>
      <x:c r="Y96" t="str">
        <x:v>VAS 0-10</x:v>
      </x:c>
      <x:c r="Z96" t="str">
        <x:v>0.001</x:v>
      </x:c>
      <x:c r="AA96" t="str">
        <x:v>Yes</x:v>
      </x:c>
      <x:c r="AB96" t="str">
        <x:v>No</x:v>
      </x:c>
      <x:c r="AC96" t="str">
        <x:f>IF(H96="Mean/SD","MD",IF(H96="Events/total","RR",""))</x:f>
      </x:c>
      <x:c r="AD96" t="str">
        <x:f>IF(H96="Mean/SD",M96-S96,IF(H96="Events/total",IFERROR((R96/K96)/(X96/L96),""),""))</x:f>
      </x:c>
      <x:c r="AE96" t="str">
        <x:v>No</x:v>
      </x:c>
      <x:c r="AF96" t="str">
        <x:v>No</x:v>
      </x:c>
      <x:c r="AG96" t="str">
        <x:v>Eligible for pain analysis using median/IQR methods</x:v>
      </x:c>
      <x:c r="AH96" t="str">
        <x:v>No</x:v>
      </x:c>
      <x:c r="AI96" t="str">
        <x:v>Subjective outcome; sensory difference between active de qi and no-current sham may affect participant masking</x:v>
      </x:c>
      <x:c r="AJ96" t="str">
        <x:v>Pain outcome 6-24 h</x:v>
      </x:c>
      <x:c r="AK96" t="str">
        <x:v>https://drive.google.com/file/d/1xQ9SbXVZblphUrb0-T9xpnAXk-_z5nBX/view?usp=drivesdk</x:v>
      </x:c>
      <x:c r="AL96" t="str">
        <x:v>SOURCE-VERIFIED / SUBJECTIVE OUTCOME QC</x:v>
      </x:c>
    </x:row>
    <x:row r="97">
      <x:c r="A97" t="str">
        <x:v>Tu 2024</x:v>
      </x:c>
      <x:c r="B97" t="str">
        <x:v>TU24_TEAS_vs_SHAM_TRAMADOL</x:v>
      </x:c>
      <x:c r="C97" t="str">
        <x:v>Postoperative TEAS</x:v>
      </x:c>
      <x:c r="D97" t="str">
        <x:v>Sham/no current</x:v>
      </x:c>
      <x:c r="E97" t="str">
        <x:v>Rescue opioid use</x:v>
      </x:c>
      <x:c r="F97" t="str">
        <x:v>Any rescue tramadol use</x:v>
      </x:c>
      <x:c r="G97" t="str">
        <x:v>Within 24 h</x:v>
      </x:c>
      <x:c r="H97" t="str">
        <x:v>Events/total</x:v>
      </x:c>
      <x:c r="I97" t="n">
        <x:v>60</x:v>
      </x:c>
      <x:c r="J97" t="n">
        <x:v>60</x:v>
      </x:c>
      <x:c r="K97" t="n">
        <x:v>57</x:v>
      </x:c>
      <x:c r="L97" t="n">
        <x:v>58</x:v>
      </x:c>
      <x:c r="M97"/>
      <x:c r="N97"/>
      <x:c r="O97"/>
      <x:c r="P97"/>
      <x:c r="Q97"/>
      <x:c r="R97" t="n">
        <x:v>3</x:v>
      </x:c>
      <x:c r="S97"/>
      <x:c r="T97"/>
      <x:c r="U97"/>
      <x:c r="V97"/>
      <x:c r="W97"/>
      <x:c r="X97" t="n">
        <x:v>6</x:v>
      </x:c>
      <x:c r="Y97" t="str">
        <x:v>participants</x:v>
      </x:c>
      <x:c r="Z97" t="str">
        <x:v>0.315</x:v>
      </x:c>
      <x:c r="AA97" t="str">
        <x:v>Yes</x:v>
      </x:c>
      <x:c r="AB97" t="str">
        <x:v>No</x:v>
      </x:c>
      <x:c r="AC97" t="str">
        <x:f>IF(H97="Mean/SD","MD",IF(H97="Events/total","RR",""))</x:f>
        <x:v>RR</x:v>
      </x:c>
      <x:c r="AD97" t="n">
        <x:f>IF(H97="Mean/SD",M97-S97,IF(H97="Events/total",IFERROR((R97/K97)/(X97/L97),""),""))</x:f>
        <x:v>0.5087719298245614</x:v>
      </x:c>
      <x:c r="AE97" t="str">
        <x:v>No</x:v>
      </x:c>
      <x:c r="AF97" t="str">
        <x:v>No</x:v>
      </x:c>
      <x:c r="AG97" t="str">
        <x:v>Eligible only for binary rescue-opioid-use analysis</x:v>
      </x:c>
      <x:c r="AH97" t="str">
        <x:v>No</x:v>
      </x:c>
      <x:c r="AI97" t="str">
        <x:v>Tramadol was 10 mg IM for VAS &gt;6; number of doses/cumulative tramadol per patient is not reported</x:v>
      </x:c>
      <x:c r="AJ97" t="str">
        <x:v>Rescue analgesia outcome</x:v>
      </x:c>
      <x:c r="AK97" t="str">
        <x:v>https://drive.google.com/file/d/1xQ9SbXVZblphUrb0-T9xpnAXk-_z5nBX/view?usp=drivesdk</x:v>
      </x:c>
      <x:c r="AL97" t="str">
        <x:v>SOURCE-VERIFIED / DOSE MISSING</x:v>
      </x:c>
    </x:row>
    <x:row r="98">
      <x:c r="A98" t="str">
        <x:v>Tu 2024</x:v>
      </x:c>
      <x:c r="B98" t="str">
        <x:v>TU24_TEAS_vs_SHAM_OPIOID24</x:v>
      </x:c>
      <x:c r="C98" t="str">
        <x:v>Postoperative TEAS</x:v>
      </x:c>
      <x:c r="D98" t="str">
        <x:v>Sham/no current</x:v>
      </x:c>
      <x:c r="E98" t="str">
        <x:v>Opioid consumption</x:v>
      </x:c>
      <x:c r="F98" t="str">
        <x:v>Cumulative rescue tramadol consumption</x:v>
      </x:c>
      <x:c r="G98" t="str">
        <x:v>0-24 h</x:v>
      </x:c>
      <x:c r="H98" t="str">
        <x:v>Not reported</x:v>
      </x:c>
      <x:c r="I98" t="n">
        <x:v>60</x:v>
      </x:c>
      <x:c r="J98" t="n">
        <x:v>60</x:v>
      </x:c>
      <x:c r="K98" t="n">
        <x:v>57</x:v>
      </x:c>
      <x:c r="L98" t="n">
        <x:v>58</x:v>
      </x:c>
      <x:c r="M98"/>
      <x:c r="N98"/>
      <x:c r="O98"/>
      <x:c r="P98"/>
      <x:c r="Q98"/>
      <x:c r="R98"/>
      <x:c r="S98"/>
      <x:c r="T98"/>
      <x:c r="U98"/>
      <x:c r="V98"/>
      <x:c r="W98"/>
      <x:c r="X98"/>
      <x:c r="Y98" t="str">
        <x:v>mg tramadol</x:v>
      </x:c>
      <x:c r="Z98" t="str"/>
      <x:c r="AA98" t="str">
        <x:v>No</x:v>
      </x:c>
      <x:c r="AB98" t="str">
        <x:v>No</x:v>
      </x:c>
      <x:c r="AC98" t="str">
        <x:f>IF(H98="Mean/SD","MD",IF(H98="Events/total","RR",""))</x:f>
      </x:c>
      <x:c r="AD98" t="str">
        <x:f>IF(H98="Mean/SD",M98-S98,IF(H98="Events/total",IFERROR((R98/K98)/(X98/L98),""),""))</x:f>
      </x:c>
      <x:c r="AE98" t="str">
        <x:v>No</x:v>
      </x:c>
      <x:c r="AF98" t="str">
        <x:v>No</x:v>
      </x:c>
      <x:c r="AG98" t="str">
        <x:v>Not eligible for continuous 24-h opioid meta-analysis</x:v>
      </x:c>
      <x:c r="AH98" t="str">
        <x:v>No</x:v>
      </x:c>
      <x:c r="AI98" t="str">
        <x:v>Only number of patients receiving rescue tramadol is reported; cumulative dose is unavailable</x:v>
      </x:c>
      <x:c r="AJ98" t="str">
        <x:v>Rescue analgesia section</x:v>
      </x:c>
      <x:c r="AK98" t="str">
        <x:v>https://drive.google.com/file/d/1xQ9SbXVZblphUrb0-T9xpnAXk-_z5nBX/view?usp=drivesdk</x:v>
      </x:c>
      <x:c r="AL98" t="str">
        <x:v>MISSING / CUMULATIVE DOSE NOT REPORTED</x:v>
      </x:c>
    </x:row>
    <x:row r="99">
      <x:c r="A99" t="str">
        <x:v>Sun 2017</x:v>
      </x:c>
      <x:c r="B99" t="str">
        <x:v>SUN17_TSS_vs_SSS_ACTIVITY24</x:v>
      </x:c>
      <x:c r="C99" t="str">
        <x:v>Preoperative true TEAS only</x:v>
      </x:c>
      <x:c r="D99" t="str">
        <x:v>All-period sham TEAS (SSS)</x:v>
      </x:c>
      <x:c r="E99" t="str">
        <x:v>Pain</x:v>
      </x:c>
      <x:c r="F99" t="str">
        <x:v>Activity-evoked VAS</x:v>
      </x:c>
      <x:c r="G99" t="str">
        <x:v>24 h</x:v>
      </x:c>
      <x:c r="H99" t="str">
        <x:v>Median/IQR</x:v>
      </x:c>
      <x:c r="I99" t="n">
        <x:v>95</x:v>
      </x:c>
      <x:c r="J99" t="n">
        <x:v>95</x:v>
      </x:c>
      <x:c r="K99" t="n">
        <x:v>91</x:v>
      </x:c>
      <x:c r="L99" t="n">
        <x:v>90</x:v>
      </x:c>
      <x:c r="M99"/>
      <x:c r="N99"/>
      <x:c r="O99" t="n">
        <x:v>4</x:v>
      </x:c>
      <x:c r="P99" t="n">
        <x:v>4</x:v>
      </x:c>
      <x:c r="Q99" t="n">
        <x:v>5</x:v>
      </x:c>
      <x:c r="R99"/>
      <x:c r="S99"/>
      <x:c r="T99"/>
      <x:c r="U99" t="n">
        <x:v>4</x:v>
      </x:c>
      <x:c r="V99" t="n">
        <x:v>3.8</x:v>
      </x:c>
      <x:c r="W99" t="n">
        <x:v>5</x:v>
      </x:c>
      <x:c r="X99"/>
      <x:c r="Y99" t="str">
        <x:v>VAS 0-10</x:v>
      </x:c>
      <x:c r="Z99" t="str">
        <x:v>&lt;0.001 reported comparisons</x:v>
      </x:c>
      <x:c r="AA99" t="str">
        <x:v>Yes</x:v>
      </x:c>
      <x:c r="AB99" t="str">
        <x:v>No</x:v>
      </x:c>
      <x:c r="AC99" t="str">
        <x:f>IF(H99="Mean/SD","MD",IF(H99="Events/total","RR",""))</x:f>
      </x:c>
      <x:c r="AD99" t="str">
        <x:f>IF(H99="Mean/SD",M99-S99,IF(H99="Events/total",IFERROR((R99/K99)/(X99/L99),""),""))</x:f>
      </x:c>
      <x:c r="AE99" t="str">
        <x:v>No</x:v>
      </x:c>
      <x:c r="AF99" t="str">
        <x:v>No</x:v>
      </x:c>
      <x:c r="AG99" t="str">
        <x:v>Eligible for 24-h movement-pain analysis with multi-arm/shared-control adjustment</x:v>
      </x:c>
      <x:c r="AH99" t="str">
        <x:v>Yes</x:v>
      </x:c>
      <x:c r="AI99" t="str">
        <x:v>Four-arm timing trial; sham received 5 min perceptible low-current stimulation, not electrically inert</x:v>
      </x:c>
      <x:c r="AJ99" t="str">
        <x:v>Primary activity-pain outcome, 24 h</x:v>
      </x:c>
      <x:c r="AK99" t="str">
        <x:v>https://drive.google.com/file/d/1lELlw0IpkhqoB8OuintAI22fxKfNEcEd/view?usp=drivesdk</x:v>
      </x:c>
      <x:c r="AL99" t="str">
        <x:v>SOURCE-VERIFIED</x:v>
      </x:c>
    </x:row>
    <x:row r="100">
      <x:c r="A100" t="str">
        <x:v>Sun 2017</x:v>
      </x:c>
      <x:c r="B100" t="str">
        <x:v>SUN17_TTS_vs_SSS_ACTIVITY24</x:v>
      </x:c>
      <x:c r="C100" t="str">
        <x:v>Preoperative + intraoperative true TEAS</x:v>
      </x:c>
      <x:c r="D100" t="str">
        <x:v>All-period sham TEAS (SSS)</x:v>
      </x:c>
      <x:c r="E100" t="str">
        <x:v>Pain</x:v>
      </x:c>
      <x:c r="F100" t="str">
        <x:v>Activity-evoked VAS</x:v>
      </x:c>
      <x:c r="G100" t="str">
        <x:v>24 h</x:v>
      </x:c>
      <x:c r="H100" t="str">
        <x:v>Median/IQR</x:v>
      </x:c>
      <x:c r="I100" t="n">
        <x:v>95</x:v>
      </x:c>
      <x:c r="J100" t="n">
        <x:v>95</x:v>
      </x:c>
      <x:c r="K100" t="n">
        <x:v>91</x:v>
      </x:c>
      <x:c r="L100" t="n">
        <x:v>90</x:v>
      </x:c>
      <x:c r="M100"/>
      <x:c r="N100"/>
      <x:c r="O100" t="n">
        <x:v>4</x:v>
      </x:c>
      <x:c r="P100" t="n">
        <x:v>3</x:v>
      </x:c>
      <x:c r="Q100" t="n">
        <x:v>4</x:v>
      </x:c>
      <x:c r="R100"/>
      <x:c r="S100"/>
      <x:c r="T100"/>
      <x:c r="U100" t="n">
        <x:v>4</x:v>
      </x:c>
      <x:c r="V100" t="n">
        <x:v>3.8</x:v>
      </x:c>
      <x:c r="W100" t="n">
        <x:v>5</x:v>
      </x:c>
      <x:c r="X100"/>
      <x:c r="Y100" t="str">
        <x:v>VAS 0-10</x:v>
      </x:c>
      <x:c r="Z100" t="str">
        <x:v>&lt;0.001 reported comparisons</x:v>
      </x:c>
      <x:c r="AA100" t="str">
        <x:v>Yes</x:v>
      </x:c>
      <x:c r="AB100" t="str">
        <x:v>No</x:v>
      </x:c>
      <x:c r="AC100" t="str">
        <x:f>IF(H100="Mean/SD","MD",IF(H100="Events/total","RR",""))</x:f>
      </x:c>
      <x:c r="AD100" t="str">
        <x:f>IF(H100="Mean/SD",M100-S100,IF(H100="Events/total",IFERROR((R100/K100)/(X100/L100),""),""))</x:f>
      </x:c>
      <x:c r="AE100" t="str">
        <x:v>No</x:v>
      </x:c>
      <x:c r="AF100" t="str">
        <x:v>No</x:v>
      </x:c>
      <x:c r="AG100" t="str">
        <x:v>Eligible for 24-h movement-pain analysis with multi-arm/shared-control adjustment</x:v>
      </x:c>
      <x:c r="AH100" t="str">
        <x:v>Yes</x:v>
      </x:c>
      <x:c r="AI100" t="str">
        <x:v>Four-arm timing trial; sham received 5 min perceptible low-current stimulation, not electrically inert</x:v>
      </x:c>
      <x:c r="AJ100" t="str">
        <x:v>Primary activity-pain outcome, 24 h</x:v>
      </x:c>
      <x:c r="AK100" t="str">
        <x:v>https://drive.google.com/file/d/1lELlw0IpkhqoB8OuintAI22fxKfNEcEd/view?usp=drivesdk</x:v>
      </x:c>
      <x:c r="AL100" t="str">
        <x:v>SOURCE-VERIFIED</x:v>
      </x:c>
    </x:row>
    <x:row r="101">
      <x:c r="A101" t="str">
        <x:v>Sun 2017</x:v>
      </x:c>
      <x:c r="B101" t="str">
        <x:v>SUN17_TST_vs_SSS_ACTIVITY24</x:v>
      </x:c>
      <x:c r="C101" t="str">
        <x:v>Preoperative + postoperative true TEAS</x:v>
      </x:c>
      <x:c r="D101" t="str">
        <x:v>All-period sham TEAS (SSS)</x:v>
      </x:c>
      <x:c r="E101" t="str">
        <x:v>Pain</x:v>
      </x:c>
      <x:c r="F101" t="str">
        <x:v>Activity-evoked VAS</x:v>
      </x:c>
      <x:c r="G101" t="str">
        <x:v>24 h</x:v>
      </x:c>
      <x:c r="H101" t="str">
        <x:v>Median/IQR</x:v>
      </x:c>
      <x:c r="I101" t="n">
        <x:v>95</x:v>
      </x:c>
      <x:c r="J101" t="n">
        <x:v>95</x:v>
      </x:c>
      <x:c r="K101" t="n">
        <x:v>89</x:v>
      </x:c>
      <x:c r="L101" t="n">
        <x:v>90</x:v>
      </x:c>
      <x:c r="M101"/>
      <x:c r="N101"/>
      <x:c r="O101" t="n">
        <x:v>3</x:v>
      </x:c>
      <x:c r="P101" t="n">
        <x:v>3</x:v>
      </x:c>
      <x:c r="Q101" t="n">
        <x:v>4</x:v>
      </x:c>
      <x:c r="R101"/>
      <x:c r="S101"/>
      <x:c r="T101"/>
      <x:c r="U101" t="n">
        <x:v>4</x:v>
      </x:c>
      <x:c r="V101" t="n">
        <x:v>3.8</x:v>
      </x:c>
      <x:c r="W101" t="n">
        <x:v>5</x:v>
      </x:c>
      <x:c r="X101"/>
      <x:c r="Y101" t="str">
        <x:v>VAS 0-10</x:v>
      </x:c>
      <x:c r="Z101" t="str">
        <x:v>&lt;0.001 reported comparisons</x:v>
      </x:c>
      <x:c r="AA101" t="str">
        <x:v>Yes</x:v>
      </x:c>
      <x:c r="AB101" t="str">
        <x:v>No</x:v>
      </x:c>
      <x:c r="AC101" t="str">
        <x:f>IF(H101="Mean/SD","MD",IF(H101="Events/total","RR",""))</x:f>
      </x:c>
      <x:c r="AD101" t="str">
        <x:f>IF(H101="Mean/SD",M101-S101,IF(H101="Events/total",IFERROR((R101/K101)/(X101/L101),""),""))</x:f>
      </x:c>
      <x:c r="AE101" t="str">
        <x:v>No</x:v>
      </x:c>
      <x:c r="AF101" t="str">
        <x:v>No</x:v>
      </x:c>
      <x:c r="AG101" t="str">
        <x:v>Eligible for 24-h movement-pain analysis with multi-arm/shared-control adjustment</x:v>
      </x:c>
      <x:c r="AH101" t="str">
        <x:v>Yes</x:v>
      </x:c>
      <x:c r="AI101" t="str">
        <x:v>Four-arm timing trial; sham received 5 min perceptible low-current stimulation, not electrically inert</x:v>
      </x:c>
      <x:c r="AJ101" t="str">
        <x:v>Primary activity-pain outcome, 24 h</x:v>
      </x:c>
      <x:c r="AK101" t="str">
        <x:v>https://drive.google.com/file/d/1lELlw0IpkhqoB8OuintAI22fxKfNEcEd/view?usp=drivesdk</x:v>
      </x:c>
      <x:c r="AL101" t="str">
        <x:v>SOURCE-VERIFIED</x:v>
      </x:c>
    </x:row>
    <x:row r="102">
      <x:c r="A102" t="str">
        <x:v>Sun 2017</x:v>
      </x:c>
      <x:c r="B102" t="str">
        <x:v>SUN17_TSS_vs_SSS_NSAID48</x:v>
      </x:c>
      <x:c r="C102" t="str">
        <x:v>Preoperative true TEAS only</x:v>
      </x:c>
      <x:c r="D102" t="str">
        <x:v>All-period sham TEAS (SSS)</x:v>
      </x:c>
      <x:c r="E102" t="str">
        <x:v>Rescue analgesia</x:v>
      </x:c>
      <x:c r="F102" t="str">
        <x:v>Supplemental flurbiprofen axetil requirement</x:v>
      </x:c>
      <x:c r="G102" t="str">
        <x:v>Within 48 h</x:v>
      </x:c>
      <x:c r="H102" t="str">
        <x:v>Published percentage</x:v>
      </x:c>
      <x:c r="I102" t="n">
        <x:v>95</x:v>
      </x:c>
      <x:c r="J102" t="n">
        <x:v>95</x:v>
      </x:c>
      <x:c r="K102" t="n">
        <x:v>91</x:v>
      </x:c>
      <x:c r="L102" t="n">
        <x:v>90</x:v>
      </x:c>
      <x:c r="M102"/>
      <x:c r="N102"/>
      <x:c r="O102"/>
      <x:c r="P102"/>
      <x:c r="Q102"/>
      <x:c r="R102"/>
      <x:c r="S102"/>
      <x:c r="T102"/>
      <x:c r="U102"/>
      <x:c r="V102"/>
      <x:c r="W102"/>
      <x:c r="X102"/>
      <x:c r="Y102" t="str">
        <x:v>11.0% intervention vs 23.3% SSS</x:v>
      </x:c>
      <x:c r="Z102" t="str">
        <x:v>0.020 overall; TST vs SSS significant</x:v>
      </x:c>
      <x:c r="AA102" t="str">
        <x:v>Yes</x:v>
      </x:c>
      <x:c r="AB102" t="str">
        <x:v>No</x:v>
      </x:c>
      <x:c r="AC102" t="str">
        <x:f>IF(H102="Mean/SD","MD",IF(H102="Events/total","RR",""))</x:f>
      </x:c>
      <x:c r="AD102" t="str">
        <x:f>IF(H102="Mean/SD",M102-S102,IF(H102="Events/total",IFERROR((R102/K102)/(X102/L102),""),""))</x:f>
      </x:c>
      <x:c r="AE102" t="str">
        <x:v>No</x:v>
      </x:c>
      <x:c r="AF102" t="str">
        <x:v>No</x:v>
      </x:c>
      <x:c r="AG102" t="str">
        <x:v>Eligible for 48-h non-opioid rescue-analgesia analysis; not an opioid outcome</x:v>
      </x:c>
      <x:c r="AH102" t="str">
        <x:v>Yes</x:v>
      </x:c>
      <x:c r="AI102" t="str">
        <x:v>Do not convert printed percentages to exact event counts without confirmation</x:v>
      </x:c>
      <x:c r="AJ102" t="str">
        <x:v>Table 2 / supplemental analgesic requirement</x:v>
      </x:c>
      <x:c r="AK102" t="str">
        <x:v>https://drive.google.com/file/d/1lELlw0IpkhqoB8OuintAI22fxKfNEcEd/view?usp=drivesdk</x:v>
      </x:c>
      <x:c r="AL102" t="str">
        <x:v>SOURCE-VERIFIED / PERCENTAGES ONLY</x:v>
      </x:c>
    </x:row>
    <x:row r="103">
      <x:c r="A103" t="str">
        <x:v>Sun 2017</x:v>
      </x:c>
      <x:c r="B103" t="str">
        <x:v>SUN17_TTS_vs_SSS_NSAID48</x:v>
      </x:c>
      <x:c r="C103" t="str">
        <x:v>Preoperative + intraoperative true TEAS</x:v>
      </x:c>
      <x:c r="D103" t="str">
        <x:v>All-period sham TEAS (SSS)</x:v>
      </x:c>
      <x:c r="E103" t="str">
        <x:v>Rescue analgesia</x:v>
      </x:c>
      <x:c r="F103" t="str">
        <x:v>Supplemental flurbiprofen axetil requirement</x:v>
      </x:c>
      <x:c r="G103" t="str">
        <x:v>Within 48 h</x:v>
      </x:c>
      <x:c r="H103" t="str">
        <x:v>Published percentage</x:v>
      </x:c>
      <x:c r="I103" t="n">
        <x:v>95</x:v>
      </x:c>
      <x:c r="J103" t="n">
        <x:v>95</x:v>
      </x:c>
      <x:c r="K103" t="n">
        <x:v>91</x:v>
      </x:c>
      <x:c r="L103" t="n">
        <x:v>90</x:v>
      </x:c>
      <x:c r="M103"/>
      <x:c r="N103"/>
      <x:c r="O103"/>
      <x:c r="P103"/>
      <x:c r="Q103"/>
      <x:c r="R103"/>
      <x:c r="S103"/>
      <x:c r="T103"/>
      <x:c r="U103"/>
      <x:c r="V103"/>
      <x:c r="W103"/>
      <x:c r="X103"/>
      <x:c r="Y103" t="str">
        <x:v>15.4% intervention vs 23.3% SSS</x:v>
      </x:c>
      <x:c r="Z103" t="str">
        <x:v>0.020 overall; TST vs SSS significant</x:v>
      </x:c>
      <x:c r="AA103" t="str">
        <x:v>Yes</x:v>
      </x:c>
      <x:c r="AB103" t="str">
        <x:v>No</x:v>
      </x:c>
      <x:c r="AC103" t="str">
        <x:f>IF(H103="Mean/SD","MD",IF(H103="Events/total","RR",""))</x:f>
      </x:c>
      <x:c r="AD103" t="str">
        <x:f>IF(H103="Mean/SD",M103-S103,IF(H103="Events/total",IFERROR((R103/K103)/(X103/L103),""),""))</x:f>
      </x:c>
      <x:c r="AE103" t="str">
        <x:v>No</x:v>
      </x:c>
      <x:c r="AF103" t="str">
        <x:v>No</x:v>
      </x:c>
      <x:c r="AG103" t="str">
        <x:v>Eligible for 48-h non-opioid rescue-analgesia analysis; not an opioid outcome</x:v>
      </x:c>
      <x:c r="AH103" t="str">
        <x:v>Yes</x:v>
      </x:c>
      <x:c r="AI103" t="str">
        <x:v>Do not convert printed percentages to exact event counts without confirmation</x:v>
      </x:c>
      <x:c r="AJ103" t="str">
        <x:v>Table 2 / supplemental analgesic requirement</x:v>
      </x:c>
      <x:c r="AK103" t="str">
        <x:v>https://drive.google.com/file/d/1lELlw0IpkhqoB8OuintAI22fxKfNEcEd/view?usp=drivesdk</x:v>
      </x:c>
      <x:c r="AL103" t="str">
        <x:v>SOURCE-VERIFIED / PERCENTAGES ONLY</x:v>
      </x:c>
    </x:row>
    <x:row r="104">
      <x:c r="A104" t="str">
        <x:v>Sun 2017</x:v>
      </x:c>
      <x:c r="B104" t="str">
        <x:v>SUN17_TST_vs_SSS_NSAID48</x:v>
      </x:c>
      <x:c r="C104" t="str">
        <x:v>Preoperative + postoperative true TEAS</x:v>
      </x:c>
      <x:c r="D104" t="str">
        <x:v>All-period sham TEAS (SSS)</x:v>
      </x:c>
      <x:c r="E104" t="str">
        <x:v>Rescue analgesia</x:v>
      </x:c>
      <x:c r="F104" t="str">
        <x:v>Supplemental flurbiprofen axetil requirement</x:v>
      </x:c>
      <x:c r="G104" t="str">
        <x:v>Within 48 h</x:v>
      </x:c>
      <x:c r="H104" t="str">
        <x:v>Published percentage</x:v>
      </x:c>
      <x:c r="I104" t="n">
        <x:v>95</x:v>
      </x:c>
      <x:c r="J104" t="n">
        <x:v>95</x:v>
      </x:c>
      <x:c r="K104" t="n">
        <x:v>89</x:v>
      </x:c>
      <x:c r="L104" t="n">
        <x:v>90</x:v>
      </x:c>
      <x:c r="M104"/>
      <x:c r="N104"/>
      <x:c r="O104"/>
      <x:c r="P104"/>
      <x:c r="Q104"/>
      <x:c r="R104"/>
      <x:c r="S104"/>
      <x:c r="T104"/>
      <x:c r="U104"/>
      <x:c r="V104"/>
      <x:c r="W104"/>
      <x:c r="X104"/>
      <x:c r="Y104" t="str">
        <x:v>7.9% intervention vs 23.3% SSS</x:v>
      </x:c>
      <x:c r="Z104" t="str">
        <x:v>0.020 overall; TST vs SSS significant</x:v>
      </x:c>
      <x:c r="AA104" t="str">
        <x:v>Yes</x:v>
      </x:c>
      <x:c r="AB104" t="str">
        <x:v>No</x:v>
      </x:c>
      <x:c r="AC104" t="str">
        <x:f>IF(H104="Mean/SD","MD",IF(H104="Events/total","RR",""))</x:f>
      </x:c>
      <x:c r="AD104" t="str">
        <x:f>IF(H104="Mean/SD",M104-S104,IF(H104="Events/total",IFERROR((R104/K104)/(X104/L104),""),""))</x:f>
      </x:c>
      <x:c r="AE104" t="str">
        <x:v>No</x:v>
      </x:c>
      <x:c r="AF104" t="str">
        <x:v>No</x:v>
      </x:c>
      <x:c r="AG104" t="str">
        <x:v>Eligible for 48-h non-opioid rescue-analgesia analysis; not an opioid outcome</x:v>
      </x:c>
      <x:c r="AH104" t="str">
        <x:v>Yes</x:v>
      </x:c>
      <x:c r="AI104" t="str">
        <x:v>Do not convert printed percentages to exact event counts without confirmation</x:v>
      </x:c>
      <x:c r="AJ104" t="str">
        <x:v>Table 2 / supplemental analgesic requirement</x:v>
      </x:c>
      <x:c r="AK104" t="str">
        <x:v>https://drive.google.com/file/d/1lELlw0IpkhqoB8OuintAI22fxKfNEcEd/view?usp=drivesdk</x:v>
      </x:c>
      <x:c r="AL104" t="str">
        <x:v>SOURCE-VERIFIED / PERCENTAGES ONLY</x:v>
      </x:c>
    </x:row>
    <x:row r="105">
      <x:c r="A105" t="str">
        <x:v>Sun 2017</x:v>
      </x:c>
      <x:c r="B105" t="str">
        <x:v>SUN17_INTRAOP_MORPH_EQUIV</x:v>
      </x:c>
      <x:c r="C105" t="str">
        <x:v>Pre/intraoperative TEAS timing arms</x:v>
      </x:c>
      <x:c r="D105" t="str">
        <x:v>All-period sham TEAS</x:v>
      </x:c>
      <x:c r="E105" t="str">
        <x:v>Intraoperative opioid</x:v>
      </x:c>
      <x:c r="F105" t="str">
        <x:v>Author-defined intraoperative morphine-equivalent exposure</x:v>
      </x:c>
      <x:c r="G105" t="str">
        <x:v>Intraoperative</x:v>
      </x:c>
      <x:c r="H105" t="str">
        <x:v>Study-defined converted metric</x:v>
      </x:c>
      <x:c r="I105" t="n">
        <x:v>95</x:v>
      </x:c>
      <x:c r="J105" t="n">
        <x:v>95</x:v>
      </x:c>
      <x:c r="K105" t="n">
        <x:v>91</x:v>
      </x:c>
      <x:c r="L105" t="n">
        <x:v>90</x:v>
      </x:c>
      <x:c r="M105"/>
      <x:c r="N105"/>
      <x:c r="O105"/>
      <x:c r="P105"/>
      <x:c r="Q105"/>
      <x:c r="R105"/>
      <x:c r="S105"/>
      <x:c r="T105"/>
      <x:c r="U105"/>
      <x:c r="V105"/>
      <x:c r="W105"/>
      <x:c r="X105"/>
      <x:c r="Y105" t="str">
        <x:v>mg/kg morphine-equivalent</x:v>
      </x:c>
      <x:c r="Z105" t="str">
        <x:v>0.303</x:v>
      </x:c>
      <x:c r="AA105" t="str">
        <x:v>Yes</x:v>
      </x:c>
      <x:c r="AB105" t="str">
        <x:v>Yes</x:v>
      </x:c>
      <x:c r="AC105" t="str">
        <x:f>IF(H105="Mean/SD","MD",IF(H105="Events/total","RR",""))</x:f>
      </x:c>
      <x:c r="AD105" t="str">
        <x:f>IF(H105="Mean/SD",M105-S105,IF(H105="Events/total",IFERROR((R105/K105)/(X105/L105),""),""))</x:f>
      </x:c>
      <x:c r="AE105" t="str">
        <x:v>No</x:v>
      </x:c>
      <x:c r="AF105" t="str">
        <x:v>No</x:v>
      </x:c>
      <x:c r="AG105" t="str">
        <x:v>Not directly harmonized to review MME until conversion method is adjudicated</x:v>
      </x:c>
      <x:c r="AH105" t="str">
        <x:v>Yes</x:v>
      </x:c>
      <x:c r="AI105" t="str">
        <x:v>Values ~1.5-1.6 mg/kg across all four groups; study-specific conversion of sufentanil/remifentanil</x:v>
      </x:c>
      <x:c r="AJ105" t="str">
        <x:v>Table 2 / intraoperative anesthetic consumption</x:v>
      </x:c>
      <x:c r="AK105" t="str">
        <x:v>https://drive.google.com/file/d/1lELlw0IpkhqoB8OuintAI22fxKfNEcEd/view?usp=drivesdk</x:v>
      </x:c>
      <x:c r="AL105" t="str">
        <x:v>SOURCE-VERIFIED / STUDY-DEFINED CONVERSION</x:v>
      </x:c>
    </x:row>
    <x:row r="106">
      <x:c r="A106" t="str">
        <x:v>Sun 2017</x:v>
      </x:c>
      <x:c r="B106" t="str">
        <x:v>SUN17_POSTOP_OPIOID24</x:v>
      </x:c>
      <x:c r="C106" t="str">
        <x:v>True TEAS timing arms</x:v>
      </x:c>
      <x:c r="D106" t="str">
        <x:v>All-period sham TEAS</x:v>
      </x:c>
      <x:c r="E106" t="str">
        <x:v>Opioid consumption</x:v>
      </x:c>
      <x:c r="F106" t="str">
        <x:v>Postoperative opioid consumption</x:v>
      </x:c>
      <x:c r="G106" t="str">
        <x:v>0-24 h</x:v>
      </x:c>
      <x:c r="H106" t="str">
        <x:v>Not applicable / not reported</x:v>
      </x:c>
      <x:c r="I106" t="n">
        <x:v>95</x:v>
      </x:c>
      <x:c r="J106" t="n">
        <x:v>95</x:v>
      </x:c>
      <x:c r="K106"/>
      <x:c r="L106"/>
      <x:c r="M106"/>
      <x:c r="N106"/>
      <x:c r="O106"/>
      <x:c r="P106"/>
      <x:c r="Q106"/>
      <x:c r="R106"/>
      <x:c r="S106"/>
      <x:c r="T106"/>
      <x:c r="U106"/>
      <x:c r="V106"/>
      <x:c r="W106"/>
      <x:c r="X106"/>
      <x:c r="Y106" t="str">
        <x:v>mg/µg</x:v>
      </x:c>
      <x:c r="Z106" t="str"/>
      <x:c r="AA106" t="str">
        <x:v>No</x:v>
      </x:c>
      <x:c r="AB106" t="str">
        <x:v>No</x:v>
      </x:c>
      <x:c r="AC106" t="str">
        <x:f>IF(H106="Mean/SD","MD",IF(H106="Events/total","RR",""))</x:f>
      </x:c>
      <x:c r="AD106" t="str">
        <x:f>IF(H106="Mean/SD",M106-S106,IF(H106="Events/total",IFERROR((R106/K106)/(X106/L106),""),""))</x:f>
      </x:c>
      <x:c r="AE106" t="str">
        <x:v>No</x:v>
      </x:c>
      <x:c r="AF106" t="str">
        <x:v>No</x:v>
      </x:c>
      <x:c r="AG106" t="str">
        <x:v>Not eligible for postoperative opioid meta-analysis</x:v>
      </x:c>
      <x:c r="AH106" t="str">
        <x:v>Yes</x:v>
      </x:c>
      <x:c r="AI106" t="str">
        <x:v>Postoperative rescue analgesia was flurbiprofen axetil (NSAID), not an opioid</x:v>
      </x:c>
      <x:c r="AJ106" t="str">
        <x:v>Postoperative analgesia protocol</x:v>
      </x:c>
      <x:c r="AK106" t="str">
        <x:v>https://drive.google.com/file/d/1lELlw0IpkhqoB8OuintAI22fxKfNEcEd/view?usp=drivesdk</x:v>
      </x:c>
      <x:c r="AL106" t="str">
        <x:v>NO POSTOPERATIVE OPIOID OUTCOME</x:v>
      </x:c>
    </x:row>
    <x:row r="107">
      <x:c r="A107" t="str">
        <x:v>Sim 2002</x:v>
      </x:c>
      <x:c r="B107" t="str">
        <x:v>SIM02_PREOP_vs_PLACEBO_MORPH24</x:v>
      </x:c>
      <x:c r="C107" t="str">
        <x:v>Preoperative EA</x:v>
      </x:c>
      <x:c r="D107" t="str">
        <x:v>Placebo EA</x:v>
      </x:c>
      <x:c r="E107" t="str">
        <x:v>Opioid consumption</x:v>
      </x:c>
      <x:c r="F107" t="str">
        <x:v>Cumulative postoperative IV PCA morphine</x:v>
      </x:c>
      <x:c r="G107" t="str">
        <x:v>0-24 h</x:v>
      </x:c>
      <x:c r="H107" t="str">
        <x:v>Mean/SD</x:v>
      </x:c>
      <x:c r="I107" t="n">
        <x:v>30</x:v>
      </x:c>
      <x:c r="J107" t="n">
        <x:v>30</x:v>
      </x:c>
      <x:c r="K107" t="n">
        <x:v>30</x:v>
      </x:c>
      <x:c r="L107" t="n">
        <x:v>30</x:v>
      </x:c>
      <x:c r="M107" t="n">
        <x:v>0.52</x:v>
      </x:c>
      <x:c r="N107" t="n">
        <x:v>0.19</x:v>
      </x:c>
      <x:c r="O107"/>
      <x:c r="P107"/>
      <x:c r="Q107"/>
      <x:c r="R107"/>
      <x:c r="S107" t="n">
        <x:v>0.68</x:v>
      </x:c>
      <x:c r="T107" t="n">
        <x:v>0.38</x:v>
      </x:c>
      <x:c r="U107"/>
      <x:c r="V107"/>
      <x:c r="W107"/>
      <x:c r="X107"/>
      <x:c r="Y107" t="str">
        <x:v>mg/kg morphine</x:v>
      </x:c>
      <x:c r="Z107" t="str">
        <x:v>NS overall 24-h cumulative comparison</x:v>
      </x:c>
      <x:c r="AA107" t="str">
        <x:v>Yes</x:v>
      </x:c>
      <x:c r="AB107" t="str">
        <x:v>No</x:v>
      </x:c>
      <x:c r="AC107" t="str">
        <x:f>IF(H107="Mean/SD","MD",IF(H107="Events/total","RR",""))</x:f>
        <x:v>MD</x:v>
      </x:c>
      <x:c r="AD107" t="n">
        <x:f>IF(H107="Mean/SD",M107-S107,IF(H107="Events/total",IFERROR((R107/K107)/(X107/L107),""),""))</x:f>
        <x:v>-0.16000000000000003</x:v>
      </x:c>
      <x:c r="AE107" t="str">
        <x:v>Yes</x:v>
      </x:c>
      <x:c r="AF107" t="str">
        <x:v>Conditional</x:v>
      </x:c>
      <x:c r="AG107" t="str">
        <x:v>Direct weight-normalized 24-h morphine endpoint; pool only if protocol permits mg/kg or a prespecified standardization method</x:v>
      </x:c>
      <x:c r="AH107" t="str">
        <x:v>Yes</x:v>
      </x:c>
      <x:c r="AI107" t="str">
        <x:v>Do not convert mg/kg to absolute mg using group mean body weight; aggregate means cannot reconstruct individual absolute dose</x:v>
      </x:c>
      <x:c r="AJ107" t="str">
        <x:v>Figure 4 / cumulative 24-h morphine</x:v>
      </x:c>
      <x:c r="AK107" t="str">
        <x:v>https://drive.google.com/file/d/1YsNHL-J3Kgfu8mCanRrNu_bHk_roj0w6/view?usp=drivesdk</x:v>
      </x:c>
      <x:c r="AL107" t="str">
        <x:v>SOURCE-VERIFIED</x:v>
      </x:c>
    </x:row>
    <x:row r="108">
      <x:c r="A108" t="str">
        <x:v>Sim 2002</x:v>
      </x:c>
      <x:c r="B108" t="str">
        <x:v>SIM02_POSTOP_vs_PLACEBO_MORPH24</x:v>
      </x:c>
      <x:c r="C108" t="str">
        <x:v>Postoperative EA</x:v>
      </x:c>
      <x:c r="D108" t="str">
        <x:v>Placebo EA</x:v>
      </x:c>
      <x:c r="E108" t="str">
        <x:v>Opioid consumption</x:v>
      </x:c>
      <x:c r="F108" t="str">
        <x:v>Cumulative postoperative IV PCA morphine</x:v>
      </x:c>
      <x:c r="G108" t="str">
        <x:v>0-24 h</x:v>
      </x:c>
      <x:c r="H108" t="str">
        <x:v>Mean/SD</x:v>
      </x:c>
      <x:c r="I108" t="n">
        <x:v>30</x:v>
      </x:c>
      <x:c r="J108" t="n">
        <x:v>30</x:v>
      </x:c>
      <x:c r="K108" t="n">
        <x:v>30</x:v>
      </x:c>
      <x:c r="L108" t="n">
        <x:v>30</x:v>
      </x:c>
      <x:c r="M108" t="n">
        <x:v>0.58</x:v>
      </x:c>
      <x:c r="N108" t="n">
        <x:v>0.27</x:v>
      </x:c>
      <x:c r="O108"/>
      <x:c r="P108"/>
      <x:c r="Q108"/>
      <x:c r="R108"/>
      <x:c r="S108" t="n">
        <x:v>0.68</x:v>
      </x:c>
      <x:c r="T108" t="n">
        <x:v>0.38</x:v>
      </x:c>
      <x:c r="U108"/>
      <x:c r="V108"/>
      <x:c r="W108"/>
      <x:c r="X108"/>
      <x:c r="Y108" t="str">
        <x:v>mg/kg morphine</x:v>
      </x:c>
      <x:c r="Z108" t="str">
        <x:v>NS overall 24-h cumulative comparison</x:v>
      </x:c>
      <x:c r="AA108" t="str">
        <x:v>Yes</x:v>
      </x:c>
      <x:c r="AB108" t="str">
        <x:v>No</x:v>
      </x:c>
      <x:c r="AC108" t="str">
        <x:f>IF(H108="Mean/SD","MD",IF(H108="Events/total","RR",""))</x:f>
        <x:v>MD</x:v>
      </x:c>
      <x:c r="AD108" t="n">
        <x:f>IF(H108="Mean/SD",M108-S108,IF(H108="Events/total",IFERROR((R108/K108)/(X108/L108),""),""))</x:f>
        <x:v>-0.10000000000000009</x:v>
      </x:c>
      <x:c r="AE108" t="str">
        <x:v>Yes</x:v>
      </x:c>
      <x:c r="AF108" t="str">
        <x:v>Conditional</x:v>
      </x:c>
      <x:c r="AG108" t="str">
        <x:v>Timing-comparator 24-h morphine endpoint</x:v>
      </x:c>
      <x:c r="AH108" t="str">
        <x:v>Yes</x:v>
      </x:c>
      <x:c r="AI108" t="str">
        <x:v>Postoperative EA is a distinct randomized timing arm and must not be merged with preoperative EA</x:v>
      </x:c>
      <x:c r="AJ108" t="str">
        <x:v>Figure 4 / cumulative 24-h morphine</x:v>
      </x:c>
      <x:c r="AK108" t="str">
        <x:v>https://drive.google.com/file/d/1YsNHL-J3Kgfu8mCanRrNu_bHk_roj0w6/view?usp=drivesdk</x:v>
      </x:c>
      <x:c r="AL108" t="str">
        <x:v>SOURCE-VERIFIED</x:v>
      </x:c>
    </x:row>
    <x:row r="109">
      <x:c r="A109" t="str">
        <x:v>Sim 2002</x:v>
      </x:c>
      <x:c r="B109" t="str">
        <x:v>SIM02_PREOP_vs_PLACEBO_MORPH6_12</x:v>
      </x:c>
      <x:c r="C109" t="str">
        <x:v>Preoperative EA</x:v>
      </x:c>
      <x:c r="D109" t="str">
        <x:v>Placebo EA</x:v>
      </x:c>
      <x:c r="E109" t="str">
        <x:v>Opioid consumption</x:v>
      </x:c>
      <x:c r="F109" t="str">
        <x:v>Postoperative IV PCA morphine</x:v>
      </x:c>
      <x:c r="G109" t="str">
        <x:v>6-12 h</x:v>
      </x:c>
      <x:c r="H109" t="str">
        <x:v>Median/IQR</x:v>
      </x:c>
      <x:c r="I109" t="n">
        <x:v>30</x:v>
      </x:c>
      <x:c r="J109" t="n">
        <x:v>30</x:v>
      </x:c>
      <x:c r="K109" t="n">
        <x:v>30</x:v>
      </x:c>
      <x:c r="L109" t="n">
        <x:v>30</x:v>
      </x:c>
      <x:c r="M109"/>
      <x:c r="N109"/>
      <x:c r="O109" t="n">
        <x:v>0.03</x:v>
      </x:c>
      <x:c r="P109"/>
      <x:c r="Q109"/>
      <x:c r="R109"/>
      <x:c r="S109"/>
      <x:c r="T109"/>
      <x:c r="U109" t="n">
        <x:v>0.1</x:v>
      </x:c>
      <x:c r="V109"/>
      <x:c r="W109"/>
      <x:c r="X109"/>
      <x:c r="Y109" t="str">
        <x:v>mg/kg morphine</x:v>
      </x:c>
      <x:c r="Z109" t="str">
        <x:v>0.015</x:v>
      </x:c>
      <x:c r="AA109" t="str">
        <x:v>Yes</x:v>
      </x:c>
      <x:c r="AB109" t="str">
        <x:v>No</x:v>
      </x:c>
      <x:c r="AC109" t="str">
        <x:f>IF(H109="Mean/SD","MD",IF(H109="Events/total","RR",""))</x:f>
      </x:c>
      <x:c r="AD109" t="str">
        <x:f>IF(H109="Mean/SD",M109-S109,IF(H109="Events/total",IFERROR((R109/K109)/(X109/L109),""),""))</x:f>
      </x:c>
      <x:c r="AE109" t="str">
        <x:v>No</x:v>
      </x:c>
      <x:c r="AF109" t="str">
        <x:v>No</x:v>
      </x:c>
      <x:c r="AG109" t="str">
        <x:v>Eligible for interval-specific opioid analysis only</x:v>
      </x:c>
      <x:c r="AH109" t="str">
        <x:v>Yes</x:v>
      </x:c>
      <x:c r="AI109" t="str">
        <x:v>Source reports median (IQR) as 0.03 (0.05) vs 0.10 (0.11); IQR is reported as a single width rather than Q1/Q3</x:v>
      </x:c>
      <x:c r="AJ109" t="str">
        <x:v>6-12-h morphine interval</x:v>
      </x:c>
      <x:c r="AK109" t="str">
        <x:v>https://drive.google.com/file/d/1YsNHL-J3Kgfu8mCanRrNu_bHk_roj0w6/view?usp=drivesdk</x:v>
      </x:c>
      <x:c r="AL109" t="str">
        <x:v>SOURCE-VERIFIED / IQR FORMAT QC</x:v>
      </x:c>
    </x:row>
    <x:row r="110">
      <x:c r="A110" t="str">
        <x:v>Sim 2002</x:v>
      </x:c>
      <x:c r="B110" t="str">
        <x:v>SIM02_PREOP_vs_PLACEBO_ALFENT</x:v>
      </x:c>
      <x:c r="C110" t="str">
        <x:v>Preoperative EA</x:v>
      </x:c>
      <x:c r="D110" t="str">
        <x:v>Placebo EA</x:v>
      </x:c>
      <x:c r="E110" t="str">
        <x:v>Intraoperative opioid</x:v>
      </x:c>
      <x:c r="F110" t="str">
        <x:v>Alfentanil requirement rate</x:v>
      </x:c>
      <x:c r="G110" t="str">
        <x:v>Intraoperative</x:v>
      </x:c>
      <x:c r="H110" t="str">
        <x:v>Mean/SD</x:v>
      </x:c>
      <x:c r="I110" t="n">
        <x:v>30</x:v>
      </x:c>
      <x:c r="J110" t="n">
        <x:v>30</x:v>
      </x:c>
      <x:c r="K110" t="n">
        <x:v>30</x:v>
      </x:c>
      <x:c r="L110" t="n">
        <x:v>30</x:v>
      </x:c>
      <x:c r="M110" t="n">
        <x:v>0.44</x:v>
      </x:c>
      <x:c r="N110" t="n">
        <x:v>0.15</x:v>
      </x:c>
      <x:c r="O110"/>
      <x:c r="P110"/>
      <x:c r="Q110"/>
      <x:c r="R110"/>
      <x:c r="S110" t="n">
        <x:v>0.51</x:v>
      </x:c>
      <x:c r="T110" t="n">
        <x:v>0.21</x:v>
      </x:c>
      <x:c r="U110"/>
      <x:c r="V110"/>
      <x:c r="W110"/>
      <x:c r="X110"/>
      <x:c r="Y110" t="str">
        <x:v>µg/kg/min</x:v>
      </x:c>
      <x:c r="Z110" t="str">
        <x:v>0.472</x:v>
      </x:c>
      <x:c r="AA110" t="str">
        <x:v>Yes</x:v>
      </x:c>
      <x:c r="AB110" t="str">
        <x:v>No</x:v>
      </x:c>
      <x:c r="AC110" t="str">
        <x:f>IF(H110="Mean/SD","MD",IF(H110="Events/total","RR",""))</x:f>
        <x:v>MD</x:v>
      </x:c>
      <x:c r="AD110" t="n">
        <x:f>IF(H110="Mean/SD",M110-S110,IF(H110="Events/total",IFERROR((R110/K110)/(X110/L110),""),""))</x:f>
        <x:v>-0.07</x:v>
      </x:c>
      <x:c r="AE110" t="str">
        <x:v>No</x:v>
      </x:c>
      <x:c r="AF110" t="str">
        <x:v>No</x:v>
      </x:c>
      <x:c r="AG110" t="str">
        <x:v>Eligible for intraoperative opioid analysis</x:v>
      </x:c>
      <x:c r="AH110" t="str">
        <x:v>Yes</x:v>
      </x:c>
      <x:c r="AI110" t="str">
        <x:v>No significant placebo-controlled intraoperative opioid-sparing effect</x:v>
      </x:c>
      <x:c r="AJ110" t="str">
        <x:v>Figure 2 / alfentanil requirement</x:v>
      </x:c>
      <x:c r="AK110" t="str">
        <x:v>https://drive.google.com/file/d/1YsNHL-J3Kgfu8mCanRrNu_bHk_roj0w6/view?usp=drivesdk</x:v>
      </x:c>
      <x:c r="AL110" t="str">
        <x:v>SOURCE-VERIFIED</x:v>
      </x:c>
    </x:row>
    <x:row r="111">
      <x:c r="A111" t="str">
        <x:v>Ntritsou 2014</x:v>
      </x:c>
      <x:c r="B111" t="str">
        <x:v>NTRI14_EA_vs_SHAM_TRAMSUM</x:v>
      </x:c>
      <x:c r="C111" t="str">
        <x:v>Perioperative EA + tramadol/ketamine</x:v>
      </x:c>
      <x:c r="D111" t="str">
        <x:v>Sham + tramadol/ketamine</x:v>
      </x:c>
      <x:c r="E111" t="str">
        <x:v>Opioid consumption</x:v>
      </x:c>
      <x:c r="F111" t="str">
        <x:v>Total tramadol exposure</x:v>
      </x:c>
      <x:c r="G111" t="str">
        <x:v>Perioperative / first 24 h most consistent with protocol; table does not restate window</x:v>
      </x:c>
      <x:c r="H111" t="str">
        <x:v>Mean/SD</x:v>
      </x:c>
      <x:c r="I111" t="n">
        <x:v>37</x:v>
      </x:c>
      <x:c r="J111" t="n">
        <x:v>38</x:v>
      </x:c>
      <x:c r="K111" t="n">
        <x:v>35</x:v>
      </x:c>
      <x:c r="L111" t="n">
        <x:v>35</x:v>
      </x:c>
      <x:c r="M111" t="n">
        <x:v>443.7</x:v>
      </x:c>
      <x:c r="N111" t="n">
        <x:v>67.4</x:v>
      </x:c>
      <x:c r="O111"/>
      <x:c r="P111"/>
      <x:c r="Q111"/>
      <x:c r="R111"/>
      <x:c r="S111" t="n">
        <x:v>461.5</x:v>
      </x:c>
      <x:c r="T111" t="n">
        <x:v>63.2</x:v>
      </x:c>
      <x:c r="U111"/>
      <x:c r="V111"/>
      <x:c r="W111"/>
      <x:c r="X111"/>
      <x:c r="Y111" t="str">
        <x:v>mg tramadol</x:v>
      </x:c>
      <x:c r="Z111" t="str">
        <x:v>0.257</x:v>
      </x:c>
      <x:c r="AA111" t="str">
        <x:v>Yes</x:v>
      </x:c>
      <x:c r="AB111" t="str">
        <x:v>No</x:v>
      </x:c>
      <x:c r="AC111" t="str">
        <x:f>IF(H111="Mean/SD","MD",IF(H111="Events/total","RR",""))</x:f>
        <x:v>MD</x:v>
      </x:c>
      <x:c r="AD111" t="n">
        <x:f>IF(H111="Mean/SD",M111-S111,IF(H111="Events/total",IFERROR((R111/K111)/(X111/L111),""),""))</x:f>
        <x:v>-17.80000000000001</x:v>
      </x:c>
      <x:c r="AE111" t="str">
        <x:v>Conditional</x:v>
      </x:c>
      <x:c r="AF111" t="str">
        <x:v>No</x:v>
      </x:c>
      <x:c r="AG111" t="str">
        <x:v>Continuous opioid-related quantity available, but not suitable as complete 24-h MME without confirming window and rescue morphine</x:v>
      </x:c>
      <x:c r="AH111" t="str">
        <x:v>No</x:v>
      </x:c>
      <x:c r="AI111" t="str">
        <x:v>Includes scheduled/background tramadol and likely rescue tramadol; rescue morphine quantity not reported</x:v>
      </x:c>
      <x:c r="AJ111" t="str">
        <x:v>Table 1 / tramadol sum</x:v>
      </x:c>
      <x:c r="AK111" t="str">
        <x:v>https://drive.google.com/file/d/1u_kNuuXF8upB3gJA2aDq8NldYDfhnWy3/view?usp=drivesdk</x:v>
      </x:c>
      <x:c r="AL111" t="str">
        <x:v>SOURCE-VERIFIED / WINDOW + CO-OPIOID QC</x:v>
      </x:c>
    </x:row>
    <x:row r="112">
      <x:c r="A112" t="str">
        <x:v>Ntritsou 2014</x:v>
      </x:c>
      <x:c r="B112" t="str">
        <x:v>NTRI14_EA_vs_SHAM_REMI</x:v>
      </x:c>
      <x:c r="C112" t="str">
        <x:v>Perioperative EA + tramadol/ketamine</x:v>
      </x:c>
      <x:c r="D112" t="str">
        <x:v>Sham + tramadol/ketamine</x:v>
      </x:c>
      <x:c r="E112" t="str">
        <x:v>Intraoperative opioid</x:v>
      </x:c>
      <x:c r="F112" t="str">
        <x:v>Remifentanil consumption</x:v>
      </x:c>
      <x:c r="G112" t="str">
        <x:v>Intraoperative</x:v>
      </x:c>
      <x:c r="H112" t="str">
        <x:v>Mean/SD</x:v>
      </x:c>
      <x:c r="I112" t="n">
        <x:v>37</x:v>
      </x:c>
      <x:c r="J112" t="n">
        <x:v>38</x:v>
      </x:c>
      <x:c r="K112" t="n">
        <x:v>35</x:v>
      </x:c>
      <x:c r="L112" t="n">
        <x:v>35</x:v>
      </x:c>
      <x:c r="M112" t="n">
        <x:v>1003.6</x:v>
      </x:c>
      <x:c r="N112" t="n">
        <x:v>522.7</x:v>
      </x:c>
      <x:c r="O112"/>
      <x:c r="P112"/>
      <x:c r="Q112"/>
      <x:c r="R112"/>
      <x:c r="S112" t="n">
        <x:v>1041.9</x:v>
      </x:c>
      <x:c r="T112" t="n">
        <x:v>631.9</x:v>
      </x:c>
      <x:c r="U112"/>
      <x:c r="V112"/>
      <x:c r="W112"/>
      <x:c r="X112"/>
      <x:c r="Y112" t="str">
        <x:v>µg remifentanil</x:v>
      </x:c>
      <x:c r="Z112" t="str">
        <x:v>0.783</x:v>
      </x:c>
      <x:c r="AA112" t="str">
        <x:v>Yes</x:v>
      </x:c>
      <x:c r="AB112" t="str">
        <x:v>No</x:v>
      </x:c>
      <x:c r="AC112" t="str">
        <x:f>IF(H112="Mean/SD","MD",IF(H112="Events/total","RR",""))</x:f>
        <x:v>MD</x:v>
      </x:c>
      <x:c r="AD112" t="n">
        <x:f>IF(H112="Mean/SD",M112-S112,IF(H112="Events/total",IFERROR((R112/K112)/(X112/L112),""),""))</x:f>
        <x:v>-38.30000000000007</x:v>
      </x:c>
      <x:c r="AE112" t="str">
        <x:v>No</x:v>
      </x:c>
      <x:c r="AF112" t="str">
        <x:v>No</x:v>
      </x:c>
      <x:c r="AG112" t="str">
        <x:v>Eligible for intraoperative opioid analysis</x:v>
      </x:c>
      <x:c r="AH112" t="str">
        <x:v>No</x:v>
      </x:c>
      <x:c r="AI112" t="str">
        <x:v>No significant intraoperative opioid-sparing effect</x:v>
      </x:c>
      <x:c r="AJ112" t="str">
        <x:v>Table 1 / remifentanil</x:v>
      </x:c>
      <x:c r="AK112" t="str">
        <x:v>https://drive.google.com/file/d/1u_kNuuXF8upB3gJA2aDq8NldYDfhnWy3/view?usp=drivesdk</x:v>
      </x:c>
      <x:c r="AL112" t="str">
        <x:v>SOURCE-VERIFIED</x:v>
      </x:c>
    </x:row>
    <x:row r="113">
      <x:c r="A113" t="str">
        <x:v>Ntritsou 2014</x:v>
      </x:c>
      <x:c r="B113" t="str">
        <x:v>NTRI14_EA_vs_SHAM_RESCUE</x:v>
      </x:c>
      <x:c r="C113" t="str">
        <x:v>Perioperative EA + tramadol/ketamine</x:v>
      </x:c>
      <x:c r="D113" t="str">
        <x:v>Sham + tramadol/ketamine</x:v>
      </x:c>
      <x:c r="E113" t="str">
        <x:v>Rescue opioid use</x:v>
      </x:c>
      <x:c r="F113" t="str">
        <x:v>Total rescue analgesia</x:v>
      </x:c>
      <x:c r="G113" t="str">
        <x:v>First 24 h</x:v>
      </x:c>
      <x:c r="H113" t="str">
        <x:v>Qualitative / exact quantities unavailable</x:v>
      </x:c>
      <x:c r="I113" t="n">
        <x:v>37</x:v>
      </x:c>
      <x:c r="J113" t="n">
        <x:v>38</x:v>
      </x:c>
      <x:c r="K113" t="n">
        <x:v>35</x:v>
      </x:c>
      <x:c r="L113" t="n">
        <x:v>35</x:v>
      </x:c>
      <x:c r="M113"/>
      <x:c r="N113"/>
      <x:c r="O113"/>
      <x:c r="P113"/>
      <x:c r="Q113"/>
      <x:c r="R113"/>
      <x:c r="S113"/>
      <x:c r="T113"/>
      <x:c r="U113"/>
      <x:c r="V113"/>
      <x:c r="W113"/>
      <x:c r="X113"/>
      <x:c r="Y113" t="str">
        <x:v>tramadol 50 mg IV then morphine 2 mg IV as needed</x:v>
      </x:c>
      <x:c r="Z113" t="str">
        <x:v>P&lt;0.001 reported</x:v>
      </x:c>
      <x:c r="AA113" t="str">
        <x:v>No</x:v>
      </x:c>
      <x:c r="AB113" t="str">
        <x:v>No</x:v>
      </x:c>
      <x:c r="AC113" t="str">
        <x:f>IF(H113="Mean/SD","MD",IF(H113="Events/total","RR",""))</x:f>
      </x:c>
      <x:c r="AD113" t="str">
        <x:f>IF(H113="Mean/SD",M113-S113,IF(H113="Events/total",IFERROR((R113/K113)/(X113/L113),""),""))</x:f>
      </x:c>
      <x:c r="AE113" t="str">
        <x:v>No</x:v>
      </x:c>
      <x:c r="AF113" t="str">
        <x:v>No</x:v>
      </x:c>
      <x:c r="AG113" t="str">
        <x:v>Not quantitatively poolable from main article</x:v>
      </x:c>
      <x:c r="AH113" t="str">
        <x:v>No</x:v>
      </x:c>
      <x:c r="AI113" t="str">
        <x:v>Main article reports significantly less total rescue analgesia but does not tabulate exact rescue tramadol/morphine quantities</x:v>
      </x:c>
      <x:c r="AJ113" t="str">
        <x:v>Rescue analgesia results</x:v>
      </x:c>
      <x:c r="AK113" t="str">
        <x:v>https://drive.google.com/file/d/1u_kNuuXF8upB3gJA2aDq8NldYDfhnWy3/view?usp=drivesdk</x:v>
      </x:c>
      <x:c r="AL113" t="str">
        <x:v>MISSING / EXACT RESCUE DOSES NOT REPORTED</x:v>
      </x:c>
    </x:row>
    <x:row r="114">
      <x:c r="A114" t="str">
        <x:v>Ntritsou 2014</x:v>
      </x:c>
      <x:c r="B114" t="str">
        <x:v>NTRI14_EA_vs_SHAM_MME24</x:v>
      </x:c>
      <x:c r="C114" t="str">
        <x:v>Perioperative EA + tramadol/ketamine</x:v>
      </x:c>
      <x:c r="D114" t="str">
        <x:v>Sham + tramadol/ketamine</x:v>
      </x:c>
      <x:c r="E114" t="str">
        <x:v>Opioid consumption</x:v>
      </x:c>
      <x:c r="F114" t="str">
        <x:v>Complete 24-h opioid/MME exposure</x:v>
      </x:c>
      <x:c r="G114" t="str">
        <x:v>0-24 h</x:v>
      </x:c>
      <x:c r="H114" t="str">
        <x:v>Not calculable</x:v>
      </x:c>
      <x:c r="I114" t="n">
        <x:v>37</x:v>
      </x:c>
      <x:c r="J114" t="n">
        <x:v>38</x:v>
      </x:c>
      <x:c r="K114" t="n">
        <x:v>35</x:v>
      </x:c>
      <x:c r="L114" t="n">
        <x:v>35</x:v>
      </x:c>
      <x:c r="M114"/>
      <x:c r="N114"/>
      <x:c r="O114"/>
      <x:c r="P114"/>
      <x:c r="Q114"/>
      <x:c r="R114"/>
      <x:c r="S114"/>
      <x:c r="T114"/>
      <x:c r="U114"/>
      <x:c r="V114"/>
      <x:c r="W114"/>
      <x:c r="X114"/>
      <x:c r="Y114" t="str">
        <x:v>MME</x:v>
      </x:c>
      <x:c r="Z114" t="str"/>
      <x:c r="AA114" t="str">
        <x:v>No</x:v>
      </x:c>
      <x:c r="AB114" t="str">
        <x:v>No</x:v>
      </x:c>
      <x:c r="AC114" t="str">
        <x:f>IF(H114="Mean/SD","MD",IF(H114="Events/total","RR",""))</x:f>
      </x:c>
      <x:c r="AD114" t="str">
        <x:f>IF(H114="Mean/SD",M114-S114,IF(H114="Events/total",IFERROR((R114/K114)/(X114/L114),""),""))</x:f>
      </x:c>
      <x:c r="AE114" t="str">
        <x:v>No</x:v>
      </x:c>
      <x:c r="AF114" t="str">
        <x:v>No</x:v>
      </x:c>
      <x:c r="AG114" t="str">
        <x:v>Not eligible for final 24-h MME until rescue morphine and tramadol-sum window are confirmed</x:v>
      </x:c>
      <x:c r="AH114" t="str">
        <x:v>No</x:v>
      </x:c>
      <x:c r="AI114" t="str">
        <x:v>Do not equate lower rescue use with significantly lower total opioid exposure</x:v>
      </x:c>
      <x:c r="AJ114" t="str">
        <x:v>Combined opioid exposure</x:v>
      </x:c>
      <x:c r="AK114" t="str">
        <x:v>https://drive.google.com/file/d/1u_kNuuXF8upB3gJA2aDq8NldYDfhnWy3/view?usp=drivesdk</x:v>
      </x:c>
      <x:c r="AL114" t="str">
        <x:v>MISSING / AUTHOR DATA NEEDED</x:v>
      </x:c>
    </x:row>
    <x:row r="115">
      <x:c r="A115" t="str">
        <x:v>Ng 2013</x:v>
      </x:c>
      <x:c r="B115" t="str">
        <x:v>NG13_EA_vs_SHAM_BOWEL</x:v>
      </x:c>
      <x:c r="C115" t="str">
        <x:v>Electroacupuncture</x:v>
      </x:c>
      <x:c r="D115" t="str">
        <x:v>Sham acupuncture</x:v>
      </x:c>
      <x:c r="E115" t="str">
        <x:v>GI recovery</x:v>
      </x:c>
      <x:c r="F115" t="str">
        <x:v>Time to first bowel motion / defecation</x:v>
      </x:c>
      <x:c r="G115" t="str">
        <x:v>Postoperative</x:v>
      </x:c>
      <x:c r="H115" t="str">
        <x:v>Mean/SD</x:v>
      </x:c>
      <x:c r="I115" t="n">
        <x:v>55</x:v>
      </x:c>
      <x:c r="J115" t="n">
        <x:v>55</x:v>
      </x:c>
      <x:c r="K115" t="n">
        <x:v>55</x:v>
      </x:c>
      <x:c r="L115" t="n">
        <x:v>55</x:v>
      </x:c>
      <x:c r="M115" t="n">
        <x:v>85.9</x:v>
      </x:c>
      <x:c r="N115" t="n">
        <x:v>36.1</x:v>
      </x:c>
      <x:c r="O115"/>
      <x:c r="P115"/>
      <x:c r="Q115"/>
      <x:c r="R115"/>
      <x:c r="S115" t="n">
        <x:v>107.5</x:v>
      </x:c>
      <x:c r="T115" t="n">
        <x:v>46.2</x:v>
      </x:c>
      <x:c r="U115"/>
      <x:c r="V115"/>
      <x:c r="W115"/>
      <x:c r="X115"/>
      <x:c r="Y115" t="str">
        <x:v>hours</x:v>
      </x:c>
      <x:c r="Z115" t="str">
        <x:v>0.007</x:v>
      </x:c>
      <x:c r="AA115" t="str">
        <x:v>Yes</x:v>
      </x:c>
      <x:c r="AB115" t="str">
        <x:v>No</x:v>
      </x:c>
      <x:c r="AC115" t="str">
        <x:f>IF(H115="Mean/SD","MD",IF(H115="Events/total","RR",""))</x:f>
        <x:v>MD</x:v>
      </x:c>
      <x:c r="AD115" t="n">
        <x:f>IF(H115="Mean/SD",M115-S115,IF(H115="Events/total",IFERROR((R115/K115)/(X115/L115),""),""))</x:f>
        <x:v>-21.599999999999994</x:v>
      </x:c>
      <x:c r="AE115" t="str">
        <x:v>No</x:v>
      </x:c>
      <x:c r="AF115" t="str">
        <x:v>No</x:v>
      </x:c>
      <x:c r="AG115" t="str">
        <x:v>Eligible for GI-recovery meta-analysis</x:v>
      </x:c>
      <x:c r="AH115" t="str">
        <x:v>Yes</x:v>
      </x:c>
      <x:c r="AI115" t="str">
        <x:v>Allocation used sealed nonopaque envelopes; EA-vs-sham participants and outcome assessors were blinded</x:v>
      </x:c>
      <x:c r="AJ115" t="str">
        <x:v>Primary outcome / first bowel motion</x:v>
      </x:c>
      <x:c r="AK115" t="str">
        <x:v>https://drive.google.com/file/d/1R1zCiyfWvuSp99Hi2U_K1__8kgdi90gd/view?usp=drivesdk</x:v>
      </x:c>
      <x:c r="AL115" t="str">
        <x:v>SOURCE-VERIFIED / ALLOCATION-CONCEALMENT QC</x:v>
      </x:c>
    </x:row>
    <x:row r="116">
      <x:c r="A116" t="str">
        <x:v>Ng 2013</x:v>
      </x:c>
      <x:c r="B116" t="str">
        <x:v>NG13_EA_vs_NOACU_BOWEL</x:v>
      </x:c>
      <x:c r="C116" t="str">
        <x:v>Electroacupuncture</x:v>
      </x:c>
      <x:c r="D116" t="str">
        <x:v>No acupuncture</x:v>
      </x:c>
      <x:c r="E116" t="str">
        <x:v>GI recovery</x:v>
      </x:c>
      <x:c r="F116" t="str">
        <x:v>Time to first bowel motion / defecation</x:v>
      </x:c>
      <x:c r="G116" t="str">
        <x:v>Postoperative</x:v>
      </x:c>
      <x:c r="H116" t="str">
        <x:v>Mean/SD</x:v>
      </x:c>
      <x:c r="I116" t="n">
        <x:v>55</x:v>
      </x:c>
      <x:c r="J116" t="n">
        <x:v>55</x:v>
      </x:c>
      <x:c r="K116" t="n">
        <x:v>55</x:v>
      </x:c>
      <x:c r="L116" t="n">
        <x:v>55</x:v>
      </x:c>
      <x:c r="M116" t="n">
        <x:v>85.9</x:v>
      </x:c>
      <x:c r="N116" t="n">
        <x:v>36.1</x:v>
      </x:c>
      <x:c r="O116"/>
      <x:c r="P116"/>
      <x:c r="Q116"/>
      <x:c r="R116"/>
      <x:c r="S116" t="n">
        <x:v>122.1</x:v>
      </x:c>
      <x:c r="T116" t="n">
        <x:v>53.5</x:v>
      </x:c>
      <x:c r="U116"/>
      <x:c r="V116"/>
      <x:c r="W116"/>
      <x:c r="X116"/>
      <x:c r="Y116" t="str">
        <x:v>hours</x:v>
      </x:c>
      <x:c r="Z116" t="str">
        <x:v>&lt;0.001</x:v>
      </x:c>
      <x:c r="AA116" t="str">
        <x:v>Yes</x:v>
      </x:c>
      <x:c r="AB116" t="str">
        <x:v>No</x:v>
      </x:c>
      <x:c r="AC116" t="str">
        <x:f>IF(H116="Mean/SD","MD",IF(H116="Events/total","RR",""))</x:f>
        <x:v>MD</x:v>
      </x:c>
      <x:c r="AD116" t="n">
        <x:f>IF(H116="Mean/SD",M116-S116,IF(H116="Events/total",IFERROR((R116/K116)/(X116/L116),""),""))</x:f>
        <x:v>-36.19999999999999</x:v>
      </x:c>
      <x:c r="AE116" t="str">
        <x:v>No</x:v>
      </x:c>
      <x:c r="AF116" t="str">
        <x:v>No</x:v>
      </x:c>
      <x:c r="AG116" t="str">
        <x:v>Eligible for GI-recovery meta-analysis as active-vs-usual-care contrast</x:v>
      </x:c>
      <x:c r="AH116" t="str">
        <x:v>Yes</x:v>
      </x:c>
      <x:c r="AI116" t="str">
        <x:v>No-acupuncture group could not be participant blinded</x:v>
      </x:c>
      <x:c r="AJ116" t="str">
        <x:v>Primary outcome / first bowel motion</x:v>
      </x:c>
      <x:c r="AK116" t="str">
        <x:v>https://drive.google.com/file/d/1R1zCiyfWvuSp99Hi2U_K1__8kgdi90gd/view?usp=drivesdk</x:v>
      </x:c>
      <x:c r="AL116" t="str">
        <x:v>SOURCE-VERIFIED</x:v>
      </x:c>
    </x:row>
    <x:row r="117">
      <x:c r="A117" t="str">
        <x:v>Ng 2013</x:v>
      </x:c>
      <x:c r="B117" t="str">
        <x:v>NG13_EA_vs_SHAM_FLATUS</x:v>
      </x:c>
      <x:c r="C117" t="str">
        <x:v>Electroacupuncture</x:v>
      </x:c>
      <x:c r="D117" t="str">
        <x:v>Sham acupuncture</x:v>
      </x:c>
      <x:c r="E117" t="str">
        <x:v>GI recovery</x:v>
      </x:c>
      <x:c r="F117" t="str">
        <x:v>Time to first flatus</x:v>
      </x:c>
      <x:c r="G117" t="str">
        <x:v>Postoperative</x:v>
      </x:c>
      <x:c r="H117" t="str">
        <x:v>Mean/SD</x:v>
      </x:c>
      <x:c r="I117" t="n">
        <x:v>55</x:v>
      </x:c>
      <x:c r="J117" t="n">
        <x:v>55</x:v>
      </x:c>
      <x:c r="K117" t="n">
        <x:v>55</x:v>
      </x:c>
      <x:c r="L117" t="n">
        <x:v>55</x:v>
      </x:c>
      <x:c r="M117" t="n">
        <x:v>2</x:v>
      </x:c>
      <x:c r="N117" t="n">
        <x:v>0.9</x:v>
      </x:c>
      <x:c r="O117"/>
      <x:c r="P117"/>
      <x:c r="Q117"/>
      <x:c r="R117"/>
      <x:c r="S117" t="n">
        <x:v>2.3</x:v>
      </x:c>
      <x:c r="T117" t="n">
        <x:v>1.1</x:v>
      </x:c>
      <x:c r="U117"/>
      <x:c r="V117"/>
      <x:c r="W117"/>
      <x:c r="X117"/>
      <x:c r="Y117" t="str">
        <x:v>days</x:v>
      </x:c>
      <x:c r="Z117" t="str">
        <x:v>0.095</x:v>
      </x:c>
      <x:c r="AA117" t="str">
        <x:v>Yes</x:v>
      </x:c>
      <x:c r="AB117" t="str">
        <x:v>No</x:v>
      </x:c>
      <x:c r="AC117" t="str">
        <x:f>IF(H117="Mean/SD","MD",IF(H117="Events/total","RR",""))</x:f>
        <x:v>MD</x:v>
      </x:c>
      <x:c r="AD117" t="n">
        <x:f>IF(H117="Mean/SD",M117-S117,IF(H117="Events/total",IFERROR((R117/K117)/(X117/L117),""),""))</x:f>
        <x:v>-0.2999999999999998</x:v>
      </x:c>
      <x:c r="AE117" t="str">
        <x:v>No</x:v>
      </x:c>
      <x:c r="AF117" t="str">
        <x:v>No</x:v>
      </x:c>
      <x:c r="AG117" t="str">
        <x:v>Eligible for GI-recovery analysis</x:v>
      </x:c>
      <x:c r="AH117" t="str">
        <x:v>Yes</x:v>
      </x:c>
      <x:c r="AI117" t="str">
        <x:v>No statistically significant EA-vs-sham difference</x:v>
      </x:c>
      <x:c r="AJ117" t="str">
        <x:v>Secondary outcome / first flatus</x:v>
      </x:c>
      <x:c r="AK117" t="str">
        <x:v>https://drive.google.com/file/d/1R1zCiyfWvuSp99Hi2U_K1__8kgdi90gd/view?usp=drivesdk</x:v>
      </x:c>
      <x:c r="AL117" t="str">
        <x:v>SOURCE-VERIFIED</x:v>
      </x:c>
    </x:row>
    <x:row r="118">
      <x:c r="A118" t="str">
        <x:v>Ng 2013</x:v>
      </x:c>
      <x:c r="B118" t="str">
        <x:v>NG13_EA_vs_SHAM_PAINPOD1</x:v>
      </x:c>
      <x:c r="C118" t="str">
        <x:v>Electroacupuncture</x:v>
      </x:c>
      <x:c r="D118" t="str">
        <x:v>Sham acupuncture</x:v>
      </x:c>
      <x:c r="E118" t="str">
        <x:v>Pain</x:v>
      </x:c>
      <x:c r="F118" t="str">
        <x:v>VAS pain intensity</x:v>
      </x:c>
      <x:c r="G118" t="str">
        <x:v>POD1</x:v>
      </x:c>
      <x:c r="H118" t="str">
        <x:v>Mean/SD</x:v>
      </x:c>
      <x:c r="I118" t="n">
        <x:v>55</x:v>
      </x:c>
      <x:c r="J118" t="n">
        <x:v>55</x:v>
      </x:c>
      <x:c r="K118" t="n">
        <x:v>55</x:v>
      </x:c>
      <x:c r="L118" t="n">
        <x:v>55</x:v>
      </x:c>
      <x:c r="M118" t="n">
        <x:v>5.6</x:v>
      </x:c>
      <x:c r="N118" t="n">
        <x:v>2</x:v>
      </x:c>
      <x:c r="O118"/>
      <x:c r="P118"/>
      <x:c r="Q118"/>
      <x:c r="R118"/>
      <x:c r="S118" t="n">
        <x:v>5.8</x:v>
      </x:c>
      <x:c r="T118" t="n">
        <x:v>1.9</x:v>
      </x:c>
      <x:c r="U118"/>
      <x:c r="V118"/>
      <x:c r="W118"/>
      <x:c r="X118"/>
      <x:c r="Y118" t="str">
        <x:v>VAS 0-10</x:v>
      </x:c>
      <x:c r="Z118" t="str">
        <x:v>0.655</x:v>
      </x:c>
      <x:c r="AA118" t="str">
        <x:v>Yes</x:v>
      </x:c>
      <x:c r="AB118" t="str">
        <x:v>No</x:v>
      </x:c>
      <x:c r="AC118" t="str">
        <x:f>IF(H118="Mean/SD","MD",IF(H118="Events/total","RR",""))</x:f>
        <x:v>MD</x:v>
      </x:c>
      <x:c r="AD118" t="n">
        <x:f>IF(H118="Mean/SD",M118-S118,IF(H118="Events/total",IFERROR((R118/K118)/(X118/L118),""),""))</x:f>
        <x:v>-0.20000000000000018</x:v>
      </x:c>
      <x:c r="AE118" t="str">
        <x:v>No</x:v>
      </x:c>
      <x:c r="AF118" t="str">
        <x:v>No</x:v>
      </x:c>
      <x:c r="AG118" t="str">
        <x:v>Eligible for POD1 pain analysis if POD1 timing meets protocol</x:v>
      </x:c>
      <x:c r="AH118" t="str">
        <x:v>Yes</x:v>
      </x:c>
      <x:c r="AI118" t="str">
        <x:v>POD1 is not an exact clock-defined 24-h point</x:v>
      </x:c>
      <x:c r="AJ118" t="str">
        <x:v>Pain outcome / POD1</x:v>
      </x:c>
      <x:c r="AK118" t="str">
        <x:v>https://drive.google.com/file/d/1R1zCiyfWvuSp99Hi2U_K1__8kgdi90gd/view?usp=drivesdk</x:v>
      </x:c>
      <x:c r="AL118" t="str">
        <x:v>SOURCE-VERIFIED / POD LABEL</x:v>
      </x:c>
    </x:row>
    <x:row r="119">
      <x:c r="A119" t="str">
        <x:v>Ng 2013</x:v>
      </x:c>
      <x:c r="B119" t="str">
        <x:v>NG13_EA_vs_SHAM_PETHCOUNT</x:v>
      </x:c>
      <x:c r="C119" t="str">
        <x:v>Electroacupuncture</x:v>
      </x:c>
      <x:c r="D119" t="str">
        <x:v>Sham acupuncture</x:v>
      </x:c>
      <x:c r="E119" t="str">
        <x:v>Opioid demand</x:v>
      </x:c>
      <x:c r="F119" t="str">
        <x:v>Number of postoperative pethidine injections</x:v>
      </x:c>
      <x:c r="G119" t="str">
        <x:v>Postoperative; exact window NR</x:v>
      </x:c>
      <x:c r="H119" t="str">
        <x:v>Mean/SD</x:v>
      </x:c>
      <x:c r="I119" t="n">
        <x:v>55</x:v>
      </x:c>
      <x:c r="J119" t="n">
        <x:v>55</x:v>
      </x:c>
      <x:c r="K119" t="n">
        <x:v>55</x:v>
      </x:c>
      <x:c r="L119" t="n">
        <x:v>55</x:v>
      </x:c>
      <x:c r="M119" t="n">
        <x:v>2.7</x:v>
      </x:c>
      <x:c r="N119" t="n">
        <x:v>2.3</x:v>
      </x:c>
      <x:c r="O119"/>
      <x:c r="P119"/>
      <x:c r="Q119"/>
      <x:c r="R119"/>
      <x:c r="S119" t="n">
        <x:v>5.2</x:v>
      </x:c>
      <x:c r="T119" t="n">
        <x:v>4.7</x:v>
      </x:c>
      <x:c r="U119"/>
      <x:c r="V119"/>
      <x:c r="W119"/>
      <x:c r="X119"/>
      <x:c r="Y119" t="str">
        <x:v>number of injections</x:v>
      </x:c>
      <x:c r="Z119" t="str">
        <x:v>NR</x:v>
      </x:c>
      <x:c r="AA119" t="str">
        <x:v>Yes</x:v>
      </x:c>
      <x:c r="AB119" t="str">
        <x:v>No</x:v>
      </x:c>
      <x:c r="AC119" t="str">
        <x:f>IF(H119="Mean/SD","MD",IF(H119="Events/total","RR",""))</x:f>
        <x:v>MD</x:v>
      </x:c>
      <x:c r="AD119" t="n">
        <x:f>IF(H119="Mean/SD",M119-S119,IF(H119="Events/total",IFERROR((R119/K119)/(X119/L119),""),""))</x:f>
        <x:v>-2.5</x:v>
      </x:c>
      <x:c r="AE119" t="str">
        <x:v>No</x:v>
      </x:c>
      <x:c r="AF119" t="str">
        <x:v>No</x:v>
      </x:c>
      <x:c r="AG119" t="str">
        <x:v>Eligible only as opioid-injection-count outcome after time-window clarification</x:v>
      </x:c>
      <x:c r="AH119" t="str">
        <x:v>Yes</x:v>
      </x:c>
      <x:c r="AI119" t="str">
        <x:v>Methods say 1 mg/kg q4h PRN, tables say 50-mg injections; exact observation window and route not clearly defined</x:v>
      </x:c>
      <x:c r="AJ119" t="str">
        <x:v>Analgesic requirement tables</x:v>
      </x:c>
      <x:c r="AK119" t="str">
        <x:v>https://drive.google.com/file/d/1R1zCiyfWvuSp99Hi2U_K1__8kgdi90gd/view?usp=drivesdk</x:v>
      </x:c>
      <x:c r="AL119" t="str">
        <x:v>SOURCE-VERIFIED / DOSE + WINDOW QC</x:v>
      </x:c>
    </x:row>
    <x:row r="120">
      <x:c r="A120" t="str">
        <x:v>Ng 2013</x:v>
      </x:c>
      <x:c r="B120" t="str">
        <x:v>NG13_EA_vs_SHAM_OPIOID24</x:v>
      </x:c>
      <x:c r="C120" t="str">
        <x:v>Electroacupuncture</x:v>
      </x:c>
      <x:c r="D120" t="str">
        <x:v>Sham acupuncture</x:v>
      </x:c>
      <x:c r="E120" t="str">
        <x:v>Opioid consumption</x:v>
      </x:c>
      <x:c r="F120" t="str">
        <x:v>Cumulative pethidine consumption</x:v>
      </x:c>
      <x:c r="G120" t="str">
        <x:v>0-24 h</x:v>
      </x:c>
      <x:c r="H120" t="str">
        <x:v>Not reported</x:v>
      </x:c>
      <x:c r="I120" t="n">
        <x:v>55</x:v>
      </x:c>
      <x:c r="J120" t="n">
        <x:v>55</x:v>
      </x:c>
      <x:c r="K120" t="n">
        <x:v>55</x:v>
      </x:c>
      <x:c r="L120" t="n">
        <x:v>55</x:v>
      </x:c>
      <x:c r="M120"/>
      <x:c r="N120"/>
      <x:c r="O120"/>
      <x:c r="P120"/>
      <x:c r="Q120"/>
      <x:c r="R120"/>
      <x:c r="S120"/>
      <x:c r="T120"/>
      <x:c r="U120"/>
      <x:c r="V120"/>
      <x:c r="W120"/>
      <x:c r="X120"/>
      <x:c r="Y120" t="str">
        <x:v>mg pethidine</x:v>
      </x:c>
      <x:c r="Z120" t="str"/>
      <x:c r="AA120" t="str">
        <x:v>No</x:v>
      </x:c>
      <x:c r="AB120" t="str">
        <x:v>No</x:v>
      </x:c>
      <x:c r="AC120" t="str">
        <x:f>IF(H120="Mean/SD","MD",IF(H120="Events/total","RR",""))</x:f>
      </x:c>
      <x:c r="AD120" t="str">
        <x:f>IF(H120="Mean/SD",M120-S120,IF(H120="Events/total",IFERROR((R120/K120)/(X120/L120),""),""))</x:f>
      </x:c>
      <x:c r="AE120" t="str">
        <x:v>No</x:v>
      </x:c>
      <x:c r="AF120" t="str">
        <x:v>No</x:v>
      </x:c>
      <x:c r="AG120" t="str">
        <x:v>Not eligible for strict continuous 24-h opioid meta-analysis without author data</x:v>
      </x:c>
      <x:c r="AH120" t="str">
        <x:v>Yes</x:v>
      </x:c>
      <x:c r="AI120" t="str">
        <x:v>Do not multiply injection counts by 50 mg and call it a 24-h dose; source time window/dosing statement is ambiguous</x:v>
      </x:c>
      <x:c r="AJ120" t="str">
        <x:v>Exact 24-h opioid endpoint absent</x:v>
      </x:c>
      <x:c r="AK120" t="str">
        <x:v>https://drive.google.com/file/d/1R1zCiyfWvuSp99Hi2U_K1__8kgdi90gd/view?usp=drivesdk</x:v>
      </x:c>
      <x:c r="AL120" t="str">
        <x:v>MISSING / AUTHOR DATA NEEDED</x:v>
      </x:c>
    </x:row>
  </x:sheetData>
  <x:conditionalFormatting sqref="AL2:AL35">
    <x:cfRule type="expression" dxfId="30" priority="1">
      <x:formula>AL2="SOURCE-VERIFIED"</x:formula>
    </x:cfRule>
    <x:cfRule type="expression" dxfId="31" priority="2">
      <x:formula>ISNUMBER(SEARCH("QC",AL2))</x:formula>
    </x:cfRule>
    <x:cfRule type="expression" dxfId="32" priority="3">
      <x:formula>ISNUMBER(SEARCH("MISSING",AL2))</x:formula>
    </x:cfRule>
    <x:cfRule type="expression" dxfId="33" priority="4">
      <x:formula>ISNUMBER(SEARCH("ADJUDICATION",AL2))</x:formula>
    </x:cfRule>
  </x:conditionalFormatting>
  <x:conditionalFormatting sqref="AF2:AF35">
    <x:cfRule type="expression" dxfId="34" priority="5">
      <x:formula>AF2="Yes"</x:formula>
    </x:cfRule>
    <x:cfRule type="expression" dxfId="35" priority="6">
      <x:formula>AF2="Conditional"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4b0d66e85b7443a"/>
  </x:tableParts>
</x:worksheet>
</file>