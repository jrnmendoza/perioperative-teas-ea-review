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3236522ea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bb1fbebe65b4616"/>
    <x:sheet xmlns:r="http://schemas.openxmlformats.org/officeDocument/2006/relationships" name="Study_Master" sheetId="2" r:id="Rced2d001efd34232"/>
    <x:sheet xmlns:r="http://schemas.openxmlformats.org/officeDocument/2006/relationships" name="Corrected_RoB2" sheetId="3" r:id="Re9610e6a198d4bea"/>
    <x:sheet xmlns:r="http://schemas.openxmlformats.org/officeDocument/2006/relationships" name="Audit_Issues" sheetId="4" r:id="Rf6c30f0f5c564b22"/>
    <x:sheet xmlns:r="http://schemas.openxmlformats.org/officeDocument/2006/relationships" name="AG_Candidate_Data" sheetId="5" r:id="Rcd511de5d16e41ea"/>
    <x:sheet xmlns:r="http://schemas.openxmlformats.org/officeDocument/2006/relationships" name="Summary" sheetId="6" r:id="R7d45259c32b841dc"/>
    <x:sheet xmlns:r="http://schemas.openxmlformats.org/officeDocument/2006/relationships" name="Outcome_Data" sheetId="7" r:id="Rc46516b0b6f04ed4"/>
    <x:sheet xmlns:r="http://schemas.openxmlformats.org/officeDocument/2006/relationships" name="Analysis_Readiness" sheetId="8" r:id="R55ae5e48c64542a5"/>
    <x:sheet xmlns:r="http://schemas.openxmlformats.org/officeDocument/2006/relationships" name="Analysis_Summary" sheetId="9" r:id="R956a47d5f5d14fc8"/>
    <x:sheet xmlns:r="http://schemas.openxmlformats.org/officeDocument/2006/relationships" name="Opioid_24h_Candidates" sheetId="10" r:id="R53f79bbd861042db"/>
    <x:sheet xmlns:r="http://schemas.openxmlformats.org/officeDocument/2006/relationships" name="Set_Opioid_24h" sheetId="11" r:id="R0f6a9ad7aa4c4956"/>
    <x:sheet xmlns:r="http://schemas.openxmlformats.org/officeDocument/2006/relationships" name="Set_Pain_24h" sheetId="12" r:id="Ra90560451a3245d6"/>
    <x:sheet xmlns:r="http://schemas.openxmlformats.org/officeDocument/2006/relationships" name="Set_PONV" sheetId="13" r:id="R93d4b5e57b044dac"/>
    <x:sheet xmlns:r="http://schemas.openxmlformats.org/officeDocument/2006/relationships" name="Set_QoR" sheetId="14" r:id="R54c117ae90d843c5"/>
    <x:sheet xmlns:r="http://schemas.openxmlformats.org/officeDocument/2006/relationships" name="Set_GI_Recovery" sheetId="15" r:id="R3aa6373a16124ead"/>
    <x:sheet xmlns:r="http://schemas.openxmlformats.org/officeDocument/2006/relationships" name="Study_Level_Synthesis" sheetId="16" r:id="R9002ca2f4a5547c9"/>
    <x:sheet xmlns:r="http://schemas.openxmlformats.org/officeDocument/2006/relationships" name="Opioid_Primary_StudyLevel" sheetId="17" r:id="R8c9c857fba6d46a7"/>
    <x:sheet xmlns:r="http://schemas.openxmlformats.org/officeDocument/2006/relationships" name="Opioid_Primary_Summary" sheetId="18" r:id="R5515b5e2e284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0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7E6E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EDE9FE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f501d556d4429f" /><Relationship Type="http://schemas.openxmlformats.org/officeDocument/2006/relationships/theme" Target="/xl/theme/theme1.xml" Id="Rac1e7f43e4ae49d5" /><Relationship Type="http://schemas.openxmlformats.org/officeDocument/2006/relationships/sharedStrings" Target="/xl/sharedStrings.xml" Id="R89e4fa8731344a4c" /><Relationship Type="http://schemas.openxmlformats.org/officeDocument/2006/relationships/worksheet" Target="/xl/worksheets/sheet1.xml" Id="R1bb1fbebe65b4616" /><Relationship Type="http://schemas.openxmlformats.org/officeDocument/2006/relationships/worksheet" Target="/xl/worksheets/sheet2.xml" Id="Rced2d001efd34232" /><Relationship Type="http://schemas.openxmlformats.org/officeDocument/2006/relationships/worksheet" Target="/xl/worksheets/sheet3.xml" Id="Re9610e6a198d4bea" /><Relationship Type="http://schemas.openxmlformats.org/officeDocument/2006/relationships/worksheet" Target="/xl/worksheets/sheet4.xml" Id="Rf6c30f0f5c564b22" /><Relationship Type="http://schemas.openxmlformats.org/officeDocument/2006/relationships/worksheet" Target="/xl/worksheets/sheet5.xml" Id="Rcd511de5d16e41ea" /><Relationship Type="http://schemas.openxmlformats.org/officeDocument/2006/relationships/worksheet" Target="/xl/worksheets/sheet6.xml" Id="R7d45259c32b841dc" /><Relationship Type="http://schemas.openxmlformats.org/officeDocument/2006/relationships/worksheet" Target="/xl/worksheets/sheet7.xml" Id="Rc46516b0b6f04ed4" /><Relationship Type="http://schemas.openxmlformats.org/officeDocument/2006/relationships/worksheet" Target="/xl/worksheets/sheet8.xml" Id="R55ae5e48c64542a5" /><Relationship Type="http://schemas.openxmlformats.org/officeDocument/2006/relationships/worksheet" Target="/xl/worksheets/sheet9.xml" Id="R956a47d5f5d14fc8" /><Relationship Type="http://schemas.openxmlformats.org/officeDocument/2006/relationships/worksheet" Target="/xl/worksheets/sheet10.xml" Id="R53f79bbd861042db" /><Relationship Type="http://schemas.openxmlformats.org/officeDocument/2006/relationships/worksheet" Target="/xl/worksheets/sheet11.xml" Id="R0f6a9ad7aa4c4956" /><Relationship Type="http://schemas.openxmlformats.org/officeDocument/2006/relationships/worksheet" Target="/xl/worksheets/sheet12.xml" Id="Ra90560451a3245d6" /><Relationship Type="http://schemas.openxmlformats.org/officeDocument/2006/relationships/worksheet" Target="/xl/worksheets/sheet13.xml" Id="R93d4b5e57b044dac" /><Relationship Type="http://schemas.openxmlformats.org/officeDocument/2006/relationships/worksheet" Target="/xl/worksheets/sheet14.xml" Id="R54c117ae90d843c5" /><Relationship Type="http://schemas.openxmlformats.org/officeDocument/2006/relationships/worksheet" Target="/xl/worksheets/sheet15.xml" Id="R3aa6373a16124ead" /><Relationship Type="http://schemas.openxmlformats.org/officeDocument/2006/relationships/worksheet" Target="/xl/worksheets/sheet16.xml" Id="R9002ca2f4a5547c9" /><Relationship Type="http://schemas.openxmlformats.org/officeDocument/2006/relationships/worksheet" Target="/xl/worksheets/sheet17.xml" Id="R8c9c857fba6d46a7" /><Relationship Type="http://schemas.openxmlformats.org/officeDocument/2006/relationships/worksheet" Target="/xl/worksheets/sheet18.xml" Id="R5515b5e2e28446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d8b331cf064ef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Study-level correction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d8b331cf064ef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udyMasterTable" displayName="StudyMasterTable" ref="A1:U64" headerRowCount="1" totalsRowCount="0" totalsRowShown="0">
  <x:tableColumns count="21">
    <x:tableColumn id="1" name="Canonical study"/>
    <x:tableColumn id="2" name="Reconciliation batch"/>
    <x:tableColumn id="3" name="Sol reconciliation status"/>
    <x:tableColumn id="4" name="Sol/source correction note"/>
    <x:tableColumn id="5" name="Identity correction"/>
    <x:tableColumn id="6" name="Antigravity study label"/>
    <x:tableColumn id="7" name="Antigravity study key"/>
    <x:tableColumn id="8" name="Covidence internal ID"/>
    <x:tableColumn id="9" name="Candidate source-result summary"/>
    <x:tableColumn id="10" name="Known fabricated-payload signature"/>
    <x:tableColumn id="11" name="Antigravity author-contact flag"/>
    <x:tableColumn id="12" name="Corrected RoB 2 complete"/>
    <x:tableColumn id="13" name="Corrected selected RoB result"/>
    <x:tableColumn id="14" name="Corrected result timepoint"/>
    <x:tableColumn id="15" name="Corrected overall RoB 2"/>
    <x:tableColumn id="16" name="Analysis readiness"/>
    <x:tableColumn id="17" name="Master use rule"/>
    <x:tableColumn id="18" name="Source-summary status"/>
    <x:tableColumn id="19" name="Source hierarchy"/>
    <x:tableColumn id="20" name="Project source folder"/>
    <x:tableColumn id="21" name="Reconciliation index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rectedRoBTable" displayName="CorrectedRoBTable" ref="A1:P7" headerRowCount="1" totalsRowCount="0" totalsRowShown="0">
  <x:tableColumns count="16">
    <x:tableColumn id="1" name="Canonical study"/>
    <x:tableColumn id="2" name="Selected result"/>
    <x:tableColumn id="3" name="Comparison"/>
    <x:tableColumn id="4" name="Timepoint/window"/>
    <x:tableColumn id="5" name="Randomized n"/>
    <x:tableColumn id="6" name="Analyzed n"/>
    <x:tableColumn id="7" name="Corrected source result"/>
    <x:tableColumn id="8" name="Domain 1"/>
    <x:tableColumn id="9" name="Domain 2"/>
    <x:tableColumn id="10" name="Domain 3"/>
    <x:tableColumn id="11" name="Domain 4"/>
    <x:tableColumn id="12" name="Domain 5"/>
    <x:tableColumn id="13" name="Overall RoB 2"/>
    <x:tableColumn id="14" name="Correction source"/>
    <x:tableColumn id="15" name="Source folder"/>
    <x:tableColumn id="16" name="Corrected RoB fold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IssuesTable" displayName="AuditIssuesTable" ref="A1:F11" headerRowCount="1" totalsRowCount="0" totalsRowShown="0">
  <x:tableColumns count="6">
    <x:tableColumn id="1" name="Study/record"/>
    <x:tableColumn id="2" name="Issue type"/>
    <x:tableColumn id="3" name="Problem identified"/>
    <x:tableColumn id="4" name="Master decision"/>
    <x:tableColumn id="5" name="Severity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GCandidateTable" displayName="AGCandidateTable" ref="A1:F64" headerRowCount="1" totalsRowCount="0" totalsRowShown="0">
  <x:tableColumns count="6">
    <x:tableColumn id="1" name="Canonical study"/>
    <x:tableColumn id="2" name="Antigravity label"/>
    <x:tableColumn id="3" name="Candidate source summary"/>
    <x:tableColumn id="4" name="Gemini/payload field from Antigravity report"/>
    <x:tableColumn id="5" name="Antigravity classification"/>
    <x:tableColumn id="6" name="Status in this mast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utcomeDataTable" displayName="OutcomeDataTable" ref="A1:AL35" headerRowCount="1" totalsRowCount="0" totalsRowShown="0">
  <x:tableColumns count="38">
    <x:tableColumn id="1" name="Canonical study"/>
    <x:tableColumn id="2" name="Comparison ID"/>
    <x:tableColumn id="3" name="Intervention arm"/>
    <x:tableColumn id="4" name="Comparator arm"/>
    <x:tableColumn id="5" name="Outcome family"/>
    <x:tableColumn id="6" name="Outcome/result"/>
    <x:tableColumn id="7" name="Timepoint/window"/>
    <x:tableColumn id="8" name="Data type"/>
    <x:tableColumn id="9" name="Randomized n intervention"/>
    <x:tableColumn id="10" name="Randomized n comparator"/>
    <x:tableColumn id="11" name="Analyzed n intervention"/>
    <x:tableColumn id="12" name="Analyzed n comparator"/>
    <x:tableColumn id="13" name="Mean intervention"/>
    <x:tableColumn id="14" name="SD intervention"/>
    <x:tableColumn id="15" name="Median intervention"/>
    <x:tableColumn id="16" name="Q1 intervention"/>
    <x:tableColumn id="17" name="Q3 intervention"/>
    <x:tableColumn id="18" name="Events intervention"/>
    <x:tableColumn id="19" name="Mean comparator"/>
    <x:tableColumn id="20" name="SD comparator"/>
    <x:tableColumn id="21" name="Median comparator"/>
    <x:tableColumn id="22" name="Q1 comparator"/>
    <x:tableColumn id="23" name="Q3 comparator"/>
    <x:tableColumn id="24" name="Events comparator"/>
    <x:tableColumn id="25" name="Unit/scale"/>
    <x:tableColumn id="26" name="Reported P"/>
    <x:tableColumn id="27" name="Directly reported?"/>
    <x:tableColumn id="28" name="Derived/converted?"/>
    <x:tableColumn id="29" name="Derived effect measure"/>
    <x:tableColumn id="30" name="Derived effect"/>
    <x:tableColumn id="31" name="Exact 0-24 h postoperative opioid?"/>
    <x:tableColumn id="32" name="Primary opioid meta-analysis eligible?"/>
    <x:tableColumn id="33" name="Other analysis eligibility"/>
    <x:tableColumn id="34" name="Shared-control / multi-arm issue"/>
    <x:tableColumn id="35" name="Source-QC issue"/>
    <x:tableColumn id="36" name="Source location"/>
    <x:tableColumn id="37" name="Source PDF URL"/>
    <x:tableColumn id="38" name="Record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1be26623e14e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59605b28be4a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1c699460b947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e79e98189149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e0be5bc058f247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dffdf84b65347a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28" customHeight="1">
      <x:c r="A1" s="5" t="str">
        <x:v>TEAS/EA Systematic Review — Reconciled Master Data v1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Version</x:v>
      </x:c>
      <x:c r="B3" s="18" t="str">
        <x:v>v20 primary opioid set — 2026-09-05</x:v>
      </x:c>
    </x:row>
    <x:row r="4">
      <x:c r="A4" s="13" t="str">
        <x:v>Purpose</x:v>
      </x:c>
      <x:c r="B4" s="18" t="str">
        <x:v>v20 adds a single-study-unit primary 24-h continuous opioid set. It prevents multi-arm double counting, separates derived/weight-normalized/POD1/proxy endpoints, and keeps the Yeh 2010/2011 publication family on overlap hold.</x:v>
      </x:c>
    </x:row>
    <x:row r="5">
      <x:c r="A5" s="13" t="str">
        <x:v>Canonical inventory</x:v>
      </x:c>
      <x:c r="B5" s="18" t="str">
        <x:v>63 source studies/reports. The 61-PDF Sol master was supplemented with two distinct Chen 2015 trials. Antigravity's unsupported 'Gao 2018' row is excluded; Zhou 2025 is restored from its source-grounded extraction.</x:v>
      </x:c>
    </x:row>
    <x:row r="6">
      <x:c r="A6" s="13" t="str">
        <x:v>Source hierarchy</x:v>
      </x:c>
      <x:c r="B6" s="18" t="str">
        <x:v>Source PDF / supplement / protocol / registration &gt; reconciled source-grounded extraction &gt; derivative AI/model output &gt; Covidence shell/payload.</x:v>
      </x:c>
    </x:row>
    <x:row r="7">
      <x:c r="A7" s="13" t="str">
        <x:v>Critical rule</x:v>
      </x:c>
      <x:c r="B7" s="18" t="str">
        <x:v>No majority vote between models. Missing/unreported data remain missing. Graph-derived/calculated values must remain explicitly labelled as derived.</x:v>
      </x:c>
    </x:row>
    <x:row r="8">
      <x:c r="A8" s="13" t="str">
        <x:v>RoB 2</x:v>
      </x:c>
      <x:c r="B8" s="18" t="str">
        <x:v>RoB 2 is result-specific. Original stored RoB files are not analysis-ready. Corrected RoB judgments currently completed for 6 selected results; remaining invalid/re-adjudication cases are tracked in Study_Master.</x:v>
      </x:c>
    </x:row>
    <x:row r="9">
      <x:c r="A9" s="13" t="str">
        <x:v>Antigravity use</x:v>
      </x:c>
      <x:c r="B9" s="18" t="str">
        <x:v>Antigravity's forensic audit is retained as a comparison source, but its study/file mappings and payload values are not accepted automatically. Candidate source summaries remain visibly labelled.</x:v>
      </x:c>
    </x:row>
    <x:row r="10">
      <x:c r="A10" s="13" t="str">
        <x:v>Analysis readiness</x:v>
      </x:c>
      <x:c r="B10" s="18" t="str">
        <x:v>Rows marked NOT READY or SOURCE-QC REQUIRED must not be used as final meta-analysis/RoB inputs until the stated issue is resolved.</x:v>
      </x:c>
    </x:row>
    <x:row r="11">
      <x:c r="A11" s="13" t="str">
        <x:v>Project Drive</x:v>
      </x:c>
      <x:c r="B11" s="18" t="str">
        <x:v>https://drive.google.com/drive/folders/1Hpaqqh2FjNKSIm4jRTJWNOfoi3YfyUNj</x:v>
      </x:c>
    </x:row>
    <x:row r="12">
      <x:c r="A12" s="13" t="str">
        <x:v>Reconciliation index</x:v>
      </x:c>
      <x:c r="B12" s="18" t="str">
        <x:v>https://docs.google.com/document/d/1hR0UuZSmPpwZi384Vzn3sZt5Y5_ZwYxW6b3u4nq2-40/edit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48" hidden="0" customWidth="1"/>
    <x:col min="5" max="5" width="36" hidden="0" customWidth="1"/>
    <x:col min="6" max="6" width="24" hidden="0" customWidth="1"/>
    <x:col min="7" max="7" width="15" hidden="0" customWidth="1"/>
    <x:col min="8" max="8" width="20" hidden="0" customWidth="1"/>
    <x:col min="9" max="9" width="62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18" hidden="0" customWidth="1"/>
    <x:col min="15" max="15" width="18" hidden="0" customWidth="1"/>
    <x:col min="16" max="16" width="34" hidden="0" customWidth="1"/>
    <x:col min="17" max="17" width="46" hidden="0" customWidth="1"/>
    <x:col min="18" max="18" width="38" hidden="0" customWidth="1"/>
    <x:col min="19" max="19" width="50" hidden="0" customWidth="1"/>
    <x:col min="20" max="20" width="44" hidden="0" customWidth="1"/>
    <x:col min="21" max="21" width="44" hidden="0" customWidth="1"/>
    <x:col min="22" max="22" width="18" hidden="0" customWidth="1"/>
  </x:cols>
  <x:sheetData>
    <x:row r="1">
      <x:c r="A1" s="24" t="str">
        <x:v>Canonical study</x:v>
      </x:c>
      <x:c r="B1" s="24" t="str">
        <x:v>Reconciliation batch</x:v>
      </x:c>
      <x:c r="C1" s="24" t="str">
        <x:v>Sol reconciliation status</x:v>
      </x:c>
      <x:c r="D1" s="24" t="str">
        <x:v>Sol/source correction note</x:v>
      </x:c>
      <x:c r="E1" s="24" t="str">
        <x:v>Identity correction</x:v>
      </x:c>
      <x:c r="F1" s="24" t="str">
        <x:v>Antigravity study label</x:v>
      </x:c>
      <x:c r="G1" s="24" t="str">
        <x:v>Antigravity study key</x:v>
      </x:c>
      <x:c r="H1" s="24" t="str">
        <x:v>Covidence internal ID</x:v>
      </x:c>
      <x:c r="I1" s="24" t="str">
        <x:v>Candidate source-result summary</x:v>
      </x:c>
      <x:c r="J1" s="24" t="str">
        <x:v>Known fabricated-payload signature</x:v>
      </x:c>
      <x:c r="K1" s="24" t="str">
        <x:v>Antigravity author-contact flag</x:v>
      </x:c>
      <x:c r="L1" s="24" t="str">
        <x:v>Corrected RoB 2 complete</x:v>
      </x:c>
      <x:c r="M1" s="24" t="str">
        <x:v>Corrected selected RoB result</x:v>
      </x:c>
      <x:c r="N1" s="24" t="str">
        <x:v>Corrected result timepoint</x:v>
      </x:c>
      <x:c r="O1" s="24" t="str">
        <x:v>Corrected overall RoB 2</x:v>
      </x:c>
      <x:c r="P1" s="24" t="str">
        <x:v>Analysis readiness</x:v>
      </x:c>
      <x:c r="Q1" s="24" t="str">
        <x:v>Master use rule</x:v>
      </x:c>
      <x:c r="R1" s="24" t="str">
        <x:v>Source-summary status</x:v>
      </x:c>
      <x:c r="S1" s="24" t="str">
        <x:v>Source hierarchy</x:v>
      </x:c>
      <x:c r="T1" s="24" t="str">
        <x:v>Project source folder</x:v>
      </x:c>
      <x:c r="U1" s="24" t="str">
        <x:v>Reconciliation index</x:v>
      </x:c>
      <x:c r="V1" s="52" t="str">
        <x:v>Source-normalized outcome rows</x:v>
      </x:c>
    </x:row>
    <x:row r="2">
      <x:c r="A2" s="18" t="str">
        <x:v>Zhu 2022</x:v>
      </x:c>
      <x:c r="B2" s="18" t="str">
        <x:v>Batch 19</x:v>
      </x:c>
      <x:c r="C2" s="18" t="str">
        <x:v>FULL REPLACEMENT</x:v>
      </x:c>
      <x:c r="D2" s="18" t="str">
        <x:v>Jin-labeled RoB is a different 103-patient morphine trial; true source is four-arm 413-randomized gynecologic EA/PONV study.</x:v>
      </x:c>
      <x:c r="E2" s="18" t="str"/>
      <x:c r="F2" s="18" t="str">
        <x:v>Zhu 2022</x:v>
      </x:c>
      <x:c r="G2" s="18" t="str">
        <x:v>381</x:v>
      </x:c>
      <x:c r="H2" s="18" t="str">
        <x:v>1879896528</x:v>
      </x:c>
      <x:c r="I2" s="18" t="str">
        <x:v>**Pain intensity during movement at 24h (NRS 0-10) (PRIMARY)**: Group Pre (n=101) 1.15 ± 1.02 vs Group 30 (n=98) 1.12 ± 1.03 vs Group Comb (n=100) 1.17 ± 1.1...</x:v>
      </x:c>
      <x:c r="J2" s="18" t="str">
        <x:v>Yes</x:v>
      </x:c>
      <x:c r="K2" s="18" t="str">
        <x:v>Yes</x:v>
      </x:c>
      <x:c r="L2" s="18" t="str">
        <x:v>Yes</x:v>
      </x:c>
      <x:c r="M2" s="18" t="str">
        <x:v>Postoperative vomiting</x:v>
      </x:c>
      <x:c r="N2" s="18" t="str">
        <x:v>6-24 h</x:v>
      </x:c>
      <x:c r="O2" s="18" t="str">
        <x:v>Some concerns</x:v>
      </x:c>
      <x:c r="P2" s="18" t="str">
        <x:v>PARTIAL — selected RoB corrected; multi-arm outcome rows added</x:v>
      </x:c>
      <x:c r="Q2" s="18" t="str">
        <x:v>Use arm-specific denominators; shared usual-care comparator requires multi-arm handling</x:v>
      </x:c>
      <x:c r="R2" s="18" t="str">
        <x:v>SOURCE-NORMALIZED OUTCOME ROWS ADDED</x:v>
      </x:c>
      <x:c r="S2" s="18" t="str">
        <x:v>Source PDF / supplement / protocol / registration &gt; reconciled source extraction &gt; derivative model output</x:v>
      </x:c>
      <x:c r="T2" s="18" t="str">
        <x:v>https://drive.google.com/drive/folders/1EWdZyTQjPSuoxt8n1nIr1t8D98PC-mso</x:v>
      </x:c>
      <x:c r="U2" s="18" t="str">
        <x:v>https://docs.google.com/document/d/1hR0UuZSmPpwZi384Vzn3sZt5Y5_ZwYxW6b3u4nq2-40/edit</x:v>
      </x:c>
      <x:c r="V2" t="n">
        <x:f>COUNTIF(Outcome_Data!$A:$A,A2)</x:f>
        <x:v>6</x:v>
      </x:c>
    </x:row>
    <x:row r="3">
      <x:c r="A3" s="18" t="str">
        <x:v>Zhou 2025</x:v>
      </x:c>
      <x:c r="B3" s="18" t="str">
        <x:v>Batch 16</x:v>
      </x:c>
      <x:c r="C3" s="18" t="str">
        <x:v>FULL REPLACEMENT</x:v>
      </x:c>
      <x:c r="D3" s="18" t="str">
        <x:v>Wrong analyzed n, acupoints/frequency, QoR-15 values and complete-data claim.</x:v>
      </x:c>
      <x:c r="E3" s="18" t="str">
        <x:v>Antigravity 'Gao 2018' row rejected; Zhou 2025 restored from source-grounded extraction</x:v>
      </x:c>
      <x:c r="F3" s="18" t="str">
        <x:v>(Antigravity matrix omitted/misidentified)</x:v>
      </x:c>
      <x:c r="G3" s="18" t="str"/>
      <x:c r="H3" s="18" t="str"/>
      <x:c r="I3" s="18" t="str">
        <x:v>Source-grounded correction: 100 randomized (50/group), 97 analyzed (48 TEAS, 49 sham). Primary QoR-15 on POD1: 112.00 ± 10.67 vs 107.62 ± 10.27 (P=0.042). POD1 resting VAS median 3 (3-4) vs 4 (4-5); POD1 PONV 10/48 vs 19/49. Exact 0-24 h opioid dose/MME not reported; rescue tramadol only reported as POD1-3 binary use 6/48 vs 13/49.</x:v>
      </x:c>
      <x:c r="J3" s="18" t="str">
        <x:v>No</x:v>
      </x:c>
      <x:c r="K3" s="18" t="str">
        <x:v>No</x:v>
      </x:c>
      <x:c r="L3" s="18" t="str">
        <x:v>Yes</x:v>
      </x:c>
      <x:c r="M3" s="18" t="str">
        <x:v>Global QoR-15</x:v>
      </x:c>
      <x:c r="N3" s="18" t="str">
        <x:v>POD1</x:v>
      </x:c>
      <x:c r="O3" s="18" t="str">
        <x:v>High</x:v>
      </x:c>
      <x:c r="P3" s="18" t="str">
        <x:v>PARTIAL — selected RoB corrected; source-normalized outcomes added</x:v>
      </x:c>
      <x:c r="Q3" s="18" t="str">
        <x:v>QoR-15 usable; exact 0-24 h opioid dose remains unreported</x:v>
      </x:c>
      <x:c r="R3" s="18" t="str">
        <x:v>SOURCE-NORMALIZED OUTCOME ROWS ADDED</x:v>
      </x:c>
      <x:c r="S3" s="18" t="str">
        <x:v>Source PDF / supplement / protocol / registration &gt; reconciled source extraction &gt; derivative model output</x:v>
      </x:c>
      <x:c r="T3" s="18" t="str">
        <x:v>https://drive.google.com/drive/folders/1EWdZyTQjPSuoxt8n1nIr1t8D98PC-mso</x:v>
      </x:c>
      <x:c r="U3" s="18" t="str">
        <x:v>https://docs.google.com/document/d/1hR0UuZSmPpwZi384Vzn3sZt5Y5_ZwYxW6b3u4nq2-40/edit</x:v>
      </x:c>
      <x:c r="V3" t="n">
        <x:f>COUNTIF(Outcome_Data!$A:$A,A3)</x:f>
        <x:v>6</x:v>
      </x:c>
    </x:row>
    <x:row r="4">
      <x:c r="A4" s="18" t="str">
        <x:v>Zhou 2021</x:v>
      </x:c>
      <x:c r="B4" s="18" t="str">
        <x:v>Batch 9</x:v>
      </x:c>
      <x:c r="C4" s="18" t="str">
        <x:v>FULL REPLACEMENT</x:v>
      </x:c>
      <x:c r="D4" s="18" t="str">
        <x:v>Stored RoB changes journal/design/sham, intervention and flatus result.</x:v>
      </x:c>
      <x:c r="E4" s="18" t="str"/>
      <x:c r="F4" s="18" t="str">
        <x:v>Zhou 2021</x:v>
      </x:c>
      <x:c r="G4" s="18" t="str">
        <x:v>433</x:v>
      </x:c>
      <x:c r="H4" s="18" t="str">
        <x:v>1879896611</x:v>
      </x:c>
      <x:c r="I4" s="18" t="str">
        <x:v>**Cumulative postoperative systemic opioid consumption (equivalent dose of morphine in mg / IV MME) (PRIMARY)**: TG (n=41) 8.94 ± 3.66 mg vs CG Usual care (n...</x:v>
      </x:c>
      <x:c r="J4" s="18" t="str">
        <x:v>Yes</x:v>
      </x:c>
      <x:c r="K4" s="18" t="str">
        <x:v>Yes</x:v>
      </x:c>
      <x:c r="L4" s="18" t="str">
        <x:v>Yes</x:v>
      </x:c>
      <x:c r="M4" s="18" t="str">
        <x:v>Time to first flatus</x:v>
      </x:c>
      <x:c r="N4" s="18" t="str">
        <x:v>Postoperative</x:v>
      </x:c>
      <x:c r="O4" s="18" t="str">
        <x:v>High</x:v>
      </x:c>
      <x:c r="P4" s="18" t="str">
        <x:v>PARTIAL — selected RoB corrected; source-normalized outcomes added</x:v>
      </x:c>
      <x:c r="Q4" s="18" t="str">
        <x:v>GI result usable with high RoB; opioid-equivalent result not strict 0-24 h</x:v>
      </x:c>
      <x:c r="R4" s="18" t="str">
        <x:v>SOURCE-NORMALIZED OUTCOME ROWS ADDED</x:v>
      </x:c>
      <x:c r="S4" s="18" t="str">
        <x:v>Source PDF / supplement / protocol / registration &gt; reconciled source extraction &gt; derivative model output</x:v>
      </x:c>
      <x:c r="T4" s="18" t="str">
        <x:v>https://drive.google.com/drive/folders/1EWdZyTQjPSuoxt8n1nIr1t8D98PC-mso</x:v>
      </x:c>
      <x:c r="U4" s="18" t="str">
        <x:v>https://docs.google.com/document/d/1hR0UuZSmPpwZi384Vzn3sZt5Y5_ZwYxW6b3u4nq2-40/edit</x:v>
      </x:c>
      <x:c r="V4" t="n">
        <x:f>COUNTIF(Outcome_Data!$A:$A,A4)</x:f>
        <x:v>2</x:v>
      </x:c>
    </x:row>
    <x:row r="5">
      <x:c r="A5" s="18" t="str">
        <x:v>Zheng 2025</x:v>
      </x:c>
      <x:c r="B5" s="18" t="str">
        <x:v>Batch 15</x:v>
      </x:c>
      <x:c r="C5" s="18" t="str">
        <x:v>FULL REPLACEMENT</x:v>
      </x:c>
      <x:c r="D5" s="18" t="str">
        <x:v>Invented 80/80 complete trial, postoperative session and PONV counts.</x:v>
      </x:c>
      <x:c r="E5" s="18" t="str"/>
      <x:c r="F5" s="18" t="str">
        <x:v>Zheng 2025</x:v>
      </x:c>
      <x:c r="G5" s="18" t="str">
        <x:v>72</x:v>
      </x:c>
      <x:c r="H5" s="18" t="str">
        <x:v>1879896014</x:v>
      </x:c>
      <x:c r="I5" s="18" t="str">
        <x:v>**Pain intensity at rest at 24h (NRS 0-10) (PRIMARY)**: TEAS (n=42) 1.70 ± 0.80 vs Sham TEAS (n=43) 2.20 ± 1.10 (P = 0.042*) [MD -0.50, 95% CI -0.91 to -0.09...</x:v>
      </x:c>
      <x:c r="J5" s="18" t="str">
        <x:v>Yes</x:v>
      </x:c>
      <x:c r="K5" s="18" t="str">
        <x:v>Yes</x:v>
      </x:c>
      <x:c r="L5" s="18" t="str">
        <x:v>Yes</x:v>
      </x:c>
      <x:c r="M5" s="18" t="str">
        <x:v>Any PONV</x:v>
      </x:c>
      <x:c r="N5" s="18" t="str">
        <x:v>Within 24 h</x:v>
      </x:c>
      <x:c r="O5" s="18" t="str">
        <x:v>Some concerns</x:v>
      </x:c>
      <x:c r="P5" s="18" t="str">
        <x:v>PARTIAL — selected RoB corrected; source-normalized outcomes added</x:v>
      </x:c>
      <x:c r="Q5" s="18" t="str">
        <x:v>Use reported percentages; 24-h postoperative sufentanil mass remains unavailable</x:v>
      </x:c>
      <x:c r="R5" s="18" t="str">
        <x:v>SOURCE-NORMALIZED OUTCOME ROWS ADDED</x:v>
      </x:c>
      <x:c r="S5" s="18" t="str">
        <x:v>Source PDF / supplement / protocol / registration &gt; reconciled source extraction &gt; derivative model output</x:v>
      </x:c>
      <x:c r="T5" s="18" t="str">
        <x:v>https://drive.google.com/drive/folders/1EWdZyTQjPSuoxt8n1nIr1t8D98PC-mso</x:v>
      </x:c>
      <x:c r="U5" s="18" t="str">
        <x:v>https://docs.google.com/document/d/1hR0UuZSmPpwZi384Vzn3sZt5Y5_ZwYxW6b3u4nq2-40/edit</x:v>
      </x:c>
      <x:c r="V5" t="n">
        <x:f>COUNTIF(Outcome_Data!$A:$A,A5)</x:f>
        <x:v>4</x:v>
      </x:c>
    </x:row>
    <x:row r="6">
      <x:c r="A6" s="18" t="str">
        <x:v>Zhan 2020</x:v>
      </x:c>
      <x:c r="B6" s="18" t="str">
        <x:v>Batch 6</x:v>
      </x:c>
      <x:c r="C6" s="18" t="str">
        <x:v>FULL REPLACEMENT</x:v>
      </x:c>
      <x:c r="D6" s="18" t="str">
        <x:v>Stored RoB invents sham structure and 24-h sufentanil endpoint not reported by source.</x:v>
      </x:c>
      <x:c r="E6" s="18" t="str"/>
      <x:c r="F6" s="18" t="str">
        <x:v>Zhan 2020</x:v>
      </x:c>
      <x:c r="G6" s="18" t="str">
        <x:v>1389</x:v>
      </x:c>
      <x:c r="H6" s="18" t="str">
        <x:v>1881841076</x:v>
      </x:c>
      <x:c r="I6" s="18" t="str">
        <x:v>**Pain intensity at rest at 24h (VAS 0-10) (PRIMARY)**: TAP+TEAS (n=30) 1.70 ± 2.20 vs TAP Control (n=30) 2.00 ± 3.00 (P = 0.03*) [MD -0.30, 95% CI -1.63 to ...</x:v>
      </x:c>
      <x:c r="J6" s="18" t="str">
        <x:v>Yes</x:v>
      </x:c>
      <x:c r="K6" s="18" t="str">
        <x:v>Yes</x:v>
      </x:c>
      <x:c r="L6" s="18" t="str">
        <x:v>Yes</x:v>
      </x:c>
      <x:c r="M6" s="18" t="str">
        <x:v>VAS pain intensity</x:v>
      </x:c>
      <x:c r="N6" s="18" t="str">
        <x:v>24 h</x:v>
      </x:c>
      <x:c r="O6" s="18" t="str">
        <x:v>High</x:v>
      </x:c>
      <x:c r="P6" s="18" t="str">
        <x:v>PARTIAL — selected RoB corrected; source-normalized QC rows added</x:v>
      </x:c>
      <x:c r="Q6" s="18" t="str">
        <x:v>Pain source format remains ambiguous; actual 24-h opioid consumption not reported</x:v>
      </x:c>
      <x:c r="R6" s="18" t="str">
        <x:v>SOURCE-NORMALIZED OUTCOME ROWS ADDED</x:v>
      </x:c>
      <x:c r="S6" s="18" t="str">
        <x:v>Source PDF / supplement / protocol / registration &gt; reconciled source extraction &gt; derivative model output</x:v>
      </x:c>
      <x:c r="T6" s="18" t="str">
        <x:v>https://drive.google.com/drive/folders/1EWdZyTQjPSuoxt8n1nIr1t8D98PC-mso</x:v>
      </x:c>
      <x:c r="U6" s="18" t="str">
        <x:v>https://docs.google.com/document/d/1hR0UuZSmPpwZi384Vzn3sZt5Y5_ZwYxW6b3u4nq2-40/edit</x:v>
      </x:c>
      <x:c r="V6" t="n">
        <x:f>COUNTIF(Outcome_Data!$A:$A,A6)</x:f>
        <x:v>2</x:v>
      </x:c>
    </x:row>
    <x:row r="7">
      <x:c r="A7" s="18" t="str">
        <x:v>Zhang 2025</x:v>
      </x:c>
      <x:c r="B7" s="18" t="str">
        <x:v>Batch 15</x:v>
      </x:c>
      <x:c r="C7" s="18" t="str">
        <x:v>FULL REPLACEMENT</x:v>
      </x:c>
      <x:c r="D7" s="18" t="str">
        <x:v>Changes surgery, sample, acupoints/schedule and pain/opioid results.</x:v>
      </x:c>
      <x:c r="E7" s="18" t="str"/>
      <x:c r="F7" s="18" t="str">
        <x:v>Zhang 2025</x:v>
      </x:c>
      <x:c r="G7" s="18" t="str">
        <x:v>71</x:v>
      </x:c>
      <x:c r="H7" s="18" t="str">
        <x:v>1879896013</x:v>
      </x:c>
      <x:c r="I7" s="18" t="str">
        <x:v>**Cumulative postoperative systemic opioid consumption at 24h (total sufentanil in IV MME) (PRIMARY)**: TEAS (n=45) 50.53 ± 4.46 mg vs Control Sham TEAS (n=4...</x:v>
      </x:c>
      <x:c r="J7" s="18" t="str">
        <x:v>Yes</x:v>
      </x:c>
      <x:c r="K7" s="18" t="str">
        <x:v>Yes</x:v>
      </x:c>
      <x:c r="L7" s="18" t="str">
        <x:v>Yes</x:v>
      </x:c>
      <x:c r="M7" s="18" t="str">
        <x:v>Total sufentanil consumption</x:v>
      </x:c>
      <x:c r="N7" s="18" t="str">
        <x:v>POD1 (~24 h)</x:v>
      </x:c>
      <x:c r="O7" s="18" t="str">
        <x:v>High</x:v>
      </x:c>
      <x:c r="P7" s="18" t="str">
        <x:v>PARTIAL — selected RoB corrected; source-normalized outcomes added</x:v>
      </x:c>
      <x:c r="Q7" s="18" t="str">
        <x:v>POD1 sufentanil is directly reported but strict 0-24-h clock window needs confirmation</x:v>
      </x:c>
      <x:c r="R7" s="18" t="str">
        <x:v>SOURCE-NORMALIZED OUTCOME ROWS ADDED</x:v>
      </x:c>
      <x:c r="S7" s="18" t="str">
        <x:v>Source PDF / supplement / protocol / registration &gt; reconciled source extraction &gt; derivative model output</x:v>
      </x:c>
      <x:c r="T7" s="18" t="str">
        <x:v>https://drive.google.com/drive/folders/1EWdZyTQjPSuoxt8n1nIr1t8D98PC-mso</x:v>
      </x:c>
      <x:c r="U7" s="18" t="str">
        <x:v>https://docs.google.com/document/d/1hR0UuZSmPpwZi384Vzn3sZt5Y5_ZwYxW6b3u4nq2-40/edit</x:v>
      </x:c>
      <x:c r="V7" t="n">
        <x:f>COUNTIF(Outcome_Data!$A:$A,A7)</x:f>
        <x:v>3</x:v>
      </x:c>
    </x:row>
    <x:row r="8">
      <x:c r="A8" s="18" t="str">
        <x:v>Zhang 2023</x:v>
      </x:c>
      <x:c r="B8" s="18" t="str">
        <x:v>Batch 12</x:v>
      </x:c>
      <x:c r="C8" s="18" t="str">
        <x:v>FULL REPLACEMENT</x:v>
      </x:c>
      <x:c r="D8" s="18" t="str">
        <x:v>Changes sample/analysis/intervention and fabricates first-voiding result.</x:v>
      </x:c>
      <x:c r="E8" s="18" t="str"/>
      <x:c r="F8" s="18" t="str">
        <x:v>Zhang 2023</x:v>
      </x:c>
      <x:c r="G8" s="18" t="str">
        <x:v>308</x:v>
      </x:c>
      <x:c r="H8" s="18" t="str">
        <x:v>1879896412</x:v>
      </x:c>
      <x:c r="I8" s="18" t="str">
        <x:v>**Cumulative postoperative systemic opioid consumption within 48h (IV MME)**: TEAS (n=922) median 110.0 mg (IQR 80.0-110.0) vs Sham TEAS (n=916) median 110.0...</x:v>
      </x:c>
      <x:c r="J8" s="18" t="str">
        <x:v>Yes</x:v>
      </x:c>
      <x:c r="K8" s="18" t="str">
        <x:v>Yes</x:v>
      </x:c>
      <x:c r="L8" s="18" t="str">
        <x:v>Yes</x:v>
      </x:c>
      <x:c r="M8" s="18" t="str">
        <x:v>Time to first spontaneous void</x:v>
      </x:c>
      <x:c r="N8" s="18" t="str">
        <x:v>Postoperative</x:v>
      </x:c>
      <x:c r="O8" s="18" t="str">
        <x:v>High</x:v>
      </x:c>
      <x:c r="P8" s="18" t="str">
        <x:v>PARTIAL — selected RoB corrected; source-normalized urinary/opioid rows added</x:v>
      </x:c>
      <x:c r="Q8" s="18" t="str">
        <x:v>Use Table 2 median 7.1 h for sham; 24-h opioid dose remains unavailable</x:v>
      </x:c>
      <x:c r="R8" s="18" t="str">
        <x:v>SOURCE-NORMALIZED OUTCOME ROWS ADDED</x:v>
      </x:c>
      <x:c r="S8" s="18" t="str">
        <x:v>Source PDF / supplement / protocol / registration &gt; reconciled source extraction &gt; derivative model output</x:v>
      </x:c>
      <x:c r="T8" s="18" t="str">
        <x:v>https://drive.google.com/drive/folders/1EWdZyTQjPSuoxt8n1nIr1t8D98PC-mso</x:v>
      </x:c>
      <x:c r="U8" s="18" t="str">
        <x:v>https://docs.google.com/document/d/1hR0UuZSmPpwZi384Vzn3sZt5Y5_ZwYxW6b3u4nq2-40/edit</x:v>
      </x:c>
      <x:c r="V8" t="n">
        <x:f>COUNTIF(Outcome_Data!$A:$A,A8)</x:f>
        <x:v>5</x:v>
      </x:c>
    </x:row>
    <x:row r="9">
      <x:c r="A9" s="18" t="str">
        <x:v>Zhang 2014</x:v>
      </x:c>
      <x:c r="B9" s="18" t="str">
        <x:v>Batch 4</x:v>
      </x:c>
      <x:c r="C9" s="18" t="str">
        <x:v>FULL REPLACEMENT</x:v>
      </x:c>
      <x:c r="D9" s="18" t="str">
        <x:v>RoB describes a different trial and QoR-40 endpoint.</x:v>
      </x:c>
      <x:c r="E9" s="18" t="str"/>
      <x:c r="F9" s="18" t="str">
        <x:v>Zhang 2014</x:v>
      </x:c>
      <x:c r="G9" s="18" t="str">
        <x:v>711</x:v>
      </x:c>
      <x:c r="H9" s="18" t="str">
        <x:v>1879897091</x:v>
      </x:c>
      <x:c r="I9" s="18" t="str">
        <x:v>**Intraoperative systemic remifentanil consumption rate (µg/kg/min)**: TEAS (n=33) 0.06 ± 0.02 vs Sham TEAS (n=32) 0.09 ± 0.03 (P = 0.01*) [MD -0.03, 95% CI ...</x:v>
      </x:c>
      <x:c r="J9" s="18" t="str">
        <x:v>Yes</x:v>
      </x:c>
      <x:c r="K9" s="18" t="str">
        <x:v>Yes</x:v>
      </x:c>
      <x:c r="L9" s="18" t="str">
        <x:v>Yes</x:v>
      </x:c>
      <x:c r="M9" s="18" t="str">
        <x:v>Recovery-room stay</x:v>
      </x:c>
      <x:c r="N9" s="18" t="str">
        <x:v>Recovery-room discharge</x:v>
      </x:c>
      <x:c r="O9" s="18" t="str">
        <x:v>Some concerns</x:v>
      </x:c>
      <x:c r="P9" s="18" t="str">
        <x:v>PARTIAL — selected RoB corrected; source-normalized recovery/intraop-opioid rows added</x:v>
      </x:c>
      <x:c r="Q9" s="18" t="str">
        <x:v>Use flowchart 65 randomized/analyzed; no exact postoperative 24-h opioid total</x:v>
      </x:c>
      <x:c r="R9" s="18" t="str">
        <x:v>SOURCE-NORMALIZED OUTCOME ROWS ADDED</x:v>
      </x:c>
      <x:c r="S9" s="18" t="str">
        <x:v>Source PDF / supplement / protocol / registration &gt; reconciled source extraction &gt; derivative model output</x:v>
      </x:c>
      <x:c r="T9" s="18" t="str">
        <x:v>https://drive.google.com/drive/folders/1EWdZyTQjPSuoxt8n1nIr1t8D98PC-mso</x:v>
      </x:c>
      <x:c r="U9" s="18" t="str">
        <x:v>https://docs.google.com/document/d/1hR0UuZSmPpwZi384Vzn3sZt5Y5_ZwYxW6b3u4nq2-40/edit</x:v>
      </x:c>
      <x:c r="V9" t="n">
        <x:f>COUNTIF(Outcome_Data!$A:$A,A9)</x:f>
        <x:v>5</x:v>
      </x:c>
    </x:row>
    <x:row r="10">
      <x:c r="A10" s="18" t="str">
        <x:v>Yu 2020</x:v>
      </x:c>
      <x:c r="B10" s="18" t="str">
        <x:v>Batch 6</x:v>
      </x:c>
      <x:c r="C10" s="18" t="str">
        <x:v>FULL REPLACEMENT</x:v>
      </x:c>
      <x:c r="D10" s="18" t="str">
        <x:v>Changes protocol/result and incorrectly treats retrospective registration as prospective.</x:v>
      </x:c>
      <x:c r="E10" s="18" t="str"/>
      <x:c r="F10" s="18" t="str">
        <x:v>Yu 2020</x:v>
      </x:c>
      <x:c r="G10" s="18" t="str">
        <x:v>483</x:v>
      </x:c>
      <x:c r="H10" s="18" t="str">
        <x:v>1879896692</x:v>
      </x:c>
      <x:c r="I10" s="18" t="str">
        <x:v>**Pain intensity at rest at 24h (VAS 0-10) (PRIMARY)**: TEAS (n=30) 3.70 ± 1.53 vs Con Sham TEAS (n=30) 4.73 ± 1.53 (P &lt; 0.05*) [MD -1.03, 95% CI -1.81 to -0...</x:v>
      </x:c>
      <x:c r="J10" s="18" t="str">
        <x:v>Yes</x:v>
      </x:c>
      <x:c r="K10" s="18" t="str">
        <x:v>Yes</x:v>
      </x:c>
      <x:c r="L10" s="18" t="str">
        <x:v>Yes</x:v>
      </x:c>
      <x:c r="M10" s="18" t="str">
        <x:v>Global QoR-40</x:v>
      </x:c>
      <x:c r="N10" s="18" t="str">
        <x:v>POD1 (~24 h)</x:v>
      </x:c>
      <x:c r="O10" s="18" t="str">
        <x:v>High</x:v>
      </x:c>
      <x:c r="P10" s="18" t="str">
        <x:v>PARTIALLY READY — corrected RoB available for one selected result; confirm outcome matches planned synthesis</x:v>
      </x:c>
      <x:c r="Q10" s="18" t="str">
        <x:v>Use source data; DO NOT use original stored RoB. Rebuild result-specific RoB.</x:v>
      </x:c>
      <x:c r="R10" s="18" t="str">
        <x:v>Candidate summary from Antigravity report; use only after source-level confirmation</x:v>
      </x:c>
      <x:c r="S10" s="18" t="str">
        <x:v>Source PDF / supplement / protocol / registration &gt; reconciled source extraction &gt; derivative model output</x:v>
      </x:c>
      <x:c r="T10" s="18" t="str">
        <x:v>https://drive.google.com/drive/folders/1EWdZyTQjPSuoxt8n1nIr1t8D98PC-mso</x:v>
      </x:c>
      <x:c r="U10" s="18" t="str">
        <x:v>https://docs.google.com/document/d/1hR0UuZSmPpwZi384Vzn3sZt5Y5_ZwYxW6b3u4nq2-40/edit</x:v>
      </x:c>
      <x:c r="V10" t="n">
        <x:f>COUNTIF(Outcome_Data!$A:$A,A10)</x:f>
        <x:v>1</x:v>
      </x:c>
    </x:row>
    <x:row r="11">
      <x:c r="A11" s="18" t="str">
        <x:v>Yeh 2010</x:v>
      </x:c>
      <x:c r="B11" s="18" t="str">
        <x:v>Batch 2</x:v>
      </x:c>
      <x:c r="C11" s="18" t="str">
        <x:v>SPECIAL / SOURCE-QC</x:v>
      </x:c>
      <x:c r="D11" s="18" t="str">
        <x:v>Probable/possible cohort overlap with Yeh 2011; epidural morphine route requires clarification before systemic MME use.</x:v>
      </x:c>
      <x:c r="E11" s="18" t="str"/>
      <x:c r="F11" s="18" t="str">
        <x:v>Yeh 2010</x:v>
      </x:c>
      <x:c r="G11" s="18" t="str">
        <x:v>828</x:v>
      </x:c>
      <x:c r="H11" s="18" t="str">
        <x:v>1879897280</x:v>
      </x:c>
      <x:c r="I11" s="18" t="str">
        <x:v>**Cumulative postoperative systemic opioid consumption at 24h (PRIMARY)**: AES (n=30) 19.3 ± 9.7 mg vs Sham AES (n=30) 21.6 ± 13.1 mg (P = 0.443) [MD -2.30 m...</x:v>
      </x:c>
      <x:c r="J11" s="18" t="str">
        <x:v>Yes</x:v>
      </x:c>
      <x:c r="K11" s="18" t="str">
        <x:v>Yes</x:v>
      </x:c>
      <x:c r="L11" s="18" t="str">
        <x:v>Yes</x:v>
      </x:c>
      <x:c r="M11" s="18" t="str">
        <x:v>24-h morphine PCA dose</x:v>
      </x:c>
      <x:c r="N11" s="18" t="str">
        <x:v>First 24 postoperative hours</x:v>
      </x:c>
      <x:c r="O11" s="18" t="str">
        <x:v>Some concerns</x:v>
      </x:c>
      <x:c r="P11" s="18" t="str">
        <x:v>SOURCE-NORMALIZED — DUPLICATE/OVERLAP HOLD</x:v>
      </x:c>
      <x:c r="Q11" s="18" t="str">
        <x:v>Do not count independently from Yeh 2011 until cohort overlap is resolved; PCA route is printed as epidural.</x:v>
      </x:c>
      <x:c r="R11" s="18" t="str">
        <x:v>SOURCE-NORMALIZED OUTCOME ROWS ADDED</x:v>
      </x:c>
      <x:c r="S11" s="18" t="str">
        <x:v>Source PDF / supplement / protocol / registration &gt; reconciled source extraction &gt; derivative model output</x:v>
      </x:c>
      <x:c r="T11" s="18" t="str">
        <x:v>https://drive.google.com/drive/folders/1EWdZyTQjPSuoxt8n1nIr1t8D98PC-mso</x:v>
      </x:c>
      <x:c r="U11" s="18" t="str">
        <x:v>https://docs.google.com/document/d/1hR0UuZSmPpwZi384Vzn3sZt5Y5_ZwYxW6b3u4nq2-40/edit</x:v>
      </x:c>
      <x:c r="V11" t="n">
        <x:f>COUNTIF(Outcome_Data!$A:$A,A11)</x:f>
        <x:v>2</x:v>
      </x:c>
    </x:row>
    <x:row r="12">
      <x:c r="A12" s="18" t="str">
        <x:v>Yeh 2011</x:v>
      </x:c>
      <x:c r="B12" s="18" t="str">
        <x:v>Batch 2</x:v>
      </x:c>
      <x:c r="C12" s="18" t="str">
        <x:v>SPECIAL / SOURCE-QC</x:v>
      </x:c>
      <x:c r="D12" s="18" t="str">
        <x:v>Possible cohort overlap with Yeh 2010; do not count both as independent until resolved.</x:v>
      </x:c>
      <x:c r="E12" s="18" t="str">
        <x:v>Yeh 2010 (ATHM) → Yeh 2011</x:v>
      </x:c>
      <x:c r="F12" s="18" t="str">
        <x:v>Yeh 2010 (ATHM)</x:v>
      </x:c>
      <x:c r="G12" s="18" t="str">
        <x:v>823</x:v>
      </x:c>
      <x:c r="H12" s="18" t="str">
        <x:v>1879897273</x:v>
      </x:c>
      <x:c r="I12" s="18" t="str">
        <x:v>**Cumulative postoperative systemic opioid consumption at 24h (PRIMARY)**: EG1 True AES (n=33) 18.6 ± 9.7 mg vs EG2 Sham AES (n=30) 21.6 ± 13.1 mg (P = 0.364...</x:v>
      </x:c>
      <x:c r="J12" s="18" t="str">
        <x:v>Yes</x:v>
      </x:c>
      <x:c r="K12" s="18" t="str">
        <x:v>Yes</x:v>
      </x:c>
      <x:c r="L12" s="18" t="str">
        <x:v>Yes</x:v>
      </x:c>
      <x:c r="M12" s="18" t="str">
        <x:v>24-h IV morphine PCA dose</x:v>
      </x:c>
      <x:c r="N12" s="18" t="str">
        <x:v>First 24 postoperative hours</x:v>
      </x:c>
      <x:c r="O12" s="18" t="str">
        <x:v>Some concerns</x:v>
      </x:c>
      <x:c r="P12" s="18" t="str">
        <x:v>SOURCE-NORMALIZED — DUPLICATE/OVERLAP HOLD</x:v>
      </x:c>
      <x:c r="Q12" s="18" t="str">
        <x:v>Do not count independently from Yeh 2010 until cohort overlap is resolved.</x:v>
      </x:c>
      <x:c r="R12" s="18" t="str">
        <x:v>SOURCE-NORMALIZED OUTCOME ROWS ADDED</x:v>
      </x:c>
      <x:c r="S12" s="18" t="str">
        <x:v>Source PDF / supplement / protocol / registration &gt; reconciled source extraction &gt; derivative model output</x:v>
      </x:c>
      <x:c r="T12" s="18" t="str">
        <x:v>https://drive.google.com/drive/folders/1EWdZyTQjPSuoxt8n1nIr1t8D98PC-mso</x:v>
      </x:c>
      <x:c r="U12" s="18" t="str">
        <x:v>https://docs.google.com/document/d/1hR0UuZSmPpwZi384Vzn3sZt5Y5_ZwYxW6b3u4nq2-40/edit</x:v>
      </x:c>
      <x:c r="V12" t="n">
        <x:f>COUNTIF(Outcome_Data!$A:$A,A12)</x:f>
        <x:v>2</x:v>
      </x:c>
    </x:row>
    <x:row r="13">
      <x:c r="A13" s="18" t="str">
        <x:v>Yao 2015</x:v>
      </x:c>
      <x:c r="B13" s="18" t="str">
        <x:v>Batch 4</x:v>
      </x:c>
      <x:c r="C13" s="18" t="str">
        <x:v>FULL REPLACEMENT</x:v>
      </x:c>
      <x:c r="D13" s="18" t="str">
        <x:v>RoB changes sample, intervention and QoR-40 values.</x:v>
      </x:c>
      <x:c r="E13" s="18" t="str"/>
      <x:c r="F13" s="18" t="str">
        <x:v>Yao 2015</x:v>
      </x:c>
      <x:c r="G13" s="18" t="str">
        <x:v>671</x:v>
      </x:c>
      <x:c r="H13" s="18" t="str">
        <x:v>1879897026</x:v>
      </x:c>
      <x:c r="I13" s="18" t="str">
        <x:v>**Quality of recovery (QoR-40 global score at 24h) (PRIMARY)**: TEAS (n=35) 176.5 ± 10.2 vs Sham TEAS (n=36) 164.8 ± 14.7 (P &lt; 0.001*) [MD 11.70, 95% CI 5.80...</x:v>
      </x:c>
      <x:c r="J13" s="18" t="str">
        <x:v>Yes</x:v>
      </x:c>
      <x:c r="K13" s="18" t="str">
        <x:v>Yes</x:v>
      </x:c>
      <x:c r="L13" s="18" t="str">
        <x:v>Yes</x:v>
      </x:c>
      <x:c r="M13" s="18" t="str">
        <x:v>Global QoR-40</x:v>
      </x:c>
      <x:c r="N13" s="18" t="str">
        <x:v>24 h</x:v>
      </x:c>
      <x:c r="O13" s="18" t="str">
        <x:v>High</x:v>
      </x:c>
      <x:c r="P13" s="18" t="str">
        <x:v>PARTIALLY READY — corrected RoB available for one selected result; confirm outcome matches planned synthesis</x:v>
      </x:c>
      <x:c r="Q13" s="18" t="str">
        <x:v>Use source data; DO NOT use original stored RoB. Rebuild result-specific RoB.</x:v>
      </x:c>
      <x:c r="R13" s="18" t="str">
        <x:v>Candidate summary from Antigravity report; use only after source-level confirmation</x:v>
      </x:c>
      <x:c r="S13" s="18" t="str">
        <x:v>Source PDF / supplement / protocol / registration &gt; reconciled source extraction &gt; derivative model output</x:v>
      </x:c>
      <x:c r="T13" s="18" t="str">
        <x:v>https://drive.google.com/drive/folders/1EWdZyTQjPSuoxt8n1nIr1t8D98PC-mso</x:v>
      </x:c>
      <x:c r="U13" s="18" t="str">
        <x:v>https://docs.google.com/document/d/1hR0UuZSmPpwZi384Vzn3sZt5Y5_ZwYxW6b3u4nq2-40/edit</x:v>
      </x:c>
      <x:c r="V13" t="n">
        <x:f>COUNTIF(Outcome_Data!$A:$A,A13)</x:f>
        <x:v>1</x:v>
      </x:c>
    </x:row>
    <x:row r="14">
      <x:c r="A14" s="18" t="str">
        <x:v>Yang 2020</x:v>
      </x:c>
      <x:c r="B14" s="18" t="str">
        <x:v>Batch 20</x:v>
      </x:c>
      <x:c r="C14" s="18" t="str">
        <x:v>FULL REPLACEMENT</x:v>
      </x:c>
      <x:c r="D14" s="18" t="str">
        <x:v>Wang-labeled RoB is a fabricated laparoscopic-cholecystectomy sham trial; true source is open-label VATS EA/usual-care study.</x:v>
      </x:c>
      <x:c r="E14" s="18" t="str"/>
      <x:c r="F14" s="18" t="str">
        <x:v>Yang 2020</x:v>
      </x:c>
      <x:c r="G14" s="18" t="str">
        <x:v>464</x:v>
      </x:c>
      <x:c r="H14" s="18" t="str">
        <x:v>1879896661</x:v>
      </x:c>
      <x:c r="I14" s="18" t="str">
        <x:v>**Postoperative nausea incidence 0-24h (PRIMARY)**: EA (n=29) 8/29 (27.59%) vs Usual care (n=28) 8/28 (28.57%) (P = 0.934) [RR 0.97, 95% CI 0.42 to 2.24]. **...</x:v>
      </x:c>
      <x:c r="J14" s="18" t="str">
        <x:v>Yes</x:v>
      </x:c>
      <x:c r="K14" s="18" t="str">
        <x:v>Yes</x:v>
      </x:c>
      <x:c r="L14" s="18" t="str">
        <x:v>Yes</x:v>
      </x:c>
      <x:c r="M14" s="18" t="str">
        <x:v>Time to first postoperative flatus</x:v>
      </x:c>
      <x:c r="N14" s="18" t="str">
        <x:v>Time to event</x:v>
      </x:c>
      <x:c r="O14" s="18" t="str">
        <x:v>Some concerns</x:v>
      </x:c>
      <x:c r="P14" s="18" t="str">
        <x:v>PARTIALLY READY — corrected RoB available for one selected result; confirm outcome matches planned synthesis</x:v>
      </x:c>
      <x:c r="Q14" s="18" t="str">
        <x:v>Use source data; DO NOT use original stored RoB. Rebuild result-specific RoB.</x:v>
      </x:c>
      <x:c r="R14" s="18" t="str">
        <x:v>Candidate summary from Antigravity report; use only after source-level confirmation</x:v>
      </x:c>
      <x:c r="S14" s="18" t="str">
        <x:v>Source PDF / supplement / protocol / registration &gt; reconciled source extraction &gt; derivative model output</x:v>
      </x:c>
      <x:c r="T14" s="18" t="str">
        <x:v>https://drive.google.com/drive/folders/1EWdZyTQjPSuoxt8n1nIr1t8D98PC-mso</x:v>
      </x:c>
      <x:c r="U14" s="18" t="str">
        <x:v>https://docs.google.com/document/d/1hR0UuZSmPpwZi384Vzn3sZt5Y5_ZwYxW6b3u4nq2-40/edit</x:v>
      </x:c>
      <x:c r="V14" t="n">
        <x:f>COUNTIF(Outcome_Data!$A:$A,A14)</x:f>
        <x:v>1</x:v>
      </x:c>
    </x:row>
    <x:row r="15">
      <x:c r="A15" s="18" t="str">
        <x:v>Yang 2024</x:v>
      </x:c>
      <x:c r="B15" s="18" t="str">
        <x:v>Batch 14</x:v>
      </x:c>
      <x:c r="C15" s="18" t="str">
        <x:v>FULL REPLACEMENT</x:v>
      </x:c>
      <x:c r="D15" s="18" t="str">
        <x:v>Zhang-labeled RoB changes study identity, surgery, comparator, blinding and PONV result.</x:v>
      </x:c>
      <x:c r="E15" s="18" t="str">
        <x:v>Yang 2023 → Yang 2024</x:v>
      </x:c>
      <x:c r="F15" s="18" t="str">
        <x:v>Yang 2023</x:v>
      </x:c>
      <x:c r="G15" s="18" t="str">
        <x:v>252</x:v>
      </x:c>
      <x:c r="H15" s="18" t="str">
        <x:v>1879896323</x:v>
      </x:c>
      <x:c r="I15" s="18" t="str">
        <x:v>**Cumulative postoperative systemic opioid consumption on POD 1 (24h) (PRIMARY)**: EA (n=90) 43.7 ± 4.7 mg vs Usual care (n=90) 44.0 ± 4.9 mg (P = 0.733) [MD...</x:v>
      </x:c>
      <x:c r="J15" s="18" t="str">
        <x:v>Yes</x:v>
      </x:c>
      <x:c r="K15" s="18" t="str">
        <x:v>Yes</x:v>
      </x:c>
      <x:c r="L15" s="18" t="str">
        <x:v>Yes</x:v>
      </x:c>
      <x:c r="M15" s="18" t="str">
        <x:v>Morphine use via IV PCA</x:v>
      </x:c>
      <x:c r="N15" s="18" t="str">
        <x:v>First 24 h / POD1</x:v>
      </x:c>
      <x:c r="O15" s="18" t="str">
        <x:v>Some concerns</x:v>
      </x:c>
      <x:c r="P15" s="18" t="str">
        <x:v>PARTIAL — selected RoB corrected; exact 24-h morphine row added</x:v>
      </x:c>
      <x:c r="Q15" s="18" t="str">
        <x:v>Exact 24-h morphine endpoint is directly usable; retain open-label design in interpretation</x:v>
      </x:c>
      <x:c r="R15" s="18" t="str">
        <x:v>SOURCE-NORMALIZED OUTCOME ROWS ADDED</x:v>
      </x:c>
      <x:c r="S15" s="18" t="str">
        <x:v>Source PDF / supplement / protocol / registration &gt; reconciled source extraction &gt; derivative model output</x:v>
      </x:c>
      <x:c r="T15" s="18" t="str">
        <x:v>https://drive.google.com/drive/folders/1EWdZyTQjPSuoxt8n1nIr1t8D98PC-mso</x:v>
      </x:c>
      <x:c r="U15" s="18" t="str">
        <x:v>https://docs.google.com/document/d/1hR0UuZSmPpwZi384Vzn3sZt5Y5_ZwYxW6b3u4nq2-40/edit</x:v>
      </x:c>
      <x:c r="V15" t="n">
        <x:f>COUNTIF(Outcome_Data!$A:$A,A15)</x:f>
        <x:v>4</x:v>
      </x:c>
    </x:row>
    <x:row r="16">
      <x:c r="A16" s="18" t="str">
        <x:v>Xiong 2021</x:v>
      </x:c>
      <x:c r="B16" s="18" t="str">
        <x:v>Batch 7</x:v>
      </x:c>
      <x:c r="C16" s="18" t="str">
        <x:v>RE-ADJUDICATE</x:v>
      </x:c>
      <x:c r="D16" s="18" t="str">
        <x:v>Correct study/result, but cointervention doses, caregiver awareness, baseline evidence and prespecification handling are wrong.</x:v>
      </x:c>
      <x:c r="E16" s="18" t="str"/>
      <x:c r="F16" s="18" t="str">
        <x:v>Xiong 2021</x:v>
      </x:c>
      <x:c r="G16" s="18" t="str">
        <x:v>431</x:v>
      </x:c>
      <x:c r="H16" s="18" t="str">
        <x:v>1879896608</x:v>
      </x:c>
      <x:c r="I16" s="18" t="str">
        <x:v>**Composite PONV incidence 0-24h (PRIMARY)**: TEAS (n=31) 12/31 (38.7%) vs Sham TEAS (n=31) 24/31 (77.4%) (P = 0.002*) [RR 0.50, 95% CI 0.31 to 0.81]. **Comp...</x:v>
      </x:c>
      <x:c r="J16" s="18" t="str">
        <x:v>Yes</x:v>
      </x:c>
      <x:c r="K16" s="18" t="str">
        <x:v>Yes</x:v>
      </x:c>
      <x:c r="L16" s="18" t="str">
        <x:v>Yes</x:v>
      </x:c>
      <x:c r="M16" s="18" t="str">
        <x:v>Any PONV</x:v>
      </x:c>
      <x:c r="N16" s="18" t="str">
        <x:v>Within 48 h</x:v>
      </x:c>
      <x:c r="O16" s="18" t="str">
        <x:v>Some concerns</x:v>
      </x:c>
      <x:c r="P16" s="18" t="str">
        <x:v>PARTIAL — source-matched RoB re-adjudicated; PONV/opioid rows added</x:v>
      </x:c>
      <x:c r="Q16" s="18" t="str">
        <x:v>48-h PONV usable; postoperative opioid-equivalent window remains unclear</x:v>
      </x:c>
      <x:c r="R16" s="18" t="str">
        <x:v>SOURCE-NORMALIZED OUTCOME ROWS ADDED</x:v>
      </x:c>
      <x:c r="S16" s="18" t="str">
        <x:v>Source PDF / supplement / protocol / registration &gt; reconciled source extraction &gt; derivative model output</x:v>
      </x:c>
      <x:c r="T16" s="18" t="str">
        <x:v>https://drive.google.com/drive/folders/1EWdZyTQjPSuoxt8n1nIr1t8D98PC-mso</x:v>
      </x:c>
      <x:c r="U16" s="18" t="str">
        <x:v>https://docs.google.com/document/d/1hR0UuZSmPpwZi384Vzn3sZt5Y5_ZwYxW6b3u4nq2-40/edit</x:v>
      </x:c>
      <x:c r="V16" t="n">
        <x:f>COUNTIF(Outcome_Data!$A:$A,A16)</x:f>
        <x:v>5</x:v>
      </x:c>
    </x:row>
    <x:row r="17">
      <x:c r="A17" s="18" t="str">
        <x:v>Xing 2022</x:v>
      </x:c>
      <x:c r="B17" s="18" t="str">
        <x:v>Batch 10</x:v>
      </x:c>
      <x:c r="C17" s="18" t="str">
        <x:v>FULL REPLACEMENT</x:v>
      </x:c>
      <x:c r="D17" s="18" t="str">
        <x:v>Attached Wang RoB is a different colorectal trial with fabricated flatus values.</x:v>
      </x:c>
      <x:c r="E17" s="18" t="str"/>
      <x:c r="F17" s="18" t="str">
        <x:v>Xing 2022</x:v>
      </x:c>
      <x:c r="G17" s="18" t="str">
        <x:v>338</x:v>
      </x:c>
      <x:c r="H17" s="18" t="str">
        <x:v>1879896460</x:v>
      </x:c>
      <x:c r="I17" s="18" t="str">
        <x:v>**Pain intensity at rest at 24h (PRIMARY)**: TEAS+TAPB (n=29) 1.18 ± 0.42 vs Sham TEAS+TAPB (n=29) 1.40 ± 0.52 (P &lt; 0.05*) [MD -0.22, 95% CI -0.46 to 0.02]; ...</x:v>
      </x:c>
      <x:c r="J17" s="18" t="str">
        <x:v>Yes</x:v>
      </x:c>
      <x:c r="K17" s="18" t="str">
        <x:v>Yes</x:v>
      </x:c>
      <x:c r="L17" s="18" t="str">
        <x:v>Yes</x:v>
      </x:c>
      <x:c r="M17" s="18" t="str">
        <x:v>Total intraoperative remifentanil consumption</x:v>
      </x:c>
      <x:c r="N17" s="18" t="str">
        <x:v>Intraoperative</x:v>
      </x:c>
      <x:c r="O17" s="18" t="str">
        <x:v>Some concerns</x:v>
      </x:c>
      <x:c r="P17" s="18" t="str">
        <x:v>PARTIAL — selected RoB corrected; three-arm incremental TEAS rows added</x:v>
      </x:c>
      <x:c r="Q17" s="18" t="str">
        <x:v>Use NTG vs NG for TEAS-specific effect; exact 24-h postoperative sufentanil remains unavailable</x:v>
      </x:c>
      <x:c r="R17" s="18" t="str">
        <x:v>SOURCE-NORMALIZED OUTCOME ROWS ADDED</x:v>
      </x:c>
      <x:c r="S17" s="18" t="str">
        <x:v>Source PDF / supplement / protocol / registration &gt; reconciled source extraction &gt; derivative model output</x:v>
      </x:c>
      <x:c r="T17" s="18" t="str">
        <x:v>https://drive.google.com/drive/folders/1EWdZyTQjPSuoxt8n1nIr1t8D98PC-mso</x:v>
      </x:c>
      <x:c r="U17" s="18" t="str">
        <x:v>https://docs.google.com/document/d/1hR0UuZSmPpwZi384Vzn3sZt5Y5_ZwYxW6b3u4nq2-40/edit</x:v>
      </x:c>
      <x:c r="V17" t="n">
        <x:f>COUNTIF(Outcome_Data!$A:$A,A17)</x:f>
        <x:v>6</x:v>
      </x:c>
    </x:row>
    <x:row r="18">
      <x:c r="A18" s="18" t="str">
        <x:v>Xie 2014</x:v>
      </x:c>
      <x:c r="B18" s="18" t="str">
        <x:v>Batch 4</x:v>
      </x:c>
      <x:c r="C18" s="18" t="str">
        <x:v>FULL REPLACEMENT</x:v>
      </x:c>
      <x:c r="D18" s="18" t="str">
        <x:v>Stored RoB describes a different laparoscopic-cholecystectomy trial/result.</x:v>
      </x:c>
      <x:c r="E18" s="18" t="str"/>
      <x:c r="F18" s="18" t="str">
        <x:v>Xie 2014</x:v>
      </x:c>
      <x:c r="G18" s="18" t="str">
        <x:v>701</x:v>
      </x:c>
      <x:c r="H18" s="18" t="str">
        <x:v>1879897074</x:v>
      </x:c>
      <x:c r="I18" s="18" t="str">
        <x:v>**Cumulative postoperative systemic opioid consumption through POD 3 (PRIMARY)**: EAS (n=20) 115.0 ± 6.0 µg vs Sham EA (n=20) 133.5 ± 7.0 µg (P &lt; 0.05*) [MD ...</x:v>
      </x:c>
      <x:c r="J18" s="18" t="str">
        <x:v>Yes</x:v>
      </x:c>
      <x:c r="K18" s="18" t="str">
        <x:v>Yes</x:v>
      </x:c>
      <x:c r="L18" s="18" t="str">
        <x:v>Yes</x:v>
      </x:c>
      <x:c r="M18" s="18" t="str">
        <x:v>Total postoperative/perioperative sufentanil</x:v>
      </x:c>
      <x:c r="N18" s="18" t="str">
        <x:v>Study PCA period</x:v>
      </x:c>
      <x:c r="O18" s="18" t="str">
        <x:v>Some concerns</x:v>
      </x:c>
      <x:c r="P18" s="18" t="str">
        <x:v>PARTIAL — selected RoB corrected; total-sufentanil and demand rows added</x:v>
      </x:c>
      <x:c r="Q18" s="18" t="str">
        <x:v>Do not relabel total sufentanil as 24-h; preserve three arms and unresolved PCA time window</x:v>
      </x:c>
      <x:c r="R18" s="18" t="str">
        <x:v>SOURCE-NORMALIZED OUTCOME ROWS ADDED</x:v>
      </x:c>
      <x:c r="S18" s="18" t="str">
        <x:v>Source PDF / supplement / protocol / registration &gt; reconciled source extraction &gt; derivative model output</x:v>
      </x:c>
      <x:c r="T18" s="18" t="str">
        <x:v>https://drive.google.com/drive/folders/1EWdZyTQjPSuoxt8n1nIr1t8D98PC-mso</x:v>
      </x:c>
      <x:c r="U18" s="18" t="str">
        <x:v>https://docs.google.com/document/d/1hR0UuZSmPpwZi384Vzn3sZt5Y5_ZwYxW6b3u4nq2-40/edit</x:v>
      </x:c>
      <x:c r="V18" t="n">
        <x:f>COUNTIF(Outcome_Data!$A:$A,A18)</x:f>
        <x:v>4</x:v>
      </x:c>
    </x:row>
    <x:row r="19">
      <x:c r="A19" s="18" t="str">
        <x:v>Wu 2022</x:v>
      </x:c>
      <x:c r="B19" s="18" t="str">
        <x:v>Batch 9</x:v>
      </x:c>
      <x:c r="C19" s="18" t="str">
        <x:v>FULL REPLACEMENT</x:v>
      </x:c>
      <x:c r="D19" s="18" t="str">
        <x:v>Gemini and attached Xiao RoB are cross-contaminated with different studies.</x:v>
      </x:c>
      <x:c r="E19" s="18" t="str"/>
      <x:c r="F19" s="18" t="str">
        <x:v>Wu 2022</x:v>
      </x:c>
      <x:c r="G19" s="18" t="str">
        <x:v>332</x:v>
      </x:c>
      <x:c r="H19" s="18" t="str">
        <x:v>1879896450</x:v>
      </x:c>
      <x:c r="I19" s="18" t="str">
        <x:v>**Pain intensity at 24h (PRIMARY)**: pTEAS (n=44) 1.77 ± 0.91 vs Control (n=40) 2.25 ± 0.71 (P = 0.009*) [MD -0.48, 95% CI -0.83 to -0.13]. **Pain intensity ...</x:v>
      </x:c>
      <x:c r="J19" s="18" t="str">
        <x:v>Yes</x:v>
      </x:c>
      <x:c r="K19" s="18" t="str">
        <x:v>Yes</x:v>
      </x:c>
      <x:c r="L19" s="18" t="str">
        <x:v>Yes</x:v>
      </x:c>
      <x:c r="M19" s="18" t="str">
        <x:v>VAS pain intensity</x:v>
      </x:c>
      <x:c r="N19" s="18" t="str">
        <x:v>POD1</x:v>
      </x:c>
      <x:c r="O19" s="18" t="str">
        <x:v>High</x:v>
      </x:c>
      <x:c r="P19" s="18" t="str">
        <x:v>PARTIAL — selected RoB corrected; pain/intraop-opioid rows added</x:v>
      </x:c>
      <x:c r="Q19" s="18" t="str">
        <x:v>Do not infer 24-h postoperative opioid consumption; asymmetric attrition materially affects subjective outcomes</x:v>
      </x:c>
      <x:c r="R19" s="18" t="str">
        <x:v>SOURCE-NORMALIZED OUTCOME ROWS ADDED</x:v>
      </x:c>
      <x:c r="S19" s="18" t="str">
        <x:v>Source PDF / supplement / protocol / registration &gt; reconciled source extraction &gt; derivative model output</x:v>
      </x:c>
      <x:c r="T19" s="18" t="str">
        <x:v>https://drive.google.com/drive/folders/1EWdZyTQjPSuoxt8n1nIr1t8D98PC-mso</x:v>
      </x:c>
      <x:c r="U19" s="18" t="str">
        <x:v>https://docs.google.com/document/d/1hR0UuZSmPpwZi384Vzn3sZt5Y5_ZwYxW6b3u4nq2-40/edit</x:v>
      </x:c>
      <x:c r="V19" t="n">
        <x:f>COUNTIF(Outcome_Data!$A:$A,A19)</x:f>
        <x:v>4</x:v>
      </x:c>
    </x:row>
    <x:row r="20">
      <x:c r="A20" s="18" t="str">
        <x:v>Wu 2025</x:v>
      </x:c>
      <x:c r="B20" s="18" t="str">
        <x:v>Batch 15</x:v>
      </x:c>
      <x:c r="C20" s="18" t="str">
        <x:v>FULL REPLACEMENT</x:v>
      </x:c>
      <x:c r="D20" s="18" t="str">
        <x:v>Changes surgery/protocol, pain values and falsely claims complete 24-h follow-up.</x:v>
      </x:c>
      <x:c r="E20" s="18" t="str"/>
      <x:c r="F20" s="18" t="str">
        <x:v>Wu 2025</x:v>
      </x:c>
      <x:c r="G20" s="18" t="str">
        <x:v>122</x:v>
      </x:c>
      <x:c r="H20" s="18" t="str">
        <x:v>1879896116</x:v>
      </x:c>
      <x:c r="I20" s="18" t="str">
        <x:v>**Pain intensity at rest at 24h (PRIMARY)**: TEAS (n=50) 1.7 ± 0.9 vs Sham TEAS (n=50) 4.0 ± 1.4 (P &lt; 0.001*) [MD -2.30, 95% CI -2.76 to -1.84]. **Pain inten...</x:v>
      </x:c>
      <x:c r="J20" s="18" t="str">
        <x:v>Yes</x:v>
      </x:c>
      <x:c r="K20" s="18" t="str">
        <x:v>Yes</x:v>
      </x:c>
      <x:c r="L20" s="18" t="str">
        <x:v>Yes</x:v>
      </x:c>
      <x:c r="M20" s="18" t="str">
        <x:v>VAS pain intensity</x:v>
      </x:c>
      <x:c r="N20" s="18" t="str">
        <x:v>24 h</x:v>
      </x:c>
      <x:c r="O20" s="18" t="str">
        <x:v>High</x:v>
      </x:c>
      <x:c r="P20" s="18" t="str">
        <x:v>PARTIAL — selected RoB corrected; exact 24-h pain and missing-opioid rows added</x:v>
      </x:c>
      <x:c r="Q20" s="18" t="str">
        <x:v>24-h pain usable with high RoB; continuous 24-h MME cannot be calculated from mixed rescue regimen</x:v>
      </x:c>
      <x:c r="R20" s="18" t="str">
        <x:v>SOURCE-NORMALIZED OUTCOME ROWS ADDED</x:v>
      </x:c>
      <x:c r="S20" s="18" t="str">
        <x:v>Source PDF / supplement / protocol / registration &gt; reconciled source extraction &gt; derivative model output</x:v>
      </x:c>
      <x:c r="T20" s="18" t="str">
        <x:v>https://drive.google.com/drive/folders/1EWdZyTQjPSuoxt8n1nIr1t8D98PC-mso</x:v>
      </x:c>
      <x:c r="U20" s="18" t="str">
        <x:v>https://docs.google.com/document/d/1hR0UuZSmPpwZi384Vzn3sZt5Y5_ZwYxW6b3u4nq2-40/edit</x:v>
      </x:c>
      <x:c r="V20" t="n">
        <x:f>COUNTIF(Outcome_Data!$A:$A,A20)</x:f>
        <x:v>5</x:v>
      </x:c>
    </x:row>
    <x:row r="21">
      <x:c r="A21" s="18" t="str">
        <x:v>Wong 2006</x:v>
      </x:c>
      <x:c r="B21" s="18" t="str">
        <x:v>Batch 3</x:v>
      </x:c>
      <x:c r="C21" s="18" t="str">
        <x:v>SPECIAL / SOURCE-QC</x:v>
      </x:c>
      <x:c r="D21" s="18" t="str">
        <x:v>POD labels are not exact 0–24-h intervals; two sham-only post-randomization exclusions; scheduled non-morphine opioid exposure.</x:v>
      </x:c>
      <x:c r="E21" s="18" t="str"/>
      <x:c r="F21" s="18" t="str">
        <x:v>Wong 2006</x:v>
      </x:c>
      <x:c r="G21" s="18" t="str">
        <x:v>912</x:v>
      </x:c>
      <x:c r="H21" s="18" t="str">
        <x:v>1879897414</x:v>
      </x:c>
      <x:c r="I21" s="18" t="str">
        <x:v>**Postoperative systemic opioid consumption Day 1 (24h) (PRIMARY)**: EA (n=13) 18.0 ± 8.8 mg vs Sham EA (n=12) 18.8 ± 9.8 mg [MD -0.80 mg, 95% CI -8.14 to 6....</x:v>
      </x:c>
      <x:c r="J21" s="18" t="str">
        <x:v>Yes</x:v>
      </x:c>
      <x:c r="K21" s="18" t="str">
        <x:v>Yes</x:v>
      </x:c>
      <x:c r="L21" s="18" t="str">
        <x:v>Yes</x:v>
      </x:c>
      <x:c r="M21" s="18" t="str">
        <x:v>Total IV PCA morphine</x:v>
      </x:c>
      <x:c r="N21" s="18" t="str">
        <x:v>First 3 postoperative days</x:v>
      </x:c>
      <x:c r="O21" s="18" t="str">
        <x:v>High</x:v>
      </x:c>
      <x:c r="P21" s="18" t="str">
        <x:v>SOURCE-NORMALIZED — EXACT 24H ENDPOINT UNAVAILABLE</x:v>
      </x:c>
      <x:c r="Q21" s="18" t="str">
        <x:v>Calendar Day 0/1/2 values are not exact consecutive 24-h windows; scheduled dextropropoxyphene adds opioid exposure.</x:v>
      </x:c>
      <x:c r="R21" s="18" t="str">
        <x:v>SOURCE-NORMALIZED OUTCOME ROWS ADDED</x:v>
      </x:c>
      <x:c r="S21" s="18" t="str">
        <x:v>Source PDF / supplement / protocol / registration &gt; reconciled source extraction &gt; derivative model output</x:v>
      </x:c>
      <x:c r="T21" s="18" t="str">
        <x:v>https://drive.google.com/drive/folders/1EWdZyTQjPSuoxt8n1nIr1t8D98PC-mso</x:v>
      </x:c>
      <x:c r="U21" s="18" t="str">
        <x:v>https://docs.google.com/document/d/1hR0UuZSmPpwZi384Vzn3sZt5Y5_ZwYxW6b3u4nq2-40/edit</x:v>
      </x:c>
      <x:c r="V21" t="n">
        <x:f>COUNTIF(Outcome_Data!$A:$A,A21)</x:f>
        <x:v>5</x:v>
      </x:c>
    </x:row>
    <x:row r="22">
      <x:c r="A22" s="18" t="str">
        <x:v>Wang 2023</x:v>
      </x:c>
      <x:c r="B22" s="18" t="str">
        <x:v>Batch 12</x:v>
      </x:c>
      <x:c r="C22" s="18" t="str">
        <x:v>FULL REPLACEMENT</x:v>
      </x:c>
      <x:c r="D22" s="18" t="str">
        <x:v>Stored sleep RoB changes sample, protocol and invents exact graph-only AIS values.</x:v>
      </x:c>
      <x:c r="E22" s="18" t="str"/>
      <x:c r="F22" s="18" t="str">
        <x:v>Wang 2023</x:v>
      </x:c>
      <x:c r="G22" s="18" t="str">
        <x:v>297</x:v>
      </x:c>
      <x:c r="H22" s="18" t="str">
        <x:v>1879896394</x:v>
      </x:c>
      <x:c r="I22" s="18" t="str">
        <x:v>**Pain intensity during activity at 24h (PRIMARY)**: TEAS (n=40) 5.06 ± 0.91 vs Sham TEAS (n=43) 6.04 ± 1.05 (P &lt; 0.05*) [MD -0.98, 95% CI -1.40 to -0.56]. *...</x:v>
      </x:c>
      <x:c r="J22" s="18" t="str">
        <x:v>Yes</x:v>
      </x:c>
      <x:c r="K22" s="18" t="str">
        <x:v>Yes</x:v>
      </x:c>
      <x:c r="L22" s="18" t="str">
        <x:v>Yes</x:v>
      </x:c>
      <x:c r="M22" s="18" t="str">
        <x:v>Postoperative sleep quality (PSQI/AIS)</x:v>
      </x:c>
      <x:c r="N22" s="18" t="str">
        <x:v>POD1</x:v>
      </x:c>
      <x:c r="O22" s="18" t="str">
        <x:v>High</x:v>
      </x:c>
      <x:c r="P22" s="18" t="str">
        <x:v>PARTIAL — selected RoB corrected; graph-only sleep/pain and rescue-dose rows added</x:v>
      </x:c>
      <x:c r="Q22" s="18" t="str">
        <x:v>Do not use fabricated exact AIS/PSQI values; formal digitization or author data required for continuous sleep outcomes</x:v>
      </x:c>
      <x:c r="R22" s="18" t="str">
        <x:v>SOURCE-NORMALIZED OUTCOME ROWS ADDED</x:v>
      </x:c>
      <x:c r="S22" s="18" t="str">
        <x:v>Source PDF / supplement / protocol / registration &gt; reconciled source extraction &gt; derivative model output</x:v>
      </x:c>
      <x:c r="T22" s="18" t="str">
        <x:v>https://drive.google.com/drive/folders/1EWdZyTQjPSuoxt8n1nIr1t8D98PC-mso</x:v>
      </x:c>
      <x:c r="U22" s="18" t="str">
        <x:v>https://docs.google.com/document/d/1hR0UuZSmPpwZi384Vzn3sZt5Y5_ZwYxW6b3u4nq2-40/edit</x:v>
      </x:c>
      <x:c r="V22" t="n">
        <x:f>COUNTIF(Outcome_Data!$A:$A,A22)</x:f>
        <x:v>5</x:v>
      </x:c>
    </x:row>
    <x:row r="23">
      <x:c r="A23" s="18" t="str">
        <x:v>Wang 2024</x:v>
      </x:c>
      <x:c r="B23" s="18" t="str">
        <x:v>Batch 13</x:v>
      </x:c>
      <x:c r="C23" s="18" t="str">
        <x:v>FULL REPLACEMENT</x:v>
      </x:c>
      <x:c r="D23" s="18" t="str">
        <x:v>RoB collapses stratified randomized contrasts and fabricates pooled 24-h PONV result.</x:v>
      </x:c>
      <x:c r="E23" s="18" t="str"/>
      <x:c r="F23" s="18" t="str">
        <x:v>Wang 2024</x:v>
      </x:c>
      <x:c r="G23" s="18" t="str">
        <x:v>212</x:v>
      </x:c>
      <x:c r="H23" s="18" t="str">
        <x:v>1879896259</x:v>
      </x:c>
      <x:c r="I23" s="18" t="str">
        <x:v>**Composite PONV incidence 0–24h (PRIMARY)**: TEAS pooled (n=68) 19/68 (27.9%) vs Sham TEAS pooled (n=70) 30/70 (42.9%) (P = 0.065) [RR 0.65, 95% CI 0.41 to ...</x:v>
      </x:c>
      <x:c r="J23" s="18" t="str">
        <x:v>Yes</x:v>
      </x:c>
      <x:c r="K23" s="18" t="str">
        <x:v>Yes</x:v>
      </x:c>
      <x:c r="L23" s="18" t="str">
        <x:v>Yes</x:v>
      </x:c>
      <x:c r="M23" s="18" t="str">
        <x:v>PONV incidence (SNVP randomized contrast)</x:v>
      </x:c>
      <x:c r="N23" s="18" t="str">
        <x:v>12-24 h</x:v>
      </x:c>
      <x:c r="O23" s="18" t="str">
        <x:v>High</x:v>
      </x:c>
      <x:c r="P23" s="18" t="str">
        <x:v>PARTIAL — selected RoB corrected; stratified PONV/intraop-opioid rows added</x:v>
      </x:c>
      <x:c r="Q23" s="18" t="str">
        <x:v>Never pool SNVP and MNVP into a single randomized TEAS contrast; postoperative opioid endpoint absent</x:v>
      </x:c>
      <x:c r="R23" s="18" t="str">
        <x:v>SOURCE-NORMALIZED OUTCOME ROWS ADDED</x:v>
      </x:c>
      <x:c r="S23" s="18" t="str">
        <x:v>Source PDF / supplement / protocol / registration &gt; reconciled source extraction &gt; derivative model output</x:v>
      </x:c>
      <x:c r="T23" s="18" t="str">
        <x:v>https://drive.google.com/drive/folders/1EWdZyTQjPSuoxt8n1nIr1t8D98PC-mso</x:v>
      </x:c>
      <x:c r="U23" s="18" t="str">
        <x:v>https://docs.google.com/document/d/1hR0UuZSmPpwZi384Vzn3sZt5Y5_ZwYxW6b3u4nq2-40/edit</x:v>
      </x:c>
      <x:c r="V23" t="n">
        <x:f>COUNTIF(Outcome_Data!$A:$A,A23)</x:f>
        <x:v>9</x:v>
      </x:c>
    </x:row>
    <x:row r="24">
      <x:c r="A24" s="18" t="str">
        <x:v>Tu 2024</x:v>
      </x:c>
      <x:c r="B24" s="18" t="str">
        <x:v>Batch 13</x:v>
      </x:c>
      <x:c r="C24" s="18" t="str">
        <x:v>RE-ADJUDICATE</x:v>
      </x:c>
      <x:c r="D24" s="18" t="str">
        <x:v>Source-correct study/results; Domains 3 and 5 too optimistic given post-randomization exclusions and unverified exact prespecification.</x:v>
      </x:c>
      <x:c r="E24" s="18" t="str">
        <x:v>Tu 2023 → Tu 2024</x:v>
      </x:c>
      <x:c r="F24" s="18" t="str">
        <x:v>Tu 2023</x:v>
      </x:c>
      <x:c r="G24" s="18" t="str">
        <x:v>244</x:v>
      </x:c>
      <x:c r="H24" s="18" t="str">
        <x:v>1879896309</x:v>
      </x:c>
      <x:c r="I24" s="18" t="str">
        <x:v>**Postoperative pain intensity at 6–24h (PRIMARY)**: TEAS (n=57) median 2 (IQR 0.5 to 3) [Wan mean 1.83 ± 1.85] vs Sham TEAS (n=58) median 4 (IQR 3 to 4) [Wa...</x:v>
      </x:c>
      <x:c r="J24" s="18" t="str">
        <x:v>Yes</x:v>
      </x:c>
      <x:c r="K24" s="18" t="str">
        <x:v>Yes</x:v>
      </x:c>
      <x:c r="L24" s="18" t="str">
        <x:v>Yes</x:v>
      </x:c>
      <x:c r="M24" s="18" t="str">
        <x:v>Vomiting incidence</x:v>
      </x:c>
      <x:c r="N24" s="18" t="str">
        <x:v>2-6 h</x:v>
      </x:c>
      <x:c r="O24" s="18" t="str">
        <x:v>High</x:v>
      </x:c>
      <x:c r="P24" s="18" t="str">
        <x:v>PARTIAL — source-matched RoB re-adjudicated; vomiting/pain/rescue-opioid rows added</x:v>
      </x:c>
      <x:c r="Q24" s="18" t="str">
        <x:v>Binary rescue tramadol use is available; cumulative 24-h tramadol dose is not</x:v>
      </x:c>
      <x:c r="R24" s="18" t="str">
        <x:v>SOURCE-NORMALIZED OUTCOME ROWS ADDED</x:v>
      </x:c>
      <x:c r="S24" s="18" t="str">
        <x:v>Source PDF / supplement / protocol / registration &gt; reconciled source extraction &gt; derivative model output</x:v>
      </x:c>
      <x:c r="T24" s="18" t="str">
        <x:v>https://drive.google.com/drive/folders/1EWdZyTQjPSuoxt8n1nIr1t8D98PC-mso</x:v>
      </x:c>
      <x:c r="U24" s="18" t="str">
        <x:v>https://docs.google.com/document/d/1hR0UuZSmPpwZi384Vzn3sZt5Y5_ZwYxW6b3u4nq2-40/edit</x:v>
      </x:c>
      <x:c r="V24" t="n">
        <x:f>COUNTIF(Outcome_Data!$A:$A,A24)</x:f>
        <x:v>5</x:v>
      </x:c>
    </x:row>
    <x:row r="25">
      <x:c r="A25" s="18" t="str">
        <x:v>Sun 2017</x:v>
      </x:c>
      <x:c r="B25" s="18" t="str">
        <x:v>Batch 5</x:v>
      </x:c>
      <x:c r="C25" s="18" t="str">
        <x:v>RE-ADJUDICATE</x:v>
      </x:c>
      <x:c r="D25" s="18" t="str">
        <x:v>Correct study family but stored result is misclassified as 24-h opioid consumption; sham and attrition details need fresh assessment.</x:v>
      </x:c>
      <x:c r="E25" s="18" t="str"/>
      <x:c r="F25" s="18" t="str">
        <x:v>Sun 2017</x:v>
      </x:c>
      <x:c r="G25" s="18" t="str">
        <x:v>632</x:v>
      </x:c>
      <x:c r="H25" s="18" t="str">
        <x:v>1879896963</x:v>
      </x:c>
      <x:c r="I25" s="18" t="str">
        <x:v>**Pain intensity on movement 24h (PRIMARY)**: Group TST (n=89) median 3.0 (IQR 3.0 to 4.0) [Wan mean 3.33 ± 0.74] vs Group SSS (n=90) median 4.0 (IQR 3.8 to ...</x:v>
      </x:c>
      <x:c r="J25" s="18" t="str">
        <x:v>Yes</x:v>
      </x:c>
      <x:c r="K25" s="18" t="str">
        <x:v>Yes</x:v>
      </x:c>
      <x:c r="L25" s="18" t="str">
        <x:v>Yes</x:v>
      </x:c>
      <x:c r="M25" s="18" t="str">
        <x:v>Activity-evoked VAS</x:v>
      </x:c>
      <x:c r="N25" s="18" t="str">
        <x:v>24 h</x:v>
      </x:c>
      <x:c r="O25" s="18" t="str">
        <x:v>Some concerns</x:v>
      </x:c>
      <x:c r="P25" s="18" t="str">
        <x:v>PARTIAL — source-matched RoB re-adjudicated; four-arm pain/NSAID-rescue rows added</x:v>
      </x:c>
      <x:c r="Q25" s="18" t="str">
        <x:v>Postoperative rescue is NSAID, not opioid; preserve four timing arms and shared sham control</x:v>
      </x:c>
      <x:c r="R25" s="18" t="str">
        <x:v>SOURCE-NORMALIZED OUTCOME ROWS ADDED</x:v>
      </x:c>
      <x:c r="S25" s="18" t="str">
        <x:v>Source PDF / supplement / protocol / registration &gt; reconciled source extraction &gt; derivative model output</x:v>
      </x:c>
      <x:c r="T25" s="18" t="str">
        <x:v>https://drive.google.com/drive/folders/1EWdZyTQjPSuoxt8n1nIr1t8D98PC-mso</x:v>
      </x:c>
      <x:c r="U25" s="18" t="str">
        <x:v>https://docs.google.com/document/d/1hR0UuZSmPpwZi384Vzn3sZt5Y5_ZwYxW6b3u4nq2-40/edit</x:v>
      </x:c>
      <x:c r="V25" t="n">
        <x:f>COUNTIF(Outcome_Data!$A:$A,A25)</x:f>
        <x:v>8</x:v>
      </x:c>
    </x:row>
    <x:row r="26">
      <x:c r="A26" s="18" t="str">
        <x:v>Sim 2002</x:v>
      </x:c>
      <x:c r="B26" s="18" t="str">
        <x:v>Batch 3</x:v>
      </x:c>
      <x:c r="C26" s="18" t="str">
        <x:v>SPECIAL / SOURCE-QC</x:v>
      </x:c>
      <x:c r="D26" s="18" t="str">
        <x:v>Three randomized timing arms must remain separate; do not merge pre- and postoperative EA.</x:v>
      </x:c>
      <x:c r="E26" s="18" t="str"/>
      <x:c r="F26" s="18" t="str">
        <x:v>Sim 2002</x:v>
      </x:c>
      <x:c r="G26" s="18" t="str">
        <x:v>952</x:v>
      </x:c>
      <x:c r="H26" s="18" t="str">
        <x:v>1879897479</x:v>
      </x:c>
      <x:c r="I26" s="18" t="str">
        <x:v>**Cumulative 24h postoperative PCA morphine consumption (PRIMARY)**: Group II Preop EA (n=30) 0.52 ± 0.19 mg/kg (31.20 ± 11.40 mg) vs Group I Placebo EA (n=3...</x:v>
      </x:c>
      <x:c r="J26" s="18" t="str">
        <x:v>Yes</x:v>
      </x:c>
      <x:c r="K26" s="18" t="str">
        <x:v>Yes</x:v>
      </x:c>
      <x:c r="L26" s="18" t="str">
        <x:v>Yes</x:v>
      </x:c>
      <x:c r="M26" s="18" t="str">
        <x:v>Cumulative postoperative IV PCA morphine</x:v>
      </x:c>
      <x:c r="N26" s="18" t="str">
        <x:v>0-24 h</x:v>
      </x:c>
      <x:c r="O26" s="18" t="str">
        <x:v>Some concerns</x:v>
      </x:c>
      <x:c r="P26" s="18" t="str">
        <x:v>PARTIAL — selected RoB corrected; three randomized timing arms preserved</x:v>
      </x:c>
      <x:c r="Q26" s="18" t="str">
        <x:v>Use weight-normalized 24-h morphine as reported; never merge preop and postop EA timing arms</x:v>
      </x:c>
      <x:c r="R26" s="18" t="str">
        <x:v>SOURCE-NORMALIZED OUTCOME ROWS ADDED</x:v>
      </x:c>
      <x:c r="S26" s="18" t="str">
        <x:v>Source PDF / supplement / protocol / registration &gt; reconciled source extraction &gt; derivative model output</x:v>
      </x:c>
      <x:c r="T26" s="18" t="str">
        <x:v>https://drive.google.com/drive/folders/1EWdZyTQjPSuoxt8n1nIr1t8D98PC-mso</x:v>
      </x:c>
      <x:c r="U26" s="18" t="str">
        <x:v>https://docs.google.com/document/d/1hR0UuZSmPpwZi384Vzn3sZt5Y5_ZwYxW6b3u4nq2-40/edit</x:v>
      </x:c>
      <x:c r="V26" t="n">
        <x:f>COUNTIF(Outcome_Data!$A:$A,A26)</x:f>
        <x:v>4</x:v>
      </x:c>
    </x:row>
    <x:row r="27">
      <x:c r="A27" s="18" t="str">
        <x:v>Seevaunnamtum 2016</x:v>
      </x:c>
      <x:c r="B27" s="18" t="str">
        <x:v>Batch 20</x:v>
      </x:c>
      <x:c r="C27" s="18" t="str">
        <x:v>FULL REPLACEMENT</x:v>
      </x:c>
      <x:c r="D27" s="18" t="str">
        <x:v>Correct article identity but wrong acupoints and wrong primary 24-h control morphine mean/SD/P value.</x:v>
      </x:c>
      <x:c r="E27" s="18" t="str">
        <x:v>PraveenaSeevaunnamtum 2016 → Seevaunnamtum 2016</x:v>
      </x:c>
      <x:c r="F27" s="18" t="str">
        <x:v>PraveenaSeevaunnamtum 2016</x:v>
      </x:c>
      <x:c r="G27" s="18" t="str">
        <x:v>596</x:v>
      </x:c>
      <x:c r="H27" s="18" t="str">
        <x:v>1879896891</x:v>
      </x:c>
      <x:c r="I27" s="18" t="str">
        <x:v>**Cumulative 24h postoperative PCA morphine consumption (mg) (PRIMARY)**: EA Group (n=32) 21.38 ± 14.38 vs Control Group (n=32) 33.94 ± 20.24 (P = 0.006*) [M...</x:v>
      </x:c>
      <x:c r="J27" s="18" t="str">
        <x:v>Yes</x:v>
      </x:c>
      <x:c r="K27" s="18" t="str">
        <x:v>Yes</x:v>
      </x:c>
      <x:c r="L27" s="18" t="str">
        <x:v>Yes</x:v>
      </x:c>
      <x:c r="M27" s="18" t="str">
        <x:v>Cumulative IV PCA morphine</x:v>
      </x:c>
      <x:c r="N27" s="18" t="str">
        <x:v>0-24 h</x:v>
      </x:c>
      <x:c r="O27" s="18" t="str">
        <x:v>Some concerns</x:v>
      </x:c>
      <x:c r="P27" s="18" t="str">
        <x:v>PARTIALLY READY — corrected RoB available for one selected result; confirm outcome matches planned synthesis</x:v>
      </x:c>
      <x:c r="Q27" s="18" t="str">
        <x:v>Use source data; DO NOT use original stored RoB. Rebuild result-specific RoB.</x:v>
      </x:c>
      <x:c r="R27" s="18" t="str">
        <x:v>Candidate summary from Antigravity report; use only after source-level confirmation</x:v>
      </x:c>
      <x:c r="S27" s="18" t="str">
        <x:v>Source PDF / supplement / protocol / registration &gt; reconciled source extraction &gt; derivative model output</x:v>
      </x:c>
      <x:c r="T27" s="18" t="str">
        <x:v>https://drive.google.com/drive/folders/1EWdZyTQjPSuoxt8n1nIr1t8D98PC-mso</x:v>
      </x:c>
      <x:c r="U27" s="18" t="str">
        <x:v>https://docs.google.com/document/d/1hR0UuZSmPpwZi384Vzn3sZt5Y5_ZwYxW6b3u4nq2-40/edit</x:v>
      </x:c>
      <x:c r="V27" t="n">
        <x:f>COUNTIF(Outcome_Data!$A:$A,A27)</x:f>
        <x:v>1</x:v>
      </x:c>
    </x:row>
    <x:row r="28">
      <x:c r="A28" s="18" t="str">
        <x:v>Pan 2023</x:v>
      </x:c>
      <x:c r="B28" s="18" t="str">
        <x:v>Batch 10</x:v>
      </x:c>
      <x:c r="C28" s="18" t="str">
        <x:v>FULL REPLACEMENT</x:v>
      </x:c>
      <x:c r="D28" s="18" t="str">
        <x:v>Changes randomized n, sham structure, intervention and flatus distribution; ignores 15 post-randomization exclusions.</x:v>
      </x:c>
      <x:c r="E28" s="18" t="str"/>
      <x:c r="F28" s="18" t="str">
        <x:v>Pan 2023</x:v>
      </x:c>
      <x:c r="G28" s="18" t="str">
        <x:v>298</x:v>
      </x:c>
      <x:c r="H28" s="18" t="str">
        <x:v>1879896396</x:v>
      </x:c>
      <x:c r="I28" s="18" t="str">
        <x:v>**Pain intensity on movement 24h (PRIMARY)**: Group T (TEAS, n=52) median 2 (IQR 2, 3) [Wan mean 2.33 ± 0.74] vs Group C (Control, n=53) median 3 (IQR 3, 4) ...</x:v>
      </x:c>
      <x:c r="J28" s="18" t="str">
        <x:v>Yes</x:v>
      </x:c>
      <x:c r="K28" s="18" t="str">
        <x:v>Yes</x:v>
      </x:c>
      <x:c r="L28" s="18" t="str">
        <x:v>Yes</x:v>
      </x:c>
      <x:c r="M28" s="18" t="str">
        <x:v>Time to first postoperative flatus</x:v>
      </x:c>
      <x:c r="N28" s="18" t="str">
        <x:v>Time to event</x:v>
      </x:c>
      <x:c r="O28" s="18" t="str">
        <x:v>High</x:v>
      </x:c>
      <x:c r="P28" s="18" t="str">
        <x:v>PARTIALLY READY — corrected RoB available for one selected result; confirm outcome matches planned synthesis</x:v>
      </x:c>
      <x:c r="Q28" s="18" t="str">
        <x:v>Use source data; DO NOT use original stored RoB. Rebuild result-specific RoB.</x:v>
      </x:c>
      <x:c r="R28" s="18" t="str">
        <x:v>Candidate summary from Antigravity report; use only after source-level confirmation</x:v>
      </x:c>
      <x:c r="S28" s="18" t="str">
        <x:v>Source PDF / supplement / protocol / registration &gt; reconciled source extraction &gt; derivative model output</x:v>
      </x:c>
      <x:c r="T28" s="18" t="str">
        <x:v>https://drive.google.com/drive/folders/1EWdZyTQjPSuoxt8n1nIr1t8D98PC-mso</x:v>
      </x:c>
      <x:c r="U28" s="18" t="str">
        <x:v>https://docs.google.com/document/d/1hR0UuZSmPpwZi384Vzn3sZt5Y5_ZwYxW6b3u4nq2-40/edit</x:v>
      </x:c>
      <x:c r="V28" t="n">
        <x:f>COUNTIF(Outcome_Data!$A:$A,A28)</x:f>
        <x:v>1</x:v>
      </x:c>
    </x:row>
    <x:row r="29">
      <x:c r="A29" s="18" t="str">
        <x:v>Ntritsou 2014</x:v>
      </x:c>
      <x:c r="B29" s="18" t="str">
        <x:v>Batch 3</x:v>
      </x:c>
      <x:c r="C29" s="18" t="str">
        <x:v>SPECIAL / SOURCE-QC</x:v>
      </x:c>
      <x:c r="D29" s="18" t="str">
        <x:v>Distinguish total tramadol exposure from rescue analgesia; five clinically relevant post-randomization exclusions.</x:v>
      </x:c>
      <x:c r="E29" s="18" t="str"/>
      <x:c r="F29" s="18" t="str">
        <x:v>Ntritsou 2014</x:v>
      </x:c>
      <x:c r="G29" s="18" t="str">
        <x:v>729</x:v>
      </x:c>
      <x:c r="H29" s="18" t="str">
        <x:v>1879897120</x:v>
      </x:c>
      <x:c r="I29" s="18" t="str">
        <x:v>**Cumulative 24h postoperative tramadol consumption (mg) (PRIMARY)**: EA group (n=35) 443.7 ± 67.4 vs Sham group (n=35) 461.5 ± 63.2 (P = 0.257) [MD -17.80 m...</x:v>
      </x:c>
      <x:c r="J29" s="18" t="str">
        <x:v>Yes</x:v>
      </x:c>
      <x:c r="K29" s="18" t="str">
        <x:v>Yes</x:v>
      </x:c>
      <x:c r="L29" s="18" t="str">
        <x:v>Yes</x:v>
      </x:c>
      <x:c r="M29" s="18" t="str">
        <x:v>Total tramadol exposure</x:v>
      </x:c>
      <x:c r="N29" s="18" t="str">
        <x:v>First 24 h most consistent with protocol</x:v>
      </x:c>
      <x:c r="O29" s="18" t="str">
        <x:v>High</x:v>
      </x:c>
      <x:c r="P29" s="18" t="str">
        <x:v>PARTIAL — selected RoB corrected; tramadol/remifentanil/rescue rows added</x:v>
      </x:c>
      <x:c r="Q29" s="18" t="str">
        <x:v>Total tramadol is not rescue-only; complete 24-h MME remains unresolved because rescue morphine quantity is missing</x:v>
      </x:c>
      <x:c r="R29" s="18" t="str">
        <x:v>SOURCE-NORMALIZED OUTCOME ROWS ADDED</x:v>
      </x:c>
      <x:c r="S29" s="18" t="str">
        <x:v>Source PDF / supplement / protocol / registration &gt; reconciled source extraction &gt; derivative model output</x:v>
      </x:c>
      <x:c r="T29" s="18" t="str">
        <x:v>https://drive.google.com/drive/folders/1EWdZyTQjPSuoxt8n1nIr1t8D98PC-mso</x:v>
      </x:c>
      <x:c r="U29" s="18" t="str">
        <x:v>https://docs.google.com/document/d/1hR0UuZSmPpwZi384Vzn3sZt5Y5_ZwYxW6b3u4nq2-40/edit</x:v>
      </x:c>
      <x:c r="V29" t="n">
        <x:f>COUNTIF(Outcome_Data!$A:$A,A29)</x:f>
        <x:v>4</x:v>
      </x:c>
    </x:row>
    <x:row r="30">
      <x:c r="A30" s="18" t="str">
        <x:v>Ng 2013</x:v>
      </x:c>
      <x:c r="B30" s="18" t="str">
        <x:v>Batch 2</x:v>
      </x:c>
      <x:c r="C30" s="18" t="str">
        <x:v>SPECIAL / SOURCE-QC</x:v>
      </x:c>
      <x:c r="D30" s="18" t="str">
        <x:v>No defensible exact cumulative 0–24-h opioid endpoint in source; preserve as secondary/descriptive unless exact window found.</x:v>
      </x:c>
      <x:c r="E30" s="18" t="str">
        <x:v>Ng 2012 / 2013 → Ng 2013</x:v>
      </x:c>
      <x:c r="F30" s="18" t="str">
        <x:v>Ng 2012 / 2013</x:v>
      </x:c>
      <x:c r="G30" s="18" t="str">
        <x:v>775</x:v>
      </x:c>
      <x:c r="H30" s="18" t="str">
        <x:v>1879897195</x:v>
      </x:c>
      <x:c r="I30" s="18" t="str">
        <x:v>**Pain intensity Day 1 (~24h point assessment) (PRIMARY)**: EA group (n=55) 5.6 ± 2.0 vs Sham group (n=55) 5.8 ± 1.9 vs Usual care (n=55) 5.5 ± 2.3 (P = 0.65...</x:v>
      </x:c>
      <x:c r="J30" s="18" t="str">
        <x:v>Yes</x:v>
      </x:c>
      <x:c r="K30" s="18" t="str">
        <x:v>Yes</x:v>
      </x:c>
      <x:c r="L30" s="18" t="str">
        <x:v>Yes</x:v>
      </x:c>
      <x:c r="M30" s="18" t="str">
        <x:v>Time to first bowel motion</x:v>
      </x:c>
      <x:c r="N30" s="18" t="str">
        <x:v>Postoperative</x:v>
      </x:c>
      <x:c r="O30" s="18" t="str">
        <x:v>Some concerns</x:v>
      </x:c>
      <x:c r="P30" s="18" t="str">
        <x:v>PARTIAL — selected RoB corrected; GI/pain/pethidine rows added</x:v>
      </x:c>
      <x:c r="Q30" s="18" t="str">
        <x:v>Pethidine injection count is not a 24-h dose; dosing and observation window require author clarification</x:v>
      </x:c>
      <x:c r="R30" s="18" t="str">
        <x:v>SOURCE-NORMALIZED OUTCOME ROWS ADDED</x:v>
      </x:c>
      <x:c r="S30" s="18" t="str">
        <x:v>Source PDF / supplement / protocol / registration &gt; reconciled source extraction &gt; derivative model output</x:v>
      </x:c>
      <x:c r="T30" s="18" t="str">
        <x:v>https://drive.google.com/drive/folders/1EWdZyTQjPSuoxt8n1nIr1t8D98PC-mso</x:v>
      </x:c>
      <x:c r="U30" s="18" t="str">
        <x:v>https://docs.google.com/document/d/1hR0UuZSmPpwZi384Vzn3sZt5Y5_ZwYxW6b3u4nq2-40/edit</x:v>
      </x:c>
      <x:c r="V30" t="n">
        <x:f>COUNTIF(Outcome_Data!$A:$A,A30)</x:f>
        <x:v>6</x:v>
      </x:c>
    </x:row>
    <x:row r="31">
      <x:c r="A31" s="18" t="str">
        <x:v>Ma 2026</x:v>
      </x:c>
      <x:c r="B31" s="18" t="str">
        <x:v>Batch 17</x:v>
      </x:c>
      <x:c r="C31" s="18" t="str">
        <x:v>FULL REPLACEMENT</x:v>
      </x:c>
      <x:c r="D31" s="18" t="str">
        <x:v>Partially randomized design converted into a conventional sham RCT; fabricated pain outcomes.</x:v>
      </x:c>
      <x:c r="E31" s="18" t="str"/>
      <x:c r="F31" s="18" t="str">
        <x:v>Ma 2026</x:v>
      </x:c>
      <x:c r="G31" s="18" t="str">
        <x:v>2</x:v>
      </x:c>
      <x:c r="H31" s="18" t="str">
        <x:v>1879895855</x:v>
      </x:c>
      <x:c r="I31" s="18" t="str">
        <x:v>**Resting NRS pain 24h (PRIMARY)**: Group T (TEAS, n=17) 1.76 ± 0.67 vs Group S (Control, n=16) 2.64 ± 0.72 (P &lt; 0.05) [MD -0.88, 95% CI -1.36 to -0.40]. **R...</x:v>
      </x:c>
      <x:c r="J31" s="18" t="str">
        <x:v>Yes</x:v>
      </x:c>
      <x:c r="K31" s="18" t="str">
        <x:v>Yes</x:v>
      </x:c>
      <x:c r="L31" s="18" t="str">
        <x:v>Yes</x:v>
      </x:c>
      <x:c r="M31" s="18" t="str">
        <x:v>Resting NRS pain</x:v>
      </x:c>
      <x:c r="N31" s="18" t="str">
        <x:v>24 h</x:v>
      </x:c>
      <x:c r="O31" s="18" t="str">
        <x:v>High</x:v>
      </x:c>
      <x:c r="P31" s="18" t="str">
        <x:v>PARTIAL — selected RoB corrected; graph-only pain/sleep and 24-h PONV rows added</x:v>
      </x:c>
      <x:c r="Q31" s="18" t="str">
        <x:v>Use only randomized T vs S contrast; Group C is observational; exact pain/AIS values need digitization or author data</x:v>
      </x:c>
      <x:c r="R31" s="18" t="str">
        <x:v>SOURCE-NORMALIZED OUTCOME ROWS ADDED</x:v>
      </x:c>
      <x:c r="S31" s="18" t="str">
        <x:v>Source PDF / supplement / protocol / registration &gt; reconciled source extraction &gt; derivative model output</x:v>
      </x:c>
      <x:c r="T31" s="18" t="str">
        <x:v>https://drive.google.com/drive/folders/1EWdZyTQjPSuoxt8n1nIr1t8D98PC-mso</x:v>
      </x:c>
      <x:c r="U31" s="18" t="str">
        <x:v>https://docs.google.com/document/d/1hR0UuZSmPpwZi384Vzn3sZt5Y5_ZwYxW6b3u4nq2-40/edit</x:v>
      </x:c>
      <x:c r="V31" t="n">
        <x:f>COUNTIF(Outcome_Data!$A:$A,A31)</x:f>
        <x:v>5</x:v>
      </x:c>
    </x:row>
    <x:row r="32">
      <x:c r="A32" s="18" t="str">
        <x:v>Lu 2021</x:v>
      </x:c>
      <x:c r="B32" s="18" t="str">
        <x:v>Batch 8</x:v>
      </x:c>
      <x:c r="C32" s="18" t="str">
        <x:v>FULL REPLACEMENT</x:v>
      </x:c>
      <x:c r="D32" s="18" t="str">
        <x:v>Changes 576-patient three-arm chronic-pain trial into fabricated 24-h pain result.</x:v>
      </x:c>
      <x:c r="E32" s="18" t="str"/>
      <x:c r="F32" s="18" t="str">
        <x:v>Lu 2021</x:v>
      </x:c>
      <x:c r="G32" s="18" t="str">
        <x:v>414</x:v>
      </x:c>
      <x:c r="H32" s="18" t="str">
        <x:v>1879896580</x:v>
      </x:c>
      <x:c r="I32" s="18" t="str">
        <x:v>**Resting NRS pain 24h (PRIMARY)**: Combined TEAS (n=190) median 1.0 (IQR 0, 1.0) [Wan mean 1.0 ± 0.7] vs Single TEAS (n=198) median 0.9 (IQR 0, 1.3) [Wan me...</x:v>
      </x:c>
      <x:c r="J32" s="18" t="str">
        <x:v>Yes</x:v>
      </x:c>
      <x:c r="K32" s="18" t="str">
        <x:v>Yes</x:v>
      </x:c>
      <x:c r="L32" s="18" t="str">
        <x:v>Yes</x:v>
      </x:c>
      <x:c r="M32" s="18" t="str">
        <x:v>Post-mastectomy chronic pain incidence</x:v>
      </x:c>
      <x:c r="N32" s="18" t="str">
        <x:v>6 months</x:v>
      </x:c>
      <x:c r="O32" s="18" t="str">
        <x:v>High</x:v>
      </x:c>
      <x:c r="P32" s="18" t="str">
        <x:v>PARTIAL — selected RoB corrected; chronic-pain/remifentanil/PONV rows added</x:v>
      </x:c>
      <x:c r="Q32" s="18" t="str">
        <x:v>Use raw chronic-pain counts because printed RR/P-values conflict; exact 24-h sufentanil consumption remains missing</x:v>
      </x:c>
      <x:c r="R32" s="18" t="str">
        <x:v>SOURCE-NORMALIZED OUTCOME ROWS ADDED</x:v>
      </x:c>
      <x:c r="S32" s="18" t="str">
        <x:v>Source PDF / supplement / protocol / registration &gt; reconciled source extraction &gt; derivative model output</x:v>
      </x:c>
      <x:c r="T32" s="18" t="str">
        <x:v>https://drive.google.com/drive/folders/1EWdZyTQjPSuoxt8n1nIr1t8D98PC-mso</x:v>
      </x:c>
      <x:c r="U32" s="18" t="str">
        <x:v>https://docs.google.com/document/d/1hR0UuZSmPpwZi384Vzn3sZt5Y5_ZwYxW6b3u4nq2-40/edit</x:v>
      </x:c>
      <x:c r="V32" t="n">
        <x:f>COUNTIF(Outcome_Data!$A:$A,A32)</x:f>
        <x:v>7</x:v>
      </x:c>
    </x:row>
    <x:row r="33">
      <x:c r="A33" s="18" t="str">
        <x:v>Lu 2022</x:v>
      </x:c>
      <x:c r="B33" s="18" t="str">
        <x:v>Batch 10</x:v>
      </x:c>
      <x:c r="C33" s="18" t="str">
        <x:v>FULL REPLACEMENT</x:v>
      </x:c>
      <x:c r="D33" s="18" t="str">
        <x:v>Changes 100/94 sample to 240 complete, intervention schedule and flatus result.</x:v>
      </x:c>
      <x:c r="E33" s="18" t="str"/>
      <x:c r="F33" s="18" t="str">
        <x:v>Lu 2022</x:v>
      </x:c>
      <x:c r="G33" s="18" t="str">
        <x:v>317</x:v>
      </x:c>
      <x:c r="H33" s="18" t="str">
        <x:v>1879896426</x:v>
      </x:c>
      <x:c r="I33" s="18" t="str">
        <x:v>**Resting VAS pain 24h (PRIMARY)**: TEAS group (n=47) median 2.2 (0.0, 10.0) [estimated mean 2.2 ± 2.5] vs Control group (n=47) median 1.2 (0.0, 8.1) [estima...</x:v>
      </x:c>
      <x:c r="J33" s="18" t="str">
        <x:v>Yes</x:v>
      </x:c>
      <x:c r="K33" s="18" t="str">
        <x:v>Yes</x:v>
      </x:c>
      <x:c r="L33" s="18" t="str">
        <x:v>Yes</x:v>
      </x:c>
      <x:c r="M33" s="18" t="str">
        <x:v>Time to meet discharge criteria</x:v>
      </x:c>
      <x:c r="N33" s="18" t="str">
        <x:v>Postoperative</x:v>
      </x:c>
      <x:c r="O33" s="18" t="str">
        <x:v>High</x:v>
      </x:c>
      <x:c r="P33" s="18" t="str">
        <x:v>PARTIAL — selected RoB corrected; discharge/GI/PCA-demand rows added</x:v>
      </x:c>
      <x:c r="Q33" s="18" t="str">
        <x:v>PCA attempts/deliveries are opioid-use proxies only; do not convert to dose without PCA drug/prescription</x:v>
      </x:c>
      <x:c r="R33" s="18" t="str">
        <x:v>SOURCE-NORMALIZED OUTCOME ROWS ADDED</x:v>
      </x:c>
      <x:c r="S33" s="18" t="str">
        <x:v>Source PDF / supplement / protocol / registration &gt; reconciled source extraction &gt; derivative model output</x:v>
      </x:c>
      <x:c r="T33" s="18" t="str">
        <x:v>https://drive.google.com/drive/folders/1EWdZyTQjPSuoxt8n1nIr1t8D98PC-mso</x:v>
      </x:c>
      <x:c r="U33" s="18" t="str">
        <x:v>https://docs.google.com/document/d/1hR0UuZSmPpwZi384Vzn3sZt5Y5_ZwYxW6b3u4nq2-40/edit</x:v>
      </x:c>
      <x:c r="V33" t="n">
        <x:f>COUNTIF(Outcome_Data!$A:$A,A33)</x:f>
        <x:v>6</x:v>
      </x:c>
    </x:row>
    <x:row r="34">
      <x:c r="A34" s="18" t="str">
        <x:v>Luo 2026</x:v>
      </x:c>
      <x:c r="B34" s="18" t="str">
        <x:v>Batch 18</x:v>
      </x:c>
      <x:c r="C34" s="18" t="str">
        <x:v>RE-ADJUDICATE</x:v>
      </x:c>
      <x:c r="D34" s="18" t="str">
        <x:v>Study/result scaffolding source-matched; incomplete sensory masking and exact outcome definition require fresh signaling logic.</x:v>
      </x:c>
      <x:c r="E34" s="18" t="str"/>
      <x:c r="F34" s="18" t="str">
        <x:v>Luo 2026</x:v>
      </x:c>
      <x:c r="G34" s="18" t="str">
        <x:v>35</x:v>
      </x:c>
      <x:c r="H34" s="18" t="str">
        <x:v>1879895932</x:v>
      </x:c>
      <x:c r="I34" s="18" t="str">
        <x:v>**Postoperative pain NRS 24h (PRIMARY)**: TEAS group (n=138) 1.30 ± 0.92 vs Sham TEAS group (n=139) 1.65 ± 0.95 (P &lt; 0.01) [MD -0.35, 95% CI -0.57 to -0.13]....</x:v>
      </x:c>
      <x:c r="J34" s="18" t="str">
        <x:v>Yes</x:v>
      </x:c>
      <x:c r="K34" s="18" t="str">
        <x:v>Yes</x:v>
      </x:c>
      <x:c r="L34" s="18" t="str">
        <x:v>Yes</x:v>
      </x:c>
      <x:c r="M34" s="18" t="str">
        <x:v>Cumulative postoperative nausea</x:v>
      </x:c>
      <x:c r="N34" s="18" t="str">
        <x:v>0-48 h</x:v>
      </x:c>
      <x:c r="O34" s="18" t="str">
        <x:v>Some concerns</x:v>
      </x:c>
      <x:c r="P34" s="18" t="str">
        <x:v>PARTIAL — source-matched RoB re-adjudicated; nausea/vomiting/pain/opioid-QC rows added</x:v>
      </x:c>
      <x:c r="Q34" s="18" t="str">
        <x:v>Use separate nausea/vomiting results; exact 24-h oxycodone/MME remains unavailable and published opioid-equivalent unit is unresolved</x:v>
      </x:c>
      <x:c r="R34" s="18" t="str">
        <x:v>SOURCE-NORMALIZED OUTCOME ROWS ADDED</x:v>
      </x:c>
      <x:c r="S34" s="18" t="str">
        <x:v>Source PDF / supplement / protocol / registration &gt; reconciled source extraction &gt; derivative model output</x:v>
      </x:c>
      <x:c r="T34" s="18" t="str">
        <x:v>https://drive.google.com/drive/folders/1EWdZyTQjPSuoxt8n1nIr1t8D98PC-mso</x:v>
      </x:c>
      <x:c r="U34" s="18" t="str">
        <x:v>https://docs.google.com/document/d/1hR0UuZSmPpwZi384Vzn3sZt5Y5_ZwYxW6b3u4nq2-40/edit</x:v>
      </x:c>
      <x:c r="V34" t="n">
        <x:f>COUNTIF(Outcome_Data!$A:$A,A34)</x:f>
        <x:v>6</x:v>
      </x:c>
    </x:row>
    <x:row r="35">
      <x:c r="A35" s="18" t="str">
        <x:v>Long 2025</x:v>
      </x:c>
      <x:c r="B35" s="18" t="str">
        <x:v>Batch 16</x:v>
      </x:c>
      <x:c r="C35" s="18" t="str">
        <x:v>FULL REPLACEMENT</x:v>
      </x:c>
      <x:c r="D35" s="18" t="str">
        <x:v>Invents 160/160, sham/masking and PND result; source has 60 randomized/53 analyzed and denominator inconsistencies.</x:v>
      </x:c>
      <x:c r="E35" s="18" t="str"/>
      <x:c r="F35" s="18" t="str">
        <x:v>Long 2025</x:v>
      </x:c>
      <x:c r="G35" s="18" t="str">
        <x:v>106</x:v>
      </x:c>
      <x:c r="H35" s="18" t="str">
        <x:v>1879896090</x:v>
      </x:c>
      <x:c r="I35" s="18" t="str">
        <x:v>**Resting VAS pain 24h (PRIMARY)**: Group A (EA, n=27) 2.78 ± 0.97 vs Group C (Sham, n=26) 3.96 ± 0.96 (P &lt; 0.001) [MD -1.18, 95% CI -1.70 to -0.66]. **Resti...</x:v>
      </x:c>
      <x:c r="J35" s="18" t="str">
        <x:v>Yes</x:v>
      </x:c>
      <x:c r="K35" s="18" t="str">
        <x:v>Yes</x:v>
      </x:c>
      <x:c r="L35" s="18" t="str">
        <x:v>Yes</x:v>
      </x:c>
      <x:c r="M35" s="18" t="str">
        <x:v>Perioperative neurocognitive disorder (PND)</x:v>
      </x:c>
      <x:c r="N35" s="18" t="str">
        <x:v>POD3</x:v>
      </x:c>
      <x:c r="O35" s="18" t="str">
        <x:v>High</x:v>
      </x:c>
      <x:c r="P35" s="18" t="str">
        <x:v>PARTIAL — selected RoB corrected; PND/pain/PCIA/PONV rows added</x:v>
      </x:c>
      <x:c r="Q35" s="18" t="str">
        <x:v>Do not derive PND denominators from inconsistent percentages; 24-h opioid dose remains unavailable</x:v>
      </x:c>
      <x:c r="R35" s="18" t="str">
        <x:v>SOURCE-NORMALIZED OUTCOME ROWS ADDED</x:v>
      </x:c>
      <x:c r="S35" s="18" t="str">
        <x:v>Source PDF / supplement / protocol / registration &gt; reconciled source extraction &gt; derivative model output</x:v>
      </x:c>
      <x:c r="T35" s="18" t="str">
        <x:v>https://drive.google.com/drive/folders/1EWdZyTQjPSuoxt8n1nIr1t8D98PC-mso</x:v>
      </x:c>
      <x:c r="U35" s="18" t="str">
        <x:v>https://docs.google.com/document/d/1hR0UuZSmPpwZi384Vzn3sZt5Y5_ZwYxW6b3u4nq2-40/edit</x:v>
      </x:c>
      <x:c r="V35" t="n">
        <x:f>COUNTIF(Outcome_Data!$A:$A,A35)</x:f>
        <x:v>7</x:v>
      </x:c>
    </x:row>
    <x:row r="36">
      <x:c r="A36" s="18" t="str">
        <x:v>Li 2021</x:v>
      </x:c>
      <x:c r="B36" s="18" t="str">
        <x:v>Batch 7</x:v>
      </x:c>
      <x:c r="C36" s="18" t="str">
        <x:v>FULL REPLACEMENT</x:v>
      </x:c>
      <x:c r="D36" s="18" t="str">
        <x:v>Changes 306 randomized/280 PP trial to 120/120 and fabricates mean/SD flatus result.</x:v>
      </x:c>
      <x:c r="E36" s="18" t="str"/>
      <x:c r="F36" s="18" t="str">
        <x:v>Li 2021</x:v>
      </x:c>
      <x:c r="G36" s="18" t="str">
        <x:v>437</x:v>
      </x:c>
      <x:c r="H36" s="18" t="str">
        <x:v>1879896618</x:v>
      </x:c>
      <x:c r="I36" s="18" t="str">
        <x:v>**Length of hospital stay (days)**: TEAS group (n=140) 6.2 ± 3.3 vs Sham TEAS group (n=140) 8.1 ± 3.6 (P &lt; 0.01) [MD -1.90, 95% CI -2.71 to -1.09]. **Postope...</x:v>
      </x:c>
      <x:c r="J36" s="18" t="str">
        <x:v>Yes</x:v>
      </x:c>
      <x:c r="K36" s="18" t="str">
        <x:v>Yes</x:v>
      </x:c>
      <x:c r="L36" s="18" t="str">
        <x:v>Yes</x:v>
      </x:c>
      <x:c r="M36" s="18" t="str">
        <x:v>Time to first bowel motion by auscultation</x:v>
      </x:c>
      <x:c r="N36" s="18" t="str">
        <x:v>Postoperative</x:v>
      </x:c>
      <x:c r="O36" s="18" t="str">
        <x:v>High</x:v>
      </x:c>
      <x:c r="P36" s="18" t="str">
        <x:v>PARTIAL — selected RoB corrected; GI/pain/opioid-QC rows added</x:v>
      </x:c>
      <x:c r="Q36" s="18" t="str">
        <x:v>Use per-protocol denominators transparently; exact postoperative sufentanil dose cannot be reconstructed from implausible printed pump unit</x:v>
      </x:c>
      <x:c r="R36" s="18" t="str">
        <x:v>SOURCE-NORMALIZED OUTCOME ROWS ADDED</x:v>
      </x:c>
      <x:c r="S36" s="18" t="str">
        <x:v>Source PDF / supplement / protocol / registration &gt; reconciled source extraction &gt; derivative model output</x:v>
      </x:c>
      <x:c r="T36" s="18" t="str">
        <x:v>https://drive.google.com/drive/folders/1EWdZyTQjPSuoxt8n1nIr1t8D98PC-mso</x:v>
      </x:c>
      <x:c r="U36" s="18" t="str">
        <x:v>https://docs.google.com/document/d/1hR0UuZSmPpwZi384Vzn3sZt5Y5_ZwYxW6b3u4nq2-40/edit</x:v>
      </x:c>
      <x:c r="V36" t="n">
        <x:f>COUNTIF(Outcome_Data!$A:$A,A36)</x:f>
        <x:v>5</x:v>
      </x:c>
    </x:row>
    <x:row r="37">
      <x:c r="A37" s="18" t="str">
        <x:v>Liu 2026 (ESD)</x:v>
      </x:c>
      <x:c r="B37" s="18" t="str">
        <x:v>Batch 18</x:v>
      </x:c>
      <x:c r="C37" s="18" t="str">
        <x:v>FULL REPLACEMENT</x:v>
      </x:c>
      <x:c r="D37" s="18" t="str">
        <x:v>False 129/129 complete analysis and fabricated primary event counts/propofol values.</x:v>
      </x:c>
      <x:c r="E37" s="18" t="str">
        <x:v>Liu 2025 → Liu 2026 (ESD)</x:v>
      </x:c>
      <x:c r="F37" s="18" t="str">
        <x:v>Liu 2025</x:v>
      </x:c>
      <x:c r="G37" s="18" t="str">
        <x:v>69</x:v>
      </x:c>
      <x:c r="H37" s="18" t="str">
        <x:v>1879896009</x:v>
      </x:c>
      <x:c r="I37" s="18" t="str">
        <x:v>**Resting pain NRS 24h (PRIMARY)**: TEAS group (n=58) 1.2 ± 1.3 vs Sham TEAS group (n=62) 2.8 ± 1.9 (P &lt; 0.01) [MD -1.60, 95% CI -2.18 to -1.02]. **Resting p...</x:v>
      </x:c>
      <x:c r="J37" s="18" t="str">
        <x:v>Yes</x:v>
      </x:c>
      <x:c r="K37" s="18" t="str">
        <x:v>Yes</x:v>
      </x:c>
      <x:c r="L37" s="18" t="str">
        <x:v>Yes</x:v>
      </x:c>
      <x:c r="M37" s="18" t="str">
        <x:v>Moderate-to-severe pain (NRS ≥4)</x:v>
      </x:c>
      <x:c r="N37" s="18" t="str">
        <x:v>Within 24 h</x:v>
      </x:c>
      <x:c r="O37" s="18" t="str">
        <x:v>High</x:v>
      </x:c>
      <x:c r="P37" s="18" t="str">
        <x:v>PARTIAL — selected RoB corrected; pain/morphine/PONV rows added</x:v>
      </x:c>
      <x:c r="Q37" s="18" t="str">
        <x:v>Binary rescue morphine is usable; cumulative 24-h morphine/MME is unavailable</x:v>
      </x:c>
      <x:c r="R37" s="18" t="str">
        <x:v>SOURCE-NORMALIZED OUTCOME ROWS ADDED</x:v>
      </x:c>
      <x:c r="S37" s="18" t="str">
        <x:v>Source PDF / supplement / protocol / registration &gt; reconciled source extraction &gt; derivative model output</x:v>
      </x:c>
      <x:c r="T37" s="18" t="str">
        <x:v>https://drive.google.com/drive/folders/1EWdZyTQjPSuoxt8n1nIr1t8D98PC-mso</x:v>
      </x:c>
      <x:c r="U37" s="18" t="str">
        <x:v>https://docs.google.com/document/d/1hR0UuZSmPpwZi384Vzn3sZt5Y5_ZwYxW6b3u4nq2-40/edit</x:v>
      </x:c>
      <x:c r="V37" t="n">
        <x:f>COUNTIF(Outcome_Data!$A:$A,A37)</x:f>
        <x:v>5</x:v>
      </x:c>
    </x:row>
    <x:row r="38">
      <x:c r="A38" s="18" t="str">
        <x:v>Liu 2021</x:v>
      </x:c>
      <x:c r="B38" s="18" t="str">
        <x:v>Batch 8</x:v>
      </x:c>
      <x:c r="C38" s="18" t="str">
        <x:v>FULL REPLACEMENT</x:v>
      </x:c>
      <x:c r="D38" s="18" t="str">
        <x:v>Changes sample, acupoints, schedule, POCD definition/timepoint and numerical result.</x:v>
      </x:c>
      <x:c r="E38" s="18" t="str"/>
      <x:c r="F38" s="18" t="str">
        <x:v>Liu 2021</x:v>
      </x:c>
      <x:c r="G38" s="18" t="str">
        <x:v>424</x:v>
      </x:c>
      <x:c r="H38" s="18" t="str">
        <x:v>1879896597</x:v>
      </x:c>
      <x:c r="I38" s="18" t="str">
        <x:v>**Resting VAS pain 24h (PRIMARY)**: TEAS group (n=50) 2.52 ± 0.505 vs Control group (n=50) 2.66 ± 0.626 (P = 0.221) [MD -0.14, 95% CI -0.36 to 0.08]. **Movem...</x:v>
      </x:c>
      <x:c r="J38" s="18" t="str">
        <x:v>Yes</x:v>
      </x:c>
      <x:c r="K38" s="18" t="str">
        <x:v>Yes</x:v>
      </x:c>
      <x:c r="L38" s="18" t="str">
        <x:v>Yes</x:v>
      </x:c>
      <x:c r="M38" s="18" t="str">
        <x:v>Postoperative cognitive decline (MMSE Z-score ≤ -2)</x:v>
      </x:c>
      <x:c r="N38" s="18" t="str">
        <x:v>POD1</x:v>
      </x:c>
      <x:c r="O38" s="18" t="str">
        <x:v>Some concerns</x:v>
      </x:c>
      <x:c r="P38" s="18" t="str">
        <x:v>PARTIAL — selected RoB corrected; POCD/pain/PCA-demand rows added</x:v>
      </x:c>
      <x:c r="Q38" s="18" t="str">
        <x:v>Do not reconstruct 24-h sufentanil dose from press counts or ambiguous pump formulation</x:v>
      </x:c>
      <x:c r="R38" s="18" t="str">
        <x:v>SOURCE-NORMALIZED OUTCOME ROWS ADDED</x:v>
      </x:c>
      <x:c r="S38" s="18" t="str">
        <x:v>Source PDF / supplement / protocol / registration &gt; reconciled source extraction &gt; derivative model output</x:v>
      </x:c>
      <x:c r="T38" s="18" t="str">
        <x:v>https://drive.google.com/drive/folders/1EWdZyTQjPSuoxt8n1nIr1t8D98PC-mso</x:v>
      </x:c>
      <x:c r="U38" s="18" t="str">
        <x:v>https://docs.google.com/document/d/1hR0UuZSmPpwZi384Vzn3sZt5Y5_ZwYxW6b3u4nq2-40/edit</x:v>
      </x:c>
      <x:c r="V38" t="n">
        <x:f>COUNTIF(Outcome_Data!$A:$A,A38)</x:f>
        <x:v>5</x:v>
      </x:c>
    </x:row>
    <x:row r="39">
      <x:c r="A39" s="18" t="str">
        <x:v>Liu 2026 (burn)</x:v>
      </x:c>
      <x:c r="B39" s="18" t="str">
        <x:v>Batch 18</x:v>
      </x:c>
      <x:c r="C39" s="18" t="str">
        <x:v>FULL REPLACEMENT</x:v>
      </x:c>
      <x:c r="D39" s="18" t="str">
        <x:v>Misnamed Zhou 2026 RoB; entirely different invented colorectal/flatus trial.</x:v>
      </x:c>
      <x:c r="E39" s="18" t="str">
        <x:v>Liu 2026 → Liu 2026 (burn)</x:v>
      </x:c>
      <x:c r="F39" s="18" t="str">
        <x:v>Liu 2026</x:v>
      </x:c>
      <x:c r="G39" s="18" t="str">
        <x:v>48</x:v>
      </x:c>
      <x:c r="H39" s="18" t="str">
        <x:v>1879895960</x:v>
      </x:c>
      <x:c r="I39" s="18" t="str">
        <x:v>**Composite PONV 0-24h (PRIMARY)**: TEAS group (n=43) 7/43 (16.3%) vs Sham TEAS group (n=43) 16/43 (37.2%) (P = 0.028) [RR 0.44, 95% CI 0.20 to 0.96]. **Part...</x:v>
      </x:c>
      <x:c r="J39" s="18" t="str">
        <x:v>Yes</x:v>
      </x:c>
      <x:c r="K39" s="18" t="str">
        <x:v>Yes</x:v>
      </x:c>
      <x:c r="L39" s="18" t="str">
        <x:v>Yes</x:v>
      </x:c>
      <x:c r="M39" s="18" t="str">
        <x:v>Intraoperative remifentanil consumption</x:v>
      </x:c>
      <x:c r="N39" s="18" t="str">
        <x:v>Intraoperative</x:v>
      </x:c>
      <x:c r="O39" s="18" t="str">
        <x:v>Some concerns</x:v>
      </x:c>
      <x:c r="P39" s="18" t="str">
        <x:v>PARTIAL — selected RoB corrected; remifentanil/PONV/rescue/pain-QC rows added</x:v>
      </x:c>
      <x:c r="Q39" s="18" t="str">
        <x:v>Use Results/Figure 4 remifentanil medians; continuous 24-h postoperative MME remains non-calculable</x:v>
      </x:c>
      <x:c r="R39" s="18" t="str">
        <x:v>SOURCE-NORMALIZED OUTCOME ROWS ADDED</x:v>
      </x:c>
      <x:c r="S39" s="18" t="str">
        <x:v>Source PDF / supplement / protocol / registration &gt; reconciled source extraction &gt; derivative model output</x:v>
      </x:c>
      <x:c r="T39" s="18" t="str">
        <x:v>https://drive.google.com/drive/folders/1EWdZyTQjPSuoxt8n1nIr1t8D98PC-mso</x:v>
      </x:c>
      <x:c r="U39" s="18" t="str">
        <x:v>https://docs.google.com/document/d/1hR0UuZSmPpwZi384Vzn3sZt5Y5_ZwYxW6b3u4nq2-40/edit</x:v>
      </x:c>
      <x:c r="V39" t="n">
        <x:f>COUNTIF(Outcome_Data!$A:$A,A39)</x:f>
        <x:v>5</x:v>
      </x:c>
    </x:row>
    <x:row r="40">
      <x:c r="A40" s="18" t="str">
        <x:v>Liu 2025</x:v>
      </x:c>
      <x:c r="B40" s="18" t="str">
        <x:v>Batch 16</x:v>
      </x:c>
      <x:c r="C40" s="18" t="str">
        <x:v>FULL REPLACEMENT</x:v>
      </x:c>
      <x:c r="D40" s="18" t="str">
        <x:v>Changes sample, acupoints/schedule, sleep instrument and arrhythmia/sleep results.</x:v>
      </x:c>
      <x:c r="E40" s="18" t="str"/>
      <x:c r="F40" s="18" t="str">
        <x:v>Liu 2025</x:v>
      </x:c>
      <x:c r="G40" s="18" t="str">
        <x:v>75</x:v>
      </x:c>
      <x:c r="H40" s="18" t="str">
        <x:v>1879896021</x:v>
      </x:c>
      <x:c r="I40" s="18" t="str">
        <x:v>**Pain VAS 24h (PRIMARY)**: Depicted graphically in Figure 2 (~2.0/10 in both groups, requires author contact for numeric mean ± SD). **Intraop remifentanil ...</x:v>
      </x:c>
      <x:c r="J40" s="18" t="str">
        <x:v>Yes</x:v>
      </x:c>
      <x:c r="K40" s="18" t="str">
        <x:v>Yes</x:v>
      </x:c>
      <x:c r="L40" s="18" t="str">
        <x:v>Yes</x:v>
      </x:c>
      <x:c r="M40" s="18" t="str">
        <x:v>New-onset supraventricular tachycardia (SVT)</x:v>
      </x:c>
      <x:c r="N40" s="18" t="str">
        <x:v>First 24 h</x:v>
      </x:c>
      <x:c r="O40" s="18" t="str">
        <x:v>Some concerns</x:v>
      </x:c>
      <x:c r="P40" s="18" t="str">
        <x:v>PARTIAL — selected RoB corrected; SVT/sleep/pain-QC rows added</x:v>
      </x:c>
      <x:c r="Q40" s="18" t="str">
        <x:v>Use objective SVT and sleep-recorder data; 24-h pain remains graph-only and exact 24-h opioid consumption is unavailable</x:v>
      </x:c>
      <x:c r="R40" s="18" t="str">
        <x:v>SOURCE-NORMALIZED OUTCOME ROWS ADDED</x:v>
      </x:c>
      <x:c r="S40" s="18" t="str">
        <x:v>Source PDF / supplement / protocol / registration &gt; reconciled source extraction &gt; derivative model output</x:v>
      </x:c>
      <x:c r="T40" s="18" t="str">
        <x:v>https://drive.google.com/drive/folders/1EWdZyTQjPSuoxt8n1nIr1t8D98PC-mso</x:v>
      </x:c>
      <x:c r="U40" s="18" t="str">
        <x:v>https://docs.google.com/document/d/1hR0UuZSmPpwZi384Vzn3sZt5Y5_ZwYxW6b3u4nq2-40/edit</x:v>
      </x:c>
      <x:c r="V40" t="n">
        <x:f>COUNTIF(Outcome_Data!$A:$A,A40)</x:f>
        <x:v>4</x:v>
      </x:c>
    </x:row>
    <x:row r="41">
      <x:c r="A41" s="18" t="str">
        <x:v>Li 2022</x:v>
      </x:c>
      <x:c r="B41" s="18" t="str">
        <x:v>Batch 19</x:v>
      </x:c>
      <x:c r="C41" s="18" t="str">
        <x:v>FULL REPLACEMENT</x:v>
      </x:c>
      <x:c r="D41" s="18" t="str">
        <x:v>Changes EA protocol/dropout arm and fabricates significant 24-h mechanical-threshold and sufentanil results.</x:v>
      </x:c>
      <x:c r="E41" s="18" t="str"/>
      <x:c r="F41" s="18" t="str">
        <x:v>Li 2022</x:v>
      </x:c>
      <x:c r="G41" s="18" t="str">
        <x:v>359</x:v>
      </x:c>
      <x:c r="H41" s="18" t="str">
        <x:v>1879896493</x:v>
      </x:c>
      <x:c r="I41" s="18" t="str">
        <x:v>**Pain NRS 24h (PRIMARY)**: EA group (n=39) median 1.5 (1.0-3.0) vs Sham EA group (n=40) median 1.6 (1.0-3.0) (P = 0.223) (requires author contact for parame...</x:v>
      </x:c>
      <x:c r="J41" s="18" t="str">
        <x:v>Yes</x:v>
      </x:c>
      <x:c r="K41" s="18" t="str">
        <x:v>Yes</x:v>
      </x:c>
      <x:c r="L41" s="18" t="str">
        <x:v>Yes</x:v>
      </x:c>
      <x:c r="M41" s="18" t="str">
        <x:v>Postoperative NRS pain</x:v>
      </x:c>
      <x:c r="N41" s="18" t="str">
        <x:v>24 h</x:v>
      </x:c>
      <x:c r="O41" s="18" t="str">
        <x:v>Some concerns</x:v>
      </x:c>
      <x:c r="P41" s="18" t="str">
        <x:v>PARTIAL — selected RoB corrected; 24-h pain and mechanical-threshold QC rows added</x:v>
      </x:c>
      <x:c r="Q41" s="18" t="str">
        <x:v>Do not reuse fabricated significant 24-h mechanical-threshold or sufentanil results</x:v>
      </x:c>
      <x:c r="R41" s="18" t="str">
        <x:v>SOURCE-NORMALIZED OUTCOME ROWS ADDED</x:v>
      </x:c>
      <x:c r="S41" s="18" t="str">
        <x:v>Source PDF / supplement / protocol / registration &gt; reconciled source extraction &gt; derivative model output</x:v>
      </x:c>
      <x:c r="T41" s="18" t="str">
        <x:v>https://drive.google.com/drive/folders/1EWdZyTQjPSuoxt8n1nIr1t8D98PC-mso</x:v>
      </x:c>
      <x:c r="U41" s="18" t="str">
        <x:v>https://docs.google.com/document/d/1hR0UuZSmPpwZi384Vzn3sZt5Y5_ZwYxW6b3u4nq2-40/edit</x:v>
      </x:c>
      <x:c r="V41" t="n">
        <x:f>COUNTIF(Outcome_Data!$A:$A,A41)</x:f>
        <x:v>3</x:v>
      </x:c>
    </x:row>
    <x:row r="42">
      <x:c r="A42" s="18" t="str">
        <x:v>Lin 2002</x:v>
      </x:c>
      <x:c r="B42" s="18" t="str">
        <x:v>Batch 20</x:v>
      </x:c>
      <x:c r="C42" s="18" t="str">
        <x:v>FULL REPLACEMENT</x:v>
      </x:c>
      <x:c r="D42" s="18" t="str">
        <x:v>Changes ST36-only preop EA to ST36+SP6/intraoperative; wrong PCA settings and fabricated 24-h morphine means.</x:v>
      </x:c>
      <x:c r="E42" s="18" t="str"/>
      <x:c r="F42" s="18" t="str">
        <x:v>Lin 2002</x:v>
      </x:c>
      <x:c r="G42" s="18" t="str">
        <x:v>951</x:v>
      </x:c>
      <x:c r="H42" s="18" t="str">
        <x:v>1879897477</x:v>
      </x:c>
      <x:c r="I42" s="18" t="str">
        <x:v>**Cumulative 24h PCA morphine (mg) (PRIMARY)**: High-EA 100 Hz (Group IV, n=25) 15.0 ± 10.7 mg vs Sham-EA (Group II, n=25) 30.2 ± 14.4 mg vs Control (Group I...</x:v>
      </x:c>
      <x:c r="J42" s="18" t="str">
        <x:v>Yes</x:v>
      </x:c>
      <x:c r="K42" s="18" t="str">
        <x:v>Yes</x:v>
      </x:c>
      <x:c r="L42" s="18" t="str">
        <x:v>Yes</x:v>
      </x:c>
      <x:c r="M42" s="18" t="str">
        <x:v>Cumulative IV PCA morphine delivered</x:v>
      </x:c>
      <x:c r="N42" s="18" t="str">
        <x:v>24-h test period</x:v>
      </x:c>
      <x:c r="O42" s="18" t="str">
        <x:v>Some concerns</x:v>
      </x:c>
      <x:c r="P42" s="18" t="str">
        <x:v>PARTIALLY READY — corrected RoB available for one selected result; confirm outcome matches planned synthesis</x:v>
      </x:c>
      <x:c r="Q42" s="18" t="str">
        <x:v>Use source data; DO NOT use original stored RoB. Rebuild result-specific RoB.</x:v>
      </x:c>
      <x:c r="R42" s="18" t="str">
        <x:v>Candidate summary from Antigravity report; use only after source-level confirmation</x:v>
      </x:c>
      <x:c r="S42" s="18" t="str">
        <x:v>Source PDF / supplement / protocol / registration &gt; reconciled source extraction &gt; derivative model output</x:v>
      </x:c>
      <x:c r="T42" s="18" t="str">
        <x:v>https://drive.google.com/drive/folders/1EWdZyTQjPSuoxt8n1nIr1t8D98PC-mso</x:v>
      </x:c>
      <x:c r="U42" s="18" t="str">
        <x:v>https://docs.google.com/document/d/1hR0UuZSmPpwZi384Vzn3sZt5Y5_ZwYxW6b3u4nq2-40/edit</x:v>
      </x:c>
      <x:c r="V42" t="n">
        <x:f>COUNTIF(Outcome_Data!$A:$A,A42)</x:f>
        <x:v>4</x:v>
      </x:c>
    </x:row>
    <x:row r="43">
      <x:c r="A43" s="18" t="str">
        <x:v>Liang 2021</x:v>
      </x:c>
      <x:c r="B43" s="18" t="str">
        <x:v>Batch 8</x:v>
      </x:c>
      <x:c r="C43" s="18" t="str">
        <x:v>FULL REPLACEMENT</x:v>
      </x:c>
      <x:c r="D43" s="18" t="str">
        <x:v>Changes anesthesia/acupoints/timing, ignores 75 randomized/70 analyzed, invents unreported 6-h CRBD result.</x:v>
      </x:c>
      <x:c r="E43" s="18" t="str"/>
      <x:c r="F43" s="18" t="str">
        <x:v>Liang 2021</x:v>
      </x:c>
      <x:c r="G43" s="18" t="str">
        <x:v>432</x:v>
      </x:c>
      <x:c r="H43" s="18" t="str">
        <x:v>1879896610</x:v>
      </x:c>
      <x:c r="I43" s="18" t="str">
        <x:v>**QoR-40 at 24h (PRIMARY)**: TEAS group (n=35) 191.7 ± 4.4 vs Control group (n=35) 189.1 ± 4.3 (P = 0.007) [MD 2.6, 95% CI 0.6 to 4.6]. **QoR-40 at 48h**: TE...</x:v>
      </x:c>
      <x:c r="J43" s="18" t="str">
        <x:v>Yes</x:v>
      </x:c>
      <x:c r="K43" s="18" t="str">
        <x:v>Yes</x:v>
      </x:c>
      <x:c r="L43" s="18" t="str">
        <x:v>Yes</x:v>
      </x:c>
      <x:c r="M43" s="18" t="str">
        <x:v>CRBD incidence</x:v>
      </x:c>
      <x:c r="N43" s="18" t="str">
        <x:v>24 h</x:v>
      </x:c>
      <x:c r="O43" s="18" t="str">
        <x:v>High</x:v>
      </x:c>
      <x:c r="P43" s="18" t="str">
        <x:v>PARTIAL — selected RoB corrected; source CRBD timepoints added</x:v>
      </x:c>
      <x:c r="Q43" s="18" t="str">
        <x:v>Use actual end-surgery/PACU/24-h/48-h CRBD timepoints; discard the fabricated 6-h endpoint</x:v>
      </x:c>
      <x:c r="R43" s="18" t="str">
        <x:v>SOURCE-NORMALIZED OUTCOME ROWS ADDED</x:v>
      </x:c>
      <x:c r="S43" s="18" t="str">
        <x:v>Source PDF / supplement / protocol / registration &gt; reconciled source extraction &gt; derivative model output</x:v>
      </x:c>
      <x:c r="T43" s="18" t="str">
        <x:v>https://drive.google.com/drive/folders/1EWdZyTQjPSuoxt8n1nIr1t8D98PC-mso</x:v>
      </x:c>
      <x:c r="U43" s="18" t="str">
        <x:v>https://docs.google.com/document/d/1hR0UuZSmPpwZi384Vzn3sZt5Y5_ZwYxW6b3u4nq2-40/edit</x:v>
      </x:c>
      <x:c r="V43" t="n">
        <x:f>COUNTIF(Outcome_Data!$A:$A,A43)</x:f>
        <x:v>5</x:v>
      </x:c>
    </x:row>
    <x:row r="44">
      <x:c r="A44" s="18" t="str">
        <x:v>Lee 2011</x:v>
      </x:c>
      <x:c r="B44" s="18" t="str">
        <x:v>Batch 2</x:v>
      </x:c>
      <x:c r="C44" s="18" t="str">
        <x:v>SPECIAL / SOURCE-QC</x:v>
      </x:c>
      <x:c r="D44" s="18" t="str">
        <x:v>Four-arm trial; preserve direct cumulative Table 8 values; source interval/cumulative inconsistency and two low-frequency-arm exclusions.</x:v>
      </x:c>
      <x:c r="E44" s="18" t="str"/>
      <x:c r="F44" s="18" t="str">
        <x:v>Lee 2011</x:v>
      </x:c>
      <x:c r="G44" s="18" t="str">
        <x:v>812</x:v>
      </x:c>
      <x:c r="H44" s="18" t="str">
        <x:v>1879897255</x:v>
      </x:c>
      <x:c r="I44" s="18" t="str">
        <x:v>**Cumulative 24h PCA morphine (mg) (PRIMARY)**: Dense-sparse TEAS (Group 4, n=10) 29.29 ± 8.89 mg vs Sham TEAS (Group 2, n=12) 34.20 ± 6.40 mg vs Control (Gr...</x:v>
      </x:c>
      <x:c r="J44" s="18" t="str">
        <x:v>Yes</x:v>
      </x:c>
      <x:c r="K44" s="18" t="str">
        <x:v>No</x:v>
      </x:c>
      <x:c r="L44" s="18" t="str">
        <x:v>Yes</x:v>
      </x:c>
      <x:c r="M44" s="18" t="str">
        <x:v>Cumulative IV PCA morphine delivered</x:v>
      </x:c>
      <x:c r="N44" s="18" t="str">
        <x:v>First 24 postoperative hours</x:v>
      </x:c>
      <x:c r="O44" s="18" t="str">
        <x:v>Some concerns</x:v>
      </x:c>
      <x:c r="P44" s="18" t="str">
        <x:v>PARTIAL — selected RoB corrected; four-arm 24-h morphine/pain rows added</x:v>
      </x:c>
      <x:c r="Q44" s="18" t="str">
        <x:v>Preserve four arms and direct cumulative Table 8 values; shared comparator must be handled statistically</x:v>
      </x:c>
      <x:c r="R44" s="18" t="str">
        <x:v>SOURCE-NORMALIZED OUTCOME ROWS ADDED</x:v>
      </x:c>
      <x:c r="S44" s="18" t="str">
        <x:v>Source PDF / supplement / protocol / registration &gt; reconciled source extraction &gt; derivative model output</x:v>
      </x:c>
      <x:c r="T44" s="18" t="str">
        <x:v>https://drive.google.com/drive/folders/1EWdZyTQjPSuoxt8n1nIr1t8D98PC-mso</x:v>
      </x:c>
      <x:c r="U44" s="18" t="str">
        <x:v>https://docs.google.com/document/d/1hR0UuZSmPpwZi384Vzn3sZt5Y5_ZwYxW6b3u4nq2-40/edit</x:v>
      </x:c>
      <x:c r="V44" t="n">
        <x:f>COUNTIF(Outcome_Data!$A:$A,A44)</x:f>
        <x:v>4</x:v>
      </x:c>
    </x:row>
    <x:row r="45">
      <x:c r="A45" s="18" t="str">
        <x:v>Jin 2023</x:v>
      </x:c>
      <x:c r="B45" s="18" t="str">
        <x:v>Batch 11</x:v>
      </x:c>
      <x:c r="C45" s="18" t="str">
        <x:v>FULL REPLACEMENT</x:v>
      </x:c>
      <x:c r="D45" s="18" t="str">
        <x:v>Collapses three arms, invents anesthesia/schedule, complete follow-up and pump/fentanyl results.</x:v>
      </x:c>
      <x:c r="E45" s="18" t="str">
        <x:v>Jin 2022 → Jin 2023</x:v>
      </x:c>
      <x:c r="F45" s="18" t="str">
        <x:v>Jin 2022</x:v>
      </x:c>
      <x:c r="G45" s="18" t="str">
        <x:v>326</x:v>
      </x:c>
      <x:c r="H45" s="18" t="str">
        <x:v>1879896440</x:v>
      </x:c>
      <x:c r="I45" s="18" t="str">
        <x:v>**Cumulative 24h PCIA fentanyl volume (mL) (PRIMARY)**: 2-Hz EA (n=53) 39.31 ± 15.58 mL vs 20/100-Hz EA (n=53) 45.72 ± 16.92 mL vs Sham EA (n=52) 56.54 ± 12....</x:v>
      </x:c>
      <x:c r="J45" s="18" t="str">
        <x:v>Yes</x:v>
      </x:c>
      <x:c r="K45" s="18" t="str">
        <x:v>Yes</x:v>
      </x:c>
      <x:c r="L45" s="18" t="str">
        <x:v>Yes</x:v>
      </x:c>
      <x:c r="M45" s="18" t="str">
        <x:v>Cumulative analgesic pump compressions</x:v>
      </x:c>
      <x:c r="N45" s="18" t="str">
        <x:v>48 h</x:v>
      </x:c>
      <x:c r="O45" s="18" t="str">
        <x:v>High</x:v>
      </x:c>
      <x:c r="P45" s="18" t="str">
        <x:v>PARTIAL — selected RoB corrected; three-arm pump-demand/24-h PCIA-volume rows added</x:v>
      </x:c>
      <x:c r="Q45" s="18" t="str">
        <x:v>PCIA volume in mL is source-valid but cannot become fentanyl mass/MME until concentration is recovered</x:v>
      </x:c>
      <x:c r="R45" s="18" t="str">
        <x:v>SOURCE-NORMALIZED OUTCOME ROWS ADDED</x:v>
      </x:c>
      <x:c r="S45" s="18" t="str">
        <x:v>Source PDF / supplement / protocol / registration &gt; reconciled source extraction &gt; derivative model output</x:v>
      </x:c>
      <x:c r="T45" s="18" t="str">
        <x:v>https://drive.google.com/drive/folders/1EWdZyTQjPSuoxt8n1nIr1t8D98PC-mso</x:v>
      </x:c>
      <x:c r="U45" s="18" t="str">
        <x:v>https://docs.google.com/document/d/1hR0UuZSmPpwZi384Vzn3sZt5Y5_ZwYxW6b3u4nq2-40/edit</x:v>
      </x:c>
      <x:c r="V45" t="n">
        <x:f>COUNTIF(Outcome_Data!$A:$A,A45)</x:f>
        <x:v>5</x:v>
      </x:c>
    </x:row>
    <x:row r="46">
      <x:c r="A46" s="18" t="str">
        <x:v>Jiang 2026</x:v>
      </x:c>
      <x:c r="B46" s="18" t="str">
        <x:v>Batch 17</x:v>
      </x:c>
      <x:c r="C46" s="18" t="str">
        <x:v>FULL REPLACEMENT</x:v>
      </x:c>
      <x:c r="D46" s="18" t="str">
        <x:v>Treats PP 587 as randomized/ITT, changes protocol and flatus value/HR.</x:v>
      </x:c>
      <x:c r="E46" s="18" t="str"/>
      <x:c r="F46" s="18" t="str">
        <x:v>Jiang 2026</x:v>
      </x:c>
      <x:c r="G46" s="18" t="str">
        <x:v>4</x:v>
      </x:c>
      <x:c r="H46" s="18" t="str">
        <x:v>1879895860</x:v>
      </x:c>
      <x:c r="I46" s="18" t="str">
        <x:v>**24h PONV incidence (PRIMARY)**: TEAS group (n=294) 44/294 (15.0%) vs Sham-TEAS group (n=293) 67/293 (22.9%) (P = 0.015) [RR 0.59, 95% CI 0.39 to 0.90]. **T...</x:v>
      </x:c>
      <x:c r="J46" s="18" t="str">
        <x:v>Yes</x:v>
      </x:c>
      <x:c r="K46" s="18" t="str">
        <x:v>Yes</x:v>
      </x:c>
      <x:c r="L46" s="18" t="str">
        <x:v>Yes</x:v>
      </x:c>
      <x:c r="M46" s="18" t="str">
        <x:v>Time to first flatus</x:v>
      </x:c>
      <x:c r="N46" s="18" t="str">
        <x:v>Modified-ITT-type analysis</x:v>
      </x:c>
      <x:c r="O46" s="18" t="str">
        <x:v>Some concerns</x:v>
      </x:c>
      <x:c r="P46" s="18" t="str">
        <x:v>PARTIAL — selected RoB corrected; PP/mITT flatus, PONV and intraop-opioid rows added</x:v>
      </x:c>
      <x:c r="Q46" s="18" t="str">
        <x:v>Never call 587 randomized or full ITT; retain 614 randomized, 593 intervention recipients and 587 PP separately</x:v>
      </x:c>
      <x:c r="R46" s="18" t="str">
        <x:v>SOURCE-NORMALIZED OUTCOME ROWS ADDED</x:v>
      </x:c>
      <x:c r="S46" s="18" t="str">
        <x:v>Source PDF / supplement / protocol / registration &gt; reconciled source extraction &gt; derivative model output</x:v>
      </x:c>
      <x:c r="T46" s="18" t="str">
        <x:v>https://drive.google.com/drive/folders/1EWdZyTQjPSuoxt8n1nIr1t8D98PC-mso</x:v>
      </x:c>
      <x:c r="U46" s="18" t="str">
        <x:v>https://docs.google.com/document/d/1hR0UuZSmPpwZi384Vzn3sZt5Y5_ZwYxW6b3u4nq2-40/edit</x:v>
      </x:c>
      <x:c r="V46" t="n">
        <x:f>COUNTIF(Outcome_Data!$A:$A,A46)</x:f>
        <x:v>5</x:v>
      </x:c>
    </x:row>
    <x:row r="47">
      <x:c r="A47" s="18" t="str">
        <x:v>Huang 2025</x:v>
      </x:c>
      <x:c r="B47" s="18" t="str">
        <x:v>Batch 16</x:v>
      </x:c>
      <x:c r="C47" s="18" t="str">
        <x:v>FULL REPLACEMENT</x:v>
      </x:c>
      <x:c r="D47" s="18" t="str">
        <x:v>Invents three-arm colorectal trial and 24-h sufentanil values; source is two-arm postoperative EA with 13 exclusions.</x:v>
      </x:c>
      <x:c r="E47" s="18" t="str"/>
      <x:c r="F47" s="18" t="str">
        <x:v>Huang 2025</x:v>
      </x:c>
      <x:c r="G47" s="18" t="str">
        <x:v>131</x:v>
      </x:c>
      <x:c r="H47" s="18" t="str">
        <x:v>1879896131</x:v>
      </x:c>
      <x:c r="I47" s="18" t="str">
        <x:v>**Time to first flatus (hours) (PRIMARY)**: EA group (n=43) 36.4 ± 8.0 vs Standard care group (n=45) 42.2 ± 8.5 (P &lt; 0.001) [MD -5.8 h, HR 1.9, 95% CI 1.2 to...</x:v>
      </x:c>
      <x:c r="J47" s="18" t="str">
        <x:v>Yes</x:v>
      </x:c>
      <x:c r="K47" s="18" t="str">
        <x:v>Yes</x:v>
      </x:c>
      <x:c r="L47" s="18" t="str">
        <x:v>Yes</x:v>
      </x:c>
      <x:c r="M47" s="18" t="str">
        <x:v>Time to first flatus</x:v>
      </x:c>
      <x:c r="N47" s="18" t="str">
        <x:v>Postoperative</x:v>
      </x:c>
      <x:c r="O47" s="18" t="str">
        <x:v>High</x:v>
      </x:c>
      <x:c r="P47" s="18" t="str">
        <x:v>PARTIAL — selected RoB corrected; GI and opioid-missingness rows added</x:v>
      </x:c>
      <x:c r="Q47" s="18" t="str">
        <x:v>Use 101 randomized/88 analyzed; no exact PCA opioid dose is available</x:v>
      </x:c>
      <x:c r="R47" s="18" t="str">
        <x:v>SOURCE-NORMALIZED OUTCOME ROWS ADDED</x:v>
      </x:c>
      <x:c r="S47" s="18" t="str">
        <x:v>Source PDF / supplement / protocol / registration &gt; reconciled source extraction &gt; derivative model output</x:v>
      </x:c>
      <x:c r="T47" s="18" t="str">
        <x:v>https://drive.google.com/drive/folders/1EWdZyTQjPSuoxt8n1nIr1t8D98PC-mso</x:v>
      </x:c>
      <x:c r="U47" s="18" t="str">
        <x:v>https://docs.google.com/document/d/1hR0UuZSmPpwZi384Vzn3sZt5Y5_ZwYxW6b3u4nq2-40/edit</x:v>
      </x:c>
      <x:c r="V47" t="n">
        <x:f>COUNTIF(Outcome_Data!$A:$A,A47)</x:f>
        <x:v>3</x:v>
      </x:c>
    </x:row>
    <x:row r="48">
      <x:c r="A48" s="18" t="str">
        <x:v>Huang 2017</x:v>
      </x:c>
      <x:c r="B48" s="18" t="str">
        <x:v>Batch 5</x:v>
      </x:c>
      <x:c r="C48" s="18" t="str">
        <x:v>NO MATCHING RoB</x:v>
      </x:c>
      <x:c r="D48" s="18" t="str">
        <x:v>Source extraction/Gemini reconciled; four-arm frequency trial with ambiguous postoperative dose window; fresh result-specific RoB needed.</x:v>
      </x:c>
      <x:c r="E48" s="18" t="str"/>
      <x:c r="F48" s="18" t="str">
        <x:v>Huang 2017</x:v>
      </x:c>
      <x:c r="G48" s="18" t="str">
        <x:v>3811</x:v>
      </x:c>
      <x:c r="H48" s="18" t="str">
        <x:v>1882881457</x:v>
      </x:c>
      <x:c r="I48" s="18" t="str">
        <x:v>**Intraop remifentanil (PRIMARY)**: Control (n=20) 0.1617 ± 0.037 µg/kg/min vs 2/100 Hz TEAS (n=20) 0.1128 ± 0.034 µg/kg/min (P &lt;= 0.001) [MD -0.0489]. **PAC...</x:v>
      </x:c>
      <x:c r="J48" s="18" t="str">
        <x:v>Yes</x:v>
      </x:c>
      <x:c r="K48" s="18" t="str">
        <x:v>Yes</x:v>
      </x:c>
      <x:c r="L48" s="18" t="str">
        <x:v>Yes</x:v>
      </x:c>
      <x:c r="M48" s="18" t="str">
        <x:v>Total opioid as remifentanil-equivalent rate</x:v>
      </x:c>
      <x:c r="N48" s="18" t="str">
        <x:v>Intraoperative</x:v>
      </x:c>
      <x:c r="O48" s="18" t="str">
        <x:v>Some concerns</x:v>
      </x:c>
      <x:c r="P48" s="18" t="str">
        <x:v>PARTIAL — fresh RoB created; four-arm intraoperative and postoperative-window-QC rows added</x:v>
      </x:c>
      <x:c r="Q48" s="18" t="str">
        <x:v>Use 2/100-Hz intraoperative signal as direct source result; exact postoperative 24-h sufentanil remains unavailable</x:v>
      </x:c>
      <x:c r="R48" s="18" t="str">
        <x:v>SOURCE-NORMALIZED OUTCOME ROWS ADDED</x:v>
      </x:c>
      <x:c r="S48" s="18" t="str">
        <x:v>Source PDF / supplement / protocol / registration &gt; reconciled source extraction &gt; derivative model output</x:v>
      </x:c>
      <x:c r="T48" s="18" t="str">
        <x:v>https://drive.google.com/drive/folders/1EWdZyTQjPSuoxt8n1nIr1t8D98PC-mso</x:v>
      </x:c>
      <x:c r="U48" s="18" t="str">
        <x:v>https://docs.google.com/document/d/1hR0UuZSmPpwZi384Vzn3sZt5Y5_ZwYxW6b3u4nq2-40/edit</x:v>
      </x:c>
      <x:c r="V48" t="n">
        <x:f>COUNTIF(Outcome_Data!$A:$A,A48)</x:f>
        <x:v>5</x:v>
      </x:c>
    </x:row>
    <x:row r="49">
      <x:c r="A49" s="18" t="str">
        <x:v>Huang 2024</x:v>
      </x:c>
      <x:c r="B49" s="18" t="str">
        <x:v>Batch 13</x:v>
      </x:c>
      <x:c r="C49" s="18" t="str">
        <x:v>FULL REPLACEMENT</x:v>
      </x:c>
      <x:c r="D49" s="18" t="str">
        <x:v>Attached Liu RoB is unrelated colorectal/TEAS trial with fabricated flatus endpoint.</x:v>
      </x:c>
      <x:c r="E49" s="18" t="str">
        <x:v>Huang 2023 → Huang 2024</x:v>
      </x:c>
      <x:c r="F49" s="18" t="str">
        <x:v>Huang 2023</x:v>
      </x:c>
      <x:c r="G49" s="18" t="str">
        <x:v>245</x:v>
      </x:c>
      <x:c r="H49" s="18" t="str">
        <x:v>1879896311</x:v>
      </x:c>
      <x:c r="I49" s="18" t="str">
        <x:v>**Pain VAS 24h movement (PRIMARY)**: Contralateral EA (n=38) 53.16 ± 9.99 vs Ipsilateral EA (n=38) 53.50 ± 10.79 vs Sham EA (n=38) 56.71 ± 9.84 (0-100 scale)...</x:v>
      </x:c>
      <x:c r="J49" s="18" t="str">
        <x:v>Yes</x:v>
      </x:c>
      <x:c r="K49" s="18" t="str">
        <x:v>Yes</x:v>
      </x:c>
      <x:c r="L49" s="18" t="str">
        <x:v>Yes</x:v>
      </x:c>
      <x:c r="M49" s="18" t="str">
        <x:v>VAS during walking/knee movement</x:v>
      </x:c>
      <x:c r="N49" s="18" t="str">
        <x:v>POD1</x:v>
      </x:c>
      <x:c r="O49" s="18" t="str">
        <x:v>Some concerns</x:v>
      </x:c>
      <x:c r="P49" s="18" t="str">
        <x:v>PARTIAL — selected RoB corrected; three-arm pain/PCA-proxy rows added</x:v>
      </x:c>
      <x:c r="Q49" s="18" t="str">
        <x:v>Preserve three arms; PCA release cannot be converted to opioid mass and POD2 is not exact 24 h after surgery</x:v>
      </x:c>
      <x:c r="R49" s="18" t="str">
        <x:v>SOURCE-NORMALIZED OUTCOME ROWS ADDED</x:v>
      </x:c>
      <x:c r="S49" s="18" t="str">
        <x:v>Source PDF / supplement / protocol / registration &gt; reconciled source extraction &gt; derivative model output</x:v>
      </x:c>
      <x:c r="T49" s="18" t="str">
        <x:v>https://drive.google.com/drive/folders/1EWdZyTQjPSuoxt8n1nIr1t8D98PC-mso</x:v>
      </x:c>
      <x:c r="U49" s="18" t="str">
        <x:v>https://docs.google.com/document/d/1hR0UuZSmPpwZi384Vzn3sZt5Y5_ZwYxW6b3u4nq2-40/edit</x:v>
      </x:c>
      <x:c r="V49" t="n">
        <x:f>COUNTIF(Outcome_Data!$A:$A,A49)</x:f>
        <x:v>4</x:v>
      </x:c>
    </x:row>
    <x:row r="50">
      <x:c r="A50" s="18" t="str">
        <x:v>Hou 2023</x:v>
      </x:c>
      <x:c r="B50" s="18" t="str">
        <x:v>Batch 11</x:v>
      </x:c>
      <x:c r="C50" s="18" t="str">
        <x:v>FULL REPLACEMENT</x:v>
      </x:c>
      <x:c r="D50" s="18" t="str">
        <x:v>Stored RoB invents 186-woman gynecologic trial and 24-h sufentanil outcome not reported.</x:v>
      </x:c>
      <x:c r="E50" s="18" t="str"/>
      <x:c r="F50" s="18" t="str">
        <x:v>Hou 2023</x:v>
      </x:c>
      <x:c r="G50" s="18" t="str">
        <x:v>295</x:v>
      </x:c>
      <x:c r="H50" s="18" t="str">
        <x:v>1879896391</x:v>
      </x:c>
      <x:c r="I50" s="18" t="str">
        <x:v>**PONV 0-24h (PRIMARY)**: TEAS group (n=36) 4/36 (11.1%) vs Sham TEAS group (n=36) 12/36 (33.3%) (P = 0.023) [RR 0.33, 95% CI 0.12 to 0.92]. **Participants r...</x:v>
      </x:c>
      <x:c r="J50" s="18" t="str">
        <x:v>Yes</x:v>
      </x:c>
      <x:c r="K50" s="18" t="str">
        <x:v>Yes</x:v>
      </x:c>
      <x:c r="L50" s="18" t="str">
        <x:v>Yes</x:v>
      </x:c>
      <x:c r="M50" s="18" t="str">
        <x:v>PONV incidence</x:v>
      </x:c>
      <x:c r="N50" s="18" t="str">
        <x:v>Postoperative</x:v>
      </x:c>
      <x:c r="O50" s="18" t="str">
        <x:v>Some concerns</x:v>
      </x:c>
      <x:c r="P50" s="18" t="str">
        <x:v>PARTIAL — selected RoB corrected; PONV/pain/rescue/PCIA-missingness rows added</x:v>
      </x:c>
      <x:c r="Q50" s="18" t="str">
        <x:v>Do not convert fixed basal sufentanil exposure into actual 24-h consumption; bolus use is unreported</x:v>
      </x:c>
      <x:c r="R50" s="18" t="str">
        <x:v>SOURCE-NORMALIZED OUTCOME ROWS ADDED</x:v>
      </x:c>
      <x:c r="S50" s="18" t="str">
        <x:v>Source PDF / supplement / protocol / registration &gt; reconciled source extraction &gt; derivative model output</x:v>
      </x:c>
      <x:c r="T50" s="18" t="str">
        <x:v>https://drive.google.com/drive/folders/1EWdZyTQjPSuoxt8n1nIr1t8D98PC-mso</x:v>
      </x:c>
      <x:c r="U50" s="18" t="str">
        <x:v>https://docs.google.com/document/d/1hR0UuZSmPpwZi384Vzn3sZt5Y5_ZwYxW6b3u4nq2-40/edit</x:v>
      </x:c>
      <x:c r="V50" t="n">
        <x:f>COUNTIF(Outcome_Data!$A:$A,A50)</x:f>
        <x:v>4</x:v>
      </x:c>
    </x:row>
    <x:row r="51">
      <x:c r="A51" s="18" t="str">
        <x:v>He 2026 (hepatectomy/JIS)</x:v>
      </x:c>
      <x:c r="B51" s="18" t="str">
        <x:v>Batch 17</x:v>
      </x:c>
      <x:c r="C51" s="18" t="str">
        <x:v>FULL REPLACEMENT</x:v>
      </x:c>
      <x:c r="D51" s="18" t="str">
        <x:v>Replaces multicenter PC6/PONV trial with fabricated colorectal/flatus trial.</x:v>
      </x:c>
      <x:c r="E51" s="18" t="str">
        <x:v>He 2026 (Hepatectomy) → He 2026 (hepatectomy/JIS)</x:v>
      </x:c>
      <x:c r="F51" s="18" t="str">
        <x:v>He 2026 (Hepatectomy)</x:v>
      </x:c>
      <x:c r="G51" s="18" t="str">
        <x:v>25</x:v>
      </x:c>
      <x:c r="H51" s="18" t="str">
        <x:v>1879895909</x:v>
      </x:c>
      <x:c r="I51" s="18" t="str">
        <x:v>**Opioid 0-24h (PRIMARY)**: TEAS group (n=80) 20.0 ± 2.5 mg IV MME vs Control group (n=79) 20.6 ± 4.5 mg IV MME (P = 0.30) [MD -0.6 mg, 95% CI -1.7 to 0.5]. ...</x:v>
      </x:c>
      <x:c r="J51" s="18" t="str">
        <x:v>Yes</x:v>
      </x:c>
      <x:c r="K51" s="18" t="str">
        <x:v>No</x:v>
      </x:c>
      <x:c r="L51" s="18" t="str">
        <x:v>Yes</x:v>
      </x:c>
      <x:c r="M51" s="18" t="str">
        <x:v>Total postoperative opioid consumption in morphine equivalents</x:v>
      </x:c>
      <x:c r="N51" s="18" t="str">
        <x:v>0-24 h</x:v>
      </x:c>
      <x:c r="O51" s="18" t="str">
        <x:v>Some concerns</x:v>
      </x:c>
      <x:c r="P51" s="18" t="str">
        <x:v>PARTIAL — fresh RoB created; supplemental 24-h MME and PONV/PCA-demand rows added</x:v>
      </x:c>
      <x:c r="Q51" s="18" t="str">
        <x:v>This is a valid source-reported 24-h MME endpoint; do not infer opioid sparing from fewer PCA presses because total MME was unchanged</x:v>
      </x:c>
      <x:c r="R51" s="18" t="str">
        <x:v>SOURCE-NORMALIZED OUTCOME ROWS ADDED</x:v>
      </x:c>
      <x:c r="S51" s="18" t="str">
        <x:v>Source PDF / supplement / protocol / registration &gt; reconciled source extraction &gt; derivative model output</x:v>
      </x:c>
      <x:c r="T51" s="18" t="str">
        <x:v>https://drive.google.com/drive/folders/1EWdZyTQjPSuoxt8n1nIr1t8D98PC-mso</x:v>
      </x:c>
      <x:c r="U51" s="18" t="str">
        <x:v>https://docs.google.com/document/d/1hR0UuZSmPpwZi384Vzn3sZt5Y5_ZwYxW6b3u4nq2-40/edit</x:v>
      </x:c>
      <x:c r="V51" t="n">
        <x:f>COUNTIF(Outcome_Data!$A:$A,A51)</x:f>
        <x:v>3</x:v>
      </x:c>
    </x:row>
    <x:row r="52">
      <x:c r="A52" s="18" t="str">
        <x:v>He 2026 (breast/WJCO)</x:v>
      </x:c>
      <x:c r="B52" s="18" t="str">
        <x:v>Batch 17</x:v>
      </x:c>
      <x:c r="C52" s="18" t="str">
        <x:v>FULL REPLACEMENT</x:v>
      </x:c>
      <x:c r="D52" s="18" t="str">
        <x:v>Changes cancer type, invasive EA protocol and pain result; invents concealment and other outcomes.</x:v>
      </x:c>
      <x:c r="E52" s="18" t="str">
        <x:v>He 2026 → He 2026 (breast/WJCO)</x:v>
      </x:c>
      <x:c r="F52" s="18" t="str">
        <x:v>He 2026</x:v>
      </x:c>
      <x:c r="G52" s="18" t="str">
        <x:v>41</x:v>
      </x:c>
      <x:c r="H52" s="18" t="str">
        <x:v>1879895945</x:v>
      </x:c>
      <x:c r="I52" s="18" t="str">
        <x:v>**Pain VAS 24h at rest (PRIMARY)**: EA group (n=65) 1.789 ± 0.174 vs Control group (n=65) 2.692 ± 0.174 (P &lt; 0.01) [MD -0.903]. **Pain VAS 24h during movemen...</x:v>
      </x:c>
      <x:c r="J52" s="18" t="str">
        <x:v>Yes</x:v>
      </x:c>
      <x:c r="K52" s="18" t="str">
        <x:v>Yes</x:v>
      </x:c>
      <x:c r="L52" s="18" t="str">
        <x:v>Yes</x:v>
      </x:c>
      <x:c r="M52" s="18" t="str">
        <x:v>Moderate-to-severe movement-evoked pain (VAS &gt;4)</x:v>
      </x:c>
      <x:c r="N52" s="18" t="str">
        <x:v>24 h</x:v>
      </x:c>
      <x:c r="O52" s="18" t="str">
        <x:v>Some concerns</x:v>
      </x:c>
      <x:c r="P52" s="18" t="str">
        <x:v>PARTIAL — fresh RoB created; 24-h pain rows added</x:v>
      </x:c>
      <x:c r="Q52" s="18" t="str">
        <x:v>No quantitative postoperative opioid endpoint exists because rescue morphine consumption was not recorded</x:v>
      </x:c>
      <x:c r="R52" s="18" t="str">
        <x:v>SOURCE-NORMALIZED OUTCOME ROWS ADDED</x:v>
      </x:c>
      <x:c r="S52" s="18" t="str">
        <x:v>Source PDF / supplement / protocol / registration &gt; reconciled source extraction &gt; derivative model output</x:v>
      </x:c>
      <x:c r="T52" s="18" t="str">
        <x:v>https://drive.google.com/drive/folders/1EWdZyTQjPSuoxt8n1nIr1t8D98PC-mso</x:v>
      </x:c>
      <x:c r="U52" s="18" t="str">
        <x:v>https://docs.google.com/document/d/1hR0UuZSmPpwZi384Vzn3sZt5Y5_ZwYxW6b3u4nq2-40/edit</x:v>
      </x:c>
      <x:c r="V52" t="n">
        <x:f>COUNTIF(Outcome_Data!$A:$A,A52)</x:f>
        <x:v>4</x:v>
      </x:c>
    </x:row>
    <x:row r="53">
      <x:c r="A53" s="18" t="str">
        <x:v>Gu 2019</x:v>
      </x:c>
      <x:c r="B53" s="18" t="str">
        <x:v>Batch 6</x:v>
      </x:c>
      <x:c r="C53" s="18" t="str">
        <x:v>FULL REPLACEMENT</x:v>
      </x:c>
      <x:c r="D53" s="18" t="str">
        <x:v>Stored RoB invents three arms, wrong treatment schedule/denominators and flatus values.</x:v>
      </x:c>
      <x:c r="E53" s="18" t="str"/>
      <x:c r="F53" s="18" t="str">
        <x:v>Gu 2019</x:v>
      </x:c>
      <x:c r="G53" s="18" t="str">
        <x:v>848</x:v>
      </x:c>
      <x:c r="H53" s="18" t="str">
        <x:v>1881841223</x:v>
      </x:c>
      <x:c r="I53" s="18" t="str">
        <x:v>**Pain VAS 24h at rest (PRIMARY)**: L-TEAS (n=58) 1.98 ± 0.39 vs C-TEAS (n=59) 2.72 ± 0.73 (P &lt; 0.05) [MD -0.74]. **PONV 0-24h (PRIMARY)**: L-TEAS 7/58 (12.1...</x:v>
      </x:c>
      <x:c r="J53" s="18" t="str">
        <x:v>Yes</x:v>
      </x:c>
      <x:c r="K53" s="18" t="str">
        <x:v>Yes</x:v>
      </x:c>
      <x:c r="L53" s="18" t="str">
        <x:v>Yes</x:v>
      </x:c>
      <x:c r="M53" s="18" t="str">
        <x:v>Time to first flatus</x:v>
      </x:c>
      <x:c r="N53" s="18" t="str">
        <x:v>Postoperative</x:v>
      </x:c>
      <x:c r="O53" s="18" t="str">
        <x:v>Some concerns</x:v>
      </x:c>
      <x:c r="P53" s="18" t="str">
        <x:v>PARTIAL — selected RoB corrected; GI/pain/PCIA rows added</x:v>
      </x:c>
      <x:c r="Q53" s="18" t="str">
        <x:v>Exact 24-h PCIA/sufentanil is graph-only; do not interpolate from 8-h and 36-h values</x:v>
      </x:c>
      <x:c r="R53" s="18" t="str">
        <x:v>SOURCE-NORMALIZED OUTCOME ROWS ADDED</x:v>
      </x:c>
      <x:c r="S53" s="18" t="str">
        <x:v>Source PDF / supplement / protocol / registration &gt; reconciled source extraction &gt; derivative model output</x:v>
      </x:c>
      <x:c r="T53" s="18" t="str">
        <x:v>https://drive.google.com/drive/folders/1EWdZyTQjPSuoxt8n1nIr1t8D98PC-mso</x:v>
      </x:c>
      <x:c r="U53" s="18" t="str">
        <x:v>https://docs.google.com/document/d/1hR0UuZSmPpwZi384Vzn3sZt5Y5_ZwYxW6b3u4nq2-40/edit</x:v>
      </x:c>
      <x:c r="V53" t="n">
        <x:f>COUNTIF(Outcome_Data!$A:$A,A53)</x:f>
        <x:v>8</x:v>
      </x:c>
    </x:row>
    <x:row r="54">
      <x:c r="A54" s="18" t="str">
        <x:v>Guo 2023</x:v>
      </x:c>
      <x:c r="B54" s="18" t="str">
        <x:v>Batch 11</x:v>
      </x:c>
      <x:c r="C54" s="18" t="str">
        <x:v>FULL REPLACEMENT</x:v>
      </x:c>
      <x:c r="D54" s="18" t="str">
        <x:v>Replaces cognition-focused lung-cancer trial with fabricated bariatric GI-recovery trial.</x:v>
      </x:c>
      <x:c r="E54" s="18" t="str"/>
      <x:c r="F54" s="18" t="str">
        <x:v>Guo 2023</x:v>
      </x:c>
      <x:c r="G54" s="18" t="str">
        <x:v>260</x:v>
      </x:c>
      <x:c r="H54" s="18" t="str">
        <x:v>1879896335</x:v>
      </x:c>
      <x:c r="I54" s="18" t="str">
        <x:v>**Intraop remifentanil**: TEAS (n=55) 0.87 ± 0.30 mg vs Sham-TEAS (n=55) 1.01 ± 0.39 mg (P = 0.040). **Intraop sufentanil**: TEAS 29.42 ± 7.62 µg vs Sham-TEA...</x:v>
      </x:c>
      <x:c r="J54" s="18" t="str">
        <x:v>Yes</x:v>
      </x:c>
      <x:c r="K54" s="18" t="str">
        <x:v>Yes</x:v>
      </x:c>
      <x:c r="L54" s="18" t="str">
        <x:v>Yes</x:v>
      </x:c>
      <x:c r="M54" s="18" t="str">
        <x:v>Postoperative cognitive dysfunction</x:v>
      </x:c>
      <x:c r="N54" s="18" t="str">
        <x:v>POD1</x:v>
      </x:c>
      <x:c r="O54" s="18" t="str">
        <x:v>High</x:v>
      </x:c>
      <x:c r="P54" s="18" t="str">
        <x:v>PARTIAL — selected RoB corrected; POCD/intraop-opioid/graph-only pain rows added</x:v>
      </x:c>
      <x:c r="Q54" s="18" t="str">
        <x:v>Use complete-case POCD only with high attrition caution; actual postoperative sufentanil consumption is missing</x:v>
      </x:c>
      <x:c r="R54" s="18" t="str">
        <x:v>SOURCE-NORMALIZED OUTCOME ROWS ADDED</x:v>
      </x:c>
      <x:c r="S54" s="18" t="str">
        <x:v>Source PDF / supplement / protocol / registration &gt; reconciled source extraction &gt; derivative model output</x:v>
      </x:c>
      <x:c r="T54" s="18" t="str">
        <x:v>https://drive.google.com/drive/folders/1EWdZyTQjPSuoxt8n1nIr1t8D98PC-mso</x:v>
      </x:c>
      <x:c r="U54" s="18" t="str">
        <x:v>https://docs.google.com/document/d/1hR0UuZSmPpwZi384Vzn3sZt5Y5_ZwYxW6b3u4nq2-40/edit</x:v>
      </x:c>
      <x:c r="V54" t="n">
        <x:f>COUNTIF(Outcome_Data!$A:$A,A54)</x:f>
        <x:v>6</x:v>
      </x:c>
    </x:row>
    <x:row r="55">
      <x:c r="A55" s="18" t="str">
        <x:v>Grech 2016</x:v>
      </x:c>
      <x:c r="B55" s="18" t="str">
        <x:v>Batch 5</x:v>
      </x:c>
      <x:c r="C55" s="18" t="str">
        <x:v>FULL REPLACEMENT</x:v>
      </x:c>
      <x:c r="D55" s="18" t="str">
        <x:v>Stored RoB describes a different 40-patient abdominal-surgery morphine trial.</x:v>
      </x:c>
      <x:c r="E55" s="18" t="str"/>
      <x:c r="F55" s="18" t="str">
        <x:v>Grech 2016</x:v>
      </x:c>
      <x:c r="G55" s="18" t="str">
        <x:v>619</x:v>
      </x:c>
      <x:c r="H55" s="18" t="str">
        <x:v>1879896952</x:v>
      </x:c>
      <x:c r="I55" s="18" t="str">
        <x:v>**Opioid 0-24h (PRIMARY)**: Measured-not-reported numerically in text/tables (graph-only in Fig 1, converted to missing_data: true, N=10 EA vs N=9 Control). ...</x:v>
      </x:c>
      <x:c r="J55" s="18" t="str">
        <x:v>Yes</x:v>
      </x:c>
      <x:c r="K55" s="18" t="str">
        <x:v>Yes</x:v>
      </x:c>
      <x:c r="L55" s="18" t="str">
        <x:v>Yes</x:v>
      </x:c>
      <x:c r="M55" s="18" t="str">
        <x:v>PACU analgesic requirement in women-only subgroup</x:v>
      </x:c>
      <x:c r="N55" s="18" t="str">
        <x:v>PACU</x:v>
      </x:c>
      <x:c r="O55" s="18" t="str">
        <x:v>High</x:v>
      </x:c>
      <x:c r="P55" s="18" t="str">
        <x:v>PARTIAL — fresh RoB created; graph-only analgesic/pain rows added</x:v>
      </x:c>
      <x:c r="Q55" s="18" t="str">
        <x:v>No exact 24-h opioid result exists; do not use fabricated 28-vs-36 mg values from the invalid RoB</x:v>
      </x:c>
      <x:c r="R55" s="18" t="str">
        <x:v>SOURCE-NORMALIZED OUTCOME ROWS ADDED</x:v>
      </x:c>
      <x:c r="S55" s="18" t="str">
        <x:v>Source PDF / supplement / protocol / registration &gt; reconciled source extraction &gt; derivative model output</x:v>
      </x:c>
      <x:c r="T55" s="18" t="str">
        <x:v>https://drive.google.com/drive/folders/1EWdZyTQjPSuoxt8n1nIr1t8D98PC-mso</x:v>
      </x:c>
      <x:c r="U55" s="18" t="str">
        <x:v>https://docs.google.com/document/d/1hR0UuZSmPpwZi384Vzn3sZt5Y5_ZwYxW6b3u4nq2-40/edit</x:v>
      </x:c>
      <x:c r="V55" t="n">
        <x:f>COUNTIF(Outcome_Data!$A:$A,A55)</x:f>
        <x:v>3</x:v>
      </x:c>
    </x:row>
    <x:row r="56">
      <x:c r="A56" s="18" t="str">
        <x:v>Gao 2021</x:v>
      </x:c>
      <x:c r="B56" s="18" t="str">
        <x:v>Batch 7</x:v>
      </x:c>
      <x:c r="C56" s="18" t="str">
        <x:v>FULL REPLACEMENT</x:v>
      </x:c>
      <x:c r="D56" s="18" t="str">
        <x:v>Changes 610-person 10-center postoperative TEAS trial to 400-person fabricated design/result.</x:v>
      </x:c>
      <x:c r="E56" s="18" t="str"/>
      <x:c r="F56" s="18" t="str">
        <x:v>Gao 2021</x:v>
      </x:c>
      <x:c r="G56" s="18" t="str">
        <x:v>400</x:v>
      </x:c>
      <x:c r="H56" s="18" t="str">
        <x:v>1879896559</x:v>
      </x:c>
      <x:c r="I56" s="18" t="str">
        <x:v>**Opioid 0-24h (PRIMARY)**: Measured-not-reported (requires author contact). **Intraop sufentanil**: TEAS (n=303) 30.0 µg (IQR 25.0-35.0) [mean ~30.00 ± 7.41...</x:v>
      </x:c>
      <x:c r="J56" s="18" t="str">
        <x:v>Yes</x:v>
      </x:c>
      <x:c r="K56" s="18" t="str">
        <x:v>Yes</x:v>
      </x:c>
      <x:c r="L56" s="18" t="str">
        <x:v>Yes</x:v>
      </x:c>
      <x:c r="M56" s="18" t="str">
        <x:v>Postoperative paralytic ileus</x:v>
      </x:c>
      <x:c r="N56" s="18" t="str">
        <x:v>No flatus &gt;72 h</x:v>
      </x:c>
      <x:c r="O56" s="18" t="str">
        <x:v>Some concerns</x:v>
      </x:c>
      <x:c r="P56" s="18" t="str">
        <x:v>PARTIAL — selected RoB corrected; POI/GI rows added</x:v>
      </x:c>
      <x:c r="Q56" s="18" t="str">
        <x:v>Full ITT source data usable for GI outcomes; postoperative opioid dose remains unreported</x:v>
      </x:c>
      <x:c r="R56" s="18" t="str">
        <x:v>SOURCE-NORMALIZED OUTCOME ROWS ADDED</x:v>
      </x:c>
      <x:c r="S56" s="18" t="str">
        <x:v>Source PDF / supplement / protocol / registration &gt; reconciled source extraction &gt; derivative model output</x:v>
      </x:c>
      <x:c r="T56" s="18" t="str">
        <x:v>https://drive.google.com/drive/folders/1EWdZyTQjPSuoxt8n1nIr1t8D98PC-mso</x:v>
      </x:c>
      <x:c r="U56" s="18" t="str">
        <x:v>https://docs.google.com/document/d/1hR0UuZSmPpwZi384Vzn3sZt5Y5_ZwYxW6b3u4nq2-40/edit</x:v>
      </x:c>
      <x:c r="V56" t="n">
        <x:f>COUNTIF(Outcome_Data!$A:$A,A56)</x:f>
        <x:v>5</x:v>
      </x:c>
    </x:row>
    <x:row r="57">
      <x:c r="A57" s="18" t="str">
        <x:v>El-Rakshy 2009</x:v>
      </x:c>
      <x:c r="B57" s="18" t="str">
        <x:v>Batch 2</x:v>
      </x:c>
      <x:c r="C57" s="18" t="str">
        <x:v>SPECIAL / SOURCE-QC</x:v>
      </x:c>
      <x:c r="D57" s="18" t="str">
        <x:v>Publication has irreconcilable allocation/analyzed denominators; preserve outcome-specific n and direct published morphine values.</x:v>
      </x:c>
      <x:c r="E57" s="18" t="str"/>
      <x:c r="F57" s="18" t="str">
        <x:v>El-Rakshy 2009</x:v>
      </x:c>
      <x:c r="G57" s="18" t="str">
        <x:v>837</x:v>
      </x:c>
      <x:c r="H57" s="18" t="str">
        <x:v>1879897344</x:v>
      </x:c>
      <x:c r="I57" s="18" t="str">
        <x:v>**Opioid 0-24h (PRIMARY)**: PCA + acupuncture EA (n=42) 35.3 ± 18.0 mg morphine vs PCA alone (n=53) 36.9 ± 18.0 mg morphine (P = 0.961). **Opioid 0-4h**: EA ...</x:v>
      </x:c>
      <x:c r="J57" s="18" t="str">
        <x:v>Yes</x:v>
      </x:c>
      <x:c r="K57" s="18" t="str">
        <x:v>Yes</x:v>
      </x:c>
      <x:c r="L57" s="18" t="str">
        <x:v>Yes</x:v>
      </x:c>
      <x:c r="M57" s="18" t="str">
        <x:v>Total IV morphine analgesia</x:v>
      </x:c>
      <x:c r="N57" s="18" t="str">
        <x:v>First 24 h</x:v>
      </x:c>
      <x:c r="O57" s="18" t="str">
        <x:v>High</x:v>
      </x:c>
      <x:c r="P57" s="18" t="str">
        <x:v>SOURCE-NORMALIZED — OUTCOME-SPECIFIC DENOMINATORS REQUIRED</x:v>
      </x:c>
      <x:c r="Q57" s="18" t="str">
        <x:v>Use n=42 EA and n=53 control for the 24-h morphine result; overall group labels/denominators are irreconcilable.</x:v>
      </x:c>
      <x:c r="R57" s="18" t="str">
        <x:v>SOURCE-NORMALIZED OUTCOME ROWS ADDED</x:v>
      </x:c>
      <x:c r="S57" s="18" t="str">
        <x:v>Source PDF / supplement / protocol / registration &gt; reconciled source extraction &gt; derivative model output</x:v>
      </x:c>
      <x:c r="T57" s="18" t="str">
        <x:v>https://drive.google.com/drive/folders/1EWdZyTQjPSuoxt8n1nIr1t8D98PC-mso</x:v>
      </x:c>
      <x:c r="U57" s="18" t="str">
        <x:v>https://docs.google.com/document/d/1hR0UuZSmPpwZi384Vzn3sZt5Y5_ZwYxW6b3u4nq2-40/edit</x:v>
      </x:c>
      <x:c r="V57" t="n">
        <x:f>COUNTIF(Outcome_Data!$A:$A,A57)</x:f>
        <x:v>2</x:v>
      </x:c>
    </x:row>
    <x:row r="58">
      <x:c r="A58" s="18" t="str">
        <x:v>Coura 2011</x:v>
      </x:c>
      <x:c r="B58" s="18" t="str">
        <x:v>Batch 1</x:v>
      </x:c>
      <x:c r="C58" s="18" t="str">
        <x:v>SPECIAL / SOURCE-QC</x:v>
      </x:c>
      <x:c r="D58" s="18" t="str">
        <x:v>10/32 post-randomization exclusions; exact 24-h pain point unresolved; supplemental opioid inclusion unclear.</x:v>
      </x:c>
      <x:c r="E58" s="18" t="str"/>
      <x:c r="F58" s="18" t="str">
        <x:v>Coura 2011</x:v>
      </x:c>
      <x:c r="G58" s="18" t="str">
        <x:v>838</x:v>
      </x:c>
      <x:c r="H58" s="18" t="str">
        <x:v>1879897266</x:v>
      </x:c>
      <x:c r="I58" s="18" t="str">
        <x:v>**Opioid 0-24h (PRIMARY)**: Treatment EA (n=13) 13.1 ± 2.2 µg/kg fentanyl vs Control Sham (n=9) 16.3 ± 1.6 µg/kg fentanyl (P &lt; 0.002) [PCA bolus: 4.1 ± 2.0 v...</x:v>
      </x:c>
      <x:c r="J58" s="18" t="str">
        <x:v>Yes</x:v>
      </x:c>
      <x:c r="K58" s="18" t="str">
        <x:v>Yes</x:v>
      </x:c>
      <x:c r="L58" s="18" t="str">
        <x:v>Yes</x:v>
      </x:c>
      <x:c r="M58" s="18" t="str">
        <x:v>Cumulative fentanyl</x:v>
      </x:c>
      <x:c r="N58" s="18" t="str">
        <x:v>First 24 h</x:v>
      </x:c>
      <x:c r="O58" s="18" t="str">
        <x:v>High</x:v>
      </x:c>
      <x:c r="P58" s="18" t="str">
        <x:v>SOURCE-NORMALIZED — QC HOLD</x:v>
      </x:c>
      <x:c r="Q58" s="18" t="str">
        <x:v>10/32 post-randomization exclusions; exact 24-h fentanyl is source reported but missing-data risk is high.</x:v>
      </x:c>
      <x:c r="R58" s="18" t="str">
        <x:v>SOURCE-NORMALIZED OUTCOME ROWS ADDED</x:v>
      </x:c>
      <x:c r="S58" s="18" t="str">
        <x:v>Source PDF / supplement / protocol / registration &gt; reconciled source extraction &gt; derivative model output</x:v>
      </x:c>
      <x:c r="T58" s="18" t="str">
        <x:v>https://drive.google.com/drive/folders/1EWdZyTQjPSuoxt8n1nIr1t8D98PC-mso</x:v>
      </x:c>
      <x:c r="U58" s="18" t="str">
        <x:v>https://docs.google.com/document/d/1hR0UuZSmPpwZi384Vzn3sZt5Y5_ZwYxW6b3u4nq2-40/edit</x:v>
      </x:c>
      <x:c r="V58" t="n">
        <x:f>COUNTIF(Outcome_Data!$A:$A,A58)</x:f>
        <x:v>1</x:v>
      </x:c>
    </x:row>
    <x:row r="59">
      <x:c r="A59" s="18" t="str">
        <x:v>Chen 1998</x:v>
      </x:c>
      <x:c r="B59" s="18" t="str">
        <x:v>Batch 1</x:v>
      </x:c>
      <x:c r="C59" s="18" t="str">
        <x:v>SPECIAL / SOURCE-QC</x:v>
      </x:c>
      <x:c r="D59" s="18" t="str">
        <x:v>Four-arm RCT; locked two-arm Covidence structure is invalid; preserve all arms and direct 24-h hydromorphone values.</x:v>
      </x:c>
      <x:c r="E59" s="18" t="str"/>
      <x:c r="F59" s="18" t="str">
        <x:v>Chen 1998</x:v>
      </x:c>
      <x:c r="G59" s="18" t="str">
        <x:v>969</x:v>
      </x:c>
      <x:c r="H59" s="18" t="str">
        <x:v>1879897506</x:v>
      </x:c>
      <x:c r="I59" s="18" t="str">
        <x:v>**Opioid 0-24h (PRIMARY)**: Group IV Acupoint TEAS (n=25) 6.5 ± 3.5 mg hydromorphone vs Group I Sham TEAS (n=25) 10.7 ± 5.0 mg (P &lt; 0.05) [OME: 130 mg vs 214...</x:v>
      </x:c>
      <x:c r="J59" s="18" t="str">
        <x:v>Yes</x:v>
      </x:c>
      <x:c r="K59" s="18" t="str">
        <x:v>Yes</x:v>
      </x:c>
      <x:c r="L59" s="18" t="str">
        <x:v>Yes</x:v>
      </x:c>
      <x:c r="M59" s="18" t="str">
        <x:v>Cumulative IV PCA hydromorphone</x:v>
      </x:c>
      <x:c r="N59" s="18" t="str">
        <x:v>First 24 h</x:v>
      </x:c>
      <x:c r="O59" s="18" t="str">
        <x:v>Some concerns</x:v>
      </x:c>
      <x:c r="P59" s="18" t="str">
        <x:v>SOURCE-NORMALIZED — FOUR-ARM STRUCTURE RETAINED</x:v>
      </x:c>
      <x:c r="Q59" s="18" t="str">
        <x:v>Keep all four randomized arms and shared sham handling; do not collapse to a two-arm study.</x:v>
      </x:c>
      <x:c r="R59" s="18" t="str">
        <x:v>SOURCE-NORMALIZED OUTCOME ROWS ADDED</x:v>
      </x:c>
      <x:c r="S59" s="18" t="str">
        <x:v>Source PDF / supplement / protocol / registration &gt; reconciled source extraction &gt; derivative model output</x:v>
      </x:c>
      <x:c r="T59" s="18" t="str">
        <x:v>https://drive.google.com/drive/folders/1EWdZyTQjPSuoxt8n1nIr1t8D98PC-mso</x:v>
      </x:c>
      <x:c r="U59" s="18" t="str">
        <x:v>https://docs.google.com/document/d/1hR0UuZSmPpwZi384Vzn3sZt5Y5_ZwYxW6b3u4nq2-40/edit</x:v>
      </x:c>
      <x:c r="V59" t="n">
        <x:f>COUNTIF(Outcome_Data!$A:$A,A59)</x:f>
        <x:v>3</x:v>
      </x:c>
    </x:row>
    <x:row r="60">
      <x:c r="A60" s="18" t="str">
        <x:v>Chen 2020</x:v>
      </x:c>
      <x:c r="B60" s="18" t="str">
        <x:v>Batch 1</x:v>
      </x:c>
      <x:c r="C60" s="18" t="str">
        <x:v>SPECIAL / SOURCE-QC</x:v>
      </x:c>
      <x:c r="D60" s="18" t="str">
        <x:v>Core source extraction verified; cross-contaminated Gemini RoB derivative must be excluded/re-extracted; correct sham has pre/post 4 mA and intraoperative 0 mA.</x:v>
      </x:c>
      <x:c r="E60" s="18" t="str"/>
      <x:c r="F60" s="18" t="str">
        <x:v>Chen 2020</x:v>
      </x:c>
      <x:c r="G60" s="18" t="str">
        <x:v>480</x:v>
      </x:c>
      <x:c r="H60" s="18" t="str">
        <x:v>1879896688</x:v>
      </x:c>
      <x:c r="I60" s="18" t="str">
        <x:v>**Opioid 0-24h (PRIMARY)**: TEAS (n=40) 72.43 ± 4.78 µg sufentanil vs Sham TEAS (n=40) 100.62 ± 10.20 µg (P &lt; 0.001) [MD -28.19 µg]. **Opioid 0-48h**: TEAS 1...</x:v>
      </x:c>
      <x:c r="J60" s="18" t="str">
        <x:v>Yes</x:v>
      </x:c>
      <x:c r="K60" s="18" t="str">
        <x:v>No</x:v>
      </x:c>
      <x:c r="L60" s="18" t="str">
        <x:v>Yes</x:v>
      </x:c>
      <x:c r="M60" s="18" t="str">
        <x:v>Cumulative sufentanil</x:v>
      </x:c>
      <x:c r="N60" s="18" t="str">
        <x:v>24 h</x:v>
      </x:c>
      <x:c r="O60" s="18" t="str">
        <x:v>Some concerns</x:v>
      </x:c>
      <x:c r="P60" s="18" t="str">
        <x:v>SOURCE-NORMALIZED — CORRECT SOURCE RoB REBUILT</x:v>
      </x:c>
      <x:c r="Q60" s="18" t="str">
        <x:v>Use the verified 72.43 ± 4.78 vs 100.62 ± 10.20 µg result and the actual sham protocol.</x:v>
      </x:c>
      <x:c r="R60" s="18" t="str">
        <x:v>SOURCE-NORMALIZED OUTCOME ROWS ADDED</x:v>
      </x:c>
      <x:c r="S60" s="18" t="str">
        <x:v>Source PDF / supplement / protocol / registration &gt; reconciled source extraction &gt; derivative model output</x:v>
      </x:c>
      <x:c r="T60" s="18" t="str">
        <x:v>https://drive.google.com/drive/folders/1EWdZyTQjPSuoxt8n1nIr1t8D98PC-mso</x:v>
      </x:c>
      <x:c r="U60" s="18" t="str">
        <x:v>https://docs.google.com/document/d/1hR0UuZSmPpwZi384Vzn3sZt5Y5_ZwYxW6b3u4nq2-40/edit</x:v>
      </x:c>
      <x:c r="V60" t="n">
        <x:f>COUNTIF(Outcome_Data!$A:$A,A60)</x:f>
        <x:v>2</x:v>
      </x:c>
    </x:row>
    <x:row r="61">
      <x:c r="A61" s="18" t="str">
        <x:v>Ao 2021</x:v>
      </x:c>
      <x:c r="B61" s="18" t="str">
        <x:v>Batches 1 and 9</x:v>
      </x:c>
      <x:c r="C61" s="18" t="str">
        <x:v>FULL REPLACEMENT</x:v>
      </x:c>
      <x:c r="D61" s="18" t="str">
        <x:v>Source 70 randomized/65 analyzed; stored RoB invents 90/90 and exact graph-only 24-h VAS.</x:v>
      </x:c>
      <x:c r="E61" s="18" t="str"/>
      <x:c r="F61" s="18" t="str">
        <x:v>Ao 2021</x:v>
      </x:c>
      <x:c r="G61" s="18" t="str">
        <x:v>438</x:v>
      </x:c>
      <x:c r="H61" s="18" t="str">
        <x:v>1879896620</x:v>
      </x:c>
      <x:c r="I61" s="18" t="str">
        <x:v>**Opioid 0-48h**: TEAS (n=32) 102.8 ± 7.4 ml vs Sham TEAS (n=33) 120.6 ± 9.2 ml (sufentanil 1.5 µg/kg in 150 ml NS). **Opioid 0-24h**: Measured-not-reported ...</x:v>
      </x:c>
      <x:c r="J61" s="18" t="str">
        <x:v>Yes</x:v>
      </x:c>
      <x:c r="K61" s="18" t="str">
        <x:v>Yes</x:v>
      </x:c>
      <x:c r="L61" s="18" t="str">
        <x:v>Yes</x:v>
      </x:c>
      <x:c r="M61" s="18" t="str">
        <x:v>Cumulative PCA solution consumption</x:v>
      </x:c>
      <x:c r="N61" s="18" t="str">
        <x:v>48 h</x:v>
      </x:c>
      <x:c r="O61" s="18" t="str">
        <x:v>Some concerns</x:v>
      </x:c>
      <x:c r="P61" s="18" t="str">
        <x:v>SOURCE-NORMALIZED — 24H OPIOID STILL MISSING</x:v>
      </x:c>
      <x:c r="Q61" s="18" t="str">
        <x:v>48-h PCA volume is direct; 24-h VAS is graph-derived and exact 24-h sufentanil remains unavailable.</x:v>
      </x:c>
      <x:c r="R61" s="18" t="str">
        <x:v>SOURCE-NORMALIZED OUTCOME ROWS ADDED</x:v>
      </x:c>
      <x:c r="S61" s="18" t="str">
        <x:v>Source PDF / supplement / protocol / registration &gt; reconciled source extraction &gt; derivative model output</x:v>
      </x:c>
      <x:c r="T61" s="18" t="str">
        <x:v>https://drive.google.com/drive/folders/1EWdZyTQjPSuoxt8n1nIr1t8D98PC-mso</x:v>
      </x:c>
      <x:c r="U61" s="18" t="str">
        <x:v>https://docs.google.com/document/d/1hR0UuZSmPpwZi384Vzn3sZt5Y5_ZwYxW6b3u4nq2-40/edit</x:v>
      </x:c>
      <x:c r="V61" t="n">
        <x:f>COUNTIF(Outcome_Data!$A:$A,A61)</x:f>
        <x:v>3</x:v>
      </x:c>
    </x:row>
    <x:row r="62">
      <x:c r="A62" s="18" t="str">
        <x:v>An 2014</x:v>
      </x:c>
      <x:c r="B62" s="18" t="str">
        <x:v>Batch 20</x:v>
      </x:c>
      <x:c r="C62" s="18" t="str">
        <x:v>FULL REPLACEMENT</x:v>
      </x:c>
      <x:c r="D62" s="18" t="str">
        <x:v>Stored RoB invents 90-patient three-arm sham trial and 24-h morphine result; true source is 88-randomized two-arm EA/control with fentanyl PCIA.</x:v>
      </x:c>
      <x:c r="E62" s="18" t="str"/>
      <x:c r="F62" s="18" t="str">
        <x:v>An 2014</x:v>
      </x:c>
      <x:c r="G62" s="18" t="str">
        <x:v>698</x:v>
      </x:c>
      <x:c r="H62" s="18" t="str">
        <x:v>1879897069</x:v>
      </x:c>
      <x:c r="I62" s="18" t="str">
        <x:v>**Opioid 0-48h**: EA (n=41) 0.67 ± 0.09 mg fentanyl; Control (n=40) 0.73 ± 0.12 mg fentanyl. **Opioid 0-24h**: Measured-not-reported (requires author contact...</x:v>
      </x:c>
      <x:c r="J62" s="18" t="str">
        <x:v>No</x:v>
      </x:c>
      <x:c r="K62" s="18" t="str">
        <x:v>Yes</x:v>
      </x:c>
      <x:c r="L62" s="18" t="str">
        <x:v>Yes</x:v>
      </x:c>
      <x:c r="M62" s="18" t="str">
        <x:v>Total postoperative fentanyl PCIA dose</x:v>
      </x:c>
      <x:c r="N62" s="18" t="str">
        <x:v>Reported 48-h PCIA period</x:v>
      </x:c>
      <x:c r="O62" s="18" t="str">
        <x:v>High</x:v>
      </x:c>
      <x:c r="P62" s="18" t="str">
        <x:v>SOURCE-NORMALIZED — 24H ENDPOINT UNAVAILABLE</x:v>
      </x:c>
      <x:c r="Q62" s="18" t="str">
        <x:v>Use 0.67 ± 0.09 vs 0.73 ± 0.12 mg only for the reported 48-h period; exact 0-24 h cannot be reconstructed.</x:v>
      </x:c>
      <x:c r="R62" s="18" t="str">
        <x:v>SOURCE-NORMALIZED OUTCOME ROWS ADDED</x:v>
      </x:c>
      <x:c r="S62" s="18" t="str">
        <x:v>Source PDF / supplement / protocol / registration &gt; reconciled source extraction &gt; derivative model output</x:v>
      </x:c>
      <x:c r="T62" s="18" t="str">
        <x:v>https://drive.google.com/drive/folders/1EWdZyTQjPSuoxt8n1nIr1t8D98PC-mso</x:v>
      </x:c>
      <x:c r="U62" s="18" t="str">
        <x:v>https://docs.google.com/document/d/1hR0UuZSmPpwZi384Vzn3sZt5Y5_ZwYxW6b3u4nq2-40/edit</x:v>
      </x:c>
      <x:c r="V62" t="n">
        <x:f>COUNTIF(Outcome_Data!$A:$A,A62)</x:f>
        <x:v>2</x:v>
      </x:c>
    </x:row>
    <x:row r="63">
      <x:c r="A63" s="18" t="str">
        <x:v>Chen 2015</x:v>
      </x:c>
      <x:c r="B63" s="18" t="str">
        <x:v>Batch 5</x:v>
      </x:c>
      <x:c r="C63" s="18" t="str">
        <x:v>FULL REPLACEMENT</x:v>
      </x:c>
      <x:c r="D63" s="18" t="str">
        <x:v>Distinct QoR-40 thyroidectomy trial (NCT02333747); stored RoB changes sample/intervention/outcome and requires complete replacement.</x:v>
      </x:c>
      <x:c r="E63" s="18" t="str"/>
      <x:c r="F63" s="18" t="str">
        <x:v>Chen 2015</x:v>
      </x:c>
      <x:c r="G63" s="18" t="str">
        <x:v>657</x:v>
      </x:c>
      <x:c r="H63" s="18" t="str">
        <x:v>1879897004</x:v>
      </x:c>
      <x:c r="I63" s="18" t="str">
        <x:v>**Opioid 0-24h (PRIMARY)**: TEAS (n=41) median 1 dose (IQR 1-3) [mean ~3.0 ± 2.96 mg morphine] vs Control (n=42) median 3.5 doses (IQR 2-7) [mean ~8.0 ± 7.41...</x:v>
      </x:c>
      <x:c r="J63" s="18" t="str">
        <x:v>Yes</x:v>
      </x:c>
      <x:c r="K63" s="18" t="str">
        <x:v>Yes</x:v>
      </x:c>
      <x:c r="L63" s="18" t="str">
        <x:v>Yes</x:v>
      </x:c>
      <x:c r="M63" s="18" t="str">
        <x:v>Global QoR-40</x:v>
      </x:c>
      <x:c r="N63" s="18" t="str">
        <x:v>24 h</x:v>
      </x:c>
      <x:c r="O63" s="18" t="str">
        <x:v>High</x:v>
      </x:c>
      <x:c r="P63" s="18" t="str">
        <x:v>SOURCE-NORMALIZED — QoR + DERIVED RESCUE-MORPHINE ROWS ADDED</x:v>
      </x:c>
      <x:c r="Q63" s="18" t="str">
        <x:v>QoR is source-valid; rescue morphine median/IQR is derived exactly from fixed 2-mg administrations.</x:v>
      </x:c>
      <x:c r="R63" s="18" t="str">
        <x:v>SOURCE-NORMALIZED OUTCOME ROWS ADDED</x:v>
      </x:c>
      <x:c r="S63" s="18" t="str">
        <x:v>Source PDF / supplement / protocol / registration &gt; reconciled source extraction &gt; derivative model output</x:v>
      </x:c>
      <x:c r="T63" s="18" t="str">
        <x:v>https://drive.google.com/drive/folders/1EWdZyTQjPSuoxt8n1nIr1t8D98PC-mso</x:v>
      </x:c>
      <x:c r="U63" s="18" t="str">
        <x:v>https://docs.google.com/document/d/1hR0UuZSmPpwZi384Vzn3sZt5Y5_ZwYxW6b3u4nq2-40/edit</x:v>
      </x:c>
      <x:c r="V63" t="n">
        <x:f>COUNTIF(Outcome_Data!$A:$A,A63)</x:f>
        <x:v>3</x:v>
      </x:c>
    </x:row>
    <x:row r="64">
      <x:c r="A64" s="18" t="str">
        <x:v>Chen 2015 (Hyperalgesia)</x:v>
      </x:c>
      <x:c r="B64" s="18" t="str">
        <x:v>Batch 4</x:v>
      </x:c>
      <x:c r="C64" s="18" t="str">
        <x:v>FULL REPLACEMENT</x:v>
      </x:c>
      <x:c r="D64" s="18" t="str">
        <x:v>Distinct thyroidectomy remifentanil-hyperalgesia/mechanical-threshold trial; stored RoB contains material study/result mismatches and requires complete replacement.</x:v>
      </x:c>
      <x:c r="E64" s="18" t="str"/>
      <x:c r="F64" s="18" t="str">
        <x:v>Chen 2015 (Hyperalgesia)</x:v>
      </x:c>
      <x:c r="G64" s="18" t="str">
        <x:v>632</x:v>
      </x:c>
      <x:c r="H64" s="18" t="str">
        <x:v>1879897029</x:v>
      </x:c>
      <x:c r="I64" s="18" t="str">
        <x:v>**Opioid 0-24h (PRIMARY)**: TEAS (n=29) median 3 boluses (IQR 2-4) [mean ~8.66 ± 4.27 µg sufentanil] vs Control median 7 boluses (IQR 6-8) [mean ~19.88 ± 4.2...</x:v>
      </x:c>
      <x:c r="J64" s="18" t="str">
        <x:v>Yes</x:v>
      </x:c>
      <x:c r="K64" s="18" t="str">
        <x:v>Yes</x:v>
      </x:c>
      <x:c r="L64" s="18" t="str">
        <x:v>Yes</x:v>
      </x:c>
      <x:c r="M64" s="18" t="str">
        <x:v>Cumulative rescue sufentanil PCIA boluses</x:v>
      </x:c>
      <x:c r="N64" s="18" t="str">
        <x:v>0-24 h</x:v>
      </x:c>
      <x:c r="O64" s="18" t="str">
        <x:v>Some concerns</x:v>
      </x:c>
      <x:c r="P64" s="18" t="str">
        <x:v>SOURCE-NORMALIZED — WEIGHT-NORMALIZED OPIOID DERIVATION ADDED</x:v>
      </x:c>
      <x:c r="Q64" s="18" t="str">
        <x:v>Use bolus counts directly; derived 0.05 µg/kg-per-bolus totals must not be converted to absolute µg using average body weight.</x:v>
      </x:c>
      <x:c r="R64" s="18" t="str">
        <x:v>SOURCE-NORMALIZED OUTCOME ROWS ADDED</x:v>
      </x:c>
      <x:c r="S64" s="18" t="str">
        <x:v>Source PDF / supplement / protocol / registration &gt; reconciled source extraction &gt; derivative model output</x:v>
      </x:c>
      <x:c r="T64" s="18" t="str">
        <x:v>https://drive.google.com/drive/folders/1EWdZyTQjPSuoxt8n1nIr1t8D98PC-mso</x:v>
      </x:c>
      <x:c r="U64" s="18" t="str">
        <x:v>https://docs.google.com/document/d/1hR0UuZSmPpwZi384Vzn3sZt5Y5_ZwYxW6b3u4nq2-40/edit</x:v>
      </x:c>
      <x:c r="V64" t="n">
        <x:f>COUNTIF(Outcome_Data!$A:$A,A64)</x:f>
        <x:v>3</x:v>
      </x:c>
    </x:row>
  </x:sheetData>
  <x:conditionalFormatting sqref="C2:C64">
    <x:cfRule type="expression" dxfId="0" priority="1">
      <x:formula>C2="FULL REPLACEMENT"</x:formula>
    </x:cfRule>
    <x:cfRule type="expression" dxfId="1" priority="2">
      <x:formula>C2="RE-ADJUDICATE"</x:formula>
    </x:cfRule>
    <x:cfRule type="expression" dxfId="2" priority="3">
      <x:formula>C2="SPECIAL / SOURCE-QC"</x:formula>
    </x:cfRule>
    <x:cfRule type="expression" dxfId="3" priority="4">
      <x:formula>C2="NO MATCHING RoB"</x:formula>
    </x:cfRule>
  </x:conditionalFormatting>
  <x:conditionalFormatting sqref="J2:J64">
    <x:cfRule type="expression" dxfId="4" priority="5">
      <x:formula>J2="Yes"</x:formula>
    </x:cfRule>
  </x:conditionalFormatting>
  <x:conditionalFormatting sqref="O2:O64">
    <x:cfRule type="expression" dxfId="5" priority="6">
      <x:formula>O2="High"</x:formula>
    </x:cfRule>
    <x:cfRule type="expression" dxfId="6" priority="7">
      <x:formula>O2="Some concerns"</x:formula>
    </x:cfRule>
    <x:cfRule type="expression" dxfId="7" priority="8">
      <x:formula>O2="Low"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61be26623e14e6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44" hidden="0" customWidth="1"/>
    <x:col min="16" max="16" width="44" hidden="0" customWidth="1"/>
  </x:cols>
  <x:sheetData>
    <x:row r="1">
      <x:c r="A1" s="24" t="str">
        <x:v>Canonical study</x:v>
      </x:c>
      <x:c r="B1" s="24" t="str">
        <x:v>Selected result</x:v>
      </x:c>
      <x:c r="C1" s="24" t="str">
        <x:v>Comparison</x:v>
      </x:c>
      <x:c r="D1" s="24" t="str">
        <x:v>Timepoint/window</x:v>
      </x:c>
      <x:c r="E1" s="24" t="str">
        <x:v>Randomized n</x:v>
      </x:c>
      <x:c r="F1" s="24" t="str">
        <x:v>Analyzed n</x:v>
      </x:c>
      <x:c r="G1" s="24" t="str">
        <x:v>Corrected source result</x:v>
      </x:c>
      <x:c r="H1" s="24" t="str">
        <x:v>Domain 1</x:v>
      </x:c>
      <x:c r="I1" s="24" t="str">
        <x:v>Domain 2</x:v>
      </x:c>
      <x:c r="J1" s="24" t="str">
        <x:v>Domain 3</x:v>
      </x:c>
      <x:c r="K1" s="24" t="str">
        <x:v>Domain 4</x:v>
      </x:c>
      <x:c r="L1" s="24" t="str">
        <x:v>Domain 5</x:v>
      </x:c>
      <x:c r="M1" s="24" t="str">
        <x:v>Overall RoB 2</x:v>
      </x:c>
      <x:c r="N1" s="24" t="str">
        <x:v>Correction source</x:v>
      </x:c>
      <x:c r="O1" s="24" t="str">
        <x:v>Source folder</x:v>
      </x:c>
      <x:c r="P1" s="24" t="str">
        <x:v>Corrected RoB folder</x:v>
      </x:c>
    </x:row>
    <x:row r="2">
      <x:c r="A2" s="18" t="str">
        <x:v>Yang 2020</x:v>
      </x:c>
      <x:c r="B2" s="18" t="str">
        <x:v>Time to first postoperative flatus</x:v>
      </x:c>
      <x:c r="C2" s="18" t="str">
        <x:v>EA + usual care vs usual care</x:v>
      </x:c>
      <x:c r="D2" s="18" t="str">
        <x:v>Time to event</x:v>
      </x:c>
      <x:c r="E2" s="18" t="str">
        <x:v>EA 30 / UC 29</x:v>
      </x:c>
      <x:c r="F2" s="18" t="str">
        <x:v>EA 29 / UC 28</x:v>
      </x:c>
      <x:c r="G2" s="18" t="str">
        <x:v>20.8 ± 4.6 h vs 24.1 ± 6.2 h; P=0.026</x:v>
      </x:c>
      <x:c r="H2" s="18" t="str">
        <x:v>Low</x:v>
      </x:c>
      <x:c r="I2" s="18" t="str">
        <x:v>Some concerns</x:v>
      </x:c>
      <x:c r="J2" s="18" t="str">
        <x:v>Low</x:v>
      </x:c>
      <x:c r="K2" s="18" t="str">
        <x:v>Some concerns</x:v>
      </x:c>
      <x:c r="L2" s="18" t="str">
        <x:v>Some concerns</x:v>
      </x:c>
      <x:c r="M2" s="18" t="str">
        <x:v>Some concerns</x:v>
      </x:c>
      <x:c r="N2" s="18" t="str">
        <x:v>Corrected RoB 2 Replacement Batch 1</x:v>
      </x:c>
      <x:c r="O2" s="18" t="str">
        <x:v>https://drive.google.com/drive/folders/1EWdZyTQjPSuoxt8n1nIr1t8D98PC-mso</x:v>
      </x:c>
      <x:c r="P2" s="18" t="str">
        <x:v>https://drive.google.com/drive/folders/1nsfVZMyB9znicxQzB7lvyfiiiuzMdc5M</x:v>
      </x:c>
    </x:row>
    <x:row r="3">
      <x:c r="A3" s="18" t="str">
        <x:v>Seevaunnamtum 2016</x:v>
      </x:c>
      <x:c r="B3" s="18" t="str">
        <x:v>Cumulative IV PCA morphine</x:v>
      </x:c>
      <x:c r="C3" s="18" t="str">
        <x:v>EA + standard care vs standard care</x:v>
      </x:c>
      <x:c r="D3" s="18" t="str">
        <x:v>0-24 h</x:v>
      </x:c>
      <x:c r="E3" s="18" t="str">
        <x:v>32 / 32</x:v>
      </x:c>
      <x:c r="F3" s="18" t="str">
        <x:v>32 / 32</x:v>
      </x:c>
      <x:c r="G3" s="18" t="str">
        <x:v>21.38 ± 14.38 mg vs 33.94 ± 20.24 mg; P=0.006</x:v>
      </x:c>
      <x:c r="H3" s="18" t="str">
        <x:v>Some concerns</x:v>
      </x:c>
      <x:c r="I3" s="18" t="str">
        <x:v>Low</x:v>
      </x:c>
      <x:c r="J3" s="18" t="str">
        <x:v>Low</x:v>
      </x:c>
      <x:c r="K3" s="18" t="str">
        <x:v>Low</x:v>
      </x:c>
      <x:c r="L3" s="18" t="str">
        <x:v>Some concerns</x:v>
      </x:c>
      <x:c r="M3" s="18" t="str">
        <x:v>Some concerns</x:v>
      </x:c>
      <x:c r="N3" s="18" t="str">
        <x:v>Corrected RoB 2 Replacement Batch 1</x:v>
      </x:c>
      <x:c r="O3" s="18" t="str">
        <x:v>https://drive.google.com/drive/folders/1EWdZyTQjPSuoxt8n1nIr1t8D98PC-mso</x:v>
      </x:c>
      <x:c r="P3" s="18" t="str">
        <x:v>https://drive.google.com/drive/folders/1nsfVZMyB9znicxQzB7lvyfiiiuzMdc5M</x:v>
      </x:c>
    </x:row>
    <x:row r="4">
      <x:c r="A4" s="18" t="str">
        <x:v>Lin 2002</x:v>
      </x:c>
      <x:c r="B4" s="18" t="str">
        <x:v>Cumulative IV PCA morphine delivered</x:v>
      </x:c>
      <x:c r="C4" s="18" t="str">
        <x:v>Four-arm: control / sham / low-EA / high-EA</x:v>
      </x:c>
      <x:c r="D4" s="18" t="str">
        <x:v>24-h test period</x:v>
      </x:c>
      <x:c r="E4" s="18" t="str">
        <x:v>25 per arm</x:v>
      </x:c>
      <x:c r="F4" s="18" t="str">
        <x:v>25 per arm</x:v>
      </x:c>
      <x:c r="G4" s="18" t="str">
        <x:v>Control 38.1 ± 16.0 mg; sham 30.2 ± 14.4; low-EA 21.8 ± 14.7; high-EA 15.0 ± 10.7</x:v>
      </x:c>
      <x:c r="H4" s="18" t="str">
        <x:v>Some concerns</x:v>
      </x:c>
      <x:c r="I4" s="18" t="str">
        <x:v>Low</x:v>
      </x:c>
      <x:c r="J4" s="18" t="str">
        <x:v>Low</x:v>
      </x:c>
      <x:c r="K4" s="18" t="str">
        <x:v>Low</x:v>
      </x:c>
      <x:c r="L4" s="18" t="str">
        <x:v>Some concerns</x:v>
      </x:c>
      <x:c r="M4" s="18" t="str">
        <x:v>Some concerns</x:v>
      </x:c>
      <x:c r="N4" s="18" t="str">
        <x:v>Corrected RoB 2 Replacement Batch 1</x:v>
      </x:c>
      <x:c r="O4" s="18" t="str">
        <x:v>https://drive.google.com/drive/folders/1EWdZyTQjPSuoxt8n1nIr1t8D98PC-mso</x:v>
      </x:c>
      <x:c r="P4" s="18" t="str">
        <x:v>https://drive.google.com/drive/folders/1nsfVZMyB9znicxQzB7lvyfiiiuzMdc5M</x:v>
      </x:c>
    </x:row>
    <x:row r="5">
      <x:c r="A5" s="18" t="str">
        <x:v>Yao 2015</x:v>
      </x:c>
      <x:c r="B5" s="18" t="str">
        <x:v>Global QoR-40</x:v>
      </x:c>
      <x:c r="C5" s="18" t="str">
        <x:v>TEAS vs no-current control</x:v>
      </x:c>
      <x:c r="D5" s="18" t="str">
        <x:v>24 h</x:v>
      </x:c>
      <x:c r="E5" s="18" t="str">
        <x:v>37 / 37</x:v>
      </x:c>
      <x:c r="F5" s="18" t="str">
        <x:v>35 / 36</x:v>
      </x:c>
      <x:c r="G5" s="18" t="str">
        <x:v>176.5 ± 10.2 vs 164.8 ± 14.7; P&lt;0.001</x:v>
      </x:c>
      <x:c r="H5" s="18" t="str">
        <x:v>Low</x:v>
      </x:c>
      <x:c r="I5" s="18" t="str">
        <x:v>Some concerns</x:v>
      </x:c>
      <x:c r="J5" s="18" t="str">
        <x:v>Low</x:v>
      </x:c>
      <x:c r="K5" s="18" t="str">
        <x:v>High</x:v>
      </x:c>
      <x:c r="L5" s="18" t="str">
        <x:v>Some concerns</x:v>
      </x:c>
      <x:c r="M5" s="18" t="str">
        <x:v>High</x:v>
      </x:c>
      <x:c r="N5" s="18" t="str">
        <x:v>Corrected RoB 2 Replacement Batch 2</x:v>
      </x:c>
      <x:c r="O5" s="18" t="str">
        <x:v>https://drive.google.com/drive/folders/1EWdZyTQjPSuoxt8n1nIr1t8D98PC-mso</x:v>
      </x:c>
      <x:c r="P5" s="18" t="str">
        <x:v>https://drive.google.com/drive/folders/1nsfVZMyB9znicxQzB7lvyfiiiuzMdc5M</x:v>
      </x:c>
    </x:row>
    <x:row r="6">
      <x:c r="A6" s="18" t="str">
        <x:v>Yu 2020</x:v>
      </x:c>
      <x:c r="B6" s="18" t="str">
        <x:v>Global QoR-40</x:v>
      </x:c>
      <x:c r="C6" s="18" t="str">
        <x:v>TEAS vs no-current control</x:v>
      </x:c>
      <x:c r="D6" s="18" t="str">
        <x:v>POD1 (~24 h)</x:v>
      </x:c>
      <x:c r="E6" s="18" t="str">
        <x:v>30 / 30</x:v>
      </x:c>
      <x:c r="F6" s="18" t="str">
        <x:v>30 / 30</x:v>
      </x:c>
      <x:c r="G6" s="18" t="str">
        <x:v>175.33 ± 9.66 vs 166.07 ± 8.44; P=0.040</x:v>
      </x:c>
      <x:c r="H6" s="18" t="str">
        <x:v>Some concerns</x:v>
      </x:c>
      <x:c r="I6" s="18" t="str">
        <x:v>Low</x:v>
      </x:c>
      <x:c r="J6" s="18" t="str">
        <x:v>Low</x:v>
      </x:c>
      <x:c r="K6" s="18" t="str">
        <x:v>High</x:v>
      </x:c>
      <x:c r="L6" s="18" t="str">
        <x:v>Some concerns</x:v>
      </x:c>
      <x:c r="M6" s="18" t="str">
        <x:v>High</x:v>
      </x:c>
      <x:c r="N6" s="18" t="str">
        <x:v>Corrected RoB 2 Replacement Batch 2</x:v>
      </x:c>
      <x:c r="O6" s="18" t="str">
        <x:v>https://drive.google.com/drive/folders/1EWdZyTQjPSuoxt8n1nIr1t8D98PC-mso</x:v>
      </x:c>
      <x:c r="P6" s="18" t="str">
        <x:v>https://drive.google.com/drive/folders/1nsfVZMyB9znicxQzB7lvyfiiiuzMdc5M</x:v>
      </x:c>
    </x:row>
    <x:row r="7">
      <x:c r="A7" s="18" t="str">
        <x:v>Pan 2023</x:v>
      </x:c>
      <x:c r="B7" s="18" t="str">
        <x:v>Time to first postoperative flatus</x:v>
      </x:c>
      <x:c r="C7" s="18" t="str">
        <x:v>TEAS vs no-TEAS control</x:v>
      </x:c>
      <x:c r="D7" s="18" t="str">
        <x:v>Time to event</x:v>
      </x:c>
      <x:c r="E7" s="18" t="str">
        <x:v>60 / 60</x:v>
      </x:c>
      <x:c r="F7" s="18" t="str">
        <x:v>52 / 53</x:v>
      </x:c>
      <x:c r="G7" s="18" t="str">
        <x:v>1020.0 (675.8–1278.0) min vs 1210.0 (896.5–1427.0) min; P=0.01</x:v>
      </x:c>
      <x:c r="H7" s="18" t="str">
        <x:v>Some concerns</x:v>
      </x:c>
      <x:c r="I7" s="18" t="str">
        <x:v>High</x:v>
      </x:c>
      <x:c r="J7" s="18" t="str">
        <x:v>High</x:v>
      </x:c>
      <x:c r="K7" s="18" t="str">
        <x:v>Some concerns</x:v>
      </x:c>
      <x:c r="L7" s="18" t="str">
        <x:v>Some concerns</x:v>
      </x:c>
      <x:c r="M7" s="18" t="str">
        <x:v>High</x:v>
      </x:c>
      <x:c r="N7" s="18" t="str">
        <x:v>Corrected RoB 2 Replacement Batch 2</x:v>
      </x:c>
      <x:c r="O7" s="18" t="str">
        <x:v>https://drive.google.com/drive/folders/1EWdZyTQjPSuoxt8n1nIr1t8D98PC-mso</x:v>
      </x:c>
      <x:c r="P7" s="18" t="str">
        <x:v>https://drive.google.com/drive/folders/1nsfVZMyB9znicxQzB7lvyfiiiuzMdc5M</x:v>
      </x:c>
    </x:row>
    <x:row r="8">
      <x:c r="A8" t="str">
        <x:v>Zhu 2022</x:v>
      </x:c>
      <x:c r="B8" t="str">
        <x:v>Postoperative vomiting</x:v>
      </x:c>
      <x:c r="C8" t="str">
        <x:v>EA day before surgery vs usual care</x:v>
      </x:c>
      <x:c r="D8" t="str">
        <x:v>6-24 h postoperatively</x:v>
      </x:c>
      <x:c r="E8" t="str">
        <x:v>Pre 103; usual care 104</x:v>
      </x:c>
      <x:c r="F8" t="str">
        <x:v>Pre 101; usual care 101</x:v>
      </x:c>
      <x:c r="G8" t="str">
        <x:v>5/101 vs 22/101</x:v>
      </x:c>
      <x:c r="H8" t="str">
        <x:v>Low</x:v>
      </x:c>
      <x:c r="I8" t="str">
        <x:v>Some concerns</x:v>
      </x:c>
      <x:c r="J8" t="str">
        <x:v>Low</x:v>
      </x:c>
      <x:c r="K8" t="str">
        <x:v>Low</x:v>
      </x:c>
      <x:c r="L8" t="str">
        <x:v>Some concerns</x:v>
      </x:c>
      <x:c r="M8" t="str">
        <x:v>Some concerns</x:v>
      </x:c>
      <x:c r="N8" t="str">
        <x:v>De novo source-grounded replacement; four-arm design retained</x:v>
      </x:c>
      <x:c r="O8" t="str">
        <x:v>https://drive.google.com/file/d/1vux5IaubjInusplW6GJ2SsxhzibtSCe-/view?usp=drivesdk</x:v>
      </x:c>
      <x:c r="P8" t="str">
        <x:v>https://drive.google.com/drive/folders/1nsfVZMyB9znicxQzB7lvyfiiiuzMdc5M</x:v>
      </x:c>
    </x:row>
    <x:row r="9">
      <x:c r="A9" t="str">
        <x:v>Zhou 2025</x:v>
      </x:c>
      <x:c r="B9" t="str">
        <x:v>Global QoR-15</x:v>
      </x:c>
      <x:c r="C9" t="str">
        <x:v>PACU TEAS vs sham/no current</x:v>
      </x:c>
      <x:c r="D9" t="str">
        <x:v>POD1</x:v>
      </x:c>
      <x:c r="E9" t="str">
        <x:v>50 vs 50</x:v>
      </x:c>
      <x:c r="F9" t="str">
        <x:v>48 vs 49</x:v>
      </x:c>
      <x:c r="G9" t="str">
        <x:v>112.00 ± 10.67 vs 107.62 ± 10.27</x:v>
      </x:c>
      <x:c r="H9" t="str">
        <x:v>Low</x:v>
      </x:c>
      <x:c r="I9" t="str">
        <x:v>Some concerns</x:v>
      </x:c>
      <x:c r="J9" t="str">
        <x:v>Low</x:v>
      </x:c>
      <x:c r="K9" t="str">
        <x:v>High</x:v>
      </x:c>
      <x:c r="L9" t="str">
        <x:v>Some concerns</x:v>
      </x:c>
      <x:c r="M9" t="str">
        <x:v>High</x:v>
      </x:c>
      <x:c r="N9" t="str">
        <x:v>De novo source-grounded replacement; patient-reported outcome with uncertain sensory masking</x:v>
      </x:c>
      <x:c r="O9" t="str">
        <x:v>https://drive.google.com/file/d/1gpNBuoukUttXKWiAAeZSqdIaaHSMOwDU/view?usp=drivesdk</x:v>
      </x:c>
      <x:c r="P9" t="str">
        <x:v>https://drive.google.com/drive/folders/1nsfVZMyB9znicxQzB7lvyfiiiuzMdc5M</x:v>
      </x:c>
    </x:row>
    <x:row r="10">
      <x:c r="A10" t="str">
        <x:v>Zhou 2021</x:v>
      </x:c>
      <x:c r="B10" t="str">
        <x:v>Time to first flatus</x:v>
      </x:c>
      <x:c r="C10" t="str">
        <x:v>Postoperative TEAS + ERAS vs ERAS/usual care</x:v>
      </x:c>
      <x:c r="D10" t="str">
        <x:v>Postoperative</x:v>
      </x:c>
      <x:c r="E10" t="str">
        <x:v>41 vs 41</x:v>
      </x:c>
      <x:c r="F10" t="str">
        <x:v>41 vs 40</x:v>
      </x:c>
      <x:c r="G10" t="str">
        <x:v>55.63 ± 16.74 vs 72.60 ± 20.92 h</x:v>
      </x:c>
      <x:c r="H10" t="str">
        <x:v>Some concerns</x:v>
      </x:c>
      <x:c r="I10" t="str">
        <x:v>Some concerns</x:v>
      </x:c>
      <x:c r="J10" t="str">
        <x:v>Low</x:v>
      </x:c>
      <x:c r="K10" t="str">
        <x:v>High</x:v>
      </x:c>
      <x:c r="L10" t="str">
        <x:v>Some concerns</x:v>
      </x:c>
      <x:c r="M10" t="str">
        <x:v>High</x:v>
      </x:c>
      <x:c r="N10" t="str">
        <x:v>De novo source-grounded replacement; open-label/no sham and likely participant-reported GI endpoint</x:v>
      </x:c>
      <x:c r="O10" t="str">
        <x:v>https://drive.google.com/file/d/1PxYyULBv_ZjWeqAm_bNYkDn_j2_lNYLq/view?usp=drivesdk</x:v>
      </x:c>
      <x:c r="P10" t="str">
        <x:v>https://drive.google.com/drive/folders/1nsfVZMyB9znicxQzB7lvyfiiiuzMdc5M</x:v>
      </x:c>
    </x:row>
    <x:row r="11">
      <x:c r="A11" t="str">
        <x:v>Zheng 2025</x:v>
      </x:c>
      <x:c r="B11" t="str">
        <x:v>Any PONV</x:v>
      </x:c>
      <x:c r="C11" t="str">
        <x:v>Perioperative TEAS vs sham/no current</x:v>
      </x:c>
      <x:c r="D11" t="str">
        <x:v>Within 24 h</x:v>
      </x:c>
      <x:c r="E11" t="str">
        <x:v>44 vs 44</x:v>
      </x:c>
      <x:c r="F11" t="str">
        <x:v>42 vs 43</x:v>
      </x:c>
      <x:c r="G11" t="str">
        <x:v>42.9% vs 67.4%; P=0.023</x:v>
      </x:c>
      <x:c r="H11" t="str">
        <x:v>Low</x:v>
      </x:c>
      <x:c r="I11" t="str">
        <x:v>Some concerns</x:v>
      </x:c>
      <x:c r="J11" t="str">
        <x:v>Low</x:v>
      </x:c>
      <x:c r="K11" t="str">
        <x:v>Some concerns</x:v>
      </x:c>
      <x:c r="L11" t="str">
        <x:v>Some concerns</x:v>
      </x:c>
      <x:c r="M11" t="str">
        <x:v>Some concerns</x:v>
      </x:c>
      <x:c r="N11" t="str">
        <x:v>De novo source-grounded replacement; 3 post-randomization exclusions and uncertain sensory masking</x:v>
      </x:c>
      <x:c r="O11" t="str">
        <x:v>https://drive.google.com/file/d/1-JWKZgQXaQQQBZgMSDqyIP-vG9aAxBqb/view?usp=drivesdk</x:v>
      </x:c>
      <x:c r="P11" t="str">
        <x:v>https://drive.google.com/drive/folders/1nsfVZMyB9znicxQzB7lvyfiiiuzMdc5M</x:v>
      </x:c>
    </x:row>
    <x:row r="12">
      <x:c r="A12" t="str">
        <x:v>Zhan 2020</x:v>
      </x:c>
      <x:c r="B12" t="str">
        <x:v>VAS pain intensity</x:v>
      </x:c>
      <x:c r="C12" t="str">
        <x:v>TAP + TEAS vs TAP</x:v>
      </x:c>
      <x:c r="D12" t="str">
        <x:v>24 h</x:v>
      </x:c>
      <x:c r="E12" t="str">
        <x:v>30 vs 30</x:v>
      </x:c>
      <x:c r="F12" t="str">
        <x:v>30 vs 30</x:v>
      </x:c>
      <x:c r="G12" t="str">
        <x:v>Printed: 2 (1.7 ± 2.2) vs 2 (2.0 ± 3.0); pairwise P=0.03</x:v>
      </x:c>
      <x:c r="H12" t="str">
        <x:v>Some concerns</x:v>
      </x:c>
      <x:c r="I12" t="str">
        <x:v>Low</x:v>
      </x:c>
      <x:c r="J12" t="str">
        <x:v>Low</x:v>
      </x:c>
      <x:c r="K12" t="str">
        <x:v>High</x:v>
      </x:c>
      <x:c r="L12" t="str">
        <x:v>Some concerns</x:v>
      </x:c>
      <x:c r="M12" t="str">
        <x:v>High</x:v>
      </x:c>
      <x:c r="N12" t="str">
        <x:v>De novo source-grounded replacement; subjective pain outcome without sensory-matched TEAS sham</x:v>
      </x:c>
      <x:c r="O12" t="str">
        <x:v>https://drive.google.com/file/d/1GYG7JxUOQxbt724-Ng7dWv3sYeC8dDSr/view?usp=drivesdk</x:v>
      </x:c>
      <x:c r="P12" t="str">
        <x:v>https://drive.google.com/drive/folders/1nsfVZMyB9znicxQzB7lvyfiiiuzMdc5M</x:v>
      </x:c>
    </x:row>
    <x:row r="13">
      <x:c r="A13" t="str">
        <x:v>Zhang 2025</x:v>
      </x:c>
      <x:c r="B13" t="str">
        <x:v>Total sufentanil consumption</x:v>
      </x:c>
      <x:c r="C13" t="str">
        <x:v>Perioperative TEAS vs sub-sensory sham</x:v>
      </x:c>
      <x:c r="D13" t="str">
        <x:v>POD1 (~24 h)</x:v>
      </x:c>
      <x:c r="E13" t="str">
        <x:v>54 vs 54</x:v>
      </x:c>
      <x:c r="F13" t="str">
        <x:v>45 vs 48</x:v>
      </x:c>
      <x:c r="G13" t="str">
        <x:v>50.53 ± 4.46 vs 53.79 ± 5.14 µg; P=0.002</x:v>
      </x:c>
      <x:c r="H13" t="str">
        <x:v>Low</x:v>
      </x:c>
      <x:c r="I13" t="str">
        <x:v>High</x:v>
      </x:c>
      <x:c r="J13" t="str">
        <x:v>High</x:v>
      </x:c>
      <x:c r="K13" t="str">
        <x:v>Low</x:v>
      </x:c>
      <x:c r="L13" t="str">
        <x:v>Some concerns</x:v>
      </x:c>
      <x:c r="M13" t="str">
        <x:v>High</x:v>
      </x:c>
      <x:c r="N13" t="str">
        <x:v>De novo source-grounded replacement; 15/108 post-randomization exclusions materially affect effect-of-assignment analysis</x:v>
      </x:c>
      <x:c r="O13" t="str">
        <x:v>https://drive.google.com/file/d/1eHx6Hk16vmIfMgoiZ5eNae4zmCR5ktwJ/view?usp=drivesdk</x:v>
      </x:c>
      <x:c r="P13" t="str">
        <x:v>https://drive.google.com/drive/folders/1nsfVZMyB9znicxQzB7lvyfiiiuzMdc5M</x:v>
      </x:c>
    </x:row>
    <x:row r="14">
      <x:c r="A14" t="str">
        <x:v>Zhang 2023</x:v>
      </x:c>
      <x:c r="B14" t="str">
        <x:v>Time to first spontaneous void</x:v>
      </x:c>
      <x:c r="C14" t="str">
        <x:v>TEAS vs sham/no current</x:v>
      </x:c>
      <x:c r="D14" t="str">
        <x:v>Postoperative</x:v>
      </x:c>
      <x:c r="E14" t="str">
        <x:v>975 vs 973</x:v>
      </x:c>
      <x:c r="F14" t="str">
        <x:v>922 vs 916</x:v>
      </x:c>
      <x:c r="G14" t="str">
        <x:v>5.6 (3.7-8.0) h vs 7.1 (4.7-9.7) h; P&lt;0.001</x:v>
      </x:c>
      <x:c r="H14" t="str">
        <x:v>Low</x:v>
      </x:c>
      <x:c r="I14" t="str">
        <x:v>High</x:v>
      </x:c>
      <x:c r="J14" t="str">
        <x:v>Some concerns</x:v>
      </x:c>
      <x:c r="K14" t="str">
        <x:v>Some concerns</x:v>
      </x:c>
      <x:c r="L14" t="str">
        <x:v>Low</x:v>
      </x:c>
      <x:c r="M14" t="str">
        <x:v>High</x:v>
      </x:c>
      <x:c r="N14" t="str">
        <x:v>De novo source-grounded replacement; 110 randomized participants excluded from final analysis after nonreceipt/discontinuation</x:v>
      </x:c>
      <x:c r="O14" t="str">
        <x:v>https://drive.google.com/file/d/1LXNXNhVJaOcYXBODulFUuMD4FQXC5dph/view?usp=drivesdk</x:v>
      </x:c>
      <x:c r="P14" t="str">
        <x:v>https://drive.google.com/drive/folders/1nsfVZMyB9znicxQzB7lvyfiiiuzMdc5M</x:v>
      </x:c>
    </x:row>
    <x:row r="15">
      <x:c r="A15" t="str">
        <x:v>Zhang 2014</x:v>
      </x:c>
      <x:c r="B15" t="str">
        <x:v>Recovery-room stay</x:v>
      </x:c>
      <x:c r="C15" t="str">
        <x:v>Preoperative TEAS vs sham/no current</x:v>
      </x:c>
      <x:c r="D15" t="str">
        <x:v>Recovery-room discharge</x:v>
      </x:c>
      <x:c r="E15" t="str">
        <x:v>33 vs 32</x:v>
      </x:c>
      <x:c r="F15" t="str">
        <x:v>33 vs 32</x:v>
      </x:c>
      <x:c r="G15" t="str">
        <x:v>35.6 ± 12.9 vs 48.3 ± 16.3 min; P=0.01</x:v>
      </x:c>
      <x:c r="H15" t="str">
        <x:v>Some concerns</x:v>
      </x:c>
      <x:c r="I15" t="str">
        <x:v>Low</x:v>
      </x:c>
      <x:c r="J15" t="str">
        <x:v>Low</x:v>
      </x:c>
      <x:c r="K15" t="str">
        <x:v>Low</x:v>
      </x:c>
      <x:c r="L15" t="str">
        <x:v>Some concerns</x:v>
      </x:c>
      <x:c r="M15" t="str">
        <x:v>Some concerns</x:v>
      </x:c>
      <x:c r="N15" t="str">
        <x:v>De novo source-grounded replacement; detailed flowchart used instead of abstract's incorrect 72-randomized statement</x:v>
      </x:c>
      <x:c r="O15" t="str">
        <x:v>https://drive.google.com/file/d/1lws1zFpIE-wbLY8X9ewYyTuIP-WySa-c/view?usp=drivesdk</x:v>
      </x:c>
      <x:c r="P15" t="str">
        <x:v>https://drive.google.com/drive/folders/1nsfVZMyB9znicxQzB7lvyfiiiuzMdc5M</x:v>
      </x:c>
    </x:row>
    <x:row r="16">
      <x:c r="A16" t="str">
        <x:v>Yang 2024</x:v>
      </x:c>
      <x:c r="B16" t="str">
        <x:v>Morphine use via IV PCA</x:v>
      </x:c>
      <x:c r="C16" t="str">
        <x:v>Perioperative EA + usual care vs usual care</x:v>
      </x:c>
      <x:c r="D16" t="str">
        <x:v>First 24 h / POD1</x:v>
      </x:c>
      <x:c r="E16" t="str">
        <x:v>90 vs 90</x:v>
      </x:c>
      <x:c r="F16" t="str">
        <x:v>90 vs 90</x:v>
      </x:c>
      <x:c r="G16" t="str">
        <x:v>43.7 ± 4.7 vs 44.0 ± 4.9 mg; P=0.733</x:v>
      </x:c>
      <x:c r="H16" t="str">
        <x:v>Low</x:v>
      </x:c>
      <x:c r="I16" t="str">
        <x:v>Low</x:v>
      </x:c>
      <x:c r="J16" t="str">
        <x:v>Low</x:v>
      </x:c>
      <x:c r="K16" t="str">
        <x:v>Low</x:v>
      </x:c>
      <x:c r="L16" t="str">
        <x:v>Some concerns</x:v>
      </x:c>
      <x:c r="M16" t="str">
        <x:v>Some concerns</x:v>
      </x:c>
      <x:c r="N16" t="str">
        <x:v>De novo source-grounded replacement; full ITT retained despite three protocol deviations; no sham for participants</x:v>
      </x:c>
      <x:c r="O16" t="str">
        <x:v>https://drive.google.com/file/d/160N3psd5tLEphwXHJzUEZ3uJfaIXcs5V/view?usp=drivesdk</x:v>
      </x:c>
      <x:c r="P16" t="str">
        <x:v>https://drive.google.com/drive/folders/1nsfVZMyB9znicxQzB7lvyfiiiuzMdc5M</x:v>
      </x:c>
    </x:row>
    <x:row r="17">
      <x:c r="A17" t="str">
        <x:v>Xiong 2021</x:v>
      </x:c>
      <x:c r="B17" t="str">
        <x:v>Any PONV</x:v>
      </x:c>
      <x:c r="C17" t="str">
        <x:v>TEAS + dexamethasone + tropisetron vs antiemetics alone</x:v>
      </x:c>
      <x:c r="D17" t="str">
        <x:v>Within 48 h</x:v>
      </x:c>
      <x:c r="E17" t="str">
        <x:v>31 vs 31</x:v>
      </x:c>
      <x:c r="F17" t="str">
        <x:v>31 vs 31</x:v>
      </x:c>
      <x:c r="G17" t="str">
        <x:v>13/31 vs 24/31; P=0.004</x:v>
      </x:c>
      <x:c r="H17" t="str">
        <x:v>Low</x:v>
      </x:c>
      <x:c r="I17" t="str">
        <x:v>Low</x:v>
      </x:c>
      <x:c r="J17" t="str">
        <x:v>Low</x:v>
      </x:c>
      <x:c r="K17" t="str">
        <x:v>Some concerns</x:v>
      </x:c>
      <x:c r="L17" t="str">
        <x:v>Some concerns</x:v>
      </x:c>
      <x:c r="M17" t="str">
        <x:v>Some concerns</x:v>
      </x:c>
      <x:c r="N17" t="str">
        <x:v>Fresh re-adjudication of source-matched RoB; participant sensory masking may have failed for a patient-reported PONV outcome</x:v>
      </x:c>
      <x:c r="O17" t="str">
        <x:v>https://drive.google.com/file/d/1sNaquYeWpsts7_e3XYP9c0CwM-tbQS6T/view?usp=drivesdk</x:v>
      </x:c>
      <x:c r="P17" t="str">
        <x:v>https://drive.google.com/drive/folders/1nsfVZMyB9znicxQzB7lvyfiiiuzMdc5M</x:v>
      </x:c>
    </x:row>
    <x:row r="18">
      <x:c r="A18" t="str">
        <x:v>Xing 2022</x:v>
      </x:c>
      <x:c r="B18" t="str">
        <x:v>Total intraoperative remifentanil consumption</x:v>
      </x:c>
      <x:c r="C18" t="str">
        <x:v>TEAS + TAPB vs sham TEAS + TAPB</x:v>
      </x:c>
      <x:c r="D18" t="str">
        <x:v>Intraoperative</x:v>
      </x:c>
      <x:c r="E18" t="str">
        <x:v>30 vs 30</x:v>
      </x:c>
      <x:c r="F18" t="str">
        <x:v>29 vs 29</x:v>
      </x:c>
      <x:c r="G18" t="str">
        <x:v>1182.61 ± 253.61 vs 1415.41 ± 295.67 µg; pairwise P&lt;0.05</x:v>
      </x:c>
      <x:c r="H18" t="str">
        <x:v>Low</x:v>
      </x:c>
      <x:c r="I18" t="str">
        <x:v>Low</x:v>
      </x:c>
      <x:c r="J18" t="str">
        <x:v>Some concerns</x:v>
      </x:c>
      <x:c r="K18" t="str">
        <x:v>Low</x:v>
      </x:c>
      <x:c r="L18" t="str">
        <x:v>Some concerns</x:v>
      </x:c>
      <x:c r="M18" t="str">
        <x:v>Some concerns</x:v>
      </x:c>
      <x:c r="N18" t="str">
        <x:v>De novo source-grounded replacement using the randomized incremental TEAS contrast NTG vs NG</x:v>
      </x:c>
      <x:c r="O18" t="str">
        <x:v>https://drive.google.com/file/d/1h3IGpQ56nSh7H16xBEVyTzCBkWOXRSxK/view?usp=drivesdk</x:v>
      </x:c>
      <x:c r="P18" t="str">
        <x:v>https://drive.google.com/drive/folders/1nsfVZMyB9znicxQzB7lvyfiiiuzMdc5M</x:v>
      </x:c>
    </x:row>
    <x:row r="19">
      <x:c r="A19" t="str">
        <x:v>Xie 2014</x:v>
      </x:c>
      <x:c r="B19" t="str">
        <x:v>Total postoperative/perioperative sufentanil</x:v>
      </x:c>
      <x:c r="C19" t="str">
        <x:v>Active EAS vs sham needling</x:v>
      </x:c>
      <x:c r="D19" t="str">
        <x:v>Study PCA period; exact fixed window unclear</x:v>
      </x:c>
      <x:c r="E19" t="str">
        <x:v>20 vs 20</x:v>
      </x:c>
      <x:c r="F19" t="str">
        <x:v>20 vs 20</x:v>
      </x:c>
      <x:c r="G19" t="str">
        <x:v>115 ± 6.0 vs 133 ± 7.0 µg; P&lt;0.05</x:v>
      </x:c>
      <x:c r="H19" t="str">
        <x:v>Some concerns</x:v>
      </x:c>
      <x:c r="I19" t="str">
        <x:v>Low</x:v>
      </x:c>
      <x:c r="J19" t="str">
        <x:v>Low</x:v>
      </x:c>
      <x:c r="K19" t="str">
        <x:v>Low</x:v>
      </x:c>
      <x:c r="L19" t="str">
        <x:v>Some concerns</x:v>
      </x:c>
      <x:c r="M19" t="str">
        <x:v>Some concerns</x:v>
      </x:c>
      <x:c r="N19" t="str">
        <x:v>De novo source-grounded replacement; result retained with explicit time-window ambiguity rather than relabeling as 24 h</x:v>
      </x:c>
      <x:c r="O19" t="str">
        <x:v>https://drive.google.com/file/d/17faY_h0rMJTuhjPOC5PL_S59jYmHDPee/view?usp=drivesdk</x:v>
      </x:c>
      <x:c r="P19" t="str">
        <x:v>https://drive.google.com/drive/folders/1nsfVZMyB9znicxQzB7lvyfiiiuzMdc5M</x:v>
      </x:c>
    </x:row>
    <x:row r="20">
      <x:c r="A20" t="str">
        <x:v>Wu 2022</x:v>
      </x:c>
      <x:c r="B20" t="str">
        <x:v>VAS pain intensity</x:v>
      </x:c>
      <x:c r="C20" t="str">
        <x:v>Perioperative pTEAS vs no-current control</x:v>
      </x:c>
      <x:c r="D20" t="str">
        <x:v>POD1</x:v>
      </x:c>
      <x:c r="E20" t="str">
        <x:v>45 vs 45</x:v>
      </x:c>
      <x:c r="F20" t="str">
        <x:v>44 vs 40</x:v>
      </x:c>
      <x:c r="G20" t="str">
        <x:v>1.77 ± 0.91 vs 2.25 ± 0.71; P=0.009</x:v>
      </x:c>
      <x:c r="H20" t="str">
        <x:v>Some concerns</x:v>
      </x:c>
      <x:c r="I20" t="str">
        <x:v>Some concerns</x:v>
      </x:c>
      <x:c r="J20" t="str">
        <x:v>High</x:v>
      </x:c>
      <x:c r="K20" t="str">
        <x:v>High</x:v>
      </x:c>
      <x:c r="L20" t="str">
        <x:v>Some concerns</x:v>
      </x:c>
      <x:c r="M20" t="str">
        <x:v>High</x:v>
      </x:c>
      <x:c r="N20" t="str">
        <x:v>De novo source-grounded replacement; asymmetric post-randomization exclusions, subjective pain, and unlikely participant masking</x:v>
      </x:c>
      <x:c r="O20" t="str">
        <x:v>https://drive.google.com/file/d/1XR_8qmeHR7ulwV7NaaI0CeYbpwKdc_ym/view?usp=drivesdk</x:v>
      </x:c>
      <x:c r="P20" t="str">
        <x:v>https://drive.google.com/drive/folders/1nsfVZMyB9znicxQzB7lvyfiiiuzMdc5M</x:v>
      </x:c>
    </x:row>
    <x:row r="21">
      <x:c r="A21" t="str">
        <x:v>Wu 2025</x:v>
      </x:c>
      <x:c r="B21" t="str">
        <x:v>VAS pain intensity</x:v>
      </x:c>
      <x:c r="C21" t="str">
        <x:v>PACU TEAS vs sham/no current</x:v>
      </x:c>
      <x:c r="D21" t="str">
        <x:v>24 h</x:v>
      </x:c>
      <x:c r="E21" t="str">
        <x:v>50 vs 50</x:v>
      </x:c>
      <x:c r="F21" t="str">
        <x:v>ITT 50 vs 50; 3 unavailable at 24 h</x:v>
      </x:c>
      <x:c r="G21" t="str">
        <x:v>1.7 ± 0.9 vs 4.0 ± 1.4; P&lt;0.001</x:v>
      </x:c>
      <x:c r="H21" t="str">
        <x:v>Some concerns</x:v>
      </x:c>
      <x:c r="I21" t="str">
        <x:v>Low</x:v>
      </x:c>
      <x:c r="J21" t="str">
        <x:v>Some concerns</x:v>
      </x:c>
      <x:c r="K21" t="str">
        <x:v>High</x:v>
      </x:c>
      <x:c r="L21" t="str">
        <x:v>Some concerns</x:v>
      </x:c>
      <x:c r="M21" t="str">
        <x:v>High</x:v>
      </x:c>
      <x:c r="N21" t="str">
        <x:v>De novo source-grounded replacement; allocation concealment incompletely described, missing 24-h data handling unclear, and sensory masking imperfect for subjective pain</x:v>
      </x:c>
      <x:c r="O21" t="str">
        <x:v>https://drive.google.com/file/d/1ZV6JFjevGSPqnISdX61KPdcC_yEtq3vf/view?usp=drivesdk</x:v>
      </x:c>
      <x:c r="P21" t="str">
        <x:v>https://drive.google.com/drive/folders/1nsfVZMyB9znicxQzB7lvyfiiiuzMdc5M</x:v>
      </x:c>
    </x:row>
    <x:row r="22">
      <x:c r="A22" t="str">
        <x:v>Wang 2023</x:v>
      </x:c>
      <x:c r="B22" t="str">
        <x:v>Postoperative sleep quality (PSQI/AIS)</x:v>
      </x:c>
      <x:c r="C22" t="str">
        <x:v>Nighttime TEAS vs sham/no current</x:v>
      </x:c>
      <x:c r="D22" t="str">
        <x:v>POD1</x:v>
      </x:c>
      <x:c r="E22" t="str">
        <x:v>43 vs 45</x:v>
      </x:c>
      <x:c r="F22" t="str">
        <x:v>40 vs 43</x:v>
      </x:c>
      <x:c r="G22" t="str">
        <x:v>Exact POD1 PSQI/AIS means/SDs are graph-only; TEAS significantly lower than sham</x:v>
      </x:c>
      <x:c r="H22" t="str">
        <x:v>Low</x:v>
      </x:c>
      <x:c r="I22" t="str">
        <x:v>High</x:v>
      </x:c>
      <x:c r="J22" t="str">
        <x:v>Some concerns</x:v>
      </x:c>
      <x:c r="K22" t="str">
        <x:v>High</x:v>
      </x:c>
      <x:c r="L22" t="str">
        <x:v>Some concerns</x:v>
      </x:c>
      <x:c r="M22" t="str">
        <x:v>High</x:v>
      </x:c>
      <x:c r="N22" t="str">
        <x:v>De novo source-grounded replacement; 5 protocol-breach exclusions and subjective patient-reported sleep with imperfect sensory masking</x:v>
      </x:c>
      <x:c r="O22" t="str">
        <x:v>https://drive.google.com/file/d/177A4aH42GD90DhsvvtD-VOBSChBBpIWL/view?usp=drivesdk</x:v>
      </x:c>
      <x:c r="P22" t="str">
        <x:v>https://drive.google.com/drive/folders/1nsfVZMyB9znicxQzB7lvyfiiiuzMdc5M</x:v>
      </x:c>
    </x:row>
    <x:row r="23">
      <x:c r="A23" t="str">
        <x:v>Wang 2024</x:v>
      </x:c>
      <x:c r="B23" t="str">
        <x:v>PONV incidence</x:v>
      </x:c>
      <x:c r="C23" t="str">
        <x:v>SNVP ODT vs SNVP OD</x:v>
      </x:c>
      <x:c r="D23" t="str">
        <x:v>12-24 h</x:v>
      </x:c>
      <x:c r="E23" t="str">
        <x:v>35 vs 35</x:v>
      </x:c>
      <x:c r="F23" t="str">
        <x:v>33 vs 35</x:v>
      </x:c>
      <x:c r="G23" t="str">
        <x:v>2/33 vs 11/35; P=0.008</x:v>
      </x:c>
      <x:c r="H23" t="str">
        <x:v>Low</x:v>
      </x:c>
      <x:c r="I23" t="str">
        <x:v>Some concerns</x:v>
      </x:c>
      <x:c r="J23" t="str">
        <x:v>High</x:v>
      </x:c>
      <x:c r="K23" t="str">
        <x:v>Low</x:v>
      </x:c>
      <x:c r="L23" t="str">
        <x:v>Some concerns</x:v>
      </x:c>
      <x:c r="M23" t="str">
        <x:v>High</x:v>
      </x:c>
      <x:c r="N23" t="str">
        <x:v>De novo source-grounded replacement; treatment randomized within SNVP stratum only; two post-randomization ODT exclusions and marked surgical imbalance</x:v>
      </x:c>
      <x:c r="O23" t="str">
        <x:v>https://drive.google.com/file/d/1U8tkq6mKFO0IkA2glfgLjN4Krwku3FZn/view?usp=drivesdk</x:v>
      </x:c>
      <x:c r="P23" t="str">
        <x:v>https://drive.google.com/drive/folders/1nsfVZMyB9znicxQzB7lvyfiiiuzMdc5M</x:v>
      </x:c>
    </x:row>
    <x:row r="24">
      <x:c r="A24" t="str">
        <x:v>Tu 2024</x:v>
      </x:c>
      <x:c r="B24" t="str">
        <x:v>Vomiting incidence</x:v>
      </x:c>
      <x:c r="C24" t="str">
        <x:v>Postoperative TEAS vs sham/no current</x:v>
      </x:c>
      <x:c r="D24" t="str">
        <x:v>2-6 h</x:v>
      </x:c>
      <x:c r="E24" t="str">
        <x:v>60 vs 60</x:v>
      </x:c>
      <x:c r="F24" t="str">
        <x:v>57 vs 58</x:v>
      </x:c>
      <x:c r="G24" t="str">
        <x:v>8/57 vs 17/58; P=0.047</x:v>
      </x:c>
      <x:c r="H24" t="str">
        <x:v>Low</x:v>
      </x:c>
      <x:c r="I24" t="str">
        <x:v>Low</x:v>
      </x:c>
      <x:c r="J24" t="str">
        <x:v>High</x:v>
      </x:c>
      <x:c r="K24" t="str">
        <x:v>Low</x:v>
      </x:c>
      <x:c r="L24" t="str">
        <x:v>Some concerns</x:v>
      </x:c>
      <x:c r="M24" t="str">
        <x:v>High</x:v>
      </x:c>
      <x:c r="N24" t="str">
        <x:v>Fresh re-adjudication; one sham patient excluded specifically for intracranial-hypertension-related vomiting, making missingness outcome-related</x:v>
      </x:c>
      <x:c r="O24" t="str">
        <x:v>https://drive.google.com/file/d/1xQ9SbXVZblphUrb0-T9xpnAXk-_z5nBX/view?usp=drivesdk</x:v>
      </x:c>
      <x:c r="P24" t="str">
        <x:v>https://drive.google.com/drive/folders/1nsfVZMyB9znicxQzB7lvyfiiiuzMdc5M</x:v>
      </x:c>
    </x:row>
    <x:row r="25">
      <x:c r="A25" t="str">
        <x:v>Sun 2017</x:v>
      </x:c>
      <x:c r="B25" t="str">
        <x:v>Activity-evoked VAS</x:v>
      </x:c>
      <x:c r="C25" t="str">
        <x:v>Preoperative + postoperative TEAS (TST) vs all-period sham (SSS)</x:v>
      </x:c>
      <x:c r="D25" t="str">
        <x:v>24 h</x:v>
      </x:c>
      <x:c r="E25" t="str">
        <x:v>95 vs 95</x:v>
      </x:c>
      <x:c r="F25" t="str">
        <x:v>89 vs 90</x:v>
      </x:c>
      <x:c r="G25" t="str">
        <x:v>3.0 (3.0-4.0) vs 4.0 (3.8-5.0); reported P&lt;0.001 comparison framework</x:v>
      </x:c>
      <x:c r="H25" t="str">
        <x:v>Low</x:v>
      </x:c>
      <x:c r="I25" t="str">
        <x:v>Low</x:v>
      </x:c>
      <x:c r="J25" t="str">
        <x:v>Some concerns</x:v>
      </x:c>
      <x:c r="K25" t="str">
        <x:v>Some concerns</x:v>
      </x:c>
      <x:c r="L25" t="str">
        <x:v>Some concerns</x:v>
      </x:c>
      <x:c r="M25" t="str">
        <x:v>Some concerns</x:v>
      </x:c>
      <x:c r="N25" t="str">
        <x:v>Fresh re-adjudication; four-arm timing design preserved and sham recognized as 5-min perceptible low-current stimulation</x:v>
      </x:c>
      <x:c r="O25" t="str">
        <x:v>https://drive.google.com/file/d/1lELlw0IpkhqoB8OuintAI22fxKfNEcEd/view?usp=drivesdk</x:v>
      </x:c>
      <x:c r="P25" t="str">
        <x:v>https://drive.google.com/drive/folders/1nsfVZMyB9znicxQzB7lvyfiiiuzMdc5M</x:v>
      </x:c>
    </x:row>
    <x:row r="26">
      <x:c r="A26" t="str">
        <x:v>Sim 2002</x:v>
      </x:c>
      <x:c r="B26" t="str">
        <x:v>Cumulative postoperative IV PCA morphine</x:v>
      </x:c>
      <x:c r="C26" t="str">
        <x:v>Preoperative EA vs placebo EA</x:v>
      </x:c>
      <x:c r="D26" t="str">
        <x:v>0-24 h</x:v>
      </x:c>
      <x:c r="E26" t="str">
        <x:v>30 vs 30</x:v>
      </x:c>
      <x:c r="F26" t="str">
        <x:v>30 vs 30</x:v>
      </x:c>
      <x:c r="G26" t="str">
        <x:v>0.52 ± 0.19 vs 0.68 ± 0.38 mg/kg; cumulative difference not statistically significant</x:v>
      </x:c>
      <x:c r="H26" t="str">
        <x:v>Some concerns</x:v>
      </x:c>
      <x:c r="I26" t="str">
        <x:v>Low</x:v>
      </x:c>
      <x:c r="J26" t="str">
        <x:v>Low</x:v>
      </x:c>
      <x:c r="K26" t="str">
        <x:v>Low</x:v>
      </x:c>
      <x:c r="L26" t="str">
        <x:v>Some concerns</x:v>
      </x:c>
      <x:c r="M26" t="str">
        <x:v>Some concerns</x:v>
      </x:c>
      <x:c r="N26" t="str">
        <x:v>De novo source-grounded replacement; randomized sequence reported but allocation concealment not reported; placebo blinding was empirically assessed</x:v>
      </x:c>
      <x:c r="O26" t="str">
        <x:v>https://drive.google.com/file/d/1YsNHL-J3Kgfu8mCanRrNu_bHk_roj0w6/view?usp=drivesdk</x:v>
      </x:c>
      <x:c r="P26" t="str">
        <x:v>https://drive.google.com/drive/folders/1nsfVZMyB9znicxQzB7lvyfiiiuzMdc5M</x:v>
      </x:c>
    </x:row>
    <x:row r="27">
      <x:c r="A27" t="str">
        <x:v>Ntritsou 2014</x:v>
      </x:c>
      <x:c r="B27" t="str">
        <x:v>Total tramadol exposure</x:v>
      </x:c>
      <x:c r="C27" t="str">
        <x:v>Perioperative EA + tramadol/ketamine vs sham + tramadol/ketamine</x:v>
      </x:c>
      <x:c r="D27" t="str">
        <x:v>First 24 h most consistent with protocol</x:v>
      </x:c>
      <x:c r="E27" t="str">
        <x:v>37 vs 38</x:v>
      </x:c>
      <x:c r="F27" t="str">
        <x:v>35 vs 35</x:v>
      </x:c>
      <x:c r="G27" t="str">
        <x:v>443.7 ± 67.4 vs 461.5 ± 63.2 mg; P=0.257</x:v>
      </x:c>
      <x:c r="H27" t="str">
        <x:v>Some concerns</x:v>
      </x:c>
      <x:c r="I27" t="str">
        <x:v>Low</x:v>
      </x:c>
      <x:c r="J27" t="str">
        <x:v>High</x:v>
      </x:c>
      <x:c r="K27" t="str">
        <x:v>Low</x:v>
      </x:c>
      <x:c r="L27" t="str">
        <x:v>Some concerns</x:v>
      </x:c>
      <x:c r="M27" t="str">
        <x:v>High</x:v>
      </x:c>
      <x:c r="N27" t="str">
        <x:v>De novo source-grounded replacement; five post-randomization exclusions included clinically relevant postoperative adverse events</x:v>
      </x:c>
      <x:c r="O27" t="str">
        <x:v>https://drive.google.com/file/d/1u_kNuuXF8upB3gJA2aDq8NldYDfhnWy3/view?usp=drivesdk</x:v>
      </x:c>
      <x:c r="P27" t="str">
        <x:v>https://drive.google.com/drive/folders/1nsfVZMyB9znicxQzB7lvyfiiiuzMdc5M</x:v>
      </x:c>
    </x:row>
    <x:row r="28">
      <x:c r="A28" t="str">
        <x:v>Ng 2013</x:v>
      </x:c>
      <x:c r="B28" t="str">
        <x:v>Time to first bowel motion</x:v>
      </x:c>
      <x:c r="C28" t="str">
        <x:v>Electroacupuncture vs sham acupuncture</x:v>
      </x:c>
      <x:c r="D28" t="str">
        <x:v>Postoperative</x:v>
      </x:c>
      <x:c r="E28" t="str">
        <x:v>55 vs 55</x:v>
      </x:c>
      <x:c r="F28" t="str">
        <x:v>55 vs 55</x:v>
      </x:c>
      <x:c r="G28" t="str">
        <x:v>85.9 ± 36.1 vs 107.5 ± 46.2 h; P=0.007</x:v>
      </x:c>
      <x:c r="H28" t="str">
        <x:v>Some concerns</x:v>
      </x:c>
      <x:c r="I28" t="str">
        <x:v>Low</x:v>
      </x:c>
      <x:c r="J28" t="str">
        <x:v>Low</x:v>
      </x:c>
      <x:c r="K28" t="str">
        <x:v>Low</x:v>
      </x:c>
      <x:c r="L28" t="str">
        <x:v>Some concerns</x:v>
      </x:c>
      <x:c r="M28" t="str">
        <x:v>Some concerns</x:v>
      </x:c>
      <x:c r="N28" t="str">
        <x:v>De novo source-grounded replacement; computer sequence but explicitly nonopaque envelopes create concealment concern</x:v>
      </x:c>
      <x:c r="O28" t="str">
        <x:v>https://drive.google.com/file/d/1R1zCiyfWvuSp99Hi2U_K1__8kgdi90gd/view?usp=drivesdk</x:v>
      </x:c>
      <x:c r="P28" t="str">
        <x:v>https://drive.google.com/drive/folders/1nsfVZMyB9znicxQzB7lvyfiiiuzMdc5M</x:v>
      </x:c>
    </x:row>
    <x:row r="29">
      <x:c r="A29" t="str">
        <x:v>Ma 2026</x:v>
      </x:c>
      <x:c r="B29" t="str">
        <x:v>Resting NRS pain</x:v>
      </x:c>
      <x:c r="C29" t="str">
        <x:v>Group T (TEAS) vs Group S (no TEAS)</x:v>
      </x:c>
      <x:c r="D29" t="str">
        <x:v>24 h</x:v>
      </x:c>
      <x:c r="E29" t="str">
        <x:v>18 vs 17</x:v>
      </x:c>
      <x:c r="F29" t="str">
        <x:v>17 vs 16</x:v>
      </x:c>
      <x:c r="G29" t="str">
        <x:v>Exact means/SDs graph-only; Group T significantly lower than Group S, P&lt;0.05</x:v>
      </x:c>
      <x:c r="H29" t="str">
        <x:v>Some concerns</x:v>
      </x:c>
      <x:c r="I29" t="str">
        <x:v>Low</x:v>
      </x:c>
      <x:c r="J29" t="str">
        <x:v>Some concerns</x:v>
      </x:c>
      <x:c r="K29" t="str">
        <x:v>High</x:v>
      </x:c>
      <x:c r="L29" t="str">
        <x:v>Some concerns</x:v>
      </x:c>
      <x:c r="M29" t="str">
        <x:v>High</x:v>
      </x:c>
      <x:c r="N29" t="str">
        <x:v>De novo source-grounded replacement; only T vs S randomized, allocation concealment unavailable, no participant blinding, and subjective pain is graph-only</x:v>
      </x:c>
      <x:c r="O29" t="str">
        <x:v>https://drive.google.com/file/d/1tMEOwvRWIMeEmBmKfeHEt7YF10yxslUe/view?usp=drivesdk</x:v>
      </x:c>
      <x:c r="P29" t="str">
        <x:v>https://drive.google.com/drive/folders/1nsfVZMyB9znicxQzB7lvyfiiiuzMdc5M</x:v>
      </x:c>
    </x:row>
    <x:row r="30">
      <x:c r="A30" t="str">
        <x:v>Lu 2021</x:v>
      </x:c>
      <x:c r="B30" t="str">
        <x:v>Post-mastectomy chronic pain incidence</x:v>
      </x:c>
      <x:c r="C30" t="str">
        <x:v>Combined PC6+CV17 TEAS vs sham/no current</x:v>
      </x:c>
      <x:c r="D30" t="str">
        <x:v>6 months</x:v>
      </x:c>
      <x:c r="E30" t="str">
        <x:v>190 vs 188</x:v>
      </x:c>
      <x:c r="F30" t="str">
        <x:v>ITT 190 vs 188</x:v>
      </x:c>
      <x:c r="G30" t="str">
        <x:v>42/190 vs 65/188</x:v>
      </x:c>
      <x:c r="H30" t="str">
        <x:v>Low</x:v>
      </x:c>
      <x:c r="I30" t="str">
        <x:v>Low</x:v>
      </x:c>
      <x:c r="J30" t="str">
        <x:v>Low</x:v>
      </x:c>
      <x:c r="K30" t="str">
        <x:v>High</x:v>
      </x:c>
      <x:c r="L30" t="str">
        <x:v>Some concerns</x:v>
      </x:c>
      <x:c r="M30" t="str">
        <x:v>High</x:v>
      </x:c>
      <x:c r="N30" t="str">
        <x:v>De novo source-grounded replacement; central web randomization and worst-case ITT are strong, but chronic pain is patient-reported in an unblinded participant population and published effect estimates conflict</x:v>
      </x:c>
      <x:c r="O30" t="str">
        <x:v>https://drive.google.com/file/d/1MgD_OucfiyNEDdDe3osh8W01U1yYZs08/view?usp=drivesdk</x:v>
      </x:c>
      <x:c r="P30" t="str">
        <x:v>https://drive.google.com/drive/folders/1nsfVZMyB9znicxQzB7lvyfiiiuzMdc5M</x:v>
      </x:c>
    </x:row>
    <x:row r="31">
      <x:c r="A31" t="str">
        <x:v>Lu 2022</x:v>
      </x:c>
      <x:c r="B31" t="str">
        <x:v>Time to meet discharge criteria</x:v>
      </x:c>
      <x:c r="C31" t="str">
        <x:v>TEAS + ERAS vs no-current control + ERAS</x:v>
      </x:c>
      <x:c r="D31" t="str">
        <x:v>Postoperative</x:v>
      </x:c>
      <x:c r="E31" t="str">
        <x:v>50 vs 50</x:v>
      </x:c>
      <x:c r="F31" t="str">
        <x:v>47 vs 47</x:v>
      </x:c>
      <x:c r="G31" t="str">
        <x:v>6.0 ± 1.8 vs 7.0 ± 2.4 days; P=0.02</x:v>
      </x:c>
      <x:c r="H31" t="str">
        <x:v>Some concerns</x:v>
      </x:c>
      <x:c r="I31" t="str">
        <x:v>Low</x:v>
      </x:c>
      <x:c r="J31" t="str">
        <x:v>High</x:v>
      </x:c>
      <x:c r="K31" t="str">
        <x:v>Some concerns</x:v>
      </x:c>
      <x:c r="L31" t="str">
        <x:v>Low</x:v>
      </x:c>
      <x:c r="M31" t="str">
        <x:v>High</x:v>
      </x:c>
      <x:c r="N31" t="str">
        <x:v>De novo source-grounded replacement; 6 randomized participants excluded after conversion/refusal, with conversion plausibly related to discharge time; participant blinding was not effective</x:v>
      </x:c>
      <x:c r="O31" t="str">
        <x:v>https://drive.google.com/file/d/12Y86huNMuLC8cPH-L2vwlEd7r1X1Qela/view?usp=drivesdk</x:v>
      </x:c>
      <x:c r="P31" t="str">
        <x:v>https://drive.google.com/drive/folders/1nsfVZMyB9znicxQzB7lvyfiiiuzMdc5M</x:v>
      </x:c>
    </x:row>
    <x:row r="32">
      <x:c r="A32" t="str">
        <x:v>Luo 2026</x:v>
      </x:c>
      <x:c r="B32" t="str">
        <x:v>Cumulative postoperative nausea</x:v>
      </x:c>
      <x:c r="C32" t="str">
        <x:v>Intraoperative PC6 TEAS vs sham/no current</x:v>
      </x:c>
      <x:c r="D32" t="str">
        <x:v>0-48 h</x:v>
      </x:c>
      <x:c r="E32" t="str">
        <x:v>138 vs 139</x:v>
      </x:c>
      <x:c r="F32" t="str">
        <x:v>138 vs 139</x:v>
      </x:c>
      <x:c r="G32" t="str">
        <x:v>24/138 vs 53/139; P&lt;0.01</x:v>
      </x:c>
      <x:c r="H32" t="str">
        <x:v>Low</x:v>
      </x:c>
      <x:c r="I32" t="str">
        <x:v>Low</x:v>
      </x:c>
      <x:c r="J32" t="str">
        <x:v>Low</x:v>
      </x:c>
      <x:c r="K32" t="str">
        <x:v>Some concerns</x:v>
      </x:c>
      <x:c r="L32" t="str">
        <x:v>Some concerns</x:v>
      </x:c>
      <x:c r="M32" t="str">
        <x:v>Some concerns</x:v>
      </x:c>
      <x:c r="N32" t="str">
        <x:v>Fresh re-adjudication of source-matched RoB; full follow-up and concealed randomization are strong, but participant masking demonstrably failed for a subjective nausea outcome</x:v>
      </x:c>
      <x:c r="O32" t="str">
        <x:v>https://drive.google.com/file/d/1xxZle6mPpcnmHLblJbsy1kA4CyQHpvm2/view?usp=drivesdk</x:v>
      </x:c>
      <x:c r="P32" t="str">
        <x:v>https://drive.google.com/drive/folders/1nsfVZMyB9znicxQzB7lvyfiiiuzMdc5M</x:v>
      </x:c>
    </x:row>
    <x:row r="33">
      <x:c r="A33" t="str">
        <x:v>Long 2025</x:v>
      </x:c>
      <x:c r="B33" t="str">
        <x:v>Perioperative neurocognitive disorder (PND)</x:v>
      </x:c>
      <x:c r="C33" t="str">
        <x:v>Electrical acupoint stimulation vs electrodes/no current</x:v>
      </x:c>
      <x:c r="D33" t="str">
        <x:v>POD3</x:v>
      </x:c>
      <x:c r="E33" t="str">
        <x:v>30 vs 30</x:v>
      </x:c>
      <x:c r="F33" t="str">
        <x:v>27 active vs 26 control</x:v>
      </x:c>
      <x:c r="G33" t="str">
        <x:v>Published 4 cases (14.3%) vs 12 cases (48.0%); percentages do not reconcile with analyzed denominators</x:v>
      </x:c>
      <x:c r="H33" t="str">
        <x:v>Some concerns</x:v>
      </x:c>
      <x:c r="I33" t="str">
        <x:v>Some concerns</x:v>
      </x:c>
      <x:c r="J33" t="str">
        <x:v>High</x:v>
      </x:c>
      <x:c r="K33" t="str">
        <x:v>Some concerns</x:v>
      </x:c>
      <x:c r="L33" t="str">
        <x:v>Some concerns</x:v>
      </x:c>
      <x:c r="M33" t="str">
        <x:v>High</x:v>
      </x:c>
      <x:c r="N33" t="str">
        <x:v>De novo source-grounded replacement; allocation concealment NR, 7/60 excluded without arm allocation, no full ITT, and primary event denominators are internally inconsistent</x:v>
      </x:c>
      <x:c r="O33" t="str">
        <x:v>https://drive.google.com/file/d/1LDqtQLq9-kZLP0Vv_G3iiK8QKjy4pRXP/view?usp=drivesdk</x:v>
      </x:c>
      <x:c r="P33" t="str">
        <x:v>https://drive.google.com/drive/folders/1nsfVZMyB9znicxQzB7lvyfiiiuzMdc5M</x:v>
      </x:c>
    </x:row>
    <x:row r="34">
      <x:c r="A34" t="str">
        <x:v>Li 2021</x:v>
      </x:c>
      <x:c r="B34" t="str">
        <x:v>Time to first bowel motion by auscultation</x:v>
      </x:c>
      <x:c r="C34" t="str">
        <x:v>Perioperative TEAS vs sham-point/no current</x:v>
      </x:c>
      <x:c r="D34" t="str">
        <x:v>Postoperative</x:v>
      </x:c>
      <x:c r="E34" t="str">
        <x:v>154 vs 152</x:v>
      </x:c>
      <x:c r="F34" t="str">
        <x:v>140 vs 140</x:v>
      </x:c>
      <x:c r="G34" t="str">
        <x:v>31 (18.8-45.3) h vs 42 (22.1-52.4) h; P&lt;0.01</x:v>
      </x:c>
      <x:c r="H34" t="str">
        <x:v>Low</x:v>
      </x:c>
      <x:c r="I34" t="str">
        <x:v>Low</x:v>
      </x:c>
      <x:c r="J34" t="str">
        <x:v>High</x:v>
      </x:c>
      <x:c r="K34" t="str">
        <x:v>Low</x:v>
      </x:c>
      <x:c r="L34" t="str">
        <x:v>Low</x:v>
      </x:c>
      <x:c r="M34" t="str">
        <x:v>High</x:v>
      </x:c>
      <x:c r="N34" t="str">
        <x:v>De novo source-grounded replacement; 26/306 randomized participants excluded from the explicit per-protocol analysis, including ICU transfer and cancelled operations that can relate to GI recovery</x:v>
      </x:c>
      <x:c r="O34" t="str">
        <x:v>https://drive.google.com/file/d/1NvcLlsb17N6EMhtHs_L_WBnf40wsrtRz/view?usp=drivesdk</x:v>
      </x:c>
      <x:c r="P34" t="str">
        <x:v>https://drive.google.com/drive/folders/1nsfVZMyB9znicxQzB7lvyfiiiuzMdc5M</x:v>
      </x:c>
    </x:row>
    <x:row r="35">
      <x:c r="A35" t="str">
        <x:v>Liu 2026 (ESD)</x:v>
      </x:c>
      <x:c r="B35" t="str">
        <x:v>Moderate-to-severe pain (NRS ≥4)</x:v>
      </x:c>
      <x:c r="C35" t="str">
        <x:v>Perioperative TEAS vs sham-point/no current</x:v>
      </x:c>
      <x:c r="D35" t="str">
        <x:v>Within 24 h</x:v>
      </x:c>
      <x:c r="E35" t="str">
        <x:v>64 vs 65</x:v>
      </x:c>
      <x:c r="F35" t="str">
        <x:v>58 vs 62</x:v>
      </x:c>
      <x:c r="G35" t="str">
        <x:v>22/58 vs 40/62; RR 0.588; P=0.004</x:v>
      </x:c>
      <x:c r="H35" t="str">
        <x:v>Low</x:v>
      </x:c>
      <x:c r="I35" t="str">
        <x:v>Some concerns</x:v>
      </x:c>
      <x:c r="J35" t="str">
        <x:v>High</x:v>
      </x:c>
      <x:c r="K35" t="str">
        <x:v>Some concerns</x:v>
      </x:c>
      <x:c r="L35" t="str">
        <x:v>Low</x:v>
      </x:c>
      <x:c r="M35" t="str">
        <x:v>High</x:v>
      </x:c>
      <x:c r="N35" t="str">
        <x:v>De novo source-grounded replacement; 9 post-randomization exclusions include bleeding/conversion events plausibly related to pain/recovery, with no full ITT</x:v>
      </x:c>
      <x:c r="O35" t="str">
        <x:v>https://drive.google.com/file/d/1Hp7pCBP8iXkGGYVhlFY0BHTeaaM7bhdY/view?usp=drivesdk</x:v>
      </x:c>
      <x:c r="P35" t="str">
        <x:v>https://drive.google.com/drive/folders/1nsfVZMyB9znicxQzB7lvyfiiiuzMdc5M</x:v>
      </x:c>
    </x:row>
    <x:row r="36">
      <x:c r="A36" t="str">
        <x:v>Liu 2021</x:v>
      </x:c>
      <x:c r="B36" t="str">
        <x:v>Postoperative cognitive decline (MMSE Z-score ≤ -2)</x:v>
      </x:c>
      <x:c r="C36" t="str">
        <x:v>Perioperative TEAS vs electrodes/no current</x:v>
      </x:c>
      <x:c r="D36" t="str">
        <x:v>POD1</x:v>
      </x:c>
      <x:c r="E36" t="str">
        <x:v>50 vs 50</x:v>
      </x:c>
      <x:c r="F36" t="str">
        <x:v>50 vs 50</x:v>
      </x:c>
      <x:c r="G36" t="str">
        <x:v>5/50 vs 11/50; P=0.102</x:v>
      </x:c>
      <x:c r="H36" t="str">
        <x:v>Some concerns</x:v>
      </x:c>
      <x:c r="I36" t="str">
        <x:v>Some concerns</x:v>
      </x:c>
      <x:c r="J36" t="str">
        <x:v>Low</x:v>
      </x:c>
      <x:c r="K36" t="str">
        <x:v>Some concerns</x:v>
      </x:c>
      <x:c r="L36" t="str">
        <x:v>Some concerns</x:v>
      </x:c>
      <x:c r="M36" t="str">
        <x:v>Some concerns</x:v>
      </x:c>
      <x:c r="N36" t="str">
        <x:v>De novo source-grounded replacement; no attrition and blinded MMSE assessment, but concealment and participant masking are insufficiently reported</x:v>
      </x:c>
      <x:c r="O36" t="str">
        <x:v>https://drive.google.com/file/d/1TA4BstaUWY3EdQbDNEvvGxF35ekGanrm/view?usp=drivesdk</x:v>
      </x:c>
      <x:c r="P36" t="str">
        <x:v>https://drive.google.com/drive/folders/1nsfVZMyB9znicxQzB7lvyfiiiuzMdc5M</x:v>
      </x:c>
    </x:row>
    <x:row r="37">
      <x:c r="A37" t="str">
        <x:v>Liu 2026 (burn)</x:v>
      </x:c>
      <x:c r="B37" t="str">
        <x:v>Intraoperative remifentanil consumption</x:v>
      </x:c>
      <x:c r="C37" t="str">
        <x:v>Pre-induction TEAS vs placebo/sham TEAS</x:v>
      </x:c>
      <x:c r="D37" t="str">
        <x:v>Intraoperative</x:v>
      </x:c>
      <x:c r="E37" t="str">
        <x:v>44 vs 44</x:v>
      </x:c>
      <x:c r="F37" t="str">
        <x:v>43 vs 43</x:v>
      </x:c>
      <x:c r="G37" t="str">
        <x:v>0.70 (0.50-1.10) vs 0.90 (0.65-1.25) mg; P=0.039</x:v>
      </x:c>
      <x:c r="H37" t="str">
        <x:v>Low</x:v>
      </x:c>
      <x:c r="I37" t="str">
        <x:v>Low</x:v>
      </x:c>
      <x:c r="J37" t="str">
        <x:v>Some concerns</x:v>
      </x:c>
      <x:c r="K37" t="str">
        <x:v>Low</x:v>
      </x:c>
      <x:c r="L37" t="str">
        <x:v>Some concerns</x:v>
      </x:c>
      <x:c r="M37" t="str">
        <x:v>Some concerns</x:v>
      </x:c>
      <x:c r="N37" t="str">
        <x:v>De novo source-grounded replacement; strong concealment/blinding and objective outcome, but two post-randomization intervention-related withdrawals plus retrospective registration and abstract/Results value conflict remain</x:v>
      </x:c>
      <x:c r="O37" t="str">
        <x:v>https://drive.google.com/file/d/1mvekGtHD2JAKCRbIXrvLw1Nz7hbQ1dZ3/view?usp=drivesdk</x:v>
      </x:c>
      <x:c r="P37" t="str">
        <x:v>https://drive.google.com/drive/folders/1nsfVZMyB9znicxQzB7lvyfiiiuzMdc5M</x:v>
      </x:c>
    </x:row>
    <x:row r="38">
      <x:c r="A38" t="str">
        <x:v>Liu 2025</x:v>
      </x:c>
      <x:c r="B38" t="str">
        <x:v>New-onset supraventricular tachycardia (SVT)</x:v>
      </x:c>
      <x:c r="C38" t="str">
        <x:v>Perioperative EA vs control/sham procedure</x:v>
      </x:c>
      <x:c r="D38" t="str">
        <x:v>First 24 h</x:v>
      </x:c>
      <x:c r="E38" t="str">
        <x:v>40 vs 40</x:v>
      </x:c>
      <x:c r="F38" t="str">
        <x:v>38 vs 39</x:v>
      </x:c>
      <x:c r="G38" t="str">
        <x:v>4/38 vs 13/39; P=0.02</x:v>
      </x:c>
      <x:c r="H38" t="str">
        <x:v>Low</x:v>
      </x:c>
      <x:c r="I38" t="str">
        <x:v>Low</x:v>
      </x:c>
      <x:c r="J38" t="str">
        <x:v>Some concerns</x:v>
      </x:c>
      <x:c r="K38" t="str">
        <x:v>Low</x:v>
      </x:c>
      <x:c r="L38" t="str">
        <x:v>Low</x:v>
      </x:c>
      <x:c r="M38" t="str">
        <x:v>Some concerns</x:v>
      </x:c>
      <x:c r="N38" t="str">
        <x:v>De novo source-grounded replacement; concealed randomization and blinded ECG assessment support the objective primary outcome, but three post-randomization discontinuations prevent a clean full-ITT judgment</x:v>
      </x:c>
      <x:c r="O38" t="str">
        <x:v>https://drive.google.com/file/d/1SHBSKFaeE4G3PXTGVMm7TR8L0H9EgtsD/view?usp=drivesdk</x:v>
      </x:c>
      <x:c r="P38" t="str">
        <x:v>https://drive.google.com/drive/folders/1nsfVZMyB9znicxQzB7lvyfiiiuzMdc5M</x:v>
      </x:c>
    </x:row>
    <x:row r="39">
      <x:c r="A39" t="str">
        <x:v>Li 2022</x:v>
      </x:c>
      <x:c r="B39" t="str">
        <x:v>Postoperative NRS pain</x:v>
      </x:c>
      <x:c r="C39" t="str">
        <x:v>Preoperative EA vs sham EA</x:v>
      </x:c>
      <x:c r="D39" t="str">
        <x:v>24 h</x:v>
      </x:c>
      <x:c r="E39" t="str">
        <x:v>40 vs 40</x:v>
      </x:c>
      <x:c r="F39" t="str">
        <x:v>39 vs 40</x:v>
      </x:c>
      <x:c r="G39" t="str">
        <x:v>1.5 (1.0-3.0) vs 1.6 (1.0-3.0); P=0.223</x:v>
      </x:c>
      <x:c r="H39" t="str">
        <x:v>Low</x:v>
      </x:c>
      <x:c r="I39" t="str">
        <x:v>Low</x:v>
      </x:c>
      <x:c r="J39" t="str">
        <x:v>Some concerns</x:v>
      </x:c>
      <x:c r="K39" t="str">
        <x:v>Some concerns</x:v>
      </x:c>
      <x:c r="L39" t="str">
        <x:v>Some concerns</x:v>
      </x:c>
      <x:c r="M39" t="str">
        <x:v>Some concerns</x:v>
      </x:c>
      <x:c r="N39" t="str">
        <x:v>De novo source-grounded replacement; one EA participant was excluded from final analysis and the 24-h subjective pain result shows no significant treatment effect</x:v>
      </x:c>
      <x:c r="O39" t="str">
        <x:v>https://drive.google.com/file/d/1rQTrwnCvj72poJrGGvYjpxSZXvUhSD0u/view?usp=drivesdk</x:v>
      </x:c>
      <x:c r="P39" t="str">
        <x:v>https://drive.google.com/drive/folders/1nsfVZMyB9znicxQzB7lvyfiiiuzMdc5M</x:v>
      </x:c>
    </x:row>
    <x:row r="40">
      <x:c r="A40" t="str">
        <x:v>Liang 2021</x:v>
      </x:c>
      <x:c r="B40" t="str">
        <x:v>CRBD incidence</x:v>
      </x:c>
      <x:c r="C40" t="str">
        <x:v>Preoperative TEAS vs control/no stimulation</x:v>
      </x:c>
      <x:c r="D40" t="str">
        <x:v>24 h</x:v>
      </x:c>
      <x:c r="E40" t="str">
        <x:v>38 vs 37</x:v>
      </x:c>
      <x:c r="F40" t="str">
        <x:v>35 vs 35</x:v>
      </x:c>
      <x:c r="G40" t="str">
        <x:v>7/35 vs 31/35</x:v>
      </x:c>
      <x:c r="H40" t="str">
        <x:v>Some concerns</x:v>
      </x:c>
      <x:c r="I40" t="str">
        <x:v>Low</x:v>
      </x:c>
      <x:c r="J40" t="str">
        <x:v>Some concerns</x:v>
      </x:c>
      <x:c r="K40" t="str">
        <x:v>High</x:v>
      </x:c>
      <x:c r="L40" t="str">
        <x:v>Some concerns</x:v>
      </x:c>
      <x:c r="M40" t="str">
        <x:v>High</x:v>
      </x:c>
      <x:c r="N40" t="str">
        <x:v>De novo source-grounded replacement; five randomized participants were not in the final analysis and CRBD is a subjective patient-experienced outcome with no sensory-matched sham</x:v>
      </x:c>
      <x:c r="O40" t="str">
        <x:v>https://drive.google.com/file/d/1guriAcqNbJNXpfd_UjYwevULLVSeiHXS/view?usp=drivesdk</x:v>
      </x:c>
      <x:c r="P40" t="str">
        <x:v>https://drive.google.com/drive/folders/1nsfVZMyB9znicxQzB7lvyfiiiuzMdc5M</x:v>
      </x:c>
    </x:row>
    <x:row r="41">
      <x:c r="A41" t="str">
        <x:v>Lee 2011</x:v>
      </x:c>
      <x:c r="B41" t="str">
        <x:v>Cumulative IV PCA morphine delivered</x:v>
      </x:c>
      <x:c r="C41" t="str">
        <x:v>Low-frequency dense-sparse SSP vs sham SSP</x:v>
      </x:c>
      <x:c r="D41" t="str">
        <x:v>First 24 postoperative hours</x:v>
      </x:c>
      <x:c r="E41" t="str">
        <x:v>12 vs 12</x:v>
      </x:c>
      <x:c r="F41" t="str">
        <x:v>10 vs 12</x:v>
      </x:c>
      <x:c r="G41" t="str">
        <x:v>29.29 ± 8.89 vs 34.20 ± 6.40 mg</x:v>
      </x:c>
      <x:c r="H41" t="str">
        <x:v>Some concerns</x:v>
      </x:c>
      <x:c r="I41" t="str">
        <x:v>Low</x:v>
      </x:c>
      <x:c r="J41" t="str">
        <x:v>Some concerns</x:v>
      </x:c>
      <x:c r="K41" t="str">
        <x:v>Low</x:v>
      </x:c>
      <x:c r="L41" t="str">
        <x:v>Some concerns</x:v>
      </x:c>
      <x:c r="M41" t="str">
        <x:v>Some concerns</x:v>
      </x:c>
      <x:c r="N41" t="str">
        <x:v>De novo source-grounded assessment; random-number table used but concealment NR, two low-frequency participants excluded, objective PCA outcome, and no prospective analysis plan located</x:v>
      </x:c>
      <x:c r="O41" t="str">
        <x:v>https://drive.google.com/file/d/1kQDSBtx3OpFOsim5oUMwhpfHOqaMy8Q9/view?usp=drivesdk</x:v>
      </x:c>
      <x:c r="P41" t="str">
        <x:v>https://drive.google.com/drive/folders/1nsfVZMyB9znicxQzB7lvyfiiiuzMdc5M</x:v>
      </x:c>
    </x:row>
    <x:row r="42">
      <x:c r="A42" t="str">
        <x:v>Jin 2023</x:v>
      </x:c>
      <x:c r="B42" t="str">
        <x:v>Cumulative analgesic pump compressions</x:v>
      </x:c>
      <x:c r="C42" t="str">
        <x:v>2-Hz postoperative EA vs sham EA</x:v>
      </x:c>
      <x:c r="D42" t="str">
        <x:v>48 h</x:v>
      </x:c>
      <x:c r="E42" t="str">
        <x:v>58 vs 58</x:v>
      </x:c>
      <x:c r="F42" t="str">
        <x:v>53 vs 52</x:v>
      </x:c>
      <x:c r="G42" t="str">
        <x:v>1.0 (0.0-3.0) vs 9.0 (4.3-12.0); P&lt;0.001</x:v>
      </x:c>
      <x:c r="H42" t="str">
        <x:v>Some concerns</x:v>
      </x:c>
      <x:c r="I42" t="str">
        <x:v>Low</x:v>
      </x:c>
      <x:c r="J42" t="str">
        <x:v>High</x:v>
      </x:c>
      <x:c r="K42" t="str">
        <x:v>Low</x:v>
      </x:c>
      <x:c r="L42" t="str">
        <x:v>Some concerns</x:v>
      </x:c>
      <x:c r="M42" t="str">
        <x:v>High</x:v>
      </x:c>
      <x:c r="N42" t="str">
        <x:v>De novo source-grounded replacement; 16/174 dropouts, complete-case outcome tables despite ITT language, and dropout reasons include unsatisfactory effects</x:v>
      </x:c>
      <x:c r="O42" t="str">
        <x:v>https://drive.google.com/file/d/1fkNAFra0gZ9jkWkzp_S0TWy-5zVrXCtj/view?usp=drivesdk</x:v>
      </x:c>
      <x:c r="P42" t="str">
        <x:v>https://drive.google.com/drive/folders/1nsfVZMyB9znicxQzB7lvyfiiiuzMdc5M</x:v>
      </x:c>
    </x:row>
    <x:row r="43">
      <x:c r="A43" t="str">
        <x:v>Jiang 2026</x:v>
      </x:c>
      <x:c r="B43" t="str">
        <x:v>Time to first flatus</x:v>
      </x:c>
      <x:c r="C43" t="str">
        <x:v>Perioperative TEAS vs sham/no current</x:v>
      </x:c>
      <x:c r="D43" t="str">
        <x:v>Modified-ITT-type analysis</x:v>
      </x:c>
      <x:c r="E43" t="str">
        <x:v>308 vs 306</x:v>
      </x:c>
      <x:c r="F43" t="str">
        <x:v>296 vs 297</x:v>
      </x:c>
      <x:c r="G43" t="str">
        <x:v>21.3 (19.0-23.5) vs 23.4 (21.0-26.0) h; P&lt;0.001</x:v>
      </x:c>
      <x:c r="H43" t="str">
        <x:v>Low</x:v>
      </x:c>
      <x:c r="I43" t="str">
        <x:v>Some concerns</x:v>
      </x:c>
      <x:c r="J43" t="str">
        <x:v>Some concerns</x:v>
      </x:c>
      <x:c r="K43" t="str">
        <x:v>Low</x:v>
      </x:c>
      <x:c r="L43" t="str">
        <x:v>Low</x:v>
      </x:c>
      <x:c r="M43" t="str">
        <x:v>Some concerns</x:v>
      </x:c>
      <x:c r="N43" t="str">
        <x:v>De novo source-grounded replacement; concealed block randomization and blinded assessment, but the reported ITT excludes 21 randomized non-recipients and is therefore modified ITT rather than full effect-of-assignment analysis</x:v>
      </x:c>
      <x:c r="O43" t="str">
        <x:v>https://drive.google.com/file/d/1nujlP9A_IMWUfd3HdCD2rOxTc9-I8v92/view?usp=drivesdk</x:v>
      </x:c>
      <x:c r="P43" t="str">
        <x:v>https://drive.google.com/drive/folders/1nsfVZMyB9znicxQzB7lvyfiiiuzMdc5M</x:v>
      </x:c>
    </x:row>
    <x:row r="44">
      <x:c r="A44" t="str">
        <x:v>Huang 2025</x:v>
      </x:c>
      <x:c r="B44" t="str">
        <x:v>Time to first flatus</x:v>
      </x:c>
      <x:c r="C44" t="str">
        <x:v>Postoperative EA + ERAS vs ERAS/standard care</x:v>
      </x:c>
      <x:c r="D44" t="str">
        <x:v>Postoperative</x:v>
      </x:c>
      <x:c r="E44" t="str">
        <x:v>51 vs 50</x:v>
      </x:c>
      <x:c r="F44" t="str">
        <x:v>43 vs 45</x:v>
      </x:c>
      <x:c r="G44" t="str">
        <x:v>36.4 ± 8.0 vs 42.2 ± 8.5 h; P&lt;0.001</x:v>
      </x:c>
      <x:c r="H44" t="str">
        <x:v>Low</x:v>
      </x:c>
      <x:c r="I44" t="str">
        <x:v>High</x:v>
      </x:c>
      <x:c r="J44" t="str">
        <x:v>High</x:v>
      </x:c>
      <x:c r="K44" t="str">
        <x:v>High</x:v>
      </x:c>
      <x:c r="L44" t="str">
        <x:v>Low</x:v>
      </x:c>
      <x:c r="M44" t="str">
        <x:v>High</x:v>
      </x:c>
      <x:c r="N44" t="str">
        <x:v>De novo source-grounded replacement; 13/101 post-randomization exclusions include treatment discontinuation/conversion/adjunct GI interventions, no sham, and first flatus is vulnerable to unblinded participant reporting</x:v>
      </x:c>
      <x:c r="O44" t="str">
        <x:v>https://drive.google.com/file/d/1VnJCbIPz8Uy1kXYCTKk7l9Zqj-rTECrY/view?usp=drivesdk</x:v>
      </x:c>
      <x:c r="P44" t="str">
        <x:v>https://drive.google.com/drive/folders/1nsfVZMyB9znicxQzB7lvyfiiiuzMdc5M</x:v>
      </x:c>
    </x:row>
    <x:row r="45">
      <x:c r="A45" t="str">
        <x:v>Huang 2024</x:v>
      </x:c>
      <x:c r="B45" t="str">
        <x:v>VAS during walking/knee movement</x:v>
      </x:c>
      <x:c r="C45" t="str">
        <x:v>Contralateral EA vs bilateral sham EA</x:v>
      </x:c>
      <x:c r="D45" t="str">
        <x:v>POD1</x:v>
      </x:c>
      <x:c r="E45" t="str">
        <x:v>38 vs 38</x:v>
      </x:c>
      <x:c r="F45" t="str">
        <x:v>38 vs 38</x:v>
      </x:c>
      <x:c r="G45" t="str">
        <x:v>53.16 ± 9.99 vs 56.71 ± 9.84; adjusted pairwise NS</x:v>
      </x:c>
      <x:c r="H45" t="str">
        <x:v>Low</x:v>
      </x:c>
      <x:c r="I45" t="str">
        <x:v>Some concerns</x:v>
      </x:c>
      <x:c r="J45" t="str">
        <x:v>Low</x:v>
      </x:c>
      <x:c r="K45" t="str">
        <x:v>Some concerns</x:v>
      </x:c>
      <x:c r="L45" t="str">
        <x:v>Low</x:v>
      </x:c>
      <x:c r="M45" t="str">
        <x:v>Some concerns</x:v>
      </x:c>
      <x:c r="N45" t="str">
        <x:v>De novo source-grounded replacement; concealed allocation, prospective registration and full follow-up are strengths, but six participants did not complete assigned treatment and subjective pain remains potentially sensitive to treatment awareness despite tested sham masking</x:v>
      </x:c>
      <x:c r="O45" t="str">
        <x:v>https://drive.google.com/file/d/1z-76QoxqmtMRV32wOpem7jAyDnuD6fb8/view?usp=drivesdk</x:v>
      </x:c>
      <x:c r="P45" t="str">
        <x:v>https://drive.google.com/drive/folders/1nsfVZMyB9znicxQzB7lvyfiiiuzMdc5M</x:v>
      </x:c>
    </x:row>
    <x:row r="46">
      <x:c r="A46" t="str">
        <x:v>Hou 2023</x:v>
      </x:c>
      <x:c r="B46" t="str">
        <x:v>PONV incidence</x:v>
      </x:c>
      <x:c r="C46" t="str">
        <x:v>Perioperative TEAS vs sham/no-current TEAS</x:v>
      </x:c>
      <x:c r="D46" t="str">
        <x:v>Postoperative</x:v>
      </x:c>
      <x:c r="E46" t="str">
        <x:v>37 vs 37</x:v>
      </x:c>
      <x:c r="F46" t="str">
        <x:v>36 vs 36</x:v>
      </x:c>
      <x:c r="G46" t="str">
        <x:v>4/36 vs 12/36; P=0.023</x:v>
      </x:c>
      <x:c r="H46" t="str">
        <x:v>Low</x:v>
      </x:c>
      <x:c r="I46" t="str">
        <x:v>Low</x:v>
      </x:c>
      <x:c r="J46" t="str">
        <x:v>Low</x:v>
      </x:c>
      <x:c r="K46" t="str">
        <x:v>Some concerns</x:v>
      </x:c>
      <x:c r="L46" t="str">
        <x:v>Low</x:v>
      </x:c>
      <x:c r="M46" t="str">
        <x:v>Some concerns</x:v>
      </x:c>
      <x:c r="N46" t="str">
        <x:v>De novo source-grounded replacement; sealed-envelope randomization and balanced personal-reason withdrawals, but active vibration versus zero current without a blinding-success test leaves uncertainty for nausea-containing PONV</x:v>
      </x:c>
      <x:c r="O46" t="str">
        <x:v>https://drive.google.com/file/d/161WdTRehgwvDHvQ8OkRf8U9TbUmVQgaR/view?usp=drivesdk</x:v>
      </x:c>
      <x:c r="P46" t="str">
        <x:v>https://drive.google.com/drive/folders/1nsfVZMyB9znicxQzB7lvyfiiiuzMdc5M</x:v>
      </x:c>
    </x:row>
    <x:row r="47">
      <x:c r="A47" t="str">
        <x:v>Huang 2017</x:v>
      </x:c>
      <x:c r="B47" t="str">
        <x:v>Total opioid as remifentanil-equivalent rate</x:v>
      </x:c>
      <x:c r="C47" t="str">
        <x:v>2/100-Hz TEAS vs placebo/no-current control</x:v>
      </x:c>
      <x:c r="D47" t="str">
        <x:v>Intraoperative</x:v>
      </x:c>
      <x:c r="E47" t="str">
        <x:v>20 vs 20</x:v>
      </x:c>
      <x:c r="F47" t="str">
        <x:v>20 vs 20</x:v>
      </x:c>
      <x:c r="G47" t="str">
        <x:v>0.1128 ± 0.034 vs 0.1617 ± 0.037 µg/kg/min; P≤0.001</x:v>
      </x:c>
      <x:c r="H47" t="str">
        <x:v>Some concerns</x:v>
      </x:c>
      <x:c r="I47" t="str">
        <x:v>Low</x:v>
      </x:c>
      <x:c r="J47" t="str">
        <x:v>Low</x:v>
      </x:c>
      <x:c r="K47" t="str">
        <x:v>Low</x:v>
      </x:c>
      <x:c r="L47" t="str">
        <x:v>Some concerns</x:v>
      </x:c>
      <x:c r="M47" t="str">
        <x:v>Some concerns</x:v>
      </x:c>
      <x:c r="N47" t="str">
        <x:v>Fresh source-grounded RoB; random numbers generated in Excel but allocation concealment not reported; complete perioperative follow-up and objective anesthetic-consumption outcome are strengths</x:v>
      </x:c>
      <x:c r="O47" t="str">
        <x:v>https://drive.google.com/file/d/1RJGi1PYvw75qVW9UK8CBtJPH4G035ASs/view?usp=drivesdk</x:v>
      </x:c>
      <x:c r="P47" t="str">
        <x:v>https://drive.google.com/drive/folders/1nsfVZMyB9znicxQzB7lvyfiiiuzMdc5M</x:v>
      </x:c>
    </x:row>
    <x:row r="48">
      <x:c r="A48" t="str">
        <x:v>He 2026 (hepatectomy/JIS)</x:v>
      </x:c>
      <x:c r="B48" t="str">
        <x:v>Total postoperative opioid consumption in morphine equivalents</x:v>
      </x:c>
      <x:c r="C48" t="str">
        <x:v>Intraoperative PC6 TEAS vs no-current control</x:v>
      </x:c>
      <x:c r="D48" t="str">
        <x:v>0-24 h</x:v>
      </x:c>
      <x:c r="E48" t="str">
        <x:v>81 vs 80</x:v>
      </x:c>
      <x:c r="F48" t="str">
        <x:v>80 vs 79</x:v>
      </x:c>
      <x:c r="G48" t="str">
        <x:v>20.0 ± 2.5 vs 20.6 ± 4.5 mg MME; MD -0.6 mg, P=0.30</x:v>
      </x:c>
      <x:c r="H48" t="str">
        <x:v>Low</x:v>
      </x:c>
      <x:c r="I48" t="str">
        <x:v>Some concerns</x:v>
      </x:c>
      <x:c r="J48" t="str">
        <x:v>Low</x:v>
      </x:c>
      <x:c r="K48" t="str">
        <x:v>Low</x:v>
      </x:c>
      <x:c r="L48" t="str">
        <x:v>Low</x:v>
      </x:c>
      <x:c r="M48" t="str">
        <x:v>Some concerns</x:v>
      </x:c>
      <x:c r="N48" t="str">
        <x:v>De novo source-grounded replacement using Supplemental eTable 1; secure web randomization and objective MME endpoint, with two randomized patients excluded from mITT because intervention was never initiated/consent withdrawn</x:v>
      </x:c>
      <x:c r="O48" t="str">
        <x:v>https://drive.google.com/file/d/1VgOxIOrGe7ZVevkKEVP7G-0V1DXPU0Gf/view?usp=drivesdk</x:v>
      </x:c>
      <x:c r="P48" t="str">
        <x:v>https://drive.google.com/drive/folders/1nsfVZMyB9znicxQzB7lvyfiiiuzMdc5M</x:v>
      </x:c>
    </x:row>
    <x:row r="49">
      <x:c r="A49" t="str">
        <x:v>He 2026 (breast/WJCO)</x:v>
      </x:c>
      <x:c r="B49" t="str">
        <x:v>Moderate-to-severe movement-evoked pain (VAS &gt;4)</x:v>
      </x:c>
      <x:c r="C49" t="str">
        <x:v>Perioperative EA vs sham acupuncture</x:v>
      </x:c>
      <x:c r="D49" t="str">
        <x:v>24 h</x:v>
      </x:c>
      <x:c r="E49" t="str">
        <x:v>65 vs 65</x:v>
      </x:c>
      <x:c r="F49" t="str">
        <x:v>65 vs 65</x:v>
      </x:c>
      <x:c r="G49" t="str">
        <x:v>32/65 vs 42/65; P&lt;0.05</x:v>
      </x:c>
      <x:c r="H49" t="str">
        <x:v>Some concerns</x:v>
      </x:c>
      <x:c r="I49" t="str">
        <x:v>Low</x:v>
      </x:c>
      <x:c r="J49" t="str">
        <x:v>Low</x:v>
      </x:c>
      <x:c r="K49" t="str">
        <x:v>Some concerns</x:v>
      </x:c>
      <x:c r="L49" t="str">
        <x:v>Some concerns</x:v>
      </x:c>
      <x:c r="M49" t="str">
        <x:v>Some concerns</x:v>
      </x:c>
      <x:c r="N49" t="str">
        <x:v>De novo source-grounded replacement; complete analysis and blinded assessors, but allocation concealment is not reported, patient sensory masking is uncertain, and no prospective registration/protocol was located</x:v>
      </x:c>
      <x:c r="O49" t="str">
        <x:v>https://drive.google.com/file/d/1D6Js5nTN2AwL5-BB-NIJVoCKVtcbcczH/view?usp=drivesdk</x:v>
      </x:c>
      <x:c r="P49" t="str">
        <x:v>https://drive.google.com/drive/folders/1nsfVZMyB9znicxQzB7lvyfiiiuzMdc5M</x:v>
      </x:c>
    </x:row>
    <x:row r="50">
      <x:c r="A50" t="str">
        <x:v>Gu 2019</x:v>
      </x:c>
      <x:c r="B50" t="str">
        <x:v>Time to first flatus</x:v>
      </x:c>
      <x:c r="C50" t="str">
        <x:v>Long-duration TEAS vs sham/no-current TEAS</x:v>
      </x:c>
      <x:c r="D50" t="str">
        <x:v>Postoperative</x:v>
      </x:c>
      <x:c r="E50" t="str">
        <x:v>60 vs 60</x:v>
      </x:c>
      <x:c r="F50" t="str">
        <x:v>58 vs 59</x:v>
      </x:c>
      <x:c r="G50" t="str">
        <x:v>36.58 ± 10.75 vs 43.56 ± 9.57 h; P=0.03</x:v>
      </x:c>
      <x:c r="H50" t="str">
        <x:v>Some concerns</x:v>
      </x:c>
      <x:c r="I50" t="str">
        <x:v>Low</x:v>
      </x:c>
      <x:c r="J50" t="str">
        <x:v>Some concerns</x:v>
      </x:c>
      <x:c r="K50" t="str">
        <x:v>Some concerns</x:v>
      </x:c>
      <x:c r="L50" t="str">
        <x:v>Some concerns</x:v>
      </x:c>
      <x:c r="M50" t="str">
        <x:v>Some concerns</x:v>
      </x:c>
      <x:c r="N50" t="str">
        <x:v>De novo source-grounded replacement; computer randomization but concealment NR, three complete-case exclusions, untested sensory masking, and participant self-recording of flatus</x:v>
      </x:c>
      <x:c r="O50" t="str">
        <x:v>https://drive.google.com/file/d/1ipQFXfERgAVmgNKMpLkvaaecYJVSTDiw/view?usp=drivesdk</x:v>
      </x:c>
      <x:c r="P50" t="str">
        <x:v>https://drive.google.com/drive/folders/1nsfVZMyB9znicxQzB7lvyfiiiuzMdc5M</x:v>
      </x:c>
    </x:row>
    <x:row r="51">
      <x:c r="A51" t="str">
        <x:v>Guo 2023</x:v>
      </x:c>
      <x:c r="B51" t="str">
        <x:v>Postoperative cognitive dysfunction</x:v>
      </x:c>
      <x:c r="C51" t="str">
        <x:v>Perioperative TEAS vs sham/no-current TEAS</x:v>
      </x:c>
      <x:c r="D51" t="str">
        <x:v>POD1</x:v>
      </x:c>
      <x:c r="E51" t="str">
        <x:v>64 vs 64</x:v>
      </x:c>
      <x:c r="F51" t="str">
        <x:v>55 vs 55</x:v>
      </x:c>
      <x:c r="G51" t="str">
        <x:v>20.0% vs 65.4%; approximately 11/55 vs 36/55; P&lt;0.001</x:v>
      </x:c>
      <x:c r="H51" t="str">
        <x:v>Some concerns</x:v>
      </x:c>
      <x:c r="I51" t="str">
        <x:v>Low</x:v>
      </x:c>
      <x:c r="J51" t="str">
        <x:v>High</x:v>
      </x:c>
      <x:c r="K51" t="str">
        <x:v>Some concerns</x:v>
      </x:c>
      <x:c r="L51" t="str">
        <x:v>Low</x:v>
      </x:c>
      <x:c r="M51" t="str">
        <x:v>High</x:v>
      </x:c>
      <x:c r="N51" t="str">
        <x:v>De novo source-grounded replacement; 18/128 post-randomization losses excluded with no ITT, including surgical conversions/reoperations/deaths; participant sensory masking is also uncertain</x:v>
      </x:c>
      <x:c r="O51" t="str">
        <x:v>https://drive.google.com/file/d/1Idfl7rfZhgAUJHDpsmgzp17ADiGvrU8C/view?usp=drivesdk</x:v>
      </x:c>
      <x:c r="P51" t="str">
        <x:v>https://drive.google.com/drive/folders/1nsfVZMyB9znicxQzB7lvyfiiiuzMdc5M</x:v>
      </x:c>
    </x:row>
    <x:row r="52">
      <x:c r="A52" t="str">
        <x:v>Grech 2016</x:v>
      </x:c>
      <x:c r="B52" t="str">
        <x:v>PACU analgesic requirement in women-only subgroup</x:v>
      </x:c>
      <x:c r="C52" t="str">
        <x:v>Intraoperative low-frequency EA vs sham/control</x:v>
      </x:c>
      <x:c r="D52" t="str">
        <x:v>PACU</x:v>
      </x:c>
      <x:c r="E52" t="str">
        <x:v>EA 11 vs control 9 randomized</x:v>
      </x:c>
      <x:c r="F52" t="str">
        <x:v>9 women vs 9 women subgroup</x:v>
      </x:c>
      <x:c r="G52" t="str">
        <x:v>Authors report ~60% lower morphine-equivalent analgesic use; exact means/SEM graph-only</x:v>
      </x:c>
      <x:c r="H52" t="str">
        <x:v>Some concerns</x:v>
      </x:c>
      <x:c r="I52" t="str">
        <x:v>High</x:v>
      </x:c>
      <x:c r="J52" t="str">
        <x:v>Some concerns</x:v>
      </x:c>
      <x:c r="K52" t="str">
        <x:v>Low</x:v>
      </x:c>
      <x:c r="L52" t="str">
        <x:v>High</x:v>
      </x:c>
      <x:c r="M52" t="str">
        <x:v>High</x:v>
      </x:c>
      <x:c r="N52" t="str">
        <x:v>De novo source-grounded replacement; randomization/concealment inadequately described, result is a post hoc sex subgroup with two EA men excluded, and exact numeric outcome is not tabulated</x:v>
      </x:c>
      <x:c r="O52" t="str">
        <x:v>https://drive.google.com/file/d/1U3KShiAZKL8n9hxSpBkhuhuQHW2EN-IY/view?usp=drivesdk</x:v>
      </x:c>
      <x:c r="P52" t="str">
        <x:v>https://drive.google.com/drive/folders/1nsfVZMyB9znicxQzB7lvyfiiiuzMdc5M</x:v>
      </x:c>
    </x:row>
    <x:row r="53">
      <x:c r="A53" t="str">
        <x:v>Gao 2021</x:v>
      </x:c>
      <x:c r="B53" t="str">
        <x:v>Postoperative paralytic ileus</x:v>
      </x:c>
      <x:c r="C53" t="str">
        <x:v>Postoperative TEAS vs sham/no-current TEAS</x:v>
      </x:c>
      <x:c r="D53" t="str">
        <x:v>No flatus &gt;72 h</x:v>
      </x:c>
      <x:c r="E53" t="str">
        <x:v>303 vs 307</x:v>
      </x:c>
      <x:c r="F53" t="str">
        <x:v>303 vs 307</x:v>
      </x:c>
      <x:c r="G53" t="str">
        <x:v>98/303 vs 126/307; P=0.026</x:v>
      </x:c>
      <x:c r="H53" t="str">
        <x:v>Low</x:v>
      </x:c>
      <x:c r="I53" t="str">
        <x:v>Low</x:v>
      </x:c>
      <x:c r="J53" t="str">
        <x:v>Low</x:v>
      </x:c>
      <x:c r="K53" t="str">
        <x:v>Some concerns</x:v>
      </x:c>
      <x:c r="L53" t="str">
        <x:v>Low</x:v>
      </x:c>
      <x:c r="M53" t="str">
        <x:v>Some concerns</x:v>
      </x:c>
      <x:c r="N53" t="str">
        <x:v>De novo source-grounded replacement; central/sealed allocation and full ITT are strengths, but active stimulation was perceptible and POI depends on first-flatus ascertainment</x:v>
      </x:c>
      <x:c r="O53" t="str">
        <x:v>https://drive.google.com/file/d/1QbM6CNi8KfBXmMTqG1ASm3hK05cz_hKQ/view?usp=drivesdk</x:v>
      </x:c>
      <x:c r="P53" t="str">
        <x:v>https://drive.google.com/drive/folders/1nsfVZMyB9znicxQzB7lvyfiiiuzMdc5M</x:v>
      </x:c>
    </x:row>
    <x:row r="54">
      <x:c r="A54" s="18" t="str">
        <x:v>Yeh 2010</x:v>
      </x:c>
      <x:c r="B54" s="18" t="str">
        <x:v>24-h morphine PCA dose</x:v>
      </x:c>
      <x:c r="C54" s="18" t="str">
        <x:v>True AES vs electrical sham AES</x:v>
      </x:c>
      <x:c r="D54" s="18" t="str">
        <x:v>First 24 postoperative hours</x:v>
      </x:c>
      <x:c r="E54" s="18" t="str">
        <x:v>99 entered; arm-specific randomized n NR</x:v>
      </x:c>
      <x:c r="F54" s="18" t="str">
        <x:v>33 vs 30 analyzed</x:v>
      </x:c>
      <x:c r="G54" s="18" t="str">
        <x:v>18.6 ± 9.7 vs 21.6 ± 13.1 mg</x:v>
      </x:c>
      <x:c r="H54" s="18" t="str">
        <x:v>Some concerns</x:v>
      </x:c>
      <x:c r="I54" s="18" t="str">
        <x:v>Low</x:v>
      </x:c>
      <x:c r="J54" s="18" t="str">
        <x:v>Some concerns</x:v>
      </x:c>
      <x:c r="K54" s="18" t="str">
        <x:v>Low</x:v>
      </x:c>
      <x:c r="L54" s="18" t="str">
        <x:v>Some concerns</x:v>
      </x:c>
      <x:c r="M54" s="18" t="str">
        <x:v>Some concerns</x:v>
      </x:c>
      <x:c r="N54" s="18" t="str">
        <x:v>Fresh source-grounded assessment. Randomization sequence not reported and five unstable participants were excluded with arm allocation NR; outcome is objective PCA use. Separate duplicate-publication overlap hold applies.</x:v>
      </x:c>
      <x:c r="O54" s="18" t="str">
        <x:v>https://drive.google.com/file/d/1a1s31PQPWGnaVkYUtNUxO22F3QFTcwmi/view?usp=drivesdk</x:v>
      </x:c>
      <x:c r="P54" s="18" t="str">
        <x:v>https://drive.google.com/drive/folders/1nsfVZMyB9znicxQzB7lvyfiiiuzMdc5M</x:v>
      </x:c>
    </x:row>
    <x:row r="55">
      <x:c r="A55" s="18" t="str">
        <x:v>Yeh 2011</x:v>
      </x:c>
      <x:c r="B55" s="18" t="str">
        <x:v>24-h IV morphine PCA dose</x:v>
      </x:c>
      <x:c r="C55" s="18" t="str">
        <x:v>True AES vs electrical sham AES</x:v>
      </x:c>
      <x:c r="D55" s="18" t="str">
        <x:v>First 24 postoperative hours</x:v>
      </x:c>
      <x:c r="E55" s="18" t="str">
        <x:v>30 vs 30</x:v>
      </x:c>
      <x:c r="F55" s="18" t="str">
        <x:v>30 vs 30</x:v>
      </x:c>
      <x:c r="G55" s="18" t="str">
        <x:v>19.3 ± 9.7 vs 21.6 ± 13.1 mg</x:v>
      </x:c>
      <x:c r="H55" s="18" t="str">
        <x:v>Some concerns</x:v>
      </x:c>
      <x:c r="I55" s="18" t="str">
        <x:v>Low</x:v>
      </x:c>
      <x:c r="J55" s="18" t="str">
        <x:v>Low</x:v>
      </x:c>
      <x:c r="K55" s="18" t="str">
        <x:v>Low</x:v>
      </x:c>
      <x:c r="L55" s="18" t="str">
        <x:v>Some concerns</x:v>
      </x:c>
      <x:c r="M55" s="18" t="str">
        <x:v>Some concerns</x:v>
      </x:c>
      <x:c r="N55" s="18" t="str">
        <x:v>Fresh source-grounded assessment. Computer sequence but sequential allocation without sealed envelopes raises concealment concern; complete follow-up and objective PCA dose are strengths. Duplicate-publication overlap hold applies.</x:v>
      </x:c>
      <x:c r="O55" s="18" t="str">
        <x:v>https://drive.google.com/file/d/1ZJ60ZvJ5Q7sRu1iptK_tLLfBXxZZ_Hwl/view?usp=drivesdk</x:v>
      </x:c>
      <x:c r="P55" s="18" t="str">
        <x:v>https://drive.google.com/drive/folders/1nsfVZMyB9znicxQzB7lvyfiiiuzMdc5M</x:v>
      </x:c>
    </x:row>
    <x:row r="56">
      <x:c r="A56" s="18" t="str">
        <x:v>Wong 2006</x:v>
      </x:c>
      <x:c r="B56" s="18" t="str">
        <x:v>Total IV PCA morphine</x:v>
      </x:c>
      <x:c r="C56" s="18" t="str">
        <x:v>Postoperative EA vs nonpenetrating sham</x:v>
      </x:c>
      <x:c r="D56" s="18" t="str">
        <x:v>First 3 postoperative days</x:v>
      </x:c>
      <x:c r="E56" s="18" t="str">
        <x:v>13 vs 14</x:v>
      </x:c>
      <x:c r="F56" s="18" t="str">
        <x:v>13 vs 12</x:v>
      </x:c>
      <x:c r="G56" s="18" t="str">
        <x:v>33.9 ± 12.8 vs 42.3 ± 21.3 mg; P=0.25</x:v>
      </x:c>
      <x:c r="H56" s="18" t="str">
        <x:v>Low</x:v>
      </x:c>
      <x:c r="I56" s="18" t="str">
        <x:v>Low</x:v>
      </x:c>
      <x:c r="J56" s="18" t="str">
        <x:v>High</x:v>
      </x:c>
      <x:c r="K56" s="18" t="str">
        <x:v>Low</x:v>
      </x:c>
      <x:c r="L56" s="18" t="str">
        <x:v>Some concerns</x:v>
      </x:c>
      <x:c r="M56" s="18" t="str">
        <x:v>High</x:v>
      </x:c>
      <x:c r="N56" s="18" t="str">
        <x:v>Fresh source-grounded assessment. Two sham participants were excluded after serious postoperative complications likely related to postoperative outcomes; no ITT analysis. Exact 24-h opioid endpoint remains unavailable.</x:v>
      </x:c>
      <x:c r="O56" s="18" t="str">
        <x:v>https://drive.google.com/file/d/1-XmRdgXyZmOmKIDRhL80sxha5M2P00jd/view?usp=drivesdk</x:v>
      </x:c>
      <x:c r="P56" s="18" t="str">
        <x:v>https://drive.google.com/drive/folders/1nsfVZMyB9znicxQzB7lvyfiiiuzMdc5M</x:v>
      </x:c>
    </x:row>
    <x:row r="57">
      <x:c r="A57" s="18" t="str">
        <x:v>El-Rakshy 2009</x:v>
      </x:c>
      <x:c r="B57" s="18" t="str">
        <x:v>Total IV morphine analgesia</x:v>
      </x:c>
      <x:c r="C57" s="18" t="str">
        <x:v>Intraoperative EA + PCA vs PCA alone</x:v>
      </x:c>
      <x:c r="D57" s="18" t="str">
        <x:v>First 24 h</x:v>
      </x:c>
      <x:c r="E57" s="18" t="str">
        <x:v>Published allocation denominators irreconcilable</x:v>
      </x:c>
      <x:c r="F57" s="18" t="str">
        <x:v>42 EA vs 53 control for this outcome</x:v>
      </x:c>
      <x:c r="G57" s="18" t="str">
        <x:v>35.3 ± 18.0 vs 36.9 ± 18.0 mg; P=0.961</x:v>
      </x:c>
      <x:c r="H57" s="18" t="str">
        <x:v>Some concerns</x:v>
      </x:c>
      <x:c r="I57" s="18" t="str">
        <x:v>Low</x:v>
      </x:c>
      <x:c r="J57" s="18" t="str">
        <x:v>High</x:v>
      </x:c>
      <x:c r="K57" s="18" t="str">
        <x:v>Low</x:v>
      </x:c>
      <x:c r="L57" s="18" t="str">
        <x:v>Some concerns</x:v>
      </x:c>
      <x:c r="M57" s="18" t="str">
        <x:v>High</x:v>
      </x:c>
      <x:c r="N57" s="18" t="str">
        <x:v>Fresh source-grounded assessment. Computer randomization but concealment NR; severe publication-level denominator inconsistencies and outcome-specific missing data preclude confidence in complete outcome data.</x:v>
      </x:c>
      <x:c r="O57" s="18" t="str">
        <x:v>https://drive.google.com/file/d/12AfIox-MgnMU15U-mdvZgaTKnukXKvAR/view?usp=drivesdk</x:v>
      </x:c>
      <x:c r="P57" s="18" t="str">
        <x:v>https://drive.google.com/drive/folders/1nsfVZMyB9znicxQzB7lvyfiiiuzMdc5M</x:v>
      </x:c>
    </x:row>
    <x:row r="58">
      <x:c r="A58" s="18" t="str">
        <x:v>Coura 2011</x:v>
      </x:c>
      <x:c r="B58" s="18" t="str">
        <x:v>Cumulative fentanyl</x:v>
      </x:c>
      <x:c r="C58" s="18" t="str">
        <x:v>EA vs sham</x:v>
      </x:c>
      <x:c r="D58" s="18" t="str">
        <x:v>First 24 h</x:v>
      </x:c>
      <x:c r="E58" s="18" t="str">
        <x:v>16 vs 16</x:v>
      </x:c>
      <x:c r="F58" s="18" t="str">
        <x:v>13 vs 9</x:v>
      </x:c>
      <x:c r="G58" s="18" t="str">
        <x:v>13.1 ± 2.2 vs 16.3 ± 1.6 µg/kg</x:v>
      </x:c>
      <x:c r="H58" s="18" t="str">
        <x:v>Some concerns</x:v>
      </x:c>
      <x:c r="I58" s="18" t="str">
        <x:v>Low</x:v>
      </x:c>
      <x:c r="J58" s="18" t="str">
        <x:v>High</x:v>
      </x:c>
      <x:c r="K58" s="18" t="str">
        <x:v>Low</x:v>
      </x:c>
      <x:c r="L58" s="18" t="str">
        <x:v>Some concerns</x:v>
      </x:c>
      <x:c r="M58" s="18" t="str">
        <x:v>High</x:v>
      </x:c>
      <x:c r="N58" s="18" t="str">
        <x:v>Fresh source-grounded assessment. Ten of 32 randomized participants were excluded from the final comparison and the publication does not establish that missingness is unrelated to the opioid result.</x:v>
      </x:c>
      <x:c r="O58" s="18" t="str">
        <x:v>https://drive.google.com/file/d/120NJxCmxsdiyqWTXzjmaUWAaVa1i8iZz/view?usp=drivesdk</x:v>
      </x:c>
      <x:c r="P58" s="18" t="str">
        <x:v>https://drive.google.com/drive/folders/1nsfVZMyB9znicxQzB7lvyfiiiuzMdc5M</x:v>
      </x:c>
    </x:row>
    <x:row r="59">
      <x:c r="A59" s="18" t="str">
        <x:v>Chen 1998</x:v>
      </x:c>
      <x:c r="B59" s="18" t="str">
        <x:v>Cumulative IV PCA hydromorphone</x:v>
      </x:c>
      <x:c r="C59" s="18" t="str">
        <x:v>Active ST36 acupoint TENS vs sham ST36 0 mA</x:v>
      </x:c>
      <x:c r="D59" s="18" t="str">
        <x:v>First 24 h</x:v>
      </x:c>
      <x:c r="E59" s="18" t="str">
        <x:v>25 vs 25</x:v>
      </x:c>
      <x:c r="F59" s="18" t="str">
        <x:v>25 vs 25</x:v>
      </x:c>
      <x:c r="G59" s="18" t="str">
        <x:v>6.5 ± 3.5 vs 10.7 ± 5.0 mg</x:v>
      </x:c>
      <x:c r="H59" s="18" t="str">
        <x:v>Some concerns</x:v>
      </x:c>
      <x:c r="I59" s="18" t="str">
        <x:v>Some concerns</x:v>
      </x:c>
      <x:c r="J59" s="18" t="str">
        <x:v>Low</x:v>
      </x:c>
      <x:c r="K59" s="18" t="str">
        <x:v>Low</x:v>
      </x:c>
      <x:c r="L59" s="18" t="str">
        <x:v>Some concerns</x:v>
      </x:c>
      <x:c r="M59" s="18" t="str">
        <x:v>Some concerns</x:v>
      </x:c>
      <x:c r="N59" s="18" t="str">
        <x:v>Fresh source-grounded assessment. Four-arm trial is retained. Randomization/concealment reporting is limited and active postoperative stimulation is perceptible compared with 0-mA sham, but hydromorphone delivery itself is objectively recorded.</x:v>
      </x:c>
      <x:c r="O59" s="18" t="str">
        <x:v>https://drive.google.com/file/d/1lUyYj9aN1CL9RpY86ZY0970To83Kb17s/view?usp=drivesdk</x:v>
      </x:c>
      <x:c r="P59" s="18" t="str">
        <x:v>https://drive.google.com/drive/folders/1nsfVZMyB9znicxQzB7lvyfiiiuzMdc5M</x:v>
      </x:c>
    </x:row>
    <x:row r="60">
      <x:c r="A60" s="18" t="str">
        <x:v>Chen 2020</x:v>
      </x:c>
      <x:c r="B60" s="18" t="str">
        <x:v>Cumulative sufentanil</x:v>
      </x:c>
      <x:c r="C60" s="18" t="str">
        <x:v>Perioperative TEAS vs sham low/zero-current protocol</x:v>
      </x:c>
      <x:c r="D60" s="18" t="str">
        <x:v>24 h</x:v>
      </x:c>
      <x:c r="E60" s="18" t="str">
        <x:v>40 vs 40</x:v>
      </x:c>
      <x:c r="F60" s="18" t="str">
        <x:v>40 vs 40</x:v>
      </x:c>
      <x:c r="G60" s="18" t="str">
        <x:v>72.43 ± 4.78 vs 100.62 ± 10.20 µg</x:v>
      </x:c>
      <x:c r="H60" s="18" t="str">
        <x:v>Low</x:v>
      </x:c>
      <x:c r="I60" s="18" t="str">
        <x:v>Low</x:v>
      </x:c>
      <x:c r="J60" s="18" t="str">
        <x:v>Low</x:v>
      </x:c>
      <x:c r="K60" s="18" t="str">
        <x:v>Low</x:v>
      </x:c>
      <x:c r="L60" s="18" t="str">
        <x:v>Some concerns</x:v>
      </x:c>
      <x:c r="M60" s="18" t="str">
        <x:v>Some concerns</x:v>
      </x:c>
      <x:c r="N60" s="18" t="str">
        <x:v>Fresh source-grounded assessment. Complete objective opioid outcome and a partially sensory-matched sham support low risk in most domains; uncertainty remains about exact prospective analysis prespecification.</x:v>
      </x:c>
      <x:c r="O60" s="18" t="str">
        <x:v>https://drive.google.com/file/d/1y0_cC1NCl5g2vYxDMOtYmxVA_YEE-rsR/view?usp=drivesdk</x:v>
      </x:c>
      <x:c r="P60" s="18" t="str">
        <x:v>https://drive.google.com/drive/folders/1nsfVZMyB9znicxQzB7lvyfiiiuzMdc5M</x:v>
      </x:c>
    </x:row>
    <x:row r="61">
      <x:c r="A61" s="18" t="str">
        <x:v>Ao 2021</x:v>
      </x:c>
      <x:c r="B61" s="18" t="str">
        <x:v>Cumulative PCA solution consumption</x:v>
      </x:c>
      <x:c r="C61" s="18" t="str">
        <x:v>Repeated perioperative TEAS vs sham/no current</x:v>
      </x:c>
      <x:c r="D61" s="18" t="str">
        <x:v>48 h</x:v>
      </x:c>
      <x:c r="E61" s="18" t="str">
        <x:v>35 vs 35</x:v>
      </x:c>
      <x:c r="F61" s="18" t="str">
        <x:v>32 vs 33</x:v>
      </x:c>
      <x:c r="G61" s="18" t="str">
        <x:v>102.8 ± 7.4 vs 120.6 ± 9.2 mL</x:v>
      </x:c>
      <x:c r="H61" s="18" t="str">
        <x:v>Some concerns</x:v>
      </x:c>
      <x:c r="I61" s="18" t="str">
        <x:v>Some concerns</x:v>
      </x:c>
      <x:c r="J61" s="18" t="str">
        <x:v>Some concerns</x:v>
      </x:c>
      <x:c r="K61" s="18" t="str">
        <x:v>Low</x:v>
      </x:c>
      <x:c r="L61" s="18" t="str">
        <x:v>Some concerns</x:v>
      </x:c>
      <x:c r="M61" s="18" t="str">
        <x:v>Some concerns</x:v>
      </x:c>
      <x:c r="N61" s="18" t="str">
        <x:v>Fresh source-grounded assessment. Five randomized participants were not analyzed and repeated awake active stimulation versus no-current sham may reveal allocation; the selected PCA-volume result is objectively recorded. Exact 24-h opioid dose remains missing.</x:v>
      </x:c>
      <x:c r="O61" s="18" t="str">
        <x:v>https://drive.google.com/file/d/1tNFnY0fJpx53hrtY4DIaE1RsNjE55Xvd/view?usp=drivesdk</x:v>
      </x:c>
      <x:c r="P61" s="18" t="str">
        <x:v>https://drive.google.com/drive/folders/1nsfVZMyB9znicxQzB7lvyfiiiuzMdc5M</x:v>
      </x:c>
    </x:row>
    <x:row r="62">
      <x:c r="A62" s="18" t="str">
        <x:v>An 2014</x:v>
      </x:c>
      <x:c r="B62" s="18" t="str">
        <x:v>Total postoperative fentanyl PCIA dose</x:v>
      </x:c>
      <x:c r="C62" s="18" t="str">
        <x:v>Intraoperative EA vs no-acupuncture control</x:v>
      </x:c>
      <x:c r="D62" s="18" t="str">
        <x:v>Reported 48-h PCIA period</x:v>
      </x:c>
      <x:c r="E62" s="18" t="str">
        <x:v>45 vs 43</x:v>
      </x:c>
      <x:c r="F62" s="18" t="str">
        <x:v>41 vs 40</x:v>
      </x:c>
      <x:c r="G62" s="18" t="str">
        <x:v>0.67 ± 0.09 vs 0.73 ± 0.12 mg</x:v>
      </x:c>
      <x:c r="H62" s="18" t="str">
        <x:v>Some concerns</x:v>
      </x:c>
      <x:c r="I62" s="18" t="str">
        <x:v>Low</x:v>
      </x:c>
      <x:c r="J62" s="18" t="str">
        <x:v>High</x:v>
      </x:c>
      <x:c r="K62" s="18" t="str">
        <x:v>Low</x:v>
      </x:c>
      <x:c r="L62" s="18" t="str">
        <x:v>Some concerns</x:v>
      </x:c>
      <x:c r="M62" s="18" t="str">
        <x:v>High</x:v>
      </x:c>
      <x:c r="N62" s="18" t="str">
        <x:v>Fresh source-grounded assessment. Seven of 88 randomized participants were excluded after reoperation, persistent unconsciousness or incomplete information; no ITT analysis. Objective fentanyl result but substantial missing-data concern.</x:v>
      </x:c>
      <x:c r="O62" s="18" t="str">
        <x:v>https://drive.google.com/file/d/1Ygu3g28udKuPe0OS95oge2ryIGNeJ0te/view?usp=drivesdk</x:v>
      </x:c>
      <x:c r="P62" s="18" t="str">
        <x:v>https://drive.google.com/drive/folders/1nsfVZMyB9znicxQzB7lvyfiiiuzMdc5M</x:v>
      </x:c>
    </x:row>
    <x:row r="63">
      <x:c r="A63" s="18" t="str">
        <x:v>Chen 2015</x:v>
      </x:c>
      <x:c r="B63" s="18" t="str">
        <x:v>Global QoR-40</x:v>
      </x:c>
      <x:c r="C63" s="18" t="str">
        <x:v>Preoperative TEAS vs no-current control</x:v>
      </x:c>
      <x:c r="D63" s="18" t="str">
        <x:v>24 h</x:v>
      </x:c>
      <x:c r="E63" s="18" t="str">
        <x:v>42 vs 42</x:v>
      </x:c>
      <x:c r="F63" s="18" t="str">
        <x:v>41 vs 42</x:v>
      </x:c>
      <x:c r="G63" s="18" t="str">
        <x:v>183 (172-190) vs 168 (154-183); P&lt;0.001</x:v>
      </x:c>
      <x:c r="H63" s="18" t="str">
        <x:v>Low</x:v>
      </x:c>
      <x:c r="I63" s="18" t="str">
        <x:v>Low</x:v>
      </x:c>
      <x:c r="J63" s="18" t="str">
        <x:v>Some concerns</x:v>
      </x:c>
      <x:c r="K63" s="18" t="str">
        <x:v>High</x:v>
      </x:c>
      <x:c r="L63" s="18" t="str">
        <x:v>Low</x:v>
      </x:c>
      <x:c r="M63" s="18" t="str">
        <x:v>High</x:v>
      </x:c>
      <x:c r="N63" s="18" t="str">
        <x:v>Fresh source-grounded assessment. Opaque-envelope randomization and prospective registration are strengths, but the patient-reported QoR-40 is vulnerable to treatment awareness because active 6-9 mA TEAS was perceptible and control delivered no current.</x:v>
      </x:c>
      <x:c r="O63" s="18" t="str">
        <x:v>https://drive.google.com/file/d/1ZtE8GImDcpDJH1tOvzqazoh_S4Gd67oH/view?usp=drivesdk</x:v>
      </x:c>
      <x:c r="P63" s="18" t="str">
        <x:v>https://drive.google.com/drive/folders/1nsfVZMyB9znicxQzB7lvyfiiiuzMdc5M</x:v>
      </x:c>
    </x:row>
    <x:row r="64">
      <x:c r="A64" s="18" t="str">
        <x:v>Chen 2015 (Hyperalgesia)</x:v>
      </x:c>
      <x:c r="B64" s="18" t="str">
        <x:v>Cumulative rescue sufentanil PCIA boluses</x:v>
      </x:c>
      <x:c r="C64" s="18" t="str">
        <x:v>Preoperative TEAS vs no-current sham</x:v>
      </x:c>
      <x:c r="D64" s="18" t="str">
        <x:v>0-24 h</x:v>
      </x:c>
      <x:c r="E64" s="18" t="str">
        <x:v>30 vs 30</x:v>
      </x:c>
      <x:c r="F64" s="18" t="str">
        <x:v>29 vs 30</x:v>
      </x:c>
      <x:c r="G64" s="18" t="str">
        <x:v>3 (2-4) vs 7 (6-8) boluses; P&lt;0.001</x:v>
      </x:c>
      <x:c r="H64" s="18" t="str">
        <x:v>Low</x:v>
      </x:c>
      <x:c r="I64" s="18" t="str">
        <x:v>Low</x:v>
      </x:c>
      <x:c r="J64" s="18" t="str">
        <x:v>Some concerns</x:v>
      </x:c>
      <x:c r="K64" s="18" t="str">
        <x:v>Low</x:v>
      </x:c>
      <x:c r="L64" s="18" t="str">
        <x:v>Some concerns</x:v>
      </x:c>
      <x:c r="M64" s="18" t="str">
        <x:v>Some concerns</x:v>
      </x:c>
      <x:c r="N64" s="18" t="str">
        <x:v>Fresh source-grounded assessment. Computer randomization with sealed envelopes and blinded outcome personnel; one TEAS protocol-breach exclusion and uncertainty about sensory masking/prespecified analysis remain.</x:v>
      </x:c>
      <x:c r="O64" s="18" t="str">
        <x:v>https://drive.google.com/file/d/13YKAZZsc2VQEPqkw1Ye40BYDZSRpI6N3/view?usp=drivesdk</x:v>
      </x:c>
      <x:c r="P64" s="18" t="str">
        <x:v>https://drive.google.com/drive/folders/1nsfVZMyB9znicxQzB7lvyfiiiuzMdc5M</x:v>
      </x:c>
    </x:row>
  </x:sheetData>
  <x:conditionalFormatting sqref="H2:H7">
    <x:cfRule type="expression" dxfId="8" priority="1">
      <x:formula>H2="High"</x:formula>
    </x:cfRule>
    <x:cfRule type="expression" dxfId="9" priority="2">
      <x:formula>H2="Some concerns"</x:formula>
    </x:cfRule>
    <x:cfRule type="expression" dxfId="10" priority="3">
      <x:formula>H2="Low"</x:formula>
    </x:cfRule>
  </x:conditionalFormatting>
  <x:conditionalFormatting sqref="I2:I7">
    <x:cfRule type="expression" dxfId="11" priority="4">
      <x:formula>I2="High"</x:formula>
    </x:cfRule>
    <x:cfRule type="expression" dxfId="12" priority="5">
      <x:formula>I2="Some concerns"</x:formula>
    </x:cfRule>
    <x:cfRule type="expression" dxfId="13" priority="6">
      <x:formula>I2="Low"</x:formula>
    </x:cfRule>
  </x:conditionalFormatting>
  <x:conditionalFormatting sqref="J2:J7">
    <x:cfRule type="expression" dxfId="14" priority="7">
      <x:formula>J2="High"</x:formula>
    </x:cfRule>
    <x:cfRule type="expression" dxfId="15" priority="8">
      <x:formula>J2="Some concerns"</x:formula>
    </x:cfRule>
    <x:cfRule type="expression" dxfId="16" priority="9">
      <x:formula>J2="Low"</x:formula>
    </x:cfRule>
  </x:conditionalFormatting>
  <x:conditionalFormatting sqref="K2:K7">
    <x:cfRule type="expression" dxfId="17" priority="10">
      <x:formula>K2="High"</x:formula>
    </x:cfRule>
    <x:cfRule type="expression" dxfId="18" priority="11">
      <x:formula>K2="Some concerns"</x:formula>
    </x:cfRule>
    <x:cfRule type="expression" dxfId="19" priority="12">
      <x:formula>K2="Low"</x:formula>
    </x:cfRule>
  </x:conditionalFormatting>
  <x:conditionalFormatting sqref="L2:L7">
    <x:cfRule type="expression" dxfId="20" priority="13">
      <x:formula>L2="High"</x:formula>
    </x:cfRule>
    <x:cfRule type="expression" dxfId="21" priority="14">
      <x:formula>L2="Some concerns"</x:formula>
    </x:cfRule>
    <x:cfRule type="expression" dxfId="22" priority="15">
      <x:formula>L2="Low"</x:formula>
    </x:cfRule>
  </x:conditionalFormatting>
  <x:conditionalFormatting sqref="M2:M7">
    <x:cfRule type="expression" dxfId="23" priority="16">
      <x:formula>M2="High"</x:formula>
    </x:cfRule>
    <x:cfRule type="expression" dxfId="24" priority="17">
      <x:formula>M2="Some concerns"</x:formula>
    </x:cfRule>
    <x:cfRule type="expression" dxfId="25" priority="18">
      <x:formula>M2="Low"</x:formula>
    </x:cfRule>
    <x:cfRule type="expression" dxfId="26" priority="19">
      <x:formula>M2="High"</x:formula>
    </x:cfRule>
    <x:cfRule type="expression" dxfId="27" priority="20">
      <x:formula>M2="Some concerns"</x:formula>
    </x:cfRule>
    <x:cfRule type="expression" dxfId="28" priority="21">
      <x:formula>M2="Low"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59605b28be4a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55" hidden="0" customWidth="1"/>
    <x:col min="4" max="4" width="55" hidden="0" customWidth="1"/>
    <x:col min="5" max="5" width="16" hidden="0" customWidth="1"/>
    <x:col min="6" max="6" width="28" hidden="0" customWidth="1"/>
  </x:cols>
  <x:sheetData>
    <x:row r="1">
      <x:c r="A1" s="24" t="str">
        <x:v>Study/record</x:v>
      </x:c>
      <x:c r="B1" s="24" t="str">
        <x:v>Issue type</x:v>
      </x:c>
      <x:c r="C1" s="24" t="str">
        <x:v>Problem identified</x:v>
      </x:c>
      <x:c r="D1" s="24" t="str">
        <x:v>Master decision</x:v>
      </x:c>
      <x:c r="E1" s="24" t="str">
        <x:v>Severity</x:v>
      </x:c>
      <x:c r="F1" s="24" t="str">
        <x:v>Status</x:v>
      </x:c>
    </x:row>
    <x:row r="2">
      <x:c r="A2" s="18" t="str">
        <x:v>An 2014</x:v>
      </x:c>
      <x:c r="B2" s="18" t="str">
        <x:v>Antigravity Sol file mapping</x:v>
      </x:c>
      <x:c r="C2" s="18" t="str">
        <x:v>Points to zhang_2014_breast_surgery_teas_full_data_extraction.md</x:v>
      </x:c>
      <x:c r="D2" s="18" t="str">
        <x:v>Reject mapping; An 2014 source is covidence_698_full_article.pdf / covidence_study_698 extraction.</x:v>
      </x:c>
      <x:c r="E2" s="18" t="str">
        <x:v>Material</x:v>
      </x:c>
      <x:c r="F2" s="18" t="str">
        <x:v>Resolved in master inventory</x:v>
      </x:c>
    </x:row>
    <x:row r="3">
      <x:c r="A3" s="18" t="str">
        <x:v>Seevaunnamtum 2016</x:v>
      </x:c>
      <x:c r="B3" s="18" t="str">
        <x:v>Antigravity Sol file mapping</x:v>
      </x:c>
      <x:c r="C3" s="18" t="str">
        <x:v>Points to grech_2016_full_data_extraction.md</x:v>
      </x:c>
      <x:c r="D3" s="18" t="str">
        <x:v>Reject mapping; use covidence_596_verified.pdf / Seevaunnamtum source-grounded extraction.</x:v>
      </x:c>
      <x:c r="E3" s="18" t="str">
        <x:v>Material</x:v>
      </x:c>
      <x:c r="F3" s="18" t="str">
        <x:v>Resolved in master inventory</x:v>
      </x:c>
    </x:row>
    <x:row r="4">
      <x:c r="A4" s="18" t="str">
        <x:v>Chen 2015</x:v>
      </x:c>
      <x:c r="B4" s="18" t="str">
        <x:v>Antigravity Sol file mapping</x:v>
      </x:c>
      <x:c r="C4" s="18" t="str">
        <x:v>Points to chen_2020_full_data_extraction.md</x:v>
      </x:c>
      <x:c r="D4" s="18" t="str">
        <x:v>Reject mapping; Chen 2015 QoR-40 thyroidectomy is distinct.</x:v>
      </x:c>
      <x:c r="E4" s="18" t="str">
        <x:v>Material</x:v>
      </x:c>
      <x:c r="F4" s="18" t="str">
        <x:v>Resolved in master inventory</x:v>
      </x:c>
    </x:row>
    <x:row r="5">
      <x:c r="A5" s="18" t="str">
        <x:v>Chen 2015 (Hyperalgesia)</x:v>
      </x:c>
      <x:c r="B5" s="18" t="str">
        <x:v>Antigravity Sol file mapping</x:v>
      </x:c>
      <x:c r="C5" s="18" t="str">
        <x:v>Points to chen_2020_full_data_extraction.md</x:v>
      </x:c>
      <x:c r="D5" s="18" t="str">
        <x:v>Reject mapping; hyperalgesia trial is distinct.</x:v>
      </x:c>
      <x:c r="E5" s="18" t="str">
        <x:v>Material</x:v>
      </x:c>
      <x:c r="F5" s="18" t="str">
        <x:v>Resolved in master inventory</x:v>
      </x:c>
    </x:row>
    <x:row r="6">
      <x:c r="A6" s="18" t="str">
        <x:v>Ng 2013</x:v>
      </x:c>
      <x:c r="B6" s="18" t="str">
        <x:v>Antigravity Sol file mapping</x:v>
      </x:c>
      <x:c r="C6" s="18" t="str">
        <x:v>Points to huang_2024_covidence_245_full_data_extraction.md</x:v>
      </x:c>
      <x:c r="D6" s="18" t="str">
        <x:v>Reject cross-study mapping.</x:v>
      </x:c>
      <x:c r="E6" s="18" t="str">
        <x:v>Material</x:v>
      </x:c>
      <x:c r="F6" s="18" t="str">
        <x:v>Resolved in master inventory</x:v>
      </x:c>
    </x:row>
    <x:row r="7">
      <x:c r="A7" s="18" t="str">
        <x:v>Tu 2024</x:v>
      </x:c>
      <x:c r="B7" s="18" t="str">
        <x:v>Antigravity Sol file mapping</x:v>
      </x:c>
      <x:c r="C7" s="18" t="str">
        <x:v>Points to wang_2023_gi_tumor_sleep_teas_full_data_extraction.md</x:v>
      </x:c>
      <x:c r="D7" s="18" t="str">
        <x:v>Reject cross-study mapping.</x:v>
      </x:c>
      <x:c r="E7" s="18" t="str">
        <x:v>Material</x:v>
      </x:c>
      <x:c r="F7" s="18" t="str">
        <x:v>Resolved in master inventory</x:v>
      </x:c>
    </x:row>
    <x:row r="8">
      <x:c r="A8" s="18" t="str">
        <x:v>Gao 2018</x:v>
      </x:c>
      <x:c r="B8" s="18" t="str">
        <x:v>Antigravity inventory</x:v>
      </x:c>
      <x:c r="C8" s="18" t="str">
        <x:v>No source-grounded Gao 2018 extraction found</x:v>
      </x:c>
      <x:c r="D8" s="18" t="str">
        <x:v>Exclude until a source PDF is positively identified; Zhou 2025 was omitted from Antigravity matrix and restored.</x:v>
      </x:c>
      <x:c r="E8" s="18" t="str">
        <x:v>Material</x:v>
      </x:c>
      <x:c r="F8" s="18" t="str">
        <x:v>Resolved in master inventory</x:v>
      </x:c>
    </x:row>
    <x:row r="9">
      <x:c r="A9" s="18" t="str">
        <x:v>Ge et al. 2023</x:v>
      </x:c>
      <x:c r="B9" s="18" t="str">
        <x:v>Duplicate derivative</x:v>
      </x:c>
      <x:c r="C9" s="18" t="str">
        <x:v>Duplicate extraction of Wang 2023 Pain and Therapy trial</x:v>
      </x:c>
      <x:c r="D9" s="18" t="str">
        <x:v>Do not count as separate trial.</x:v>
      </x:c>
      <x:c r="E9" s="18" t="str">
        <x:v>Material</x:v>
      </x:c>
      <x:c r="F9" s="18" t="str">
        <x:v>Resolved in master inventory</x:v>
      </x:c>
    </x:row>
    <x:row r="10">
      <x:c r="A10" s="18" t="str">
        <x:v>Zhou 2026</x:v>
      </x:c>
      <x:c r="B10" s="18" t="str">
        <x:v>Misnamed derivative</x:v>
      </x:c>
      <x:c r="C10" s="18" t="str">
        <x:v>RoB file attached to Liu 2026 burn trial</x:v>
      </x:c>
      <x:c r="D10" s="18" t="str">
        <x:v>Do not count as separate trial.</x:v>
      </x:c>
      <x:c r="E10" s="18" t="str">
        <x:v>Material</x:v>
      </x:c>
      <x:c r="F10" s="18" t="str">
        <x:v>Resolved in master inventory</x:v>
      </x:c>
    </x:row>
    <x:row r="11">
      <x:c r="A11" s="18" t="str">
        <x:v>Gao 2018</x:v>
      </x:c>
      <x:c r="B11" s="18" t="str">
        <x:v>Rejected Antigravity inventory row</x:v>
      </x:c>
      <x:c r="C11" s="18" t="str">
        <x:v>**Intraop remifentanil (PRIMARY)**: Group TEAS (n=32) 545 ± 35 µg vs Group C (n=32) 636 ± 33 µg (P &lt; 0.001) [MD -91.0 µg]. **Intraop propofol**: Group TEAS 4...</x:v>
      </x:c>
      <x:c r="D11" s="18" t="str">
        <x:v>No matching Gao 2018 source/extraction was located in the project inventory; row conflicts with the 63-PDF canonical inventory and should not enter the master dataset without source identification.</x:v>
      </x:c>
      <x:c r="E11" s="18" t="str">
        <x:v>Critical</x:v>
      </x:c>
      <x:c r="F11" s="18" t="str">
        <x:v>Excluded from canonical master</x:v>
      </x:c>
    </x:row>
  </x:sheetData>
  <x:conditionalFormatting sqref="E2:E11">
    <x:cfRule type="expression" dxfId="29" priority="1">
      <x:formula>E2="Critical"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1c699460b947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70" hidden="0" customWidth="1"/>
    <x:col min="4" max="4" width="58" hidden="0" customWidth="1"/>
    <x:col min="5" max="5" width="32" hidden="0" customWidth="1"/>
    <x:col min="6" max="6" width="38" hidden="0" customWidth="1"/>
  </x:cols>
  <x:sheetData>
    <x:row r="1">
      <x:c r="A1" s="24" t="str">
        <x:v>Canonical study</x:v>
      </x:c>
      <x:c r="B1" s="24" t="str">
        <x:v>Antigravity label</x:v>
      </x:c>
      <x:c r="C1" s="24" t="str">
        <x:v>Candidate source summary</x:v>
      </x:c>
      <x:c r="D1" s="24" t="str">
        <x:v>Gemini/payload field from Antigravity report</x:v>
      </x:c>
      <x:c r="E1" s="24" t="str">
        <x:v>Antigravity classification</x:v>
      </x:c>
      <x:c r="F1" s="24" t="str">
        <x:v>Status in this master</x:v>
      </x:c>
    </x:row>
    <x:row r="2">
      <x:c r="A2" s="18" t="str">
        <x:v>Zhu 2022</x:v>
      </x:c>
      <x:c r="B2" s="18" t="str">
        <x:v>Zhu 2022</x:v>
      </x:c>
      <x:c r="C2" s="18" t="str">
        <x:v>**Pain intensity during movement at 24h (NRS 0-10) (PRIMARY)**: Group Pre (n=101) 1.15 ± 1.02 vs Group 30 (n=98) 1.12 ± 1.03 vs Group Comb (n=100) 1.17 ± 1.1...</x:v>
      </x:c>
      <x:c r="D2" s="18" t="str">
        <x:v>Opioid: `20.4±4.8 vs 33.1±7.0` 🚨 **[FABRICATED BOILERPLATE]**&lt;br&gt;Pain: `2.4±0.8 vs 3.8±1.1` 🚨 **[FABRICATED]**&lt;br&gt;PONV: `5/30 vs 12/30` 🚨 **[FABRICATED]**</x:v>
      </x:c>
      <x:c r="E2" s="18" t="str">
        <x:v>🟡 Verified with Corrections 🟠 Author Contact Needed</x:v>
      </x:c>
      <x:c r="F2" s="18" t="str">
        <x:v>REFERENCE ONLY — not authoritative unless source-confirmed</x:v>
      </x:c>
    </x:row>
    <x:row r="3">
      <x:c r="A3" s="18" t="str">
        <x:v>Zhou 2025</x:v>
      </x:c>
      <x:c r="B3" s="18" t="str">
        <x:v>(Antigravity matrix omitted/misidentified)</x:v>
      </x:c>
      <x:c r="C3" s="18" t="str">
        <x:v>Source-grounded correction: 100 randomized (50/group), 97 analyzed (48 TEAS, 49 sham). Primary QoR-15 on POD1: 112.00 ± 10.67 vs 107.62 ± 10.27 (P=0.042). POD1 resting VAS median 3 (3-4) vs 4 (4-5); POD1 PONV 10/48 vs 19/49. Exact 0-24 h opioid dose/MME not reported; rescue tramadol only reported as POD1-3 binary use 6/48 vs 13/49.</x:v>
      </x:c>
      <x:c r="D3" s="18" t="str">
        <x:v>Do not use Antigravity Gao 2018 row as substitute.</x:v>
      </x:c>
      <x:c r="E3" s="18" t="str">
        <x:v>Source-verified Sol correction; Antigravity matrix identity gap</x:v>
      </x:c>
      <x:c r="F3" s="18" t="str">
        <x:v>REFERENCE ONLY — not authoritative unless source-confirmed</x:v>
      </x:c>
    </x:row>
    <x:row r="4">
      <x:c r="A4" s="18" t="str">
        <x:v>Zhou 2021</x:v>
      </x:c>
      <x:c r="B4" s="18" t="str">
        <x:v>Zhou 2021</x:v>
      </x:c>
      <x:c r="C4" s="18" t="str">
        <x:v>**Cumulative postoperative systemic opioid consumption (equivalent dose of morphine in mg / IV MME) (PRIMARY)**: TG (n=41) 8.94 ± 3.66 mg vs CG Usual care (n...</x:v>
      </x:c>
      <x:c r="D4" s="18" t="str">
        <x:v>Opioid: `20.4±4.8 vs 33.1±7.0` 🚨 **[FABRICATED BOILERPLATE]**&lt;br&gt;Pain: `2.4±0.8 vs 3.8±1.1` 🚨 **[FABRICATED]**&lt;br&gt;PONV: `5/30 vs 12/30` 🚨 **[FABRICATED]**</x:v>
      </x:c>
      <x:c r="E4" s="18" t="str">
        <x:v>🟡 Verified with Corrections 🟠 Author Contact Needed</x:v>
      </x:c>
      <x:c r="F4" s="18" t="str">
        <x:v>REFERENCE ONLY — not authoritative unless source-confirmed</x:v>
      </x:c>
    </x:row>
    <x:row r="5">
      <x:c r="A5" s="18" t="str">
        <x:v>Zheng 2025</x:v>
      </x:c>
      <x:c r="B5" s="18" t="str">
        <x:v>Zheng 2025</x:v>
      </x:c>
      <x:c r="C5" s="18" t="str">
        <x:v>**Pain intensity at rest at 24h (NRS 0-10) (PRIMARY)**: TEAS (n=42) 1.70 ± 0.80 vs Sham TEAS (n=43) 2.20 ± 1.10 (P = 0.042*) [MD -0.50, 95% CI -0.91 to -0.09...</x:v>
      </x:c>
      <x:c r="D5" s="18" t="str">
        <x:v>Opioid: `20.4±4.8 vs 33.1±7.0` 🚨 **[FABRICATED BOILERPLATE]**&lt;br&gt;Pain: `2.4±0.8 vs 3.8±1.1` 🚨 **[FABRICATED]**&lt;br&gt;PONV: `5/30 vs 12/30` 🚨 **[FABRICATED]**</x:v>
      </x:c>
      <x:c r="E5" s="18" t="str">
        <x:v>🟡 Verified with Corrections 🟠 Author Contact Needed</x:v>
      </x:c>
      <x:c r="F5" s="18" t="str">
        <x:v>REFERENCE ONLY — not authoritative unless source-confirmed</x:v>
      </x:c>
    </x:row>
    <x:row r="6">
      <x:c r="A6" s="18" t="str">
        <x:v>Zhan 2020</x:v>
      </x:c>
      <x:c r="B6" s="18" t="str">
        <x:v>Zhan 2020</x:v>
      </x:c>
      <x:c r="C6" s="18" t="str">
        <x:v>**Pain intensity at rest at 24h (VAS 0-10) (PRIMARY)**: TAP+TEAS (n=30) 1.70 ± 2.20 vs TAP Control (n=30) 2.00 ± 3.00 (P = 0.03*) [MD -0.30, 95% CI -1.63 to ...</x:v>
      </x:c>
      <x:c r="D6" s="18" t="str">
        <x:v>Opioid: `1.7±2.2 vs 2.0±3.0`&lt;br&gt;Pain: `2.4±0.8 vs 3.8±1.1` 🚨 **[FABRICATED]**&lt;br&gt;PONV: `5/30 vs 12/30` 🚨 **[FABRICATED]**</x:v>
      </x:c>
      <x:c r="E6" s="18" t="str">
        <x:v>🟡 Verified with Corrections 🟠 Author Contact Needed</x:v>
      </x:c>
      <x:c r="F6" s="18" t="str">
        <x:v>REFERENCE ONLY — not authoritative unless source-confirmed</x:v>
      </x:c>
    </x:row>
    <x:row r="7">
      <x:c r="A7" s="18" t="str">
        <x:v>Zhang 2025</x:v>
      </x:c>
      <x:c r="B7" s="18" t="str">
        <x:v>Zhang 2025</x:v>
      </x:c>
      <x:c r="C7" s="18" t="str">
        <x:v>**Cumulative postoperative systemic opioid consumption at 24h (total sufentanil in IV MME) (PRIMARY)**: TEAS (n=45) 50.53 ± 4.46 mg vs Control Sham TEAS (n=4...</x:v>
      </x:c>
      <x:c r="D7" s="18" t="str">
        <x:v>Opioid: `20.4±4.8 vs 33.1±7.0` 🚨 **[FABRICATED BOILERPLATE]**&lt;br&gt;Pain: `2.4±0.8 vs 3.8±1.1` 🚨 **[FABRICATED]**&lt;br&gt;PONV: `5/30 vs 12/30` 🚨 **[FABRICATED]**</x:v>
      </x:c>
      <x:c r="E7" s="18" t="str">
        <x:v>🟡 Verified with Corrections 🟠 Author Contact Needed</x:v>
      </x:c>
      <x:c r="F7" s="18" t="str">
        <x:v>REFERENCE ONLY — not authoritative unless source-confirmed</x:v>
      </x:c>
    </x:row>
    <x:row r="8">
      <x:c r="A8" s="18" t="str">
        <x:v>Zhang 2023</x:v>
      </x:c>
      <x:c r="B8" s="18" t="str">
        <x:v>Zhang 2023</x:v>
      </x:c>
      <x:c r="C8" s="18" t="str">
        <x:v>**Cumulative postoperative systemic opioid consumption within 48h (IV MME)**: TEAS (n=922) median 110.0 mg (IQR 80.0-110.0) vs Sham TEAS (n=916) median 110.0...</x:v>
      </x:c>
      <x:c r="D8" s="18" t="str">
        <x:v>Opioid: `20.4±4.8 vs 33.1±7.0` 🚨 **[FABRICATED BOILERPLATE]**&lt;br&gt;Pain: `2.4±0.8 vs 3.8±1.1` 🚨 **[FABRICATED]**&lt;br&gt;PONV: `5/30 vs 12/30` 🚨 **[FABRICATED]**</x:v>
      </x:c>
      <x:c r="E8" s="18" t="str">
        <x:v>🟡 Verified with Corrections 🟠 Author Contact Needed</x:v>
      </x:c>
      <x:c r="F8" s="18" t="str">
        <x:v>REFERENCE ONLY — not authoritative unless source-confirmed</x:v>
      </x:c>
    </x:row>
    <x:row r="9">
      <x:c r="A9" s="18" t="str">
        <x:v>Zhang 2014</x:v>
      </x:c>
      <x:c r="B9" s="18" t="str">
        <x:v>Zhang 2014</x:v>
      </x:c>
      <x:c r="C9" s="18" t="str">
        <x:v>**Intraoperative systemic remifentanil consumption rate (µg/kg/min)**: TEAS (n=33) 0.06 ± 0.02 vs Sham TEAS (n=32) 0.09 ± 0.03 (P = 0.01*) [MD -0.03, 95% CI ...</x:v>
      </x:c>
      <x:c r="D9" s="18" t="str">
        <x:v>Opioid: `0.06±0.02 vs 0.09±0.03`&lt;br&gt;Pain: `2.4±0.8 vs 3.8±1.1` 🚨 **[FABRICATED]**&lt;br&gt;PONV: `5/30 vs 12/30` 🚨 **[FABRICATED]**</x:v>
      </x:c>
      <x:c r="E9" s="18" t="str">
        <x:v>🟡 Verified with Corrections 🟠 Author Contact Needed</x:v>
      </x:c>
      <x:c r="F9" s="18" t="str">
        <x:v>REFERENCE ONLY — not authoritative unless source-confirmed</x:v>
      </x:c>
    </x:row>
    <x:row r="10">
      <x:c r="A10" s="18" t="str">
        <x:v>Yu 2020</x:v>
      </x:c>
      <x:c r="B10" s="18" t="str">
        <x:v>Yu 2020</x:v>
      </x:c>
      <x:c r="C10" s="18" t="str">
        <x:v>**Pain intensity at rest at 24h (VAS 0-10) (PRIMARY)**: TEAS (n=30) 3.70 ± 1.53 vs Con Sham TEAS (n=30) 4.73 ± 1.53 (P &lt; 0.05*) [MD -1.03, 95% CI -1.81 to -0...</x:v>
      </x:c>
      <x:c r="D10" s="18" t="str">
        <x:v>Opioid: `20.4±4.8 vs 33.1±7.0` 🚨 **[FABRICATED BOILERPLATE]**&lt;br&gt;Pain: `2.4±0.8 vs 3.8±1.1` 🚨 **[FABRICATED]**&lt;br&gt;PONV: `5/30 vs 12/30` 🚨 **[FABRICATED]**</x:v>
      </x:c>
      <x:c r="E10" s="18" t="str">
        <x:v>🟡 Verified with Corrections 🟠 Author Contact Needed</x:v>
      </x:c>
      <x:c r="F10" s="18" t="str">
        <x:v>REFERENCE ONLY — not authoritative unless source-confirmed</x:v>
      </x:c>
    </x:row>
    <x:row r="11">
      <x:c r="A11" s="18" t="str">
        <x:v>Yeh 2010</x:v>
      </x:c>
      <x:c r="B11" s="18" t="str">
        <x:v>Yeh 2010</x:v>
      </x:c>
      <x:c r="C11" s="18" t="str">
        <x:v>**Cumulative postoperative systemic opioid consumption at 24h (PRIMARY)**: AES (n=30) 19.3 ± 9.7 mg vs Sham AES (n=30) 21.6 ± 13.1 mg (P = 0.443) [MD -2.30 m...</x:v>
      </x:c>
      <x:c r="D11" s="18" t="str">
        <x:v>Opioid: `19.3±9.7 vs 21.6±13.1`&lt;br&gt;Pain: `2.4±0.8 vs 3.8±1.1` 🚨 **[FABRICATED]**&lt;br&gt;PONV: `5/30 vs 12/30` 🚨 **[FABRICATED]**</x:v>
      </x:c>
      <x:c r="E11" s="18" t="str">
        <x:v>🟡 Verified with Corrections 🟠 Author Contact Needed</x:v>
      </x:c>
      <x:c r="F11" s="18" t="str">
        <x:v>REFERENCE ONLY — not authoritative unless source-confirmed</x:v>
      </x:c>
    </x:row>
    <x:row r="12">
      <x:c r="A12" s="18" t="str">
        <x:v>Yeh 2011</x:v>
      </x:c>
      <x:c r="B12" s="18" t="str">
        <x:v>Yeh 2010 (ATHM)</x:v>
      </x:c>
      <x:c r="C12" s="18" t="str">
        <x:v>**Cumulative postoperative systemic opioid consumption at 24h (PRIMARY)**: EG1 True AES (n=33) 18.6 ± 9.7 mg vs EG2 Sham AES (n=30) 21.6 ± 13.1 mg (P = 0.364...</x:v>
      </x:c>
      <x:c r="D12" s="18" t="str">
        <x:v>Opioid: `18.6±9.7 vs 21.6±13.1`&lt;br&gt;Pain: `2.4±0.8 vs 3.8±1.1` 🚨 **[FABRICATED]**&lt;br&gt;PONV: `5/30 vs 12/30` 🚨 **[FABRICATED]**</x:v>
      </x:c>
      <x:c r="E12" s="18" t="str">
        <x:v>🟡 Verified with Corrections 🟠 Author Contact Needed</x:v>
      </x:c>
      <x:c r="F12" s="18" t="str">
        <x:v>REFERENCE ONLY — not authoritative unless source-confirmed</x:v>
      </x:c>
    </x:row>
    <x:row r="13">
      <x:c r="A13" s="18" t="str">
        <x:v>Yao 2015</x:v>
      </x:c>
      <x:c r="B13" s="18" t="str">
        <x:v>Yao 2015</x:v>
      </x:c>
      <x:c r="C13" s="18" t="str">
        <x:v>**Quality of recovery (QoR-40 global score at 24h) (PRIMARY)**: TEAS (n=35) 176.5 ± 10.2 vs Sham TEAS (n=36) 164.8 ± 14.7 (P &lt; 0.001*) [MD 11.70, 95% CI 5.80...</x:v>
      </x:c>
      <x:c r="D13" s="18" t="str">
        <x:v>Opioid: `20.4±4.8 vs 33.1±7.0` 🚨 **[FABRICATED BOILERPLATE]**&lt;br&gt;Pain: `2.4±0.8 vs 3.8±1.1` 🚨 **[FABRICATED]**&lt;br&gt;PONV: `5/30 vs 12/30` 🚨 **[FABRICATED]**</x:v>
      </x:c>
      <x:c r="E13" s="18" t="str">
        <x:v>🟡 Verified with Corrections 🟠 Author Contact Needed</x:v>
      </x:c>
      <x:c r="F13" s="18" t="str">
        <x:v>REFERENCE ONLY — not authoritative unless source-confirmed</x:v>
      </x:c>
    </x:row>
    <x:row r="14">
      <x:c r="A14" s="18" t="str">
        <x:v>Yang 2020</x:v>
      </x:c>
      <x:c r="B14" s="18" t="str">
        <x:v>Yang 2020</x:v>
      </x:c>
      <x:c r="C14" s="18" t="str">
        <x:v>**Postoperative nausea incidence 0-24h (PRIMARY)**: EA (n=29) 8/29 (27.59%) vs Usual care (n=28) 8/28 (28.57%) (P = 0.934) [RR 0.97, 95% CI 0.42 to 2.24]. **...</x:v>
      </x:c>
      <x:c r="D14" s="18" t="str">
        <x:v>Opioid: `20.4±4.8 vs 33.1±7.0` 🚨 **[FABRICATED BOILERPLATE]**&lt;br&gt;Pain: `2.4±0.8 vs 3.8±1.1` 🚨 **[FABRICATED]**&lt;br&gt;PONV: `5/30 vs 12/30` 🚨 **[FABRICATED]**</x:v>
      </x:c>
      <x:c r="E14" s="18" t="str">
        <x:v>🟡 Verified with Corrections 🟠 Author Contact Needed</x:v>
      </x:c>
      <x:c r="F14" s="18" t="str">
        <x:v>REFERENCE ONLY — not authoritative unless source-confirmed</x:v>
      </x:c>
    </x:row>
    <x:row r="15">
      <x:c r="A15" s="18" t="str">
        <x:v>Yang 2024</x:v>
      </x:c>
      <x:c r="B15" s="18" t="str">
        <x:v>Yang 2023</x:v>
      </x:c>
      <x:c r="C15" s="18" t="str">
        <x:v>**Cumulative postoperative systemic opioid consumption on POD 1 (24h) (PRIMARY)**: EA (n=90) 43.7 ± 4.7 mg vs Usual care (n=90) 44.0 ± 4.9 mg (P = 0.733) [MD...</x:v>
      </x:c>
      <x:c r="D15" s="18" t="str">
        <x:v>Opioid: `20.4±4.8 vs 33.1±7.0` 🚨 **[FABRICATED BOILERPLATE]**&lt;br&gt;Pain: `2.4±0.8 vs 3.8±1.1` 🚨 **[FABRICATED]**&lt;br&gt;PONV: `5/30 vs 12/30` 🚨 **[FABRICATED]**</x:v>
      </x:c>
      <x:c r="E15" s="18" t="str">
        <x:v>🟡 Verified with Corrections 🟠 Author Contact Needed</x:v>
      </x:c>
      <x:c r="F15" s="18" t="str">
        <x:v>REFERENCE ONLY — not authoritative unless source-confirmed</x:v>
      </x:c>
    </x:row>
    <x:row r="16">
      <x:c r="A16" s="18" t="str">
        <x:v>Xiong 2021</x:v>
      </x:c>
      <x:c r="B16" s="18" t="str">
        <x:v>Xiong 2021</x:v>
      </x:c>
      <x:c r="C16" s="18" t="str">
        <x:v>**Composite PONV incidence 0-24h (PRIMARY)**: TEAS (n=31) 12/31 (38.7%) vs Sham TEAS (n=31) 24/31 (77.4%) (P = 0.002*) [RR 0.50, 95% CI 0.31 to 0.81]. **Comp...</x:v>
      </x:c>
      <x:c r="D16" s="18" t="str">
        <x:v>Opioid: `20.4±4.8 vs 33.1±7.0` 🚨 **[FABRICATED BOILERPLATE]**&lt;br&gt;Pain: `2.4±0.8 vs 3.8±1.1` 🚨 **[FABRICATED]**&lt;br&gt;PONV: `5/30 vs 12/30` 🚨 **[FABRICATED]**</x:v>
      </x:c>
      <x:c r="E16" s="18" t="str">
        <x:v>🟡 Verified with Corrections 🟠 Author Contact Needed</x:v>
      </x:c>
      <x:c r="F16" s="18" t="str">
        <x:v>REFERENCE ONLY — not authoritative unless source-confirmed</x:v>
      </x:c>
    </x:row>
    <x:row r="17">
      <x:c r="A17" s="18" t="str">
        <x:v>Xing 2022</x:v>
      </x:c>
      <x:c r="B17" s="18" t="str">
        <x:v>Xing 2022</x:v>
      </x:c>
      <x:c r="C17" s="18" t="str">
        <x:v>**Pain intensity at rest at 24h (PRIMARY)**: TEAS+TAPB (n=29) 1.18 ± 0.42 vs Sham TEAS+TAPB (n=29) 1.40 ± 0.52 (P &lt; 0.05*) [MD -0.22, 95% CI -0.46 to 0.02]; ...</x:v>
      </x:c>
      <x:c r="D17" s="18" t="str">
        <x:v>Opioid: `20.4±4.8 vs 33.1±7.0` 🚨 **[FABRICATED BOILERPLATE]**&lt;br&gt;Pain: `2.4±0.8 vs 3.8±1.1` 🚨 **[FABRICATED]**&lt;br&gt;PONV: `5/30 vs 12/30` 🚨 **[FABRICATED]**</x:v>
      </x:c>
      <x:c r="E17" s="18" t="str">
        <x:v>🟡 Verified with Corrections 🟠 Author Contact Needed</x:v>
      </x:c>
      <x:c r="F17" s="18" t="str">
        <x:v>REFERENCE ONLY — not authoritative unless source-confirmed</x:v>
      </x:c>
    </x:row>
    <x:row r="18">
      <x:c r="A18" s="18" t="str">
        <x:v>Xie 2014</x:v>
      </x:c>
      <x:c r="B18" s="18" t="str">
        <x:v>Xie 2014</x:v>
      </x:c>
      <x:c r="C18" s="18" t="str">
        <x:v>**Cumulative postoperative systemic opioid consumption through POD 3 (PRIMARY)**: EAS (n=20) 115.0 ± 6.0 µg vs Sham EA (n=20) 133.5 ± 7.0 µg (P &lt; 0.05*) [MD ...</x:v>
      </x:c>
      <x:c r="D18" s="18" t="str">
        <x:v>Opioid: `115±6.0 vs 133.5±7.0`&lt;br&gt;Pain: `2.4±0.8 vs 3.8±1.1` 🚨 **[FABRICATED]**&lt;br&gt;PONV: `5/30 vs 12/30` 🚨 **[FABRICATED]**</x:v>
      </x:c>
      <x:c r="E18" s="18" t="str">
        <x:v>🟡 Verified with Corrections 🟠 Author Contact Needed</x:v>
      </x:c>
      <x:c r="F18" s="18" t="str">
        <x:v>REFERENCE ONLY — not authoritative unless source-confirmed</x:v>
      </x:c>
    </x:row>
    <x:row r="19">
      <x:c r="A19" s="18" t="str">
        <x:v>Wu 2022</x:v>
      </x:c>
      <x:c r="B19" s="18" t="str">
        <x:v>Wu 2022</x:v>
      </x:c>
      <x:c r="C19" s="18" t="str">
        <x:v>**Pain intensity at 24h (PRIMARY)**: pTEAS (n=44) 1.77 ± 0.91 vs Control (n=40) 2.25 ± 0.71 (P = 0.009*) [MD -0.48, 95% CI -0.83 to -0.13]. **Pain intensity ...</x:v>
      </x:c>
      <x:c r="D19" s="18" t="str">
        <x:v>Opioid: `20.4±4.8 vs 33.1±7.0` 🚨 **[FABRICATED BOILERPLATE]**&lt;br&gt;Pain: `2.4±0.8 vs 3.8±1.1` 🚨 **[FABRICATED]**&lt;br&gt;PONV: `5/30 vs 12/30` 🚨 **[FABRICATED]**</x:v>
      </x:c>
      <x:c r="E19" s="18" t="str">
        <x:v>🟡 Verified with Corrections 🟠 Author Contact Needed</x:v>
      </x:c>
      <x:c r="F19" s="18" t="str">
        <x:v>REFERENCE ONLY — not authoritative unless source-confirmed</x:v>
      </x:c>
    </x:row>
    <x:row r="20">
      <x:c r="A20" s="18" t="str">
        <x:v>Wu 2025</x:v>
      </x:c>
      <x:c r="B20" s="18" t="str">
        <x:v>Wu 2025</x:v>
      </x:c>
      <x:c r="C20" s="18" t="str">
        <x:v>**Pain intensity at rest at 24h (PRIMARY)**: TEAS (n=50) 1.7 ± 0.9 vs Sham TEAS (n=50) 4.0 ± 1.4 (P &lt; 0.001*) [MD -2.30, 95% CI -2.76 to -1.84]. **Pain inten...</x:v>
      </x:c>
      <x:c r="D20" s="18" t="str">
        <x:v>Opioid: `20.4±4.8 vs 33.1±7.0` 🚨 **[FABRICATED BOILERPLATE]**&lt;br&gt;Pain: `2.4±0.8 vs 3.8±1.1` 🚨 **[FABRICATED]**&lt;br&gt;PONV: `5/30 vs 12/30` 🚨 **[FABRICATED]**</x:v>
      </x:c>
      <x:c r="E20" s="18" t="str">
        <x:v>🟡 Verified with Corrections 🟠 Author Contact Needed</x:v>
      </x:c>
      <x:c r="F20" s="18" t="str">
        <x:v>REFERENCE ONLY — not authoritative unless source-confirmed</x:v>
      </x:c>
    </x:row>
    <x:row r="21">
      <x:c r="A21" s="18" t="str">
        <x:v>Wong 2006</x:v>
      </x:c>
      <x:c r="B21" s="18" t="str">
        <x:v>Wong 2006</x:v>
      </x:c>
      <x:c r="C21" s="18" t="str">
        <x:v>**Postoperative systemic opioid consumption Day 1 (24h) (PRIMARY)**: EA (n=13) 18.0 ± 8.8 mg vs Sham EA (n=12) 18.8 ± 9.8 mg [MD -0.80 mg, 95% CI -8.14 to 6....</x:v>
      </x:c>
      <x:c r="D21" s="18" t="str">
        <x:v>Opioid: `8.3±4.9 vs 7.8±6.4`&lt;br&gt;Pain: `2.4±0.8 vs 3.8±1.1` 🚨 **[FABRICATED]**&lt;br&gt;PONV: `5/30 vs 12/30` 🚨 **[FABRICATED]**</x:v>
      </x:c>
      <x:c r="E21" s="18" t="str">
        <x:v>🟡 Verified with Corrections 🟠 Author Contact Needed</x:v>
      </x:c>
      <x:c r="F21" s="18" t="str">
        <x:v>REFERENCE ONLY — not authoritative unless source-confirmed</x:v>
      </x:c>
    </x:row>
    <x:row r="22">
      <x:c r="A22" s="18" t="str">
        <x:v>Wang 2023</x:v>
      </x:c>
      <x:c r="B22" s="18" t="str">
        <x:v>Wang 2023</x:v>
      </x:c>
      <x:c r="C22" s="18" t="str">
        <x:v>**Pain intensity during activity at 24h (PRIMARY)**: TEAS (n=40) 5.06 ± 0.91 vs Sham TEAS (n=43) 6.04 ± 1.05 (P &lt; 0.05*) [MD -0.98, 95% CI -1.40 to -0.56]. *...</x:v>
      </x:c>
      <x:c r="D22" s="18" t="str">
        <x:v>Opioid: `20.4±4.8 vs 33.1±7.0` 🚨 **[FABRICATED BOILERPLATE]**&lt;br&gt;Pain: `2.4±0.8 vs 3.8±1.1` 🚨 **[FABRICATED]**&lt;br&gt;PONV: `5/30 vs 12/30` 🚨 **[FABRICATED]**</x:v>
      </x:c>
      <x:c r="E22" s="18" t="str">
        <x:v>🟡 Verified with Corrections 🟠 Author Contact Needed</x:v>
      </x:c>
      <x:c r="F22" s="18" t="str">
        <x:v>REFERENCE ONLY — not authoritative unless source-confirmed</x:v>
      </x:c>
    </x:row>
    <x:row r="23">
      <x:c r="A23" s="18" t="str">
        <x:v>Wang 2024</x:v>
      </x:c>
      <x:c r="B23" s="18" t="str">
        <x:v>Wang 2024</x:v>
      </x:c>
      <x:c r="C23" s="18" t="str">
        <x:v>**Composite PONV incidence 0–24h (PRIMARY)**: TEAS pooled (n=68) 19/68 (27.9%) vs Sham TEAS pooled (n=70) 30/70 (42.9%) (P = 0.065) [RR 0.65, 95% CI 0.41 to ...</x:v>
      </x:c>
      <x:c r="D23" s="18" t="str">
        <x:v>Opioid: `20.4±4.8 vs 33.1±7.0` 🚨 **[FABRICATED BOILERPLATE]**&lt;br&gt;Pain: `2.4±0.8 vs 3.8±1.1` 🚨 **[FABRICATED]**&lt;br&gt;PONV: `5/30 vs 12/30` 🚨 **[FABRICATED]**</x:v>
      </x:c>
      <x:c r="E23" s="18" t="str">
        <x:v>🟡 Verified with Corrections 🟠 Author Contact Needed</x:v>
      </x:c>
      <x:c r="F23" s="18" t="str">
        <x:v>REFERENCE ONLY — not authoritative unless source-confirmed</x:v>
      </x:c>
    </x:row>
    <x:row r="24">
      <x:c r="A24" s="18" t="str">
        <x:v>Tu 2024</x:v>
      </x:c>
      <x:c r="B24" s="18" t="str">
        <x:v>Tu 2023</x:v>
      </x:c>
      <x:c r="C24" s="18" t="str">
        <x:v>**Postoperative pain intensity at 6–24h (PRIMARY)**: TEAS (n=57) median 2 (IQR 0.5 to 3) [Wan mean 1.83 ± 1.85] vs Sham TEAS (n=58) median 4 (IQR 3 to 4) [Wa...</x:v>
      </x:c>
      <x:c r="D24" s="18" t="str">
        <x:v>Opioid: `20.4±4.8 vs 33.1±7.0` 🚨 **[FABRICATED BOILERPLATE]**&lt;br&gt;Pain: `2.4±0.8 vs 3.8±1.1` 🚨 **[FABRICATED]**&lt;br&gt;PONV: `5/30 vs 12/30` 🚨 **[FABRICATED]**</x:v>
      </x:c>
      <x:c r="E24" s="18" t="str">
        <x:v>🟡 Verified with Corrections 🟠 Author Contact Needed</x:v>
      </x:c>
      <x:c r="F24" s="18" t="str">
        <x:v>REFERENCE ONLY — not authoritative unless source-confirmed</x:v>
      </x:c>
    </x:row>
    <x:row r="25">
      <x:c r="A25" s="18" t="str">
        <x:v>Sun 2017</x:v>
      </x:c>
      <x:c r="B25" s="18" t="str">
        <x:v>Sun 2017</x:v>
      </x:c>
      <x:c r="C25" s="18" t="str">
        <x:v>**Pain intensity on movement 24h (PRIMARY)**: Group TST (n=89) median 3.0 (IQR 3.0 to 4.0) [Wan mean 3.33 ± 0.74] vs Group SSS (n=90) median 4.0 (IQR 3.8 to ...</x:v>
      </x:c>
      <x:c r="D25" s="18" t="str">
        <x:v>Opioid: `1.5±0.4 vs 1.5±0.4`&lt;br&gt;Pain: `2.4±0.8 vs 3.8±1.1` 🚨 **[FABRICATED]**&lt;br&gt;PONV: `5/30 vs 12/30` 🚨 **[FABRICATED]**</x:v>
      </x:c>
      <x:c r="E25" s="18" t="str">
        <x:v>🟡 Verified with Corrections 🟠 Author Contact Needed</x:v>
      </x:c>
      <x:c r="F25" s="18" t="str">
        <x:v>REFERENCE ONLY — not authoritative unless source-confirmed</x:v>
      </x:c>
    </x:row>
    <x:row r="26">
      <x:c r="A26" s="18" t="str">
        <x:v>Sim 2002</x:v>
      </x:c>
      <x:c r="B26" s="18" t="str">
        <x:v>Sim 2002</x:v>
      </x:c>
      <x:c r="C26" s="18" t="str">
        <x:v>**Cumulative 24h postoperative PCA morphine consumption (PRIMARY)**: Group II Preop EA (n=30) 0.52 ± 0.19 mg/kg (31.20 ± 11.40 mg) vs Group I Placebo EA (n=3...</x:v>
      </x:c>
      <x:c r="D26" s="18" t="str">
        <x:v>Opioid: `0.52±0.19 vs 0.68±0.38`&lt;br&gt;Pain: `2.4±0.8 vs 3.8±1.1` 🚨 **[FABRICATED]**&lt;br&gt;PONV: `5/30 vs 12/30` 🚨 **[FABRICATED]**</x:v>
      </x:c>
      <x:c r="E26" s="18" t="str">
        <x:v>🟡 Verified with Corrections 🟠 Author Contact Needed</x:v>
      </x:c>
      <x:c r="F26" s="18" t="str">
        <x:v>REFERENCE ONLY — not authoritative unless source-confirmed</x:v>
      </x:c>
    </x:row>
    <x:row r="27">
      <x:c r="A27" s="18" t="str">
        <x:v>Seevaunnamtum 2016</x:v>
      </x:c>
      <x:c r="B27" s="18" t="str">
        <x:v>PraveenaSeevaunnamtum 2016</x:v>
      </x:c>
      <x:c r="C27" s="18" t="str">
        <x:v>**Cumulative 24h postoperative PCA morphine consumption (mg) (PRIMARY)**: EA Group (n=32) 21.38 ± 14.38 vs Control Group (n=32) 33.94 ± 20.24 (P = 0.006*) [M...</x:v>
      </x:c>
      <x:c r="D27" s="18" t="str">
        <x:v>Opioid: `20.4±4.8 vs 33.1±7.0` 🚨 **[FABRICATED BOILERPLATE]**&lt;br&gt;Pain: `2.4±0.8 vs 3.8±1.1` 🚨 **[FABRICATED]**&lt;br&gt;PONV: `5/30 vs 12/30` 🚨 **[FABRICATED]**</x:v>
      </x:c>
      <x:c r="E27" s="18" t="str">
        <x:v>🟡 Verified with Corrections 🟠 Author Contact Needed</x:v>
      </x:c>
      <x:c r="F27" s="18" t="str">
        <x:v>REFERENCE ONLY — not authoritative unless source-confirmed</x:v>
      </x:c>
    </x:row>
    <x:row r="28">
      <x:c r="A28" s="18" t="str">
        <x:v>Pan 2023</x:v>
      </x:c>
      <x:c r="B28" s="18" t="str">
        <x:v>Pan 2023</x:v>
      </x:c>
      <x:c r="C28" s="18" t="str">
        <x:v>**Pain intensity on movement 24h (PRIMARY)**: Group T (TEAS, n=52) median 2 (IQR 2, 3) [Wan mean 2.33 ± 0.74] vs Group C (Control, n=53) median 3 (IQR 3, 4) ...</x:v>
      </x:c>
      <x:c r="D28" s="18" t="str">
        <x:v>Opioid: `20.4±4.8 vs 33.1±7.0` 🚨 **[FABRICATED BOILERPLATE]**&lt;br&gt;Pain: `2.4±0.8 vs 3.8±1.1` 🚨 **[FABRICATED]**&lt;br&gt;PONV: `5/30 vs 12/30` 🚨 **[FABRICATED]**</x:v>
      </x:c>
      <x:c r="E28" s="18" t="str">
        <x:v>🟡 Verified with Corrections 🟠 Author Contact Needed</x:v>
      </x:c>
      <x:c r="F28" s="18" t="str">
        <x:v>REFERENCE ONLY — not authoritative unless source-confirmed</x:v>
      </x:c>
    </x:row>
    <x:row r="29">
      <x:c r="A29" s="18" t="str">
        <x:v>Ntritsou 2014</x:v>
      </x:c>
      <x:c r="B29" s="18" t="str">
        <x:v>Ntritsou 2014</x:v>
      </x:c>
      <x:c r="C29" s="18" t="str">
        <x:v>**Cumulative 24h postoperative tramadol consumption (mg) (PRIMARY)**: EA group (n=35) 443.7 ± 67.4 vs Sham group (n=35) 461.5 ± 63.2 (P = 0.257) [MD -17.80 m...</x:v>
      </x:c>
      <x:c r="D29" s="18" t="str">
        <x:v>Opioid: `443.7±67.4 vs 461.5±63.2`&lt;br&gt;Pain: `2.4±0.8 vs 3.8±1.1` 🚨 **[FABRICATED]**&lt;br&gt;PONV: `5/30 vs 12/30` 🚨 **[FABRICATED]**</x:v>
      </x:c>
      <x:c r="E29" s="18" t="str">
        <x:v>🟡 Verified with Corrections 🟠 Author Contact Needed</x:v>
      </x:c>
      <x:c r="F29" s="18" t="str">
        <x:v>REFERENCE ONLY — not authoritative unless source-confirmed</x:v>
      </x:c>
    </x:row>
    <x:row r="30">
      <x:c r="A30" s="18" t="str">
        <x:v>Ng 2013</x:v>
      </x:c>
      <x:c r="B30" s="18" t="str">
        <x:v>Ng 2012 / 2013</x:v>
      </x:c>
      <x:c r="C30" s="18" t="str">
        <x:v>**Pain intensity Day 1 (~24h point assessment) (PRIMARY)**: EA group (n=55) 5.6 ± 2.0 vs Sham group (n=55) 5.8 ± 1.9 vs Usual care (n=55) 5.5 ± 2.3 (P = 0.65...</x:v>
      </x:c>
      <x:c r="D30" s="18" t="str">
        <x:v>Opioid: `2.7±2.3 vs 5.2±4.7`&lt;br&gt;Pain: `2.4±0.8 vs 3.8±1.1` 🚨 **[FABRICATED]**&lt;br&gt;PONV: `5/30 vs 12/30` 🚨 **[FABRICATED]**</x:v>
      </x:c>
      <x:c r="E30" s="18" t="str">
        <x:v>🟡 Verified with Corrections 🟠 Author Contact Needed</x:v>
      </x:c>
      <x:c r="F30" s="18" t="str">
        <x:v>REFERENCE ONLY — not authoritative unless source-confirmed</x:v>
      </x:c>
    </x:row>
    <x:row r="31">
      <x:c r="A31" s="18" t="str">
        <x:v>Ma 2026</x:v>
      </x:c>
      <x:c r="B31" s="18" t="str">
        <x:v>Ma 2026</x:v>
      </x:c>
      <x:c r="C31" s="18" t="str">
        <x:v>**Resting NRS pain 24h (PRIMARY)**: Group T (TEAS, n=17) 1.76 ± 0.67 vs Group S (Control, n=16) 2.64 ± 0.72 (P &lt; 0.05) [MD -0.88, 95% CI -1.36 to -0.40]. **R...</x:v>
      </x:c>
      <x:c r="D31" s="18" t="str">
        <x:v>Opioid: `20.4±4.8 vs 33.1±7.0` 🚨 **[FABRICATED BOILERPLATE]**&lt;br&gt;Pain: `2.4±0.8 vs 3.8±1.1` 🚨 **[FABRICATED]**&lt;br&gt;PONV: `5/30 vs 12/30` 🚨 **[FABRICATED]**</x:v>
      </x:c>
      <x:c r="E31" s="18" t="str">
        <x:v>🟡 Verified with Corrections 🟠 Author Contact Needed</x:v>
      </x:c>
      <x:c r="F31" s="18" t="str">
        <x:v>REFERENCE ONLY — not authoritative unless source-confirmed</x:v>
      </x:c>
    </x:row>
    <x:row r="32">
      <x:c r="A32" s="18" t="str">
        <x:v>Lu 2021</x:v>
      </x:c>
      <x:c r="B32" s="18" t="str">
        <x:v>Lu 2021</x:v>
      </x:c>
      <x:c r="C32" s="18" t="str">
        <x:v>**Resting NRS pain 24h (PRIMARY)**: Combined TEAS (n=190) median 1.0 (IQR 0, 1.0) [Wan mean 1.0 ± 0.7] vs Single TEAS (n=198) median 0.9 (IQR 0, 1.3) [Wan me...</x:v>
      </x:c>
      <x:c r="D32" s="18" t="str">
        <x:v>Opioid: `20.4±4.8 vs 33.1±7.0` 🚨 **[FABRICATED BOILERPLATE]**&lt;br&gt;Pain: `2.4±0.8 vs 3.8±1.1` 🚨 **[FABRICATED]**&lt;br&gt;PONV: `5/30 vs 12/30` 🚨 **[FABRICATED]**</x:v>
      </x:c>
      <x:c r="E32" s="18" t="str">
        <x:v>🟡 Verified with Corrections 🟠 Author Contact Needed</x:v>
      </x:c>
      <x:c r="F32" s="18" t="str">
        <x:v>REFERENCE ONLY — not authoritative unless source-confirmed</x:v>
      </x:c>
    </x:row>
    <x:row r="33">
      <x:c r="A33" s="18" t="str">
        <x:v>Lu 2022</x:v>
      </x:c>
      <x:c r="B33" s="18" t="str">
        <x:v>Lu 2022</x:v>
      </x:c>
      <x:c r="C33" s="18" t="str">
        <x:v>**Resting VAS pain 24h (PRIMARY)**: TEAS group (n=47) median 2.2 (0.0, 10.0) [estimated mean 2.2 ± 2.5] vs Control group (n=47) median 1.2 (0.0, 8.1) [estima...</x:v>
      </x:c>
      <x:c r="D33" s="18" t="str">
        <x:v>Opioid: `20.4±4.8 vs 33.1±7.0` 🚨 **[FABRICATED BOILERPLATE]**&lt;br&gt;Pain: `2.4±0.8 vs 3.8±1.1` 🚨 **[FABRICATED]**&lt;br&gt;PONV: `5/30 vs 12/30` 🚨 **[FABRICATED]**</x:v>
      </x:c>
      <x:c r="E33" s="18" t="str">
        <x:v>🟡 Verified with Corrections 🟠 Author Contact Needed</x:v>
      </x:c>
      <x:c r="F33" s="18" t="str">
        <x:v>REFERENCE ONLY — not authoritative unless source-confirmed</x:v>
      </x:c>
    </x:row>
    <x:row r="34">
      <x:c r="A34" s="18" t="str">
        <x:v>Luo 2026</x:v>
      </x:c>
      <x:c r="B34" s="18" t="str">
        <x:v>Luo 2026</x:v>
      </x:c>
      <x:c r="C34" s="18" t="str">
        <x:v>**Postoperative pain NRS 24h (PRIMARY)**: TEAS group (n=138) 1.30 ± 0.92 vs Sham TEAS group (n=139) 1.65 ± 0.95 (P &lt; 0.01) [MD -0.35, 95% CI -0.57 to -0.13]....</x:v>
      </x:c>
      <x:c r="D34" s="18" t="str">
        <x:v>Opioid: `20.4±4.8 vs 33.1±7.0` 🚨 **[FABRICATED BOILERPLATE]**&lt;br&gt;Pain: `2.4±0.8 vs 3.8±1.1` 🚨 **[FABRICATED]**&lt;br&gt;PONV: `5/30 vs 12/30` 🚨 **[FABRICATED]**</x:v>
      </x:c>
      <x:c r="E34" s="18" t="str">
        <x:v>🟡 Verified with Corrections 🟠 Author Contact Needed</x:v>
      </x:c>
      <x:c r="F34" s="18" t="str">
        <x:v>REFERENCE ONLY — not authoritative unless source-confirmed</x:v>
      </x:c>
    </x:row>
    <x:row r="35">
      <x:c r="A35" s="18" t="str">
        <x:v>Long 2025</x:v>
      </x:c>
      <x:c r="B35" s="18" t="str">
        <x:v>Long 2025</x:v>
      </x:c>
      <x:c r="C35" s="18" t="str">
        <x:v>**Resting VAS pain 24h (PRIMARY)**: Group A (EA, n=27) 2.78 ± 0.97 vs Group C (Sham, n=26) 3.96 ± 0.96 (P &lt; 0.001) [MD -1.18, 95% CI -1.70 to -0.66]. **Resti...</x:v>
      </x:c>
      <x:c r="D35" s="18" t="str">
        <x:v>Opioid: `20.4±4.8 vs 33.1±7.0` 🚨 **[FABRICATED BOILERPLATE]**&lt;br&gt;Pain: `2.4±0.8 vs 3.8±1.1` 🚨 **[FABRICATED]**&lt;br&gt;PONV: `5/30 vs 12/30` 🚨 **[FABRICATED]**</x:v>
      </x:c>
      <x:c r="E35" s="18" t="str">
        <x:v>🟡 Verified with Corrections 🟠 Author Contact Needed</x:v>
      </x:c>
      <x:c r="F35" s="18" t="str">
        <x:v>REFERENCE ONLY — not authoritative unless source-confirmed</x:v>
      </x:c>
    </x:row>
    <x:row r="36">
      <x:c r="A36" s="18" t="str">
        <x:v>Li 2021</x:v>
      </x:c>
      <x:c r="B36" s="18" t="str">
        <x:v>Li 2021</x:v>
      </x:c>
      <x:c r="C36" s="18" t="str">
        <x:v>**Length of hospital stay (days)**: TEAS group (n=140) 6.2 ± 3.3 vs Sham TEAS group (n=140) 8.1 ± 3.6 (P &lt; 0.01) [MD -1.90, 95% CI -2.71 to -1.09]. **Postope...</x:v>
      </x:c>
      <x:c r="D36" s="18" t="str">
        <x:v>Opioid: `20.4±4.8 vs 33.1±7.0` 🚨 **[FABRICATED BOILERPLATE]**&lt;br&gt;Pain: `2.4±0.8 vs 3.8±1.1` 🚨 **[FABRICATED]**&lt;br&gt;PONV: `5/30 vs 12/30` 🚨 **[FABRICATED]**</x:v>
      </x:c>
      <x:c r="E36" s="18" t="str">
        <x:v>🟡 Verified with Corrections 🟠 Author Contact Needed</x:v>
      </x:c>
      <x:c r="F36" s="18" t="str">
        <x:v>REFERENCE ONLY — not authoritative unless source-confirmed</x:v>
      </x:c>
    </x:row>
    <x:row r="37">
      <x:c r="A37" s="18" t="str">
        <x:v>Liu 2026 (ESD)</x:v>
      </x:c>
      <x:c r="B37" s="18" t="str">
        <x:v>Liu 2025</x:v>
      </x:c>
      <x:c r="C37" s="18" t="str">
        <x:v>**Resting pain NRS 24h (PRIMARY)**: TEAS group (n=58) 1.2 ± 1.3 vs Sham TEAS group (n=62) 2.8 ± 1.9 (P &lt; 0.01) [MD -1.60, 95% CI -2.18 to -1.02]. **Resting p...</x:v>
      </x:c>
      <x:c r="D37" s="18" t="str">
        <x:v>Opioid: `20.4±4.8 vs 33.1±7.0` 🚨 **[FABRICATED BOILERPLATE]**&lt;br&gt;Pain: `2.4±0.8 vs 3.8±1.1` 🚨 **[FABRICATED]**&lt;br&gt;PONV: `5/30 vs 12/30` 🚨 **[FABRICATED]**</x:v>
      </x:c>
      <x:c r="E37" s="18" t="str">
        <x:v>🟡 Verified with Corrections 🟠 Author Contact Needed</x:v>
      </x:c>
      <x:c r="F37" s="18" t="str">
        <x:v>REFERENCE ONLY — not authoritative unless source-confirmed</x:v>
      </x:c>
    </x:row>
    <x:row r="38">
      <x:c r="A38" s="18" t="str">
        <x:v>Liu 2021</x:v>
      </x:c>
      <x:c r="B38" s="18" t="str">
        <x:v>Liu 2021</x:v>
      </x:c>
      <x:c r="C38" s="18" t="str">
        <x:v>**Resting VAS pain 24h (PRIMARY)**: TEAS group (n=50) 2.52 ± 0.505 vs Control group (n=50) 2.66 ± 0.626 (P = 0.221) [MD -0.14, 95% CI -0.36 to 0.08]. **Movem...</x:v>
      </x:c>
      <x:c r="D38" s="18" t="str">
        <x:v>Opioid: `20.4±4.8 vs 33.1±7.0` 🚨 **[FABRICATED BOILERPLATE]**&lt;br&gt;Pain: `2.4±0.8 vs 3.8±1.1` 🚨 **[FABRICATED]**&lt;br&gt;PONV: `5/30 vs 12/30` 🚨 **[FABRICATED]**</x:v>
      </x:c>
      <x:c r="E38" s="18" t="str">
        <x:v>🟡 Verified with Corrections 🟠 Author Contact Needed</x:v>
      </x:c>
      <x:c r="F38" s="18" t="str">
        <x:v>REFERENCE ONLY — not authoritative unless source-confirmed</x:v>
      </x:c>
    </x:row>
    <x:row r="39">
      <x:c r="A39" s="18" t="str">
        <x:v>Liu 2026 (burn)</x:v>
      </x:c>
      <x:c r="B39" s="18" t="str">
        <x:v>Liu 2026</x:v>
      </x:c>
      <x:c r="C39" s="18" t="str">
        <x:v>**Composite PONV 0-24h (PRIMARY)**: TEAS group (n=43) 7/43 (16.3%) vs Sham TEAS group (n=43) 16/43 (37.2%) (P = 0.028) [RR 0.44, 95% CI 0.20 to 0.96]. **Part...</x:v>
      </x:c>
      <x:c r="D39" s="18" t="str">
        <x:v>Opioid: `20.4±4.8 vs 33.1±7.0` 🚨 **[FABRICATED BOILERPLATE]**&lt;br&gt;Pain: `2.4±0.8 vs 3.8±1.1` 🚨 **[FABRICATED]**&lt;br&gt;PONV: `5/30 vs 12/30` 🚨 **[FABRICATED]**</x:v>
      </x:c>
      <x:c r="E39" s="18" t="str">
        <x:v>🟡 Verified with Corrections 🟠 Author Contact Needed</x:v>
      </x:c>
      <x:c r="F39" s="18" t="str">
        <x:v>REFERENCE ONLY — not authoritative unless source-confirmed</x:v>
      </x:c>
    </x:row>
    <x:row r="40">
      <x:c r="A40" s="18" t="str">
        <x:v>Liu 2025</x:v>
      </x:c>
      <x:c r="B40" s="18" t="str">
        <x:v>Liu 2025</x:v>
      </x:c>
      <x:c r="C40" s="18" t="str">
        <x:v>**Pain VAS 24h (PRIMARY)**: Depicted graphically in Figure 2 (~2.0/10 in both groups, requires author contact for numeric mean ± SD). **Intraop remifentanil ...</x:v>
      </x:c>
      <x:c r="D40" s="18" t="str">
        <x:v>Opioid: `20.4±4.8 vs 33.1±7.0` 🚨 **[FABRICATED BOILERPLATE]**&lt;br&gt;Pain: `2.4±0.8 vs 3.8±1.1` 🚨 **[FABRICATED]**&lt;br&gt;PONV: `5/30 vs 12/30` 🚨 **[FABRICATED]**</x:v>
      </x:c>
      <x:c r="E40" s="18" t="str">
        <x:v>🟡 Verified with Corrections 🟠 Author Contact Needed</x:v>
      </x:c>
      <x:c r="F40" s="18" t="str">
        <x:v>REFERENCE ONLY — not authoritative unless source-confirmed</x:v>
      </x:c>
    </x:row>
    <x:row r="41">
      <x:c r="A41" s="18" t="str">
        <x:v>Li 2022</x:v>
      </x:c>
      <x:c r="B41" s="18" t="str">
        <x:v>Li 2022</x:v>
      </x:c>
      <x:c r="C41" s="18" t="str">
        <x:v>**Pain NRS 24h (PRIMARY)**: EA group (n=39) median 1.5 (1.0-3.0) vs Sham EA group (n=40) median 1.6 (1.0-3.0) (P = 0.223) (requires author contact for parame...</x:v>
      </x:c>
      <x:c r="D41" s="18" t="str">
        <x:v>Opioid: `20.4±4.8 vs 33.1±7.0` 🚨 **[FABRICATED BOILERPLATE]**&lt;br&gt;Pain: `2.4±0.8 vs 3.8±1.1` 🚨 **[FABRICATED]**&lt;br&gt;PONV: `5/30 vs 12/30` 🚨 **[FABRICATED]**</x:v>
      </x:c>
      <x:c r="E41" s="18" t="str">
        <x:v>🟡 Verified with Corrections 🟠 Author Contact Needed</x:v>
      </x:c>
      <x:c r="F41" s="18" t="str">
        <x:v>REFERENCE ONLY — not authoritative unless source-confirmed</x:v>
      </x:c>
    </x:row>
    <x:row r="42">
      <x:c r="A42" s="18" t="str">
        <x:v>Lin 2002</x:v>
      </x:c>
      <x:c r="B42" s="18" t="str">
        <x:v>Lin 2002</x:v>
      </x:c>
      <x:c r="C42" s="18" t="str">
        <x:v>**Cumulative 24h PCA morphine (mg) (PRIMARY)**: High-EA 100 Hz (Group IV, n=25) 15.0 ± 10.7 mg vs Sham-EA (Group II, n=25) 30.2 ± 14.4 mg vs Control (Group I...</x:v>
      </x:c>
      <x:c r="D42" s="18" t="str">
        <x:v>Opioid: `38.1±16.0 vs 30.2±14.4`&lt;br&gt;Pain: `2.4±0.8 vs 3.8±1.1` 🚨 **[FABRICATED]**&lt;br&gt;PONV: `5/30 vs 12/30` 🚨 **[FABRICATED]**</x:v>
      </x:c>
      <x:c r="E42" s="18" t="str">
        <x:v>🟡 Verified with Corrections 🟠 Author Contact Needed</x:v>
      </x:c>
      <x:c r="F42" s="18" t="str">
        <x:v>REFERENCE ONLY — not authoritative unless source-confirmed</x:v>
      </x:c>
    </x:row>
    <x:row r="43">
      <x:c r="A43" s="18" t="str">
        <x:v>Liang 2021</x:v>
      </x:c>
      <x:c r="B43" s="18" t="str">
        <x:v>Liang 2021</x:v>
      </x:c>
      <x:c r="C43" s="18" t="str">
        <x:v>**QoR-40 at 24h (PRIMARY)**: TEAS group (n=35) 191.7 ± 4.4 vs Control group (n=35) 189.1 ± 4.3 (P = 0.007) [MD 2.6, 95% CI 0.6 to 4.6]. **QoR-40 at 48h**: TE...</x:v>
      </x:c>
      <x:c r="D43" s="18" t="str">
        <x:v>Opioid: `20.4±4.8 vs 33.1±7.0` 🚨 **[FABRICATED BOILERPLATE]**&lt;br&gt;Pain: `2.4±0.8 vs 3.8±1.1` 🚨 **[FABRICATED]**&lt;br&gt;PONV: `5/30 vs 12/30` 🚨 **[FABRICATED]**</x:v>
      </x:c>
      <x:c r="E43" s="18" t="str">
        <x:v>🟡 Verified with Corrections 🟠 Author Contact Needed</x:v>
      </x:c>
      <x:c r="F43" s="18" t="str">
        <x:v>REFERENCE ONLY — not authoritative unless source-confirmed</x:v>
      </x:c>
    </x:row>
    <x:row r="44">
      <x:c r="A44" s="18" t="str">
        <x:v>Lee 2011</x:v>
      </x:c>
      <x:c r="B44" s="18" t="str">
        <x:v>Lee 2011</x:v>
      </x:c>
      <x:c r="C44" s="18" t="str">
        <x:v>**Cumulative 24h PCA morphine (mg) (PRIMARY)**: Dense-sparse TEAS (Group 4, n=10) 29.29 ± 8.89 mg vs Sham TEAS (Group 2, n=12) 34.20 ± 6.40 mg vs Control (Gr...</x:v>
      </x:c>
      <x:c r="D44" s="18" t="str">
        <x:v>Opioid: `38.63±11.08 vs 34.20±6.40`&lt;br&gt;Pain: `2.4±0.8 vs 3.8±1.1` 🚨 **[FABRICATED]**&lt;br&gt;PONV: `5/30 vs 12/30` 🚨 **[FABRICATED]**</x:v>
      </x:c>
      <x:c r="E44" s="18" t="str">
        <x:v>🟡 Verified with Corrections</x:v>
      </x:c>
      <x:c r="F44" s="18" t="str">
        <x:v>REFERENCE ONLY — not authoritative unless source-confirmed</x:v>
      </x:c>
    </x:row>
    <x:row r="45">
      <x:c r="A45" s="18" t="str">
        <x:v>Jin 2023</x:v>
      </x:c>
      <x:c r="B45" s="18" t="str">
        <x:v>Jin 2022</x:v>
      </x:c>
      <x:c r="C45" s="18" t="str">
        <x:v>**Cumulative 24h PCIA fentanyl volume (mL) (PRIMARY)**: 2-Hz EA (n=53) 39.31 ± 15.58 mL vs 20/100-Hz EA (n=53) 45.72 ± 16.92 mL vs Sham EA (n=52) 56.54 ± 12....</x:v>
      </x:c>
      <x:c r="D45" s="18" t="str">
        <x:v>Opioid: `20.4±4.8 vs 33.1±7.0` 🚨 **[FABRICATED BOILERPLATE]**&lt;br&gt;Pain: `2.4±0.8 vs 3.8±1.1` 🚨 **[FABRICATED]**&lt;br&gt;PONV: `5/30 vs 12/30` 🚨 **[FABRICATED]**</x:v>
      </x:c>
      <x:c r="E45" s="18" t="str">
        <x:v>🟡 Verified with Corrections 🟠 Author Contact Needed</x:v>
      </x:c>
      <x:c r="F45" s="18" t="str">
        <x:v>REFERENCE ONLY — not authoritative unless source-confirmed</x:v>
      </x:c>
    </x:row>
    <x:row r="46">
      <x:c r="A46" s="18" t="str">
        <x:v>Jiang 2026</x:v>
      </x:c>
      <x:c r="B46" s="18" t="str">
        <x:v>Jiang 2026</x:v>
      </x:c>
      <x:c r="C46" s="18" t="str">
        <x:v>**24h PONV incidence (PRIMARY)**: TEAS group (n=294) 44/294 (15.0%) vs Sham-TEAS group (n=293) 67/293 (22.9%) (P = 0.015) [RR 0.59, 95% CI 0.39 to 0.90]. **T...</x:v>
      </x:c>
      <x:c r="D46" s="18" t="str">
        <x:v>Opioid: `20.4±4.8 vs 33.1±7.0` 🚨 **[FABRICATED BOILERPLATE]**&lt;br&gt;Pain: `2.4±0.8 vs 3.8±1.1` 🚨 **[FABRICATED]**&lt;br&gt;PONV: `5/30 vs 12/30` 🚨 **[FABRICATED]**</x:v>
      </x:c>
      <x:c r="E46" s="18" t="str">
        <x:v>🟡 Verified with Corrections 🟠 Author Contact Needed</x:v>
      </x:c>
      <x:c r="F46" s="18" t="str">
        <x:v>REFERENCE ONLY — not authoritative unless source-confirmed</x:v>
      </x:c>
    </x:row>
    <x:row r="47">
      <x:c r="A47" s="18" t="str">
        <x:v>Huang 2025</x:v>
      </x:c>
      <x:c r="B47" s="18" t="str">
        <x:v>Huang 2025</x:v>
      </x:c>
      <x:c r="C47" s="18" t="str">
        <x:v>**Time to first flatus (hours) (PRIMARY)**: EA group (n=43) 36.4 ± 8.0 vs Standard care group (n=45) 42.2 ± 8.5 (P &lt; 0.001) [MD -5.8 h, HR 1.9, 95% CI 1.2 to...</x:v>
      </x:c>
      <x:c r="D47" s="18" t="str">
        <x:v>Opioid: `20.4±4.8 vs 33.1±7.0` 🚨 **[FABRICATED BOILERPLATE]**&lt;br&gt;Pain: `2.4±0.8 vs 3.8±1.1` 🚨 **[FABRICATED]**&lt;br&gt;PONV: `5/30 vs 12/30` 🚨 **[FABRICATED]**</x:v>
      </x:c>
      <x:c r="E47" s="18" t="str">
        <x:v>🟡 Verified with Corrections 🟠 Author Contact Needed</x:v>
      </x:c>
      <x:c r="F47" s="18" t="str">
        <x:v>REFERENCE ONLY — not authoritative unless source-confirmed</x:v>
      </x:c>
    </x:row>
    <x:row r="48">
      <x:c r="A48" s="18" t="str">
        <x:v>Huang 2017</x:v>
      </x:c>
      <x:c r="B48" s="18" t="str">
        <x:v>Huang 2017</x:v>
      </x:c>
      <x:c r="C48" s="18" t="str">
        <x:v>**Intraop remifentanil (PRIMARY)**: Control (n=20) 0.1617 ± 0.037 µg/kg/min vs 2/100 Hz TEAS (n=20) 0.1128 ± 0.034 µg/kg/min (P &lt;= 0.001) [MD -0.0489]. **PAC...</x:v>
      </x:c>
      <x:c r="D48" s="18" t="str">
        <x:v>Opioid: `1.32±0.48 vs 1.67±0.59`&lt;br&gt;Pain: `2.4±0.8 vs 3.8±1.1` 🚨 **[FABRICATED]**&lt;br&gt;PONV: `5/30 vs 12/30` 🚨 **[FABRICATED]**</x:v>
      </x:c>
      <x:c r="E48" s="18" t="str">
        <x:v>🟡 Verified with Corrections 🟠 Author Contact Needed</x:v>
      </x:c>
      <x:c r="F48" s="18" t="str">
        <x:v>REFERENCE ONLY — not authoritative unless source-confirmed</x:v>
      </x:c>
    </x:row>
    <x:row r="49">
      <x:c r="A49" s="18" t="str">
        <x:v>Huang 2024</x:v>
      </x:c>
      <x:c r="B49" s="18" t="str">
        <x:v>Huang 2023</x:v>
      </x:c>
      <x:c r="C49" s="18" t="str">
        <x:v>**Pain VAS 24h movement (PRIMARY)**: Contralateral EA (n=38) 53.16 ± 9.99 vs Ipsilateral EA (n=38) 53.50 ± 10.79 vs Sham EA (n=38) 56.71 ± 9.84 (0-100 scale)...</x:v>
      </x:c>
      <x:c r="D49" s="18" t="str">
        <x:v>Opioid: `20.4±4.8 vs 33.1±7.0` 🚨 **[FABRICATED BOILERPLATE]**&lt;br&gt;Pain: `2.4±0.8 vs 3.8±1.1` 🚨 **[FABRICATED]**&lt;br&gt;PONV: `5/30 vs 12/30` 🚨 **[FABRICATED]**</x:v>
      </x:c>
      <x:c r="E49" s="18" t="str">
        <x:v>🟡 Verified with Corrections 🟠 Author Contact Needed</x:v>
      </x:c>
      <x:c r="F49" s="18" t="str">
        <x:v>REFERENCE ONLY — not authoritative unless source-confirmed</x:v>
      </x:c>
    </x:row>
    <x:row r="50">
      <x:c r="A50" s="18" t="str">
        <x:v>Hou 2023</x:v>
      </x:c>
      <x:c r="B50" s="18" t="str">
        <x:v>Hou 2023</x:v>
      </x:c>
      <x:c r="C50" s="18" t="str">
        <x:v>**PONV 0-24h (PRIMARY)**: TEAS group (n=36) 4/36 (11.1%) vs Sham TEAS group (n=36) 12/36 (33.3%) (P = 0.023) [RR 0.33, 95% CI 0.12 to 0.92]. **Participants r...</x:v>
      </x:c>
      <x:c r="D50" s="18" t="str">
        <x:v>Opioid: `20.4±4.8 vs 33.1±7.0` 🚨 **[FABRICATED BOILERPLATE]**&lt;br&gt;Pain: `2.4±0.8 vs 3.8±1.1` 🚨 **[FABRICATED]**&lt;br&gt;PONV: `5/30 vs 12/30` 🚨 **[FABRICATED]**</x:v>
      </x:c>
      <x:c r="E50" s="18" t="str">
        <x:v>🟡 Verified with Corrections 🟠 Author Contact Needed</x:v>
      </x:c>
      <x:c r="F50" s="18" t="str">
        <x:v>REFERENCE ONLY — not authoritative unless source-confirmed</x:v>
      </x:c>
    </x:row>
    <x:row r="51">
      <x:c r="A51" s="18" t="str">
        <x:v>He 2026 (hepatectomy/JIS)</x:v>
      </x:c>
      <x:c r="B51" s="18" t="str">
        <x:v>He 2026 (Hepatectomy)</x:v>
      </x:c>
      <x:c r="C51" s="18" t="str">
        <x:v>**Opioid 0-24h (PRIMARY)**: TEAS group (n=80) 20.0 ± 2.5 mg IV MME vs Control group (n=79) 20.6 ± 4.5 mg IV MME (P = 0.30) [MD -0.6 mg, 95% CI -1.7 to 0.5]. ...</x:v>
      </x:c>
      <x:c r="D51" s="18" t="str">
        <x:v>Opioid: `20.4±4.8 vs 33.1±7.0` 🚨 **[FABRICATED BOILERPLATE]**&lt;br&gt;Pain: `2.4±0.8 vs 3.8±1.1` 🚨 **[FABRICATED]**&lt;br&gt;PONV: `5/30 vs 12/30` 🚨 **[FABRICATED]**</x:v>
      </x:c>
      <x:c r="E51" s="18" t="str">
        <x:v>🟡 Verified with Corrections</x:v>
      </x:c>
      <x:c r="F51" s="18" t="str">
        <x:v>REFERENCE ONLY — not authoritative unless source-confirmed</x:v>
      </x:c>
    </x:row>
    <x:row r="52">
      <x:c r="A52" s="18" t="str">
        <x:v>He 2026 (breast/WJCO)</x:v>
      </x:c>
      <x:c r="B52" s="18" t="str">
        <x:v>He 2026</x:v>
      </x:c>
      <x:c r="C52" s="18" t="str">
        <x:v>**Pain VAS 24h at rest (PRIMARY)**: EA group (n=65) 1.789 ± 0.174 vs Control group (n=65) 2.692 ± 0.174 (P &lt; 0.01) [MD -0.903]. **Pain VAS 24h during movemen...</x:v>
      </x:c>
      <x:c r="D52" s="18" t="str">
        <x:v>Opioid: `20.4±4.8 vs 33.1±7.0` 🚨 **[FABRICATED BOILERPLATE]**&lt;br&gt;Pain: `2.4±0.8 vs 3.8±1.1` 🚨 **[FABRICATED]**&lt;br&gt;PONV: `5/30 vs 12/30` 🚨 **[FABRICATED]**</x:v>
      </x:c>
      <x:c r="E52" s="18" t="str">
        <x:v>🟡 Verified with Corrections 🟠 Author Contact Needed</x:v>
      </x:c>
      <x:c r="F52" s="18" t="str">
        <x:v>REFERENCE ONLY — not authoritative unless source-confirmed</x:v>
      </x:c>
    </x:row>
    <x:row r="53">
      <x:c r="A53" s="18" t="str">
        <x:v>Gu 2019</x:v>
      </x:c>
      <x:c r="B53" s="18" t="str">
        <x:v>Gu 2019</x:v>
      </x:c>
      <x:c r="C53" s="18" t="str">
        <x:v>**Pain VAS 24h at rest (PRIMARY)**: L-TEAS (n=58) 1.98 ± 0.39 vs C-TEAS (n=59) 2.72 ± 0.73 (P &lt; 0.05) [MD -0.74]. **PONV 0-24h (PRIMARY)**: L-TEAS 7/58 (12.1...</x:v>
      </x:c>
      <x:c r="D53" s="18" t="str">
        <x:v>Opioid: `10.02±2.26 vs 13.38±2.98`&lt;br&gt;Pain: `2.4±0.8 vs 3.8±1.1` 🚨 **[FABRICATED]**&lt;br&gt;PONV: `5/30 vs 12/30` 🚨 **[FABRICATED]**</x:v>
      </x:c>
      <x:c r="E53" s="18" t="str">
        <x:v>🟡 Verified with Corrections 🟠 Author Contact Needed</x:v>
      </x:c>
      <x:c r="F53" s="18" t="str">
        <x:v>REFERENCE ONLY — not authoritative unless source-confirmed</x:v>
      </x:c>
    </x:row>
    <x:row r="54">
      <x:c r="A54" s="18" t="str">
        <x:v>Guo 2023</x:v>
      </x:c>
      <x:c r="B54" s="18" t="str">
        <x:v>Guo 2023</x:v>
      </x:c>
      <x:c r="C54" s="18" t="str">
        <x:v>**Intraop remifentanil**: TEAS (n=55) 0.87 ± 0.30 mg vs Sham-TEAS (n=55) 1.01 ± 0.39 mg (P = 0.040). **Intraop sufentanil**: TEAS 29.42 ± 7.62 µg vs Sham-TEA...</x:v>
      </x:c>
      <x:c r="D54" s="18" t="str">
        <x:v>Opioid: `20.4±4.8 vs 33.1±7.0` 🚨 **[FABRICATED BOILERPLATE]**&lt;br&gt;Pain: `2.4±0.8 vs 3.8±1.1` 🚨 **[FABRICATED]**&lt;br&gt;PONV: `5/30 vs 12/30` 🚨 **[FABRICATED]**</x:v>
      </x:c>
      <x:c r="E54" s="18" t="str">
        <x:v>🟡 Verified with Corrections 🟠 Author Contact Needed</x:v>
      </x:c>
      <x:c r="F54" s="18" t="str">
        <x:v>REFERENCE ONLY — not authoritative unless source-confirmed</x:v>
      </x:c>
    </x:row>
    <x:row r="55">
      <x:c r="A55" s="18" t="str">
        <x:v>Grech 2016</x:v>
      </x:c>
      <x:c r="B55" s="18" t="str">
        <x:v>Grech 2016</x:v>
      </x:c>
      <x:c r="C55" s="18" t="str">
        <x:v>**Opioid 0-24h (PRIMARY)**: Measured-not-reported numerically in text/tables (graph-only in Fig 1, converted to missing_data: true, N=10 EA vs N=9 Control). ...</x:v>
      </x:c>
      <x:c r="D55" s="18" t="str">
        <x:v>Opioid: `48.15±2.45 vs 48.15±10.96` 🚨 **[AGE TRANSPOSED TO OPIOID]**&lt;br&gt;Pain: `2.4±0.8 vs 3.8±1.1` 🚨 **[FABRICATED]**&lt;br&gt;PONV: `5/30 vs 12/30` 🚨 **[FABRICATED]**</x:v>
      </x:c>
      <x:c r="E55" s="18" t="str">
        <x:v>🟡 Verified with Corrections 🟠 Author Contact Needed</x:v>
      </x:c>
      <x:c r="F55" s="18" t="str">
        <x:v>REFERENCE ONLY — not authoritative unless source-confirmed</x:v>
      </x:c>
    </x:row>
    <x:row r="56">
      <x:c r="A56" s="18" t="str">
        <x:v>Gao 2021</x:v>
      </x:c>
      <x:c r="B56" s="18" t="str">
        <x:v>Gao 2021</x:v>
      </x:c>
      <x:c r="C56" s="18" t="str">
        <x:v>**Opioid 0-24h (PRIMARY)**: Measured-not-reported (requires author contact). **Intraop sufentanil**: TEAS (n=303) 30.0 µg (IQR 25.0-35.0) [mean ~30.00 ± 7.41...</x:v>
      </x:c>
      <x:c r="D56" s="18" t="str">
        <x:v>Opioid: `20.4±4.8 vs 33.1±7.0` 🚨 **[FABRICATED BOILERPLATE]**&lt;br&gt;Pain: `2.4±0.8 vs 3.8±1.1` 🚨 **[FABRICATED]**&lt;br&gt;PONV: `5/30 vs 12/30` 🚨 **[FABRICATED]**</x:v>
      </x:c>
      <x:c r="E56" s="18" t="str">
        <x:v>🟡 Verified with Corrections 🟠 Author Contact Needed</x:v>
      </x:c>
      <x:c r="F56" s="18" t="str">
        <x:v>REFERENCE ONLY — not authoritative unless source-confirmed</x:v>
      </x:c>
    </x:row>
    <x:row r="57">
      <x:c r="A57" s="18" t="str">
        <x:v>El-Rakshy 2009</x:v>
      </x:c>
      <x:c r="B57" s="18" t="str">
        <x:v>El-Rakshy 2009</x:v>
      </x:c>
      <x:c r="C57" s="18" t="str">
        <x:v>**Opioid 0-24h (PRIMARY)**: PCA + acupuncture EA (n=42) 35.3 ± 18.0 mg morphine vs PCA alone (n=53) 36.9 ± 18.0 mg morphine (P = 0.961). **Opioid 0-4h**: EA ...</x:v>
      </x:c>
      <x:c r="D57" s="18" t="str">
        <x:v>Opioid: `36.9±18.0 vs 35.3±18.0`&lt;br&gt;Pain: `2.4±0.8 vs 3.8±1.1` 🚨 **[FABRICATED]**&lt;br&gt;PONV: `5/30 vs 12/30` 🚨 **[FABRICATED]**</x:v>
      </x:c>
      <x:c r="E57" s="18" t="str">
        <x:v>🟡 Verified with Corrections 🟠 Author Contact Needed</x:v>
      </x:c>
      <x:c r="F57" s="18" t="str">
        <x:v>REFERENCE ONLY — not authoritative unless source-confirmed</x:v>
      </x:c>
    </x:row>
    <x:row r="58">
      <x:c r="A58" s="18" t="str">
        <x:v>Coura 2011</x:v>
      </x:c>
      <x:c r="B58" s="18" t="str">
        <x:v>Coura 2011</x:v>
      </x:c>
      <x:c r="C58" s="18" t="str">
        <x:v>**Opioid 0-24h (PRIMARY)**: Treatment EA (n=13) 13.1 ± 2.2 µg/kg fentanyl vs Control Sham (n=9) 16.3 ± 1.6 µg/kg fentanyl (P &lt; 0.002) [PCA bolus: 4.1 ± 2.0 v...</x:v>
      </x:c>
      <x:c r="D58" s="18" t="str">
        <x:v>Opioid: `13.1±2.2 vs 16.3±1.6`&lt;br&gt;Pain: `2.4±0.8 vs 3.8±1.1` 🚨 **[FABRICATED]**&lt;br&gt;PONV: `5/30 vs 12/30` 🚨 **[FABRICATED]**</x:v>
      </x:c>
      <x:c r="E58" s="18" t="str">
        <x:v>🟡 Verified with Corrections 🟠 Author Contact Needed</x:v>
      </x:c>
      <x:c r="F58" s="18" t="str">
        <x:v>REFERENCE ONLY — not authoritative unless source-confirmed</x:v>
      </x:c>
    </x:row>
    <x:row r="59">
      <x:c r="A59" s="18" t="str">
        <x:v>Chen 1998</x:v>
      </x:c>
      <x:c r="B59" s="18" t="str">
        <x:v>Chen 1998</x:v>
      </x:c>
      <x:c r="C59" s="18" t="str">
        <x:v>**Opioid 0-24h (PRIMARY)**: Group IV Acupoint TEAS (n=25) 6.5 ± 3.5 mg hydromorphone vs Group I Sham TEAS (n=25) 10.7 ± 5.0 mg (P &lt; 0.05) [OME: 130 mg vs 214...</x:v>
      </x:c>
      <x:c r="D59" s="18" t="str">
        <x:v>Opioid: `6.5±3.5 vs 10.7±5.0`&lt;br&gt;Pain: `2.4±0.8 vs 3.8±1.1` 🚨 **[FABRICATED]**&lt;br&gt;PONV: `5/30 vs 12/30` 🚨 **[FABRICATED]**</x:v>
      </x:c>
      <x:c r="E59" s="18" t="str">
        <x:v>🟡 Verified with Corrections 🟠 Author Contact Needed</x:v>
      </x:c>
      <x:c r="F59" s="18" t="str">
        <x:v>REFERENCE ONLY — not authoritative unless source-confirmed</x:v>
      </x:c>
    </x:row>
    <x:row r="60">
      <x:c r="A60" s="18" t="str">
        <x:v>Chen 2020</x:v>
      </x:c>
      <x:c r="B60" s="18" t="str">
        <x:v>Chen 2020</x:v>
      </x:c>
      <x:c r="C60" s="18" t="str">
        <x:v>**Opioid 0-24h (PRIMARY)**: TEAS (n=40) 72.43 ± 4.78 µg sufentanil vs Sham TEAS (n=40) 100.62 ± 10.20 µg (P &lt; 0.001) [MD -28.19 µg]. **Opioid 0-48h**: TEAS 1...</x:v>
      </x:c>
      <x:c r="D60" s="18" t="str">
        <x:v>Opioid: `72.43±4.78 vs 100.62±10.20`&lt;br&gt;Pain: `2.4±0.8 vs 3.8±1.1` 🚨 **[FABRICATED]**&lt;br&gt;PONV: `5/30 vs 12/30` 🚨 **[FABRICATED]**</x:v>
      </x:c>
      <x:c r="E60" s="18" t="str">
        <x:v>🟢 Verified</x:v>
      </x:c>
      <x:c r="F60" s="18" t="str">
        <x:v>REFERENCE ONLY — not authoritative unless source-confirmed</x:v>
      </x:c>
    </x:row>
    <x:row r="61">
      <x:c r="A61" s="18" t="str">
        <x:v>Ao 2021</x:v>
      </x:c>
      <x:c r="B61" s="18" t="str">
        <x:v>Ao 2021</x:v>
      </x:c>
      <x:c r="C61" s="18" t="str">
        <x:v>**Opioid 0-48h**: TEAS (n=32) 102.8 ± 7.4 ml vs Sham TEAS (n=33) 120.6 ± 9.2 ml (sufentanil 1.5 µg/kg in 150 ml NS). **Opioid 0-24h**: Measured-not-reported ...</x:v>
      </x:c>
      <x:c r="D61" s="18" t="str">
        <x:v>Opioid: `102.8±7.4 vs 120.6±9.2`&lt;br&gt;Pain: `2.4±0.8 vs 3.8±1.1` 🚨 **[FABRICATED]**&lt;br&gt;PONV: `5/30 vs 12/30` 🚨 **[FABRICATED]**</x:v>
      </x:c>
      <x:c r="E61" s="18" t="str">
        <x:v>🟡 Verified with Corrections 🟠 Author Contact Needed</x:v>
      </x:c>
      <x:c r="F61" s="18" t="str">
        <x:v>REFERENCE ONLY — not authoritative unless source-confirmed</x:v>
      </x:c>
    </x:row>
    <x:row r="62">
      <x:c r="A62" s="18" t="str">
        <x:v>An 2014</x:v>
      </x:c>
      <x:c r="B62" s="18" t="str">
        <x:v>An 2014</x:v>
      </x:c>
      <x:c r="C62" s="18" t="str">
        <x:v>**Opioid 0-48h**: EA (n=41) 0.67 ± 0.09 mg fentanyl; Control (n=40) 0.73 ± 0.12 mg fentanyl. **Opioid 0-24h**: Measured-not-reported (requires author contact...</x:v>
      </x:c>
      <x:c r="D62" s="18" t="str">
        <x:v>Opioid: `null`&lt;br&gt;PONV: `6/41`</x:v>
      </x:c>
      <x:c r="E62" s="18" t="str">
        <x:v>🟡 Verified with Corrections 🟠 Author Contact Needed</x:v>
      </x:c>
      <x:c r="F62" s="18" t="str">
        <x:v>REFERENCE ONLY — not authoritative unless source-confirmed</x:v>
      </x:c>
    </x:row>
    <x:row r="63">
      <x:c r="A63" s="18" t="str">
        <x:v>Chen 2015</x:v>
      </x:c>
      <x:c r="B63" s="18" t="str">
        <x:v>Chen 2015</x:v>
      </x:c>
      <x:c r="C63" s="18" t="str">
        <x:v>**Opioid 0-24h (PRIMARY)**: TEAS (n=41) median 1 dose (IQR 1-3) [mean ~3.0 ± 2.96 mg morphine] vs Control (n=42) median 3.5 doses (IQR 2-7) [mean ~8.0 ± 7.41...</x:v>
      </x:c>
      <x:c r="D63" s="18" t="str">
        <x:v>Opioid: `2.6±0.7 vs 3.9±0.9`&lt;br&gt;Pain: `2.4±0.8 vs 3.8±1.1` 🚨 **[FABRICATED]**&lt;br&gt;PONV: `5/30 vs 12/30` 🚨 **[FABRICATED]**</x:v>
      </x:c>
      <x:c r="E63" s="18" t="str">
        <x:v>🟡 Verified with Corrections 🟠 Author Contact Needed</x:v>
      </x:c>
      <x:c r="F63" s="18" t="str">
        <x:v>REFERENCE ONLY — not authoritative unless source-confirmed</x:v>
      </x:c>
    </x:row>
    <x:row r="64">
      <x:c r="A64" s="18" t="str">
        <x:v>Chen 2015 (Hyperalgesia)</x:v>
      </x:c>
      <x:c r="B64" s="18" t="str">
        <x:v>Chen 2015 (Hyperalgesia)</x:v>
      </x:c>
      <x:c r="C64" s="18" t="str">
        <x:v>**Opioid 0-24h (PRIMARY)**: TEAS (n=29) median 3 boluses (IQR 2-4) [mean ~8.66 ± 4.27 µg sufentanil] vs Control median 7 boluses (IQR 6-8) [mean ~19.88 ± 4.2...</x:v>
      </x:c>
      <x:c r="D64" s="18" t="str">
        <x:v>Opioid: `41.9±9.9 vs 41.4±9.8`&lt;br&gt;Pain: `2.4±0.8 vs 3.8±1.1` 🚨 **[FABRICATED]**&lt;br&gt;PONV: `5/30 vs 12/30` 🚨 **[FABRICATED]**</x:v>
      </x:c>
      <x:c r="E64" s="18" t="str">
        <x:v>🟡 Verified with Corrections 🟠 Author Contact Needed</x:v>
      </x:c>
      <x:c r="F64" s="18" t="str">
        <x:v>REFERENCE ONLY — not authoritative unless source-confirmed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9de79e98189149b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4" max="4" width="18" hidden="0" customWidth="1"/>
    <x:col min="5" max="5" width="18" hidden="0" customWidth="1"/>
    <x:col min="3" max="3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Reconciliation Master — QC Dashboard</x:v>
      </x:c>
      <x:c r="B1" s="5"/>
      <x:c r="C1" s="5"/>
      <x:c r="D1" s="5"/>
      <x:c r="E1" s="5"/>
      <x:c r="F1" s="5"/>
      <x:c r="G1" s="5"/>
      <x:c r="H1" s="5"/>
    </x:row>
    <x:row r="3">
      <x:c r="A3" s="24" t="str">
        <x:v>Metric</x:v>
      </x:c>
      <x:c r="B3" s="24" t="str">
        <x:v>Count</x:v>
      </x:c>
      <x:c r="D3" s="24" t="str">
        <x:v>RoB replacement status</x:v>
      </x:c>
      <x:c r="E3" s="24" t="str">
        <x:v>Count</x:v>
      </x:c>
    </x:row>
    <x:row r="4">
      <x:c r="A4" s="18" t="str">
        <x:v>Canonical studies</x:v>
      </x:c>
      <x:c r="B4" s="18" t="n">
        <x:f>COUNTA(Study_Master!A2:A200)</x:f>
        <x:v>63</x:v>
      </x:c>
      <x:c r="D4" t="str">
        <x:v>FULL REPLACEMENT</x:v>
      </x:c>
      <x:c r="E4" t="n">
        <x:f>COUNTIF(Study_Master!C:C,"FULL REPLACEMENT")</x:f>
        <x:v>47</x:v>
      </x:c>
    </x:row>
    <x:row r="5">
      <x:c r="A5" s="18" t="str">
        <x:v>FULL REPLACEMENT</x:v>
      </x:c>
      <x:c r="B5" s="18" t="n">
        <x:f>COUNTIF(Study_Master!C:C,"FULL REPLACEMENT")</x:f>
        <x:v>47</x:v>
      </x:c>
      <x:c r="D5" t="str">
        <x:v>RE-ADJUDICATE</x:v>
      </x:c>
      <x:c r="E5" t="n">
        <x:f>COUNTIF(Study_Master!C:C,"RE-ADJUDICATE")</x:f>
        <x:v>4</x:v>
      </x:c>
    </x:row>
    <x:row r="6">
      <x:c r="A6" s="18" t="str">
        <x:v>RE-ADJUDICATE</x:v>
      </x:c>
      <x:c r="B6" s="18" t="n">
        <x:f>COUNTIF(Study_Master!C:C,"RE-ADJUDICATE")</x:f>
        <x:v>4</x:v>
      </x:c>
      <x:c r="D6" t="str">
        <x:v>SPECIAL / SOURCE-QC</x:v>
      </x:c>
      <x:c r="E6" t="n">
        <x:f>COUNTIF(Study_Master!C:C,"SPECIAL / SOURCE-QC")</x:f>
        <x:v>11</x:v>
      </x:c>
    </x:row>
    <x:row r="7">
      <x:c r="A7" s="18" t="str">
        <x:v>SPECIAL / SOURCE-QC</x:v>
      </x:c>
      <x:c r="B7" s="18" t="n">
        <x:f>COUNTIF(Study_Master!C:C,"SPECIAL / SOURCE-QC")</x:f>
        <x:v>11</x:v>
      </x:c>
      <x:c r="D7" t="str">
        <x:v>NO MATCHING RoB</x:v>
      </x:c>
      <x:c r="E7" t="n">
        <x:f>COUNTIF(Study_Master!C:C,"NO MATCHING RoB")</x:f>
        <x:v>1</x:v>
      </x:c>
    </x:row>
    <x:row r="8">
      <x:c r="A8" s="18" t="str">
        <x:v>NO MATCHING RoB</x:v>
      </x:c>
      <x:c r="B8" s="18" t="n">
        <x:f>COUNTIF(Study_Master!C:C,"NO MATCHING RoB")</x:f>
        <x:v>1</x:v>
      </x:c>
    </x:row>
    <x:row r="9">
      <x:c r="A9" s="18" t="str">
        <x:v>Known fabricated payload signatures</x:v>
      </x:c>
      <x:c r="B9" s="18" t="n">
        <x:f>COUNTIF(Study_Master!J:J,"Yes")</x:f>
        <x:v>61</x:v>
      </x:c>
    </x:row>
    <x:row r="10">
      <x:c r="A10" s="18" t="str">
        <x:v>Corrected selected RoB 2 complete</x:v>
      </x:c>
      <x:c r="B10" s="18" t="n">
        <x:f>COUNTIF(Study_Master!L:L,"Yes")</x:f>
        <x:v>63</x:v>
      </x:c>
    </x:row>
    <x:row r="11">
      <x:c r="A11" s="18" t="str">
        <x:v>Antigravity author-contact flags (not yet accepted as final)</x:v>
      </x:c>
      <x:c r="B11" s="18" t="n">
        <x:f>COUNTIF(Study_Master!K:K,"Yes")</x:f>
        <x:v>59</x:v>
      </x:c>
    </x:row>
    <x:row r="12">
      <x:c r="A12" t="str">
        <x:v>Source-normalized outcome rows</x:v>
      </x:c>
      <x:c r="B12" t="n">
        <x:f>COUNTA(Outcome_Data!A2:A500)</x:f>
        <x:v>261</x:v>
      </x:c>
    </x:row>
    <x:row r="13">
      <x:c r="A13" s="32" t="str">
        <x:v>Studies with ≥1 source-normalized outcome row</x:v>
      </x:c>
      <x:c r="B13" s="32" t="n">
        <x:f>COUNTIF(Study_Master!V2:V64,"&gt;0")</x:f>
        <x:v>63</x:v>
      </x:c>
      <x:c r="C13" s="32"/>
      <x:c r="D13" s="32"/>
      <x:c r="E13" s="32"/>
      <x:c r="F13" s="32"/>
      <x:c r="G13" s="32"/>
      <x:c r="H13" s="32"/>
    </x:row>
    <x:row r="14" ht="34" customHeight="1">
      <x:c r="A14" s="18" t="str">
        <x:v>Study-level source normalization complete</x:v>
      </x:c>
      <x:c r="B14" s="18" t="str">
        <x:f>IF(B13=63,"YES","NO")</x:f>
        <x:v>YES</x:v>
      </x:c>
      <x:c r="C14" s="18" t="str"/>
      <x:c r="D14" s="18" t="str"/>
      <x:c r="E14" s="18" t="str"/>
      <x:c r="F14" s="18" t="str"/>
      <x:c r="G14" s="18" t="str"/>
      <x:c r="H14" s="18" t="str"/>
    </x:row>
    <x:row r="15" ht="34" customHeight="1">
      <x:c r="A15" s="44" t="str">
        <x:v>Selected result-specific RoB 2 complete</x:v>
      </x:c>
      <x:c r="B15" s="44" t="str">
        <x:f>IF(B10=63,"YES","NO")</x:f>
        <x:v>YES</x:v>
      </x:c>
      <x:c r="C15" s="44" t="str"/>
      <x:c r="D15" s="44" t="str"/>
      <x:c r="E15" s="44" t="str"/>
      <x:c r="F15" s="44" t="str"/>
      <x:c r="G15" s="44" t="str"/>
      <x:c r="H15" s="44" t="str"/>
    </x:row>
    <x:row r="16" ht="30" customHeight="1">
      <x:c r="A16" s="18" t="str">
        <x:v>Studies on duplicate/overlap hold</x:v>
      </x:c>
      <x:c r="B16" s="18" t="n">
        <x:f>COUNTIF(Study_Master!P:P,"SOURCE-NORMALIZED — DUPLICATE/OVERLAP HOLD")</x:f>
        <x:v>2</x:v>
      </x:c>
      <x:c r="C16" s="18" t="str"/>
      <x:c r="D16" s="18" t="str"/>
      <x:c r="E16" s="18" t="str"/>
      <x:c r="F16" s="18" t="str"/>
      <x:c r="G16" s="18" t="str"/>
      <x:c r="H16" s="18" t="str"/>
    </x:row>
    <x:row r="17" ht="30" customHeight="1">
      <x:c r="A17" s="18" t="str">
        <x:v>Outcome rows carrying a QC/non-final status</x:v>
      </x:c>
      <x:c r="B17" s="18" t="n">
        <x:f>COUNTA(Outcome_Data!AL2:AL500)-COUNTIF(Outcome_Data!AL2:AL500,"SOURCE-VERIFIED")</x:f>
        <x:v>169</x:v>
      </x:c>
      <x:c r="C17" s="18" t="str"/>
      <x:c r="D17" s="18" t="str"/>
      <x:c r="E17" s="18" t="str"/>
      <x:c r="F17" s="18" t="str"/>
      <x:c r="G17" s="18" t="str"/>
      <x:c r="H17" s="18" t="str"/>
    </x:row>
    <x:row r="18" ht="30" customHeight="1">
      <x:c r="A18" s="18" t="str">
        <x:v>Studies still missing source-normalized outcome rows</x:v>
      </x:c>
      <x:c r="B18" s="18" t="n">
        <x:f>63-B13</x:f>
        <x:v>0</x:v>
      </x:c>
      <x:c r="C18" s="18"/>
      <x:c r="D18" s="18"/>
      <x:c r="E18" s="18"/>
      <x:c r="F18" s="18"/>
      <x:c r="G18" s="18"/>
      <x:c r="H18" s="18"/>
    </x:row>
    <x:row r="19" ht="30" customHeight="1">
      <x:c r="A19" s="18" t="str">
        <x:v>Studies still missing selected-result RoB 2</x:v>
      </x:c>
      <x:c r="B19" s="18" t="n">
        <x:f>63-B10</x:f>
        <x:v>0</x:v>
      </x:c>
      <x:c r="C19" s="18"/>
      <x:c r="D19" s="18"/>
      <x:c r="E19" s="18"/>
      <x:c r="F19" s="18"/>
      <x:c r="G19" s="18"/>
      <x:c r="H19" s="18"/>
    </x:row>
  </x:sheetData>
  <x:mergeCells>
    <x:mergeCell ref="A1:H1"/>
    <x:mergeCell ref="A13:H13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  <x:drawing xmlns:r="http://schemas.openxmlformats.org/officeDocument/2006/relationships" r:id="Re0be5bc058f2475e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30" hidden="0" customWidth="1"/>
    <x:col min="4" max="4" width="28" hidden="0" customWidth="1"/>
    <x:col min="5" max="5" width="18" hidden="0" customWidth="1"/>
    <x:col min="6" max="6" width="32" hidden="0" customWidth="1"/>
    <x:col min="7" max="7" width="24" hidden="0" customWidth="1"/>
    <x:col min="8" max="8" width="20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2" hidden="0" customWidth="1"/>
    <x:col min="14" max="14" width="11" hidden="0" customWidth="1"/>
    <x:col min="15" max="15" width="12" hidden="0" customWidth="1"/>
    <x:col min="16" max="16" width="11" hidden="0" customWidth="1"/>
    <x:col min="17" max="17" width="11" hidden="0" customWidth="1"/>
    <x:col min="18" max="18" width="12" hidden="0" customWidth="1"/>
    <x:col min="19" max="19" width="12" hidden="0" customWidth="1"/>
    <x:col min="20" max="20" width="11" hidden="0" customWidth="1"/>
    <x:col min="21" max="21" width="12" hidden="0" customWidth="1"/>
    <x:col min="22" max="22" width="11" hidden="0" customWidth="1"/>
    <x:col min="23" max="23" width="11" hidden="0" customWidth="1"/>
    <x:col min="24" max="24" width="12" hidden="0" customWidth="1"/>
    <x:col min="25" max="25" width="18" hidden="0" customWidth="1"/>
    <x:col min="26" max="26" width="14" hidden="0" customWidth="1"/>
    <x:col min="27" max="27" width="15" hidden="0" customWidth="1"/>
    <x:col min="28" max="28" width="15" hidden="0" customWidth="1"/>
    <x:col min="29" max="29" width="18" hidden="0" customWidth="1"/>
    <x:col min="30" max="30" width="14" hidden="0" customWidth="1"/>
    <x:col min="31" max="31" width="18" hidden="0" customWidth="1"/>
    <x:col min="32" max="32" width="20" hidden="0" customWidth="1"/>
    <x:col min="33" max="33" width="32" hidden="0" customWidth="1"/>
    <x:col min="34" max="34" width="24" hidden="0" customWidth="1"/>
    <x:col min="35" max="35" width="50" hidden="0" customWidth="1"/>
    <x:col min="36" max="36" width="28" hidden="0" customWidth="1"/>
    <x:col min="37" max="37" width="48" hidden="0" customWidth="1"/>
    <x:col min="38" max="38" width="26" hidden="0" customWidth="1"/>
  </x:cols>
  <x:sheetData>
    <x:row r="1">
      <x:c r="A1" s="41" t="str">
        <x:v>Canonical study</x:v>
      </x:c>
      <x:c r="B1" s="41" t="str">
        <x:v>Comparison ID</x:v>
      </x:c>
      <x:c r="C1" s="41" t="str">
        <x:v>Intervention arm</x:v>
      </x:c>
      <x:c r="D1" s="41" t="str">
        <x:v>Comparator arm</x:v>
      </x:c>
      <x:c r="E1" s="41" t="str">
        <x:v>Outcome family</x:v>
      </x:c>
      <x:c r="F1" s="41" t="str">
        <x:v>Outcome/result</x:v>
      </x:c>
      <x:c r="G1" s="41" t="str">
        <x:v>Timepoint/window</x:v>
      </x:c>
      <x:c r="H1" s="41" t="str">
        <x:v>Data type</x:v>
      </x:c>
      <x:c r="I1" s="41" t="str">
        <x:v>Randomized n intervention</x:v>
      </x:c>
      <x:c r="J1" s="41" t="str">
        <x:v>Randomized n comparator</x:v>
      </x:c>
      <x:c r="K1" s="41" t="str">
        <x:v>Analyzed n intervention</x:v>
      </x:c>
      <x:c r="L1" s="41" t="str">
        <x:v>Analyzed n comparator</x:v>
      </x:c>
      <x:c r="M1" s="41" t="str">
        <x:v>Mean intervention</x:v>
      </x:c>
      <x:c r="N1" s="41" t="str">
        <x:v>SD intervention</x:v>
      </x:c>
      <x:c r="O1" s="41" t="str">
        <x:v>Median intervention</x:v>
      </x:c>
      <x:c r="P1" s="41" t="str">
        <x:v>Q1 intervention</x:v>
      </x:c>
      <x:c r="Q1" s="41" t="str">
        <x:v>Q3 intervention</x:v>
      </x:c>
      <x:c r="R1" s="41" t="str">
        <x:v>Events intervention</x:v>
      </x:c>
      <x:c r="S1" s="41" t="str">
        <x:v>Mean comparator</x:v>
      </x:c>
      <x:c r="T1" s="41" t="str">
        <x:v>SD comparator</x:v>
      </x:c>
      <x:c r="U1" s="41" t="str">
        <x:v>Median comparator</x:v>
      </x:c>
      <x:c r="V1" s="41" t="str">
        <x:v>Q1 comparator</x:v>
      </x:c>
      <x:c r="W1" s="41" t="str">
        <x:v>Q3 comparator</x:v>
      </x:c>
      <x:c r="X1" s="41" t="str">
        <x:v>Events comparator</x:v>
      </x:c>
      <x:c r="Y1" s="41" t="str">
        <x:v>Unit/scale</x:v>
      </x:c>
      <x:c r="Z1" s="41" t="str">
        <x:v>Reported P</x:v>
      </x:c>
      <x:c r="AA1" s="41" t="str">
        <x:v>Directly reported?</x:v>
      </x:c>
      <x:c r="AB1" s="41" t="str">
        <x:v>Derived/converted?</x:v>
      </x:c>
      <x:c r="AC1" s="41" t="str">
        <x:v>Derived effect measure</x:v>
      </x:c>
      <x:c r="AD1" s="41" t="str">
        <x:v>Derived effect</x:v>
      </x:c>
      <x:c r="AE1" s="41" t="str">
        <x:v>Exact 0-24 h postoperative opioid?</x:v>
      </x:c>
      <x:c r="AF1" s="41" t="str">
        <x:v>Primary opioid meta-analysis eligible?</x:v>
      </x:c>
      <x:c r="AG1" s="41" t="str">
        <x:v>Other analysis eligibility</x:v>
      </x:c>
      <x:c r="AH1" s="41" t="str">
        <x:v>Shared-control / multi-arm issue</x:v>
      </x:c>
      <x:c r="AI1" s="41" t="str">
        <x:v>Source-QC issue</x:v>
      </x:c>
      <x:c r="AJ1" s="41" t="str">
        <x:v>Source location</x:v>
      </x:c>
      <x:c r="AK1" s="41" t="str">
        <x:v>Source PDF URL</x:v>
      </x:c>
      <x:c r="AL1" s="41" t="str">
        <x:v>Record status</x:v>
      </x:c>
    </x:row>
    <x:row r="2">
      <x:c r="A2" s="18" t="str">
        <x:v>Yang 2020</x:v>
      </x:c>
      <x:c r="B2" s="18" t="str">
        <x:v>YANG20_EA_vs_UC</x:v>
      </x:c>
      <x:c r="C2" s="18" t="str">
        <x:v>EA + usual care</x:v>
      </x:c>
      <x:c r="D2" s="18" t="str">
        <x:v>Usual care</x:v>
      </x:c>
      <x:c r="E2" s="18" t="str">
        <x:v>GI recovery</x:v>
      </x:c>
      <x:c r="F2" s="18" t="str">
        <x:v>Time to first postoperative flatus</x:v>
      </x:c>
      <x:c r="G2" s="18" t="str">
        <x:v>From surgery to first flatus</x:v>
      </x:c>
      <x:c r="H2" s="18" t="str">
        <x:v>Mean/SD</x:v>
      </x:c>
      <x:c r="I2" s="18" t="n">
        <x:v>30</x:v>
      </x:c>
      <x:c r="J2" s="18" t="n">
        <x:v>29</x:v>
      </x:c>
      <x:c r="K2" s="18" t="n">
        <x:v>29</x:v>
      </x:c>
      <x:c r="L2" s="18" t="n">
        <x:v>28</x:v>
      </x:c>
      <x:c r="M2" s="18" t="n">
        <x:v>20.8</x:v>
      </x:c>
      <x:c r="N2" s="18" t="n">
        <x:v>4.6</x:v>
      </x:c>
      <x:c r="O2" s="18"/>
      <x:c r="P2" s="18"/>
      <x:c r="Q2" s="18"/>
      <x:c r="R2" s="18"/>
      <x:c r="S2" s="18" t="n">
        <x:v>24.1</x:v>
      </x:c>
      <x:c r="T2" s="18" t="n">
        <x:v>6.2</x:v>
      </x:c>
      <x:c r="U2" s="18"/>
      <x:c r="V2" s="18"/>
      <x:c r="W2" s="18"/>
      <x:c r="X2" s="18"/>
      <x:c r="Y2" s="18" t="str">
        <x:v>hours</x:v>
      </x:c>
      <x:c r="Z2" s="18" t="str">
        <x:v>0.026</x:v>
      </x:c>
      <x:c r="AA2" s="18" t="str">
        <x:v>Yes</x:v>
      </x:c>
      <x:c r="AB2" s="18" t="str">
        <x:v>No</x:v>
      </x:c>
      <x:c r="AC2" s="18" t="str">
        <x:f>IF(H2="Mean/SD","MD",IF(H2="Events/total","RR",""))</x:f>
        <x:v>MD</x:v>
      </x:c>
      <x:c r="AD2" s="18" t="n">
        <x:f>IF(H2="Mean/SD",M2-S2,IF(H2="Events/total",IFERROR((R2/K2)/(X2/L2),""),""))</x:f>
        <x:v>-3.3000000000000007</x:v>
      </x:c>
      <x:c r="AE2" s="18" t="str">
        <x:v>No</x:v>
      </x:c>
      <x:c r="AF2" s="18" t="str">
        <x:v>No</x:v>
      </x:c>
      <x:c r="AG2" s="18" t="str">
        <x:v>Eligible for GI-recovery meta-analysis</x:v>
      </x:c>
      <x:c r="AH2" s="18" t="str">
        <x:v>No</x:v>
      </x:c>
      <x:c r="AI2" s="18" t="str">
        <x:v>Open-label; 2/59 excluded after randomization; participant-report contribution unclear</x:v>
      </x:c>
      <x:c r="AJ2" s="18" t="str">
        <x:v>GI recovery results/table</x:v>
      </x:c>
      <x:c r="AK2" s="18" t="str">
        <x:v>https://drive.google.com/file/d/1hsQR_K6W-5QNP4rqkVxHQaopRp4f1XF0/view?usp=drivesdk</x:v>
      </x:c>
      <x:c r="AL2" s="18" t="str">
        <x:v>SOURCE-VERIFIED</x:v>
      </x:c>
    </x:row>
    <x:row r="3">
      <x:c r="A3" s="18" t="str">
        <x:v>Seevaunnamtum 2016</x:v>
      </x:c>
      <x:c r="B3" s="18" t="str">
        <x:v>SEEVA16_EA_vs_UC</x:v>
      </x:c>
      <x:c r="C3" s="18" t="str">
        <x:v>Intraoperative EA</x:v>
      </x:c>
      <x:c r="D3" s="18" t="str">
        <x:v>Standard care</x:v>
      </x:c>
      <x:c r="E3" s="18" t="str">
        <x:v>Opioid consumption</x:v>
      </x:c>
      <x:c r="F3" s="18" t="str">
        <x:v>Cumulative IV PCA morphine requirement</x:v>
      </x:c>
      <x:c r="G3" s="18" t="str">
        <x:v>First 24 h postoperatively</x:v>
      </x:c>
      <x:c r="H3" s="18" t="str">
        <x:v>Mean/SD</x:v>
      </x:c>
      <x:c r="I3" s="18" t="n">
        <x:v>32</x:v>
      </x:c>
      <x:c r="J3" s="18" t="n">
        <x:v>32</x:v>
      </x:c>
      <x:c r="K3" s="18" t="n">
        <x:v>32</x:v>
      </x:c>
      <x:c r="L3" s="18" t="n">
        <x:v>32</x:v>
      </x:c>
      <x:c r="M3" s="18" t="n">
        <x:v>21.38</x:v>
      </x:c>
      <x:c r="N3" s="18" t="n">
        <x:v>14.38</x:v>
      </x:c>
      <x:c r="O3" s="18"/>
      <x:c r="P3" s="18"/>
      <x:c r="Q3" s="18"/>
      <x:c r="R3" s="18"/>
      <x:c r="S3" s="18" t="n">
        <x:v>33.94</x:v>
      </x:c>
      <x:c r="T3" s="18" t="n">
        <x:v>20.24</x:v>
      </x:c>
      <x:c r="U3" s="18"/>
      <x:c r="V3" s="18"/>
      <x:c r="W3" s="18"/>
      <x:c r="X3" s="18"/>
      <x:c r="Y3" s="18" t="str">
        <x:v>mg morphine</x:v>
      </x:c>
      <x:c r="Z3" s="18" t="str">
        <x:v>0.006</x:v>
      </x:c>
      <x:c r="AA3" s="18" t="str">
        <x:v>Yes</x:v>
      </x:c>
      <x:c r="AB3" s="18" t="str">
        <x:v>No</x:v>
      </x:c>
      <x:c r="AC3" s="18" t="str">
        <x:f>IF(H3="Mean/SD","MD",IF(H3="Events/total","RR",""))</x:f>
        <x:v>MD</x:v>
      </x:c>
      <x:c r="AD3" s="18" t="n">
        <x:f>IF(H3="Mean/SD",M3-S3,IF(H3="Events/total",IFERROR((R3/K3)/(X3/L3),""),""))</x:f>
        <x:v>-12.559999999999999</x:v>
      </x:c>
      <x:c r="AE3" s="18" t="str">
        <x:v>Yes</x:v>
      </x:c>
      <x:c r="AF3" s="18" t="str">
        <x:v>Yes</x:v>
      </x:c>
      <x:c r="AG3" s="18" t="str">
        <x:v>Primary continuous 24-h opioid outcome</x:v>
      </x:c>
      <x:c r="AH3" s="18" t="str">
        <x:v>No</x:v>
      </x:c>
      <x:c r="AI3" s="18" t="str">
        <x:v>No allocation-concealment method reported</x:v>
      </x:c>
      <x:c r="AJ3" s="18" t="str">
        <x:v>Table 2 / 24-h PCA morphine</x:v>
      </x:c>
      <x:c r="AK3" s="18" t="str">
        <x:v>https://drive.google.com/file/d/1OhuqhDUCEmOij7fZFhHHCJNwfQ9xpMzd/view?usp=drivesdk</x:v>
      </x:c>
      <x:c r="AL3" s="18" t="str">
        <x:v>SOURCE-VERIFIED</x:v>
      </x:c>
    </x:row>
    <x:row r="4">
      <x:c r="A4" s="18" t="str">
        <x:v>Lin 2002</x:v>
      </x:c>
      <x:c r="B4" s="18" t="str">
        <x:v>LIN02_HIGH_vs_CONTROL</x:v>
      </x:c>
      <x:c r="C4" s="18" t="str">
        <x:v>100-Hz EA</x:v>
      </x:c>
      <x:c r="D4" s="18" t="str">
        <x:v>Untreated control</x:v>
      </x:c>
      <x:c r="E4" s="18" t="str">
        <x:v>Opioid consumption</x:v>
      </x:c>
      <x:c r="F4" s="18" t="str">
        <x:v>Cumulative IV PCA morphine delivered during postoperative test period</x:v>
      </x:c>
      <x:c r="G4" s="18" t="str">
        <x:v>Postoperative hour 1 through next 23 h (published as 24-h test-period value)</x:v>
      </x:c>
      <x:c r="H4" s="18" t="str">
        <x:v>Mean/SD</x:v>
      </x:c>
      <x:c r="I4" s="18" t="n">
        <x:v>25</x:v>
      </x:c>
      <x:c r="J4" s="18" t="n">
        <x:v>25</x:v>
      </x:c>
      <x:c r="K4" s="18" t="n">
        <x:v>25</x:v>
      </x:c>
      <x:c r="L4" s="18" t="n">
        <x:v>25</x:v>
      </x:c>
      <x:c r="M4" s="18" t="n">
        <x:v>15</x:v>
      </x:c>
      <x:c r="N4" s="18" t="n">
        <x:v>10.7</x:v>
      </x:c>
      <x:c r="O4" s="18"/>
      <x:c r="P4" s="18"/>
      <x:c r="Q4" s="18"/>
      <x:c r="R4" s="18"/>
      <x:c r="S4" s="18" t="n">
        <x:v>38.1</x:v>
      </x:c>
      <x:c r="T4" s="18" t="n">
        <x:v>16</x:v>
      </x:c>
      <x:c r="U4" s="18"/>
      <x:c r="V4" s="18"/>
      <x:c r="W4" s="18"/>
      <x:c r="X4" s="18"/>
      <x:c r="Y4" s="18" t="str">
        <x:v>mg morphine</x:v>
      </x:c>
      <x:c r="Z4" s="18" t="str"/>
      <x:c r="AA4" s="18" t="str">
        <x:v>Yes</x:v>
      </x:c>
      <x:c r="AB4" s="18" t="str">
        <x:v>No</x:v>
      </x:c>
      <x:c r="AC4" s="18" t="str">
        <x:f>IF(H4="Mean/SD","MD",IF(H4="Events/total","RR",""))</x:f>
        <x:v>MD</x:v>
      </x:c>
      <x:c r="AD4" s="18" t="n">
        <x:f>IF(H4="Mean/SD",M4-S4,IF(H4="Events/total",IFERROR((R4/K4)/(X4/L4),""),""))</x:f>
        <x:v>-23.1</x:v>
      </x:c>
      <x:c r="AE4" s="18" t="str">
        <x:v>No</x:v>
      </x:c>
      <x:c r="AF4" s="18" t="str">
        <x:v>No</x:v>
      </x:c>
      <x:c r="AG4" s="18" t="str">
        <x:v>Usable as published PCA-morphine endpoint; not complete all-opioid 0-24 h exposure</x:v>
      </x:c>
      <x:c r="AH4" s="18" t="str">
        <x:v>Yes</x:v>
      </x:c>
      <x:c r="AI4" s="18" t="str">
        <x:v>First postoperative hour could include IM pethidine; group-specific pethidine exposure not reported</x:v>
      </x:c>
      <x:c r="AJ4" s="18" t="str">
        <x:v>Table 2</x:v>
      </x:c>
      <x:c r="AK4" s="18" t="str">
        <x:v>https://drive.google.com/file/d/1Q5dNOPkf4PB_ctbHu1_3v3UIMIJzKRw9/view?usp=drivesdk</x:v>
      </x:c>
      <x:c r="AL4" s="18" t="str">
        <x:v>SOURCE-VERIFIED</x:v>
      </x:c>
    </x:row>
    <x:row r="5">
      <x:c r="A5" s="18" t="str">
        <x:v>Lin 2002</x:v>
      </x:c>
      <x:c r="B5" s="18" t="str">
        <x:v>LIN02_LOW_vs_CONTROL</x:v>
      </x:c>
      <x:c r="C5" s="18" t="str">
        <x:v>2-Hz EA</x:v>
      </x:c>
      <x:c r="D5" s="18" t="str">
        <x:v>Untreated control</x:v>
      </x:c>
      <x:c r="E5" s="18" t="str">
        <x:v>Opioid consumption</x:v>
      </x:c>
      <x:c r="F5" s="18" t="str">
        <x:v>Cumulative IV PCA morphine delivered during postoperative test period</x:v>
      </x:c>
      <x:c r="G5" s="18" t="str">
        <x:v>Postoperative hour 1 through next 23 h (published as 24-h test-period value)</x:v>
      </x:c>
      <x:c r="H5" s="18" t="str">
        <x:v>Mean/SD</x:v>
      </x:c>
      <x:c r="I5" s="18" t="n">
        <x:v>25</x:v>
      </x:c>
      <x:c r="J5" s="18" t="n">
        <x:v>25</x:v>
      </x:c>
      <x:c r="K5" s="18" t="n">
        <x:v>25</x:v>
      </x:c>
      <x:c r="L5" s="18" t="n">
        <x:v>25</x:v>
      </x:c>
      <x:c r="M5" s="18" t="n">
        <x:v>21.8</x:v>
      </x:c>
      <x:c r="N5" s="18" t="n">
        <x:v>14.7</x:v>
      </x:c>
      <x:c r="O5" s="18"/>
      <x:c r="P5" s="18"/>
      <x:c r="Q5" s="18"/>
      <x:c r="R5" s="18"/>
      <x:c r="S5" s="18" t="n">
        <x:v>38.1</x:v>
      </x:c>
      <x:c r="T5" s="18" t="n">
        <x:v>16</x:v>
      </x:c>
      <x:c r="U5" s="18"/>
      <x:c r="V5" s="18"/>
      <x:c r="W5" s="18"/>
      <x:c r="X5" s="18"/>
      <x:c r="Y5" s="18" t="str">
        <x:v>mg morphine</x:v>
      </x:c>
      <x:c r="Z5" s="18" t="str"/>
      <x:c r="AA5" s="18" t="str">
        <x:v>Yes</x:v>
      </x:c>
      <x:c r="AB5" s="18" t="str">
        <x:v>No</x:v>
      </x:c>
      <x:c r="AC5" s="18" t="str">
        <x:f>IF(H5="Mean/SD","MD",IF(H5="Events/total","RR",""))</x:f>
        <x:v>MD</x:v>
      </x:c>
      <x:c r="AD5" s="18" t="n">
        <x:f>IF(H5="Mean/SD",M5-S5,IF(H5="Events/total",IFERROR((R5/K5)/(X5/L5),""),""))</x:f>
        <x:v>-16.3</x:v>
      </x:c>
      <x:c r="AE5" s="18" t="str">
        <x:v>No</x:v>
      </x:c>
      <x:c r="AF5" s="18" t="str">
        <x:v>No</x:v>
      </x:c>
      <x:c r="AG5" s="18" t="str">
        <x:v>Usable as published PCA-morphine endpoint; not complete all-opioid 0-24 h exposure</x:v>
      </x:c>
      <x:c r="AH5" s="18" t="str">
        <x:v>Yes</x:v>
      </x:c>
      <x:c r="AI5" s="18" t="str">
        <x:v>First postoperative hour could include IM pethidine; group-specific pethidine exposure not reported</x:v>
      </x:c>
      <x:c r="AJ5" s="18" t="str">
        <x:v>Table 2</x:v>
      </x:c>
      <x:c r="AK5" s="18" t="str">
        <x:v>https://drive.google.com/file/d/1Q5dNOPkf4PB_ctbHu1_3v3UIMIJzKRw9/view?usp=drivesdk</x:v>
      </x:c>
      <x:c r="AL5" s="18" t="str">
        <x:v>SOURCE-VERIFIED</x:v>
      </x:c>
    </x:row>
    <x:row r="6">
      <x:c r="A6" s="18" t="str">
        <x:v>Lin 2002</x:v>
      </x:c>
      <x:c r="B6" s="18" t="str">
        <x:v>LIN02_HIGH_vs_SHAM</x:v>
      </x:c>
      <x:c r="C6" s="18" t="str">
        <x:v>100-Hz EA</x:v>
      </x:c>
      <x:c r="D6" s="18" t="str">
        <x:v>Sham EA</x:v>
      </x:c>
      <x:c r="E6" s="18" t="str">
        <x:v>Opioid consumption</x:v>
      </x:c>
      <x:c r="F6" s="18" t="str">
        <x:v>Cumulative IV PCA morphine delivered during postoperative test period</x:v>
      </x:c>
      <x:c r="G6" s="18" t="str">
        <x:v>Postoperative hour 1 through next 23 h (published as 24-h test-period value)</x:v>
      </x:c>
      <x:c r="H6" s="18" t="str">
        <x:v>Mean/SD</x:v>
      </x:c>
      <x:c r="I6" s="18" t="n">
        <x:v>25</x:v>
      </x:c>
      <x:c r="J6" s="18" t="n">
        <x:v>25</x:v>
      </x:c>
      <x:c r="K6" s="18" t="n">
        <x:v>25</x:v>
      </x:c>
      <x:c r="L6" s="18" t="n">
        <x:v>25</x:v>
      </x:c>
      <x:c r="M6" s="18" t="n">
        <x:v>15</x:v>
      </x:c>
      <x:c r="N6" s="18" t="n">
        <x:v>10.7</x:v>
      </x:c>
      <x:c r="O6" s="18"/>
      <x:c r="P6" s="18"/>
      <x:c r="Q6" s="18"/>
      <x:c r="R6" s="18"/>
      <x:c r="S6" s="18" t="n">
        <x:v>30.2</x:v>
      </x:c>
      <x:c r="T6" s="18" t="n">
        <x:v>14.4</x:v>
      </x:c>
      <x:c r="U6" s="18"/>
      <x:c r="V6" s="18"/>
      <x:c r="W6" s="18"/>
      <x:c r="X6" s="18"/>
      <x:c r="Y6" s="18" t="str">
        <x:v>mg morphine</x:v>
      </x:c>
      <x:c r="Z6" s="18" t="str"/>
      <x:c r="AA6" s="18" t="str">
        <x:v>Yes</x:v>
      </x:c>
      <x:c r="AB6" s="18" t="str">
        <x:v>No</x:v>
      </x:c>
      <x:c r="AC6" s="18" t="str">
        <x:f>IF(H6="Mean/SD","MD",IF(H6="Events/total","RR",""))</x:f>
        <x:v>MD</x:v>
      </x:c>
      <x:c r="AD6" s="18" t="n">
        <x:f>IF(H6="Mean/SD",M6-S6,IF(H6="Events/total",IFERROR((R6/K6)/(X6/L6),""),""))</x:f>
        <x:v>-15.2</x:v>
      </x:c>
      <x:c r="AE6" s="18" t="str">
        <x:v>No</x:v>
      </x:c>
      <x:c r="AF6" s="18" t="str">
        <x:v>No</x:v>
      </x:c>
      <x:c r="AG6" s="18" t="str">
        <x:v>Usable as published PCA-morphine endpoint; not complete all-opioid 0-24 h exposure</x:v>
      </x:c>
      <x:c r="AH6" s="18" t="str">
        <x:v>Yes</x:v>
      </x:c>
      <x:c r="AI6" s="18" t="str">
        <x:v>First postoperative hour could include IM pethidine; group-specific pethidine exposure not reported</x:v>
      </x:c>
      <x:c r="AJ6" s="18" t="str">
        <x:v>Table 2</x:v>
      </x:c>
      <x:c r="AK6" s="18" t="str">
        <x:v>https://drive.google.com/file/d/1Q5dNOPkf4PB_ctbHu1_3v3UIMIJzKRw9/view?usp=drivesdk</x:v>
      </x:c>
      <x:c r="AL6" s="18" t="str">
        <x:v>SOURCE-VERIFIED</x:v>
      </x:c>
    </x:row>
    <x:row r="7">
      <x:c r="A7" s="18" t="str">
        <x:v>Lin 2002</x:v>
      </x:c>
      <x:c r="B7" s="18" t="str">
        <x:v>LIN02_LOW_vs_SHAM</x:v>
      </x:c>
      <x:c r="C7" s="18" t="str">
        <x:v>2-Hz EA</x:v>
      </x:c>
      <x:c r="D7" s="18" t="str">
        <x:v>Sham EA</x:v>
      </x:c>
      <x:c r="E7" s="18" t="str">
        <x:v>Opioid consumption</x:v>
      </x:c>
      <x:c r="F7" s="18" t="str">
        <x:v>Cumulative IV PCA morphine delivered during postoperative test period</x:v>
      </x:c>
      <x:c r="G7" s="18" t="str">
        <x:v>Postoperative hour 1 through next 23 h (published as 24-h test-period value)</x:v>
      </x:c>
      <x:c r="H7" s="18" t="str">
        <x:v>Mean/SD</x:v>
      </x:c>
      <x:c r="I7" s="18" t="n">
        <x:v>25</x:v>
      </x:c>
      <x:c r="J7" s="18" t="n">
        <x:v>25</x:v>
      </x:c>
      <x:c r="K7" s="18" t="n">
        <x:v>25</x:v>
      </x:c>
      <x:c r="L7" s="18" t="n">
        <x:v>25</x:v>
      </x:c>
      <x:c r="M7" s="18" t="n">
        <x:v>21.8</x:v>
      </x:c>
      <x:c r="N7" s="18" t="n">
        <x:v>14.7</x:v>
      </x:c>
      <x:c r="O7" s="18"/>
      <x:c r="P7" s="18"/>
      <x:c r="Q7" s="18"/>
      <x:c r="R7" s="18"/>
      <x:c r="S7" s="18" t="n">
        <x:v>30.2</x:v>
      </x:c>
      <x:c r="T7" s="18" t="n">
        <x:v>14.4</x:v>
      </x:c>
      <x:c r="U7" s="18"/>
      <x:c r="V7" s="18"/>
      <x:c r="W7" s="18"/>
      <x:c r="X7" s="18"/>
      <x:c r="Y7" s="18" t="str">
        <x:v>mg morphine</x:v>
      </x:c>
      <x:c r="Z7" s="18" t="str"/>
      <x:c r="AA7" s="18" t="str">
        <x:v>Yes</x:v>
      </x:c>
      <x:c r="AB7" s="18" t="str">
        <x:v>No</x:v>
      </x:c>
      <x:c r="AC7" s="18" t="str">
        <x:f>IF(H7="Mean/SD","MD",IF(H7="Events/total","RR",""))</x:f>
        <x:v>MD</x:v>
      </x:c>
      <x:c r="AD7" s="18" t="n">
        <x:f>IF(H7="Mean/SD",M7-S7,IF(H7="Events/total",IFERROR((R7/K7)/(X7/L7),""),""))</x:f>
        <x:v>-8.399999999999999</x:v>
      </x:c>
      <x:c r="AE7" s="18" t="str">
        <x:v>No</x:v>
      </x:c>
      <x:c r="AF7" s="18" t="str">
        <x:v>No</x:v>
      </x:c>
      <x:c r="AG7" s="18" t="str">
        <x:v>Usable as published PCA-morphine endpoint; not complete all-opioid 0-24 h exposure</x:v>
      </x:c>
      <x:c r="AH7" s="18" t="str">
        <x:v>Yes</x:v>
      </x:c>
      <x:c r="AI7" s="18" t="str">
        <x:v>First postoperative hour could include IM pethidine; group-specific pethidine exposure not reported</x:v>
      </x:c>
      <x:c r="AJ7" s="18" t="str">
        <x:v>Table 2</x:v>
      </x:c>
      <x:c r="AK7" s="18" t="str">
        <x:v>https://drive.google.com/file/d/1Q5dNOPkf4PB_ctbHu1_3v3UIMIJzKRw9/view?usp=drivesdk</x:v>
      </x:c>
      <x:c r="AL7" s="18" t="str">
        <x:v>SOURCE-VERIFIED</x:v>
      </x:c>
    </x:row>
    <x:row r="8">
      <x:c r="A8" s="18" t="str">
        <x:v>Yao 2015</x:v>
      </x:c>
      <x:c r="B8" s="18" t="str">
        <x:v>YAO15_TEAS_vs_CONTROL</x:v>
      </x:c>
      <x:c r="C8" s="18" t="str">
        <x:v>Preoperative TEAS</x:v>
      </x:c>
      <x:c r="D8" s="18" t="str">
        <x:v>Control/no current</x:v>
      </x:c>
      <x:c r="E8" s="18" t="str">
        <x:v>Quality of recovery</x:v>
      </x:c>
      <x:c r="F8" s="18" t="str">
        <x:v>Global QoR-40</x:v>
      </x:c>
      <x:c r="G8" s="18" t="str">
        <x:v>24 h postoperatively</x:v>
      </x:c>
      <x:c r="H8" s="18" t="str">
        <x:v>Mean/SD</x:v>
      </x:c>
      <x:c r="I8" s="18" t="n">
        <x:v>37</x:v>
      </x:c>
      <x:c r="J8" s="18" t="n">
        <x:v>37</x:v>
      </x:c>
      <x:c r="K8" s="18" t="n">
        <x:v>35</x:v>
      </x:c>
      <x:c r="L8" s="18" t="n">
        <x:v>36</x:v>
      </x:c>
      <x:c r="M8" s="18" t="n">
        <x:v>176.5</x:v>
      </x:c>
      <x:c r="N8" s="18" t="n">
        <x:v>10.2</x:v>
      </x:c>
      <x:c r="O8" s="18"/>
      <x:c r="P8" s="18"/>
      <x:c r="Q8" s="18"/>
      <x:c r="R8" s="18"/>
      <x:c r="S8" s="18" t="n">
        <x:v>164.8</x:v>
      </x:c>
      <x:c r="T8" s="18" t="n">
        <x:v>14.7</x:v>
      </x:c>
      <x:c r="U8" s="18"/>
      <x:c r="V8" s="18"/>
      <x:c r="W8" s="18"/>
      <x:c r="X8" s="18"/>
      <x:c r="Y8" s="18" t="str">
        <x:v>QoR-40 points</x:v>
      </x:c>
      <x:c r="Z8" s="18" t="str">
        <x:v>&lt;0.001</x:v>
      </x:c>
      <x:c r="AA8" s="18" t="str">
        <x:v>Yes</x:v>
      </x:c>
      <x:c r="AB8" s="18" t="str">
        <x:v>No</x:v>
      </x:c>
      <x:c r="AC8" s="18" t="str">
        <x:f>IF(H8="Mean/SD","MD",IF(H8="Events/total","RR",""))</x:f>
        <x:v>MD</x:v>
      </x:c>
      <x:c r="AD8" s="18" t="n">
        <x:f>IF(H8="Mean/SD",M8-S8,IF(H8="Events/total",IFERROR((R8/K8)/(X8/L8),""),""))</x:f>
        <x:v>11.699999999999989</x:v>
      </x:c>
      <x:c r="AE8" s="18" t="str">
        <x:v>No</x:v>
      </x:c>
      <x:c r="AF8" s="18" t="str">
        <x:v>No</x:v>
      </x:c>
      <x:c r="AG8" s="18" t="str">
        <x:v>Eligible for QoR meta-analysis</x:v>
      </x:c>
      <x:c r="AH8" s="18" t="str">
        <x:v>No</x:v>
      </x:c>
      <x:c r="AI8" s="18" t="str">
        <x:v>3 post-randomization exclusions; active sensory stimulation vs zero-current control</x:v>
      </x:c>
      <x:c r="AJ8" s="18" t="str">
        <x:v>24-h QoR-40 result</x:v>
      </x:c>
      <x:c r="AK8" s="18" t="str">
        <x:v>https://drive.google.com/file/d/1OhcqPgP7chnaiBaZBPBAy4PQlSFMelfh/view?usp=drivesdk</x:v>
      </x:c>
      <x:c r="AL8" s="18" t="str">
        <x:v>SOURCE-VERIFIED</x:v>
      </x:c>
    </x:row>
    <x:row r="9">
      <x:c r="A9" s="18" t="str">
        <x:v>Yu 2020</x:v>
      </x:c>
      <x:c r="B9" s="18" t="str">
        <x:v>YU20_TEAS_vs_CONTROL</x:v>
      </x:c>
      <x:c r="C9" s="18" t="str">
        <x:v>Preoperative TEAS</x:v>
      </x:c>
      <x:c r="D9" s="18" t="str">
        <x:v>Control/no current</x:v>
      </x:c>
      <x:c r="E9" s="18" t="str">
        <x:v>Quality of recovery</x:v>
      </x:c>
      <x:c r="F9" s="18" t="str">
        <x:v>Global QoR-40</x:v>
      </x:c>
      <x:c r="G9" s="18" t="str">
        <x:v>Postoperative day 1 (~24 h)</x:v>
      </x:c>
      <x:c r="H9" s="18" t="str">
        <x:v>Mean/SD</x:v>
      </x:c>
      <x:c r="I9" s="18" t="n">
        <x:v>30</x:v>
      </x:c>
      <x:c r="J9" s="18" t="n">
        <x:v>30</x:v>
      </x:c>
      <x:c r="K9" s="18" t="n">
        <x:v>30</x:v>
      </x:c>
      <x:c r="L9" s="18" t="n">
        <x:v>30</x:v>
      </x:c>
      <x:c r="M9" s="18" t="n">
        <x:v>175.33</x:v>
      </x:c>
      <x:c r="N9" s="18" t="n">
        <x:v>9.66</x:v>
      </x:c>
      <x:c r="O9" s="18"/>
      <x:c r="P9" s="18"/>
      <x:c r="Q9" s="18"/>
      <x:c r="R9" s="18"/>
      <x:c r="S9" s="18" t="n">
        <x:v>166.07</x:v>
      </x:c>
      <x:c r="T9" s="18" t="n">
        <x:v>8.44</x:v>
      </x:c>
      <x:c r="U9" s="18"/>
      <x:c r="V9" s="18"/>
      <x:c r="W9" s="18"/>
      <x:c r="X9" s="18"/>
      <x:c r="Y9" s="18" t="str">
        <x:v>QoR-40 points</x:v>
      </x:c>
      <x:c r="Z9" s="18" t="str">
        <x:v>0.040</x:v>
      </x:c>
      <x:c r="AA9" s="18" t="str">
        <x:v>Yes</x:v>
      </x:c>
      <x:c r="AB9" s="18" t="str">
        <x:v>No</x:v>
      </x:c>
      <x:c r="AC9" s="18" t="str">
        <x:f>IF(H9="Mean/SD","MD",IF(H9="Events/total","RR",""))</x:f>
        <x:v>MD</x:v>
      </x:c>
      <x:c r="AD9" s="18" t="n">
        <x:f>IF(H9="Mean/SD",M9-S9,IF(H9="Events/total",IFERROR((R9/K9)/(X9/L9),""),""))</x:f>
        <x:v>9.26000000000002</x:v>
      </x:c>
      <x:c r="AE9" s="18" t="str">
        <x:v>No</x:v>
      </x:c>
      <x:c r="AF9" s="18" t="str">
        <x:v>No</x:v>
      </x:c>
      <x:c r="AG9" s="18" t="str">
        <x:v>Eligible for QoR meta-analysis</x:v>
      </x:c>
      <x:c r="AH9" s="18" t="str">
        <x:v>No</x:v>
      </x:c>
      <x:c r="AI9" s="18" t="str">
        <x:v>Retrospective registration; article has internal intervention-parameter discrepancy</x:v>
      </x:c>
      <x:c r="AJ9" s="18" t="str">
        <x:v>POD1 QoR-40 result</x:v>
      </x:c>
      <x:c r="AK9" s="18" t="str">
        <x:v>https://drive.google.com/file/d/1fXpHc9FzhpPCkXto8c5lfcLoA3ROdOEz/view?usp=drivesdk</x:v>
      </x:c>
      <x:c r="AL9" s="18" t="str">
        <x:v>SOURCE-VERIFIED</x:v>
      </x:c>
    </x:row>
    <x:row r="10">
      <x:c r="A10" s="18" t="str">
        <x:v>Pan 2023</x:v>
      </x:c>
      <x:c r="B10" s="18" t="str">
        <x:v>PAN23_TEAS_vs_CONTROL</x:v>
      </x:c>
      <x:c r="C10" s="18" t="str">
        <x:v>TEAS</x:v>
      </x:c>
      <x:c r="D10" s="18" t="str">
        <x:v>Control/usual care</x:v>
      </x:c>
      <x:c r="E10" s="18" t="str">
        <x:v>GI recovery</x:v>
      </x:c>
      <x:c r="F10" s="18" t="str">
        <x:v>Time to first postoperative flatus</x:v>
      </x:c>
      <x:c r="G10" s="18" t="str">
        <x:v>Postoperative recovery endpoint</x:v>
      </x:c>
      <x:c r="H10" s="18" t="str">
        <x:v>Median/IQR</x:v>
      </x:c>
      <x:c r="I10" s="18" t="n">
        <x:v>60</x:v>
      </x:c>
      <x:c r="J10" s="18" t="n">
        <x:v>60</x:v>
      </x:c>
      <x:c r="K10" s="18" t="n">
        <x:v>52</x:v>
      </x:c>
      <x:c r="L10" s="18" t="n">
        <x:v>53</x:v>
      </x:c>
      <x:c r="M10" s="18"/>
      <x:c r="N10" s="18"/>
      <x:c r="O10" s="18" t="n">
        <x:v>1020</x:v>
      </x:c>
      <x:c r="P10" s="18" t="n">
        <x:v>675.8</x:v>
      </x:c>
      <x:c r="Q10" s="18" t="n">
        <x:v>1278</x:v>
      </x:c>
      <x:c r="R10" s="18"/>
      <x:c r="S10" s="18"/>
      <x:c r="T10" s="18"/>
      <x:c r="U10" s="18" t="n">
        <x:v>1210</x:v>
      </x:c>
      <x:c r="V10" s="18" t="n">
        <x:v>896.5</x:v>
      </x:c>
      <x:c r="W10" s="18" t="n">
        <x:v>1427</x:v>
      </x:c>
      <x:c r="X10" s="18"/>
      <x:c r="Y10" s="18" t="str">
        <x:v>minutes</x:v>
      </x:c>
      <x:c r="Z10" s="18" t="str">
        <x:v>0.01</x:v>
      </x:c>
      <x:c r="AA10" s="18" t="str">
        <x:v>Yes</x:v>
      </x:c>
      <x:c r="AB10" s="18" t="str">
        <x:v>No</x:v>
      </x:c>
      <x:c r="AC10" s="18" t="str">
        <x:f>IF(H10="Mean/SD","MD",IF(H10="Events/total","RR",""))</x:f>
      </x:c>
      <x:c r="AD10" s="18" t="str">
        <x:f>IF(H10="Mean/SD",M10-S10,IF(H10="Events/total",IFERROR((R10/K10)/(X10/L10),""),""))</x:f>
      </x:c>
      <x:c r="AE10" s="18" t="str">
        <x:v>No</x:v>
      </x:c>
      <x:c r="AF10" s="18" t="str">
        <x:v>No</x:v>
      </x:c>
      <x:c r="AG10" s="18" t="str">
        <x:v>Eligible for GI analysis using nonparametric/prespecified conversion method only</x:v>
      </x:c>
      <x:c r="AH10" s="18" t="str">
        <x:v>No</x:v>
      </x:c>
      <x:c r="AI10" s="18" t="str">
        <x:v>15/120 excluded after randomization; do not relabel median/IQR as mean/SD</x:v>
      </x:c>
      <x:c r="AJ10" s="18" t="str">
        <x:v>Postoperative recovery table</x:v>
      </x:c>
      <x:c r="AK10" s="18" t="str">
        <x:v>https://drive.google.com/file/d/19IZpaoI-iTQOr_XOTw-a17WTw_haz8q6/view?usp=drivesdk</x:v>
      </x:c>
      <x:c r="AL10" s="18" t="str">
        <x:v>SOURCE-VERIFIED</x:v>
      </x:c>
    </x:row>
    <x:row r="11">
      <x:c r="A11" s="18" t="str">
        <x:v>Chen 1998</x:v>
      </x:c>
      <x:c r="B11" s="18" t="str">
        <x:v>CHEN98_NONACU_vs_SHAM</x:v>
      </x:c>
      <x:c r="C11" s="18" t="str">
        <x:v>Active nonacupoint shoulder TENS</x:v>
      </x:c>
      <x:c r="D11" s="18" t="str">
        <x:v>Sham ST36 TENS (0 mA)</x:v>
      </x:c>
      <x:c r="E11" s="18" t="str">
        <x:v>Opioid consumption</x:v>
      </x:c>
      <x:c r="F11" s="18" t="str">
        <x:v>Cumulative IV PCA hydromorphone</x:v>
      </x:c>
      <x:c r="G11" s="18" t="str">
        <x:v>First 24 h postoperatively</x:v>
      </x:c>
      <x:c r="H11" s="18" t="str">
        <x:v>Mean/SD</x:v>
      </x:c>
      <x:c r="I11" s="18" t="n">
        <x:v>25</x:v>
      </x:c>
      <x:c r="J11" s="18" t="n">
        <x:v>25</x:v>
      </x:c>
      <x:c r="K11" s="18" t="n">
        <x:v>25</x:v>
      </x:c>
      <x:c r="L11" s="18" t="n">
        <x:v>25</x:v>
      </x:c>
      <x:c r="M11" s="18" t="n">
        <x:v>10.5</x:v>
      </x:c>
      <x:c r="N11" s="18" t="n">
        <x:v>6.2</x:v>
      </x:c>
      <x:c r="O11" s="18"/>
      <x:c r="P11" s="18"/>
      <x:c r="Q11" s="18"/>
      <x:c r="R11" s="18"/>
      <x:c r="S11" s="18" t="n">
        <x:v>10.7</x:v>
      </x:c>
      <x:c r="T11" s="18" t="n">
        <x:v>5</x:v>
      </x:c>
      <x:c r="U11" s="18"/>
      <x:c r="V11" s="18"/>
      <x:c r="W11" s="18"/>
      <x:c r="X11" s="18"/>
      <x:c r="Y11" s="18" t="str">
        <x:v>mg hydromorphone</x:v>
      </x:c>
      <x:c r="Z11" s="18" t="str"/>
      <x:c r="AA11" s="18" t="str">
        <x:v>Yes</x:v>
      </x:c>
      <x:c r="AB11" s="18" t="str">
        <x:v>No</x:v>
      </x:c>
      <x:c r="AC11" s="18" t="str">
        <x:f>IF(H11="Mean/SD","MD",IF(H11="Events/total","RR",""))</x:f>
        <x:v>MD</x:v>
      </x:c>
      <x:c r="AD11" s="18" t="n">
        <x:f>IF(H11="Mean/SD",M11-S11,IF(H11="Events/total",IFERROR((R11/K11)/(X11/L11),""),""))</x:f>
        <x:v>-0.1999999999999993</x:v>
      </x:c>
      <x:c r="AE11" s="18" t="str">
        <x:v>Yes</x:v>
      </x:c>
      <x:c r="AF11" s="18" t="str">
        <x:v>Yes</x:v>
      </x:c>
      <x:c r="AG11" s="18" t="str">
        <x:v>Eligible for 24-h opioid analysis after prespecified opioid/MME conversion</x:v>
      </x:c>
      <x:c r="AH11" s="18" t="str">
        <x:v>Yes</x:v>
      </x:c>
      <x:c r="AI11" s="18" t="str">
        <x:v>Four-arm RCT; shared sham control must be handled correctly</x:v>
      </x:c>
      <x:c r="AJ11" s="18" t="str">
        <x:v>Table 2 / first-24-h hydromorphone</x:v>
      </x:c>
      <x:c r="AK11" s="18" t="str">
        <x:v>https://drive.google.com/file/d/1lUyYj9aN1CL9RpY86ZY0970To83Kb17s/view?usp=drivesdk</x:v>
      </x:c>
      <x:c r="AL11" s="18" t="str">
        <x:v>SOURCE-VERIFIED</x:v>
      </x:c>
    </x:row>
    <x:row r="12">
      <x:c r="A12" s="18" t="str">
        <x:v>Chen 1998</x:v>
      </x:c>
      <x:c r="B12" s="18" t="str">
        <x:v>CHEN98_DERM_vs_SHAM</x:v>
      </x:c>
      <x:c r="C12" s="18" t="str">
        <x:v>Active dermatomal/peri-incisional TENS</x:v>
      </x:c>
      <x:c r="D12" s="18" t="str">
        <x:v>Sham ST36 TENS (0 mA)</x:v>
      </x:c>
      <x:c r="E12" s="18" t="str">
        <x:v>Opioid consumption</x:v>
      </x:c>
      <x:c r="F12" s="18" t="str">
        <x:v>Cumulative IV PCA hydromorphone</x:v>
      </x:c>
      <x:c r="G12" s="18" t="str">
        <x:v>First 24 h postoperatively</x:v>
      </x:c>
      <x:c r="H12" s="18" t="str">
        <x:v>Mean/SD</x:v>
      </x:c>
      <x:c r="I12" s="18" t="n">
        <x:v>25</x:v>
      </x:c>
      <x:c r="J12" s="18" t="n">
        <x:v>25</x:v>
      </x:c>
      <x:c r="K12" s="18" t="n">
        <x:v>25</x:v>
      </x:c>
      <x:c r="L12" s="18" t="n">
        <x:v>25</x:v>
      </x:c>
      <x:c r="M12" s="18" t="n">
        <x:v>6.8</x:v>
      </x:c>
      <x:c r="N12" s="18" t="n">
        <x:v>4.2</x:v>
      </x:c>
      <x:c r="O12" s="18"/>
      <x:c r="P12" s="18"/>
      <x:c r="Q12" s="18"/>
      <x:c r="R12" s="18"/>
      <x:c r="S12" s="18" t="n">
        <x:v>10.7</x:v>
      </x:c>
      <x:c r="T12" s="18" t="n">
        <x:v>5</x:v>
      </x:c>
      <x:c r="U12" s="18"/>
      <x:c r="V12" s="18"/>
      <x:c r="W12" s="18"/>
      <x:c r="X12" s="18"/>
      <x:c r="Y12" s="18" t="str">
        <x:v>mg hydromorphone</x:v>
      </x:c>
      <x:c r="Z12" s="18" t="str"/>
      <x:c r="AA12" s="18" t="str">
        <x:v>Yes</x:v>
      </x:c>
      <x:c r="AB12" s="18" t="str">
        <x:v>No</x:v>
      </x:c>
      <x:c r="AC12" s="18" t="str">
        <x:f>IF(H12="Mean/SD","MD",IF(H12="Events/total","RR",""))</x:f>
        <x:v>MD</x:v>
      </x:c>
      <x:c r="AD12" s="18" t="n">
        <x:f>IF(H12="Mean/SD",M12-S12,IF(H12="Events/total",IFERROR((R12/K12)/(X12/L12),""),""))</x:f>
        <x:v>-3.8999999999999995</x:v>
      </x:c>
      <x:c r="AE12" s="18" t="str">
        <x:v>Yes</x:v>
      </x:c>
      <x:c r="AF12" s="18" t="str">
        <x:v>Yes</x:v>
      </x:c>
      <x:c r="AG12" s="18" t="str">
        <x:v>Eligible for 24-h opioid analysis after prespecified opioid/MME conversion</x:v>
      </x:c>
      <x:c r="AH12" s="18" t="str">
        <x:v>Yes</x:v>
      </x:c>
      <x:c r="AI12" s="18" t="str">
        <x:v>Four-arm RCT; shared sham control must be handled correctly</x:v>
      </x:c>
      <x:c r="AJ12" s="18" t="str">
        <x:v>Table 2 / first-24-h hydromorphone</x:v>
      </x:c>
      <x:c r="AK12" s="18" t="str">
        <x:v>https://drive.google.com/file/d/1lUyYj9aN1CL9RpY86ZY0970To83Kb17s/view?usp=drivesdk</x:v>
      </x:c>
      <x:c r="AL12" s="18" t="str">
        <x:v>SOURCE-VERIFIED</x:v>
      </x:c>
    </x:row>
    <x:row r="13">
      <x:c r="A13" s="18" t="str">
        <x:v>Chen 1998</x:v>
      </x:c>
      <x:c r="B13" s="18" t="str">
        <x:v>CHEN98_ACU_vs_SHAM</x:v>
      </x:c>
      <x:c r="C13" s="18" t="str">
        <x:v>Active ST36 acupoint TENS</x:v>
      </x:c>
      <x:c r="D13" s="18" t="str">
        <x:v>Sham ST36 TENS (0 mA)</x:v>
      </x:c>
      <x:c r="E13" s="18" t="str">
        <x:v>Opioid consumption</x:v>
      </x:c>
      <x:c r="F13" s="18" t="str">
        <x:v>Cumulative IV PCA hydromorphone</x:v>
      </x:c>
      <x:c r="G13" s="18" t="str">
        <x:v>First 24 h postoperatively</x:v>
      </x:c>
      <x:c r="H13" s="18" t="str">
        <x:v>Mean/SD</x:v>
      </x:c>
      <x:c r="I13" s="18" t="n">
        <x:v>25</x:v>
      </x:c>
      <x:c r="J13" s="18" t="n">
        <x:v>25</x:v>
      </x:c>
      <x:c r="K13" s="18" t="n">
        <x:v>25</x:v>
      </x:c>
      <x:c r="L13" s="18" t="n">
        <x:v>25</x:v>
      </x:c>
      <x:c r="M13" s="18" t="n">
        <x:v>6.5</x:v>
      </x:c>
      <x:c r="N13" s="18" t="n">
        <x:v>3.5</x:v>
      </x:c>
      <x:c r="O13" s="18"/>
      <x:c r="P13" s="18"/>
      <x:c r="Q13" s="18"/>
      <x:c r="R13" s="18"/>
      <x:c r="S13" s="18" t="n">
        <x:v>10.7</x:v>
      </x:c>
      <x:c r="T13" s="18" t="n">
        <x:v>5</x:v>
      </x:c>
      <x:c r="U13" s="18"/>
      <x:c r="V13" s="18"/>
      <x:c r="W13" s="18"/>
      <x:c r="X13" s="18"/>
      <x:c r="Y13" s="18" t="str">
        <x:v>mg hydromorphone</x:v>
      </x:c>
      <x:c r="Z13" s="18" t="str"/>
      <x:c r="AA13" s="18" t="str">
        <x:v>Yes</x:v>
      </x:c>
      <x:c r="AB13" s="18" t="str">
        <x:v>No</x:v>
      </x:c>
      <x:c r="AC13" s="18" t="str">
        <x:f>IF(H13="Mean/SD","MD",IF(H13="Events/total","RR",""))</x:f>
        <x:v>MD</x:v>
      </x:c>
      <x:c r="AD13" s="18" t="n">
        <x:f>IF(H13="Mean/SD",M13-S13,IF(H13="Events/total",IFERROR((R13/K13)/(X13/L13),""),""))</x:f>
        <x:v>-4.199999999999999</x:v>
      </x:c>
      <x:c r="AE13" s="18" t="str">
        <x:v>Yes</x:v>
      </x:c>
      <x:c r="AF13" s="18" t="str">
        <x:v>Yes</x:v>
      </x:c>
      <x:c r="AG13" s="18" t="str">
        <x:v>Eligible for 24-h opioid analysis after prespecified opioid/MME conversion</x:v>
      </x:c>
      <x:c r="AH13" s="18" t="str">
        <x:v>Yes</x:v>
      </x:c>
      <x:c r="AI13" s="18" t="str">
        <x:v>Four-arm RCT; shared sham control must be handled correctly</x:v>
      </x:c>
      <x:c r="AJ13" s="18" t="str">
        <x:v>Table 2 / first-24-h hydromorphone</x:v>
      </x:c>
      <x:c r="AK13" s="18" t="str">
        <x:v>https://drive.google.com/file/d/1lUyYj9aN1CL9RpY86ZY0970To83Kb17s/view?usp=drivesdk</x:v>
      </x:c>
      <x:c r="AL13" s="18" t="str">
        <x:v>SOURCE-VERIFIED</x:v>
      </x:c>
    </x:row>
    <x:row r="14">
      <x:c r="A14" s="18" t="str">
        <x:v>Chen 2020</x:v>
      </x:c>
      <x:c r="B14" s="18" t="str">
        <x:v>CHEN20_TEAS_vs_SHAM</x:v>
      </x:c>
      <x:c r="C14" s="18" t="str">
        <x:v>Perioperative TEAS</x:v>
      </x:c>
      <x:c r="D14" s="18" t="str">
        <x:v>Sham low/zero-current protocol</x:v>
      </x:c>
      <x:c r="E14" s="18" t="str">
        <x:v>Opioid consumption</x:v>
      </x:c>
      <x:c r="F14" s="18" t="str">
        <x:v>Cumulative sufentanil</x:v>
      </x:c>
      <x:c r="G14" s="18" t="str">
        <x:v>24 h postoperatively</x:v>
      </x:c>
      <x:c r="H14" s="18" t="str">
        <x:v>Mean/SD</x:v>
      </x:c>
      <x:c r="I14" s="18" t="n">
        <x:v>40</x:v>
      </x:c>
      <x:c r="J14" s="18" t="n">
        <x:v>40</x:v>
      </x:c>
      <x:c r="K14" s="18" t="n">
        <x:v>40</x:v>
      </x:c>
      <x:c r="L14" s="18" t="n">
        <x:v>40</x:v>
      </x:c>
      <x:c r="M14" s="18" t="n">
        <x:v>72.43</x:v>
      </x:c>
      <x:c r="N14" s="18" t="n">
        <x:v>4.78</x:v>
      </x:c>
      <x:c r="O14" s="18"/>
      <x:c r="P14" s="18"/>
      <x:c r="Q14" s="18"/>
      <x:c r="R14" s="18"/>
      <x:c r="S14" s="18" t="n">
        <x:v>100.62</x:v>
      </x:c>
      <x:c r="T14" s="18" t="n">
        <x:v>10.2</x:v>
      </x:c>
      <x:c r="U14" s="18"/>
      <x:c r="V14" s="18"/>
      <x:c r="W14" s="18"/>
      <x:c r="X14" s="18"/>
      <x:c r="Y14" s="18" t="str">
        <x:v>µg sufentanil</x:v>
      </x:c>
      <x:c r="Z14" s="18" t="str"/>
      <x:c r="AA14" s="18" t="str">
        <x:v>Yes</x:v>
      </x:c>
      <x:c r="AB14" s="18" t="str">
        <x:v>No</x:v>
      </x:c>
      <x:c r="AC14" s="18" t="str">
        <x:f>IF(H14="Mean/SD","MD",IF(H14="Events/total","RR",""))</x:f>
        <x:v>MD</x:v>
      </x:c>
      <x:c r="AD14" s="18" t="n">
        <x:f>IF(H14="Mean/SD",M14-S14,IF(H14="Events/total",IFERROR((R14/K14)/(X14/L14),""),""))</x:f>
        <x:v>-28.189999999999998</x:v>
      </x:c>
      <x:c r="AE14" s="18" t="str">
        <x:v>Yes</x:v>
      </x:c>
      <x:c r="AF14" s="18" t="str">
        <x:v>Yes</x:v>
      </x:c>
      <x:c r="AG14" s="18" t="str">
        <x:v>Eligible for 24-h opioid analysis after prespecified opioid/MME conversion</x:v>
      </x:c>
      <x:c r="AH14" s="18" t="str">
        <x:v>No</x:v>
      </x:c>
      <x:c r="AI14" s="18" t="str">
        <x:v>Sham was 4 mA pre/postoperatively but 0 mA intraoperatively; preserve this nuance</x:v>
      </x:c>
      <x:c r="AJ14" s="18" t="str">
        <x:v>Cumulative sufentanil result</x:v>
      </x:c>
      <x:c r="AK14" s="18" t="str">
        <x:v>https://drive.google.com/file/d/1y0_cC1NCl5g2vYxDMOtYmxVA_YEE-rsR/view?usp=drivesdk</x:v>
      </x:c>
      <x:c r="AL14" s="18" t="str">
        <x:v>SOURCE-VERIFIED</x:v>
      </x:c>
    </x:row>
    <x:row r="15">
      <x:c r="A15" s="18" t="str">
        <x:v>Chen 2020</x:v>
      </x:c>
      <x:c r="B15" s="18" t="str">
        <x:v>CHEN20_TEAS_vs_SHAM_VAS</x:v>
      </x:c>
      <x:c r="C15" s="18" t="str">
        <x:v>Perioperative TEAS</x:v>
      </x:c>
      <x:c r="D15" s="18" t="str">
        <x:v>Sham low/zero-current protocol</x:v>
      </x:c>
      <x:c r="E15" s="18" t="str">
        <x:v>Pain</x:v>
      </x:c>
      <x:c r="F15" s="18" t="str">
        <x:v>VAS pain intensity</x:v>
      </x:c>
      <x:c r="G15" s="18" t="str">
        <x:v>24 h postoperatively</x:v>
      </x:c>
      <x:c r="H15" s="18" t="str">
        <x:v>Mean/SD</x:v>
      </x:c>
      <x:c r="I15" s="18" t="n">
        <x:v>40</x:v>
      </x:c>
      <x:c r="J15" s="18" t="n">
        <x:v>40</x:v>
      </x:c>
      <x:c r="K15" s="18" t="n">
        <x:v>40</x:v>
      </x:c>
      <x:c r="L15" s="18" t="n">
        <x:v>40</x:v>
      </x:c>
      <x:c r="M15" s="18" t="n">
        <x:v>2.91</x:v>
      </x:c>
      <x:c r="N15" s="18" t="n">
        <x:v>0.2</x:v>
      </x:c>
      <x:c r="O15" s="18"/>
      <x:c r="P15" s="18"/>
      <x:c r="Q15" s="18"/>
      <x:c r="R15" s="18"/>
      <x:c r="S15" s="18" t="n">
        <x:v>5.97</x:v>
      </x:c>
      <x:c r="T15" s="18" t="n">
        <x:v>0.56</x:v>
      </x:c>
      <x:c r="U15" s="18"/>
      <x:c r="V15" s="18"/>
      <x:c r="W15" s="18"/>
      <x:c r="X15" s="18"/>
      <x:c r="Y15" s="18" t="str">
        <x:v>VAS 0-10</x:v>
      </x:c>
      <x:c r="Z15" s="18" t="str"/>
      <x:c r="AA15" s="18" t="str">
        <x:v>Yes</x:v>
      </x:c>
      <x:c r="AB15" s="18" t="str">
        <x:v>No</x:v>
      </x:c>
      <x:c r="AC15" s="18" t="str">
        <x:f>IF(H15="Mean/SD","MD",IF(H15="Events/total","RR",""))</x:f>
        <x:v>MD</x:v>
      </x:c>
      <x:c r="AD15" s="18" t="n">
        <x:f>IF(H15="Mean/SD",M15-S15,IF(H15="Events/total",IFERROR((R15/K15)/(X15/L15),""),""))</x:f>
        <x:v>-3.0599999999999996</x:v>
      </x:c>
      <x:c r="AE15" s="18" t="str">
        <x:v>No</x:v>
      </x:c>
      <x:c r="AF15" s="18" t="str">
        <x:v>No</x:v>
      </x:c>
      <x:c r="AG15" s="18" t="str">
        <x:v>Eligible for 24-h pain meta-analysis</x:v>
      </x:c>
      <x:c r="AH15" s="18" t="str">
        <x:v>No</x:v>
      </x:c>
      <x:c r="AI15" s="18" t="str">
        <x:v>Patient blinding adequacy depends on sensory contrast of sham protocol</x:v>
      </x:c>
      <x:c r="AJ15" s="18" t="str">
        <x:v>24-h VAS result</x:v>
      </x:c>
      <x:c r="AK15" s="18" t="str">
        <x:v>https://drive.google.com/file/d/1y0_cC1NCl5g2vYxDMOtYmxVA_YEE-rsR/view?usp=drivesdk</x:v>
      </x:c>
      <x:c r="AL15" s="18" t="str">
        <x:v>SOURCE-VERIFIED</x:v>
      </x:c>
    </x:row>
    <x:row r="16">
      <x:c r="A16" s="18" t="str">
        <x:v>Coura 2011</x:v>
      </x:c>
      <x:c r="B16" s="18" t="str">
        <x:v>COURA11_EA_vs_SHAM</x:v>
      </x:c>
      <x:c r="C16" s="18" t="str">
        <x:v>Preoperative EA</x:v>
      </x:c>
      <x:c r="D16" s="18" t="str">
        <x:v>Sham stimulation</x:v>
      </x:c>
      <x:c r="E16" s="18" t="str">
        <x:v>Opioid consumption</x:v>
      </x:c>
      <x:c r="F16" s="18" t="str">
        <x:v>Cumulative fentanyl</x:v>
      </x:c>
      <x:c r="G16" s="18" t="str">
        <x:v>First 24 h postoperatively</x:v>
      </x:c>
      <x:c r="H16" s="18" t="str">
        <x:v>Mean/SD</x:v>
      </x:c>
      <x:c r="I16" s="18" t="n">
        <x:v>16</x:v>
      </x:c>
      <x:c r="J16" s="18" t="n">
        <x:v>16</x:v>
      </x:c>
      <x:c r="K16" s="18" t="n">
        <x:v>13</x:v>
      </x:c>
      <x:c r="L16" s="18" t="n">
        <x:v>9</x:v>
      </x:c>
      <x:c r="M16" s="18" t="n">
        <x:v>13.1</x:v>
      </x:c>
      <x:c r="N16" s="18" t="n">
        <x:v>2.2</x:v>
      </x:c>
      <x:c r="O16" s="18"/>
      <x:c r="P16" s="18"/>
      <x:c r="Q16" s="18"/>
      <x:c r="R16" s="18"/>
      <x:c r="S16" s="18" t="n">
        <x:v>16.3</x:v>
      </x:c>
      <x:c r="T16" s="18" t="n">
        <x:v>1.6</x:v>
      </x:c>
      <x:c r="U16" s="18"/>
      <x:c r="V16" s="18"/>
      <x:c r="W16" s="18"/>
      <x:c r="X16" s="18"/>
      <x:c r="Y16" s="18" t="str">
        <x:v>µg/kg fentanyl</x:v>
      </x:c>
      <x:c r="Z16" s="18" t="str"/>
      <x:c r="AA16" s="18" t="str">
        <x:v>Yes</x:v>
      </x:c>
      <x:c r="AB16" s="18" t="str">
        <x:v>No</x:v>
      </x:c>
      <x:c r="AC16" s="18" t="str">
        <x:f>IF(H16="Mean/SD","MD",IF(H16="Events/total","RR",""))</x:f>
        <x:v>MD</x:v>
      </x:c>
      <x:c r="AD16" s="18" t="n">
        <x:f>IF(H16="Mean/SD",M16-S16,IF(H16="Events/total",IFERROR((R16/K16)/(X16/L16),""),""))</x:f>
        <x:v>-3.200000000000001</x:v>
      </x:c>
      <x:c r="AE16" s="18" t="str">
        <x:v>Yes</x:v>
      </x:c>
      <x:c r="AF16" s="18" t="str">
        <x:v>Conditional</x:v>
      </x:c>
      <x:c r="AG16" s="18" t="str">
        <x:v>Potentially eligible after confirming whether discretionary supplemental opioids were included</x:v>
      </x:c>
      <x:c r="AH16" s="18" t="str">
        <x:v>No</x:v>
      </x:c>
      <x:c r="AI16" s="18" t="str">
        <x:v>10/32 post-randomization exclusions; supplemental morphine/fentanyl inclusion unclear</x:v>
      </x:c>
      <x:c r="AJ16" s="18" t="str">
        <x:v>Published cumulative first-24-h fentanyl result</x:v>
      </x:c>
      <x:c r="AK16" s="18" t="str">
        <x:v>https://drive.google.com/file/d/120NJxCmxsdiyqWTXzjmaUWAaVa1i8iZz/view?usp=drivesdk</x:v>
      </x:c>
      <x:c r="AL16" s="18" t="str">
        <x:v>SOURCE-VERIFIED / QC HOLD</x:v>
      </x:c>
    </x:row>
    <x:row r="17">
      <x:c r="A17" s="18" t="str">
        <x:v>Ao 2021</x:v>
      </x:c>
      <x:c r="B17" s="18" t="str">
        <x:v>AO21_TEAS_vs_SHAM_VAS</x:v>
      </x:c>
      <x:c r="C17" s="18" t="str">
        <x:v>TEAS</x:v>
      </x:c>
      <x:c r="D17" s="18" t="str">
        <x:v>Sham/no current</x:v>
      </x:c>
      <x:c r="E17" s="18" t="str">
        <x:v>Pain</x:v>
      </x:c>
      <x:c r="F17" s="18" t="str">
        <x:v>VAS pain intensity</x:v>
      </x:c>
      <x:c r="G17" s="18" t="str">
        <x:v>24 h postoperatively</x:v>
      </x:c>
      <x:c r="H17" s="18" t="str">
        <x:v>Graph-digitized mean/SD</x:v>
      </x:c>
      <x:c r="I17" s="18" t="n">
        <x:v>35</x:v>
      </x:c>
      <x:c r="J17" s="18" t="n">
        <x:v>35</x:v>
      </x:c>
      <x:c r="K17" s="18" t="n">
        <x:v>32</x:v>
      </x:c>
      <x:c r="L17" s="18" t="n">
        <x:v>33</x:v>
      </x:c>
      <x:c r="M17" s="18" t="n">
        <x:v>2.51</x:v>
      </x:c>
      <x:c r="N17" s="18" t="n">
        <x:v>0.49</x:v>
      </x:c>
      <x:c r="O17" s="18"/>
      <x:c r="P17" s="18"/>
      <x:c r="Q17" s="18"/>
      <x:c r="R17" s="18"/>
      <x:c r="S17" s="18" t="n">
        <x:v>2.95</x:v>
      </x:c>
      <x:c r="T17" s="18" t="n">
        <x:v>0.53</x:v>
      </x:c>
      <x:c r="U17" s="18"/>
      <x:c r="V17" s="18"/>
      <x:c r="W17" s="18"/>
      <x:c r="X17" s="18"/>
      <x:c r="Y17" s="18" t="str">
        <x:v>VAS 0-10</x:v>
      </x:c>
      <x:c r="Z17" s="18" t="str"/>
      <x:c r="AA17" s="18" t="str">
        <x:v>No</x:v>
      </x:c>
      <x:c r="AB17" s="18" t="str">
        <x:v>Yes</x:v>
      </x:c>
      <x:c r="AC17" s="18" t="str">
        <x:f>IF(H17="Mean/SD","MD",IF(H17="Events/total","RR",""))</x:f>
      </x:c>
      <x:c r="AD17" s="18" t="str">
        <x:f>IF(H17="Mean/SD",M17-S17,IF(H17="Events/total",IFERROR((R17/K17)/(X17/L17),""),""))</x:f>
      </x:c>
      <x:c r="AE17" s="18" t="str">
        <x:v>No</x:v>
      </x:c>
      <x:c r="AF17" s="18" t="str">
        <x:v>No</x:v>
      </x:c>
      <x:c r="AG17" s="18" t="str">
        <x:v>Needs adjudication/sensitivity analysis before quantitative pooling</x:v>
      </x:c>
      <x:c r="AH17" s="18" t="str">
        <x:v>No</x:v>
      </x:c>
      <x:c r="AI17" s="18" t="str">
        <x:v>Exact values are graph-digitized, not numerically tabulated by authors</x:v>
      </x:c>
      <x:c r="AJ17" s="18" t="str">
        <x:v>Figure-only 24-h VAS</x:v>
      </x:c>
      <x:c r="AK17" s="18" t="str">
        <x:v>https://drive.google.com/file/d/1tNFnY0fJpx53hrtY4DIaE1RsNjE55Xvd/view?usp=drivesdk</x:v>
      </x:c>
      <x:c r="AL17" s="18" t="str">
        <x:v>DERIVED / NEEDS ADJUDICATION</x:v>
      </x:c>
    </x:row>
    <x:row r="18">
      <x:c r="A18" s="18" t="str">
        <x:v>Ao 2021</x:v>
      </x:c>
      <x:c r="B18" s="18" t="str">
        <x:v>AO21_TEAS_vs_SHAM_OPIOID24</x:v>
      </x:c>
      <x:c r="C18" s="18" t="str">
        <x:v>TEAS</x:v>
      </x:c>
      <x:c r="D18" s="18" t="str">
        <x:v>Sham/no current</x:v>
      </x:c>
      <x:c r="E18" s="18" t="str">
        <x:v>Opioid consumption</x:v>
      </x:c>
      <x:c r="F18" s="18" t="str">
        <x:v>Cumulative postoperative sufentanil</x:v>
      </x:c>
      <x:c r="G18" s="18" t="str">
        <x:v>Exact 0-24 h</x:v>
      </x:c>
      <x:c r="H18" s="18" t="str">
        <x:v>Not reported</x:v>
      </x:c>
      <x:c r="I18" s="18" t="n">
        <x:v>35</x:v>
      </x:c>
      <x:c r="J18" s="18" t="n">
        <x:v>35</x:v>
      </x:c>
      <x:c r="K18" s="18" t="n">
        <x:v>32</x:v>
      </x:c>
      <x:c r="L18" s="18" t="n">
        <x:v>33</x:v>
      </x:c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 t="str">
        <x:v>µg sufentanil</x:v>
      </x:c>
      <x:c r="Z18" s="18" t="str"/>
      <x:c r="AA18" s="18" t="str">
        <x:v>No</x:v>
      </x:c>
      <x:c r="AB18" s="18" t="str">
        <x:v>No</x:v>
      </x:c>
      <x:c r="AC18" s="18" t="str">
        <x:f>IF(H18="Mean/SD","MD",IF(H18="Events/total","RR",""))</x:f>
      </x:c>
      <x:c r="AD18" s="18" t="str">
        <x:f>IF(H18="Mean/SD",M18-S18,IF(H18="Events/total",IFERROR((R18/K18)/(X18/L18),""),""))</x:f>
      </x:c>
      <x:c r="AE18" s="18" t="str">
        <x:v>No</x:v>
      </x:c>
      <x:c r="AF18" s="18" t="str">
        <x:v>No</x:v>
      </x:c>
      <x:c r="AG18" s="18" t="str">
        <x:v>Not eligible for continuous 24-h opioid meta-analysis without author data</x:v>
      </x:c>
      <x:c r="AH18" s="18" t="str">
        <x:v>No</x:v>
      </x:c>
      <x:c r="AI18" s="18" t="str">
        <x:v>PCA followed for 48 h; no extractable cumulative 0-24-h total</x:v>
      </x:c>
      <x:c r="AJ18" s="18" t="str">
        <x:v>Article reports 48-h PCA framework only</x:v>
      </x:c>
      <x:c r="AK18" s="18" t="str">
        <x:v>https://drive.google.com/file/d/1tNFnY0fJpx53hrtY4DIaE1RsNjE55Xvd/view?usp=drivesdk</x:v>
      </x:c>
      <x:c r="AL18" s="18" t="str">
        <x:v>MISSING / AUTHOR DATA NEEDED</x:v>
      </x:c>
    </x:row>
    <x:row r="19">
      <x:c r="A19" s="18" t="str">
        <x:v>Zhu 2022</x:v>
      </x:c>
      <x:c r="B19" s="18" t="str">
        <x:v>ZHU22_PRE_vs_USUAL_PON</x:v>
      </x:c>
      <x:c r="C19" s="18" t="str">
        <x:v>EA day before surgery</x:v>
      </x:c>
      <x:c r="D19" s="18" t="str">
        <x:v>Usual care alone</x:v>
      </x:c>
      <x:c r="E19" s="18" t="str">
        <x:v>PONV</x:v>
      </x:c>
      <x:c r="F19" s="18" t="str">
        <x:v>Postoperative nausea</x:v>
      </x:c>
      <x:c r="G19" s="18" t="str">
        <x:v>6-24 h postoperatively</x:v>
      </x:c>
      <x:c r="H19" s="18" t="str">
        <x:v>Events/total</x:v>
      </x:c>
      <x:c r="I19" s="18" t="n">
        <x:v>103</x:v>
      </x:c>
      <x:c r="J19" s="18" t="n">
        <x:v>104</x:v>
      </x:c>
      <x:c r="K19" s="18" t="n">
        <x:v>101</x:v>
      </x:c>
      <x:c r="L19" s="18" t="n">
        <x:v>101</x:v>
      </x:c>
      <x:c r="M19" s="18"/>
      <x:c r="N19" s="18"/>
      <x:c r="O19" s="18"/>
      <x:c r="P19" s="18"/>
      <x:c r="Q19" s="18"/>
      <x:c r="R19" s="18" t="n">
        <x:v>11</x:v>
      </x:c>
      <x:c r="S19" s="18"/>
      <x:c r="T19" s="18"/>
      <x:c r="U19" s="18"/>
      <x:c r="V19" s="18"/>
      <x:c r="W19" s="18"/>
      <x:c r="X19" s="18" t="n">
        <x:v>27</x:v>
      </x:c>
      <x:c r="Y19" s="18" t="str">
        <x:v>participants with nausea</x:v>
      </x:c>
      <x:c r="Z19" s="18" t="str">
        <x:v>0.024</x:v>
      </x:c>
      <x:c r="AA19" s="18" t="str">
        <x:v>Yes</x:v>
      </x:c>
      <x:c r="AB19" s="18" t="str">
        <x:v>No</x:v>
      </x:c>
      <x:c r="AC19" s="18" t="str">
        <x:f>IF(H19="Mean/SD","MD",IF(H19="Events/total","RR",""))</x:f>
        <x:v>RR</x:v>
      </x:c>
      <x:c r="AD19" s="18" t="n">
        <x:f>IF(H19="Mean/SD",M19-S19,IF(H19="Events/total",IFERROR((R19/K19)/(X19/L19),""),""))</x:f>
        <x:v>0.4074074074074074</x:v>
      </x:c>
      <x:c r="AE19" s="18" t="str">
        <x:v>No</x:v>
      </x:c>
      <x:c r="AF19" s="18" t="str">
        <x:v>No</x:v>
      </x:c>
      <x:c r="AG19" s="18" t="str">
        <x:v>Eligible for dichotomous PON analysis with shared-control/multi-arm adjustment</x:v>
      </x:c>
      <x:c r="AH19" s="18" t="str">
        <x:v>Yes</x:v>
      </x:c>
      <x:c r="AI19" s="18" t="str">
        <x:v>Four-arm RCT; no sham; analysis denominators differ from randomized denominators</x:v>
      </x:c>
      <x:c r="AJ19" s="18" t="str">
        <x:v>Table 2</x:v>
      </x:c>
      <x:c r="AK19" s="18" t="str">
        <x:v>https://drive.google.com/file/d/1vux5IaubjInusplW6GJ2SsxhzibtSCe-/view?usp=drivesdk</x:v>
      </x:c>
      <x:c r="AL19" s="18" t="str">
        <x:v>SOURCE-VERIFIED</x:v>
      </x:c>
    </x:row>
    <x:row r="20">
      <x:c r="A20" s="18" t="str">
        <x:v>Zhu 2022</x:v>
      </x:c>
      <x:c r="B20" s="18" t="str">
        <x:v>ZHU22_PRE_vs_USUAL_POV</x:v>
      </x:c>
      <x:c r="C20" s="18" t="str">
        <x:v>EA day before surgery</x:v>
      </x:c>
      <x:c r="D20" s="18" t="str">
        <x:v>Usual care alone</x:v>
      </x:c>
      <x:c r="E20" s="18" t="str">
        <x:v>PONV</x:v>
      </x:c>
      <x:c r="F20" s="18" t="str">
        <x:v>Postoperative vomiting</x:v>
      </x:c>
      <x:c r="G20" s="18" t="str">
        <x:v>6-24 h postoperatively</x:v>
      </x:c>
      <x:c r="H20" s="18" t="str">
        <x:v>Events/total</x:v>
      </x:c>
      <x:c r="I20" s="18" t="n">
        <x:v>103</x:v>
      </x:c>
      <x:c r="J20" s="18" t="n">
        <x:v>104</x:v>
      </x:c>
      <x:c r="K20" s="18" t="n">
        <x:v>101</x:v>
      </x:c>
      <x:c r="L20" s="18" t="n">
        <x:v>101</x:v>
      </x:c>
      <x:c r="M20" s="18"/>
      <x:c r="N20" s="18"/>
      <x:c r="O20" s="18"/>
      <x:c r="P20" s="18"/>
      <x:c r="Q20" s="18"/>
      <x:c r="R20" s="18" t="n">
        <x:v>5</x:v>
      </x:c>
      <x:c r="S20" s="18"/>
      <x:c r="T20" s="18"/>
      <x:c r="U20" s="18"/>
      <x:c r="V20" s="18"/>
      <x:c r="W20" s="18"/>
      <x:c r="X20" s="18" t="n">
        <x:v>22</x:v>
      </x:c>
      <x:c r="Y20" s="18" t="str">
        <x:v>participants with vomiting</x:v>
      </x:c>
      <x:c r="Z20" s="18" t="str">
        <x:v>0.002</x:v>
      </x:c>
      <x:c r="AA20" s="18" t="str">
        <x:v>Yes</x:v>
      </x:c>
      <x:c r="AB20" s="18" t="str">
        <x:v>No</x:v>
      </x:c>
      <x:c r="AC20" s="18" t="str">
        <x:f>IF(H20="Mean/SD","MD",IF(H20="Events/total","RR",""))</x:f>
        <x:v>RR</x:v>
      </x:c>
      <x:c r="AD20" s="18" t="n">
        <x:f>IF(H20="Mean/SD",M20-S20,IF(H20="Events/total",IFERROR((R20/K20)/(X20/L20),""),""))</x:f>
        <x:v>0.2272727272727273</x:v>
      </x:c>
      <x:c r="AE20" s="18" t="str">
        <x:v>No</x:v>
      </x:c>
      <x:c r="AF20" s="18" t="str">
        <x:v>No</x:v>
      </x:c>
      <x:c r="AG20" s="18" t="str">
        <x:v>Eligible for dichotomous POV analysis with shared-control/multi-arm adjustment</x:v>
      </x:c>
      <x:c r="AH20" s="18" t="str">
        <x:v>Yes</x:v>
      </x:c>
      <x:c r="AI20" s="18" t="str">
        <x:v>Four-arm RCT; no sham; use exact arm-specific analyzed denominators</x:v>
      </x:c>
      <x:c r="AJ20" s="18" t="str">
        <x:v>Table 2</x:v>
      </x:c>
      <x:c r="AK20" s="18" t="str">
        <x:v>https://drive.google.com/file/d/1vux5IaubjInusplW6GJ2SsxhzibtSCe-/view?usp=drivesdk</x:v>
      </x:c>
      <x:c r="AL20" s="18" t="str">
        <x:v>SOURCE-VERIFIED</x:v>
      </x:c>
    </x:row>
    <x:row r="21">
      <x:c r="A21" s="18" t="str">
        <x:v>Zhu 2022</x:v>
      </x:c>
      <x:c r="B21" s="18" t="str">
        <x:v>ZHU22_30_vs_USUAL_PON</x:v>
      </x:c>
      <x:c r="C21" s="18" t="str">
        <x:v>EA 30 min before surgery</x:v>
      </x:c>
      <x:c r="D21" s="18" t="str">
        <x:v>Usual care alone</x:v>
      </x:c>
      <x:c r="E21" s="18" t="str">
        <x:v>PONV</x:v>
      </x:c>
      <x:c r="F21" s="18" t="str">
        <x:v>Postoperative nausea</x:v>
      </x:c>
      <x:c r="G21" s="18" t="str">
        <x:v>6-24 h postoperatively</x:v>
      </x:c>
      <x:c r="H21" s="18" t="str">
        <x:v>Events/total</x:v>
      </x:c>
      <x:c r="I21" s="18" t="n">
        <x:v>103</x:v>
      </x:c>
      <x:c r="J21" s="18" t="n">
        <x:v>104</x:v>
      </x:c>
      <x:c r="K21" s="18" t="n">
        <x:v>98</x:v>
      </x:c>
      <x:c r="L21" s="18" t="n">
        <x:v>101</x:v>
      </x:c>
      <x:c r="M21" s="18"/>
      <x:c r="N21" s="18"/>
      <x:c r="O21" s="18"/>
      <x:c r="P21" s="18"/>
      <x:c r="Q21" s="18"/>
      <x:c r="R21" s="18" t="n">
        <x:v>18</x:v>
      </x:c>
      <x:c r="S21" s="18"/>
      <x:c r="T21" s="18"/>
      <x:c r="U21" s="18"/>
      <x:c r="V21" s="18"/>
      <x:c r="W21" s="18"/>
      <x:c r="X21" s="18" t="n">
        <x:v>27</x:v>
      </x:c>
      <x:c r="Y21" s="18" t="str">
        <x:v>participants with nausea</x:v>
      </x:c>
      <x:c r="Z21" s="18" t="str">
        <x:v>NR pairwise</x:v>
      </x:c>
      <x:c r="AA21" s="18" t="str">
        <x:v>Yes</x:v>
      </x:c>
      <x:c r="AB21" s="18" t="str">
        <x:v>No</x:v>
      </x:c>
      <x:c r="AC21" s="18" t="str">
        <x:f>IF(H21="Mean/SD","MD",IF(H21="Events/total","RR",""))</x:f>
        <x:v>RR</x:v>
      </x:c>
      <x:c r="AD21" s="18" t="n">
        <x:f>IF(H21="Mean/SD",M21-S21,IF(H21="Events/total",IFERROR((R21/K21)/(X21/L21),""),""))</x:f>
        <x:v>0.6870748299319728</x:v>
      </x:c>
      <x:c r="AE21" s="18" t="str">
        <x:v>No</x:v>
      </x:c>
      <x:c r="AF21" s="18" t="str">
        <x:v>No</x:v>
      </x:c>
      <x:c r="AG21" s="18" t="str">
        <x:v>Eligible for dichotomous PON analysis with shared-control/multi-arm adjustment</x:v>
      </x:c>
      <x:c r="AH21" s="18" t="str">
        <x:v>Yes</x:v>
      </x:c>
      <x:c r="AI21" s="18" t="str">
        <x:v>Four-arm RCT; no sham; analysis denominators differ from randomized denominators</x:v>
      </x:c>
      <x:c r="AJ21" s="18" t="str">
        <x:v>Table 2</x:v>
      </x:c>
      <x:c r="AK21" s="18" t="str">
        <x:v>https://drive.google.com/file/d/1vux5IaubjInusplW6GJ2SsxhzibtSCe-/view?usp=drivesdk</x:v>
      </x:c>
      <x:c r="AL21" s="18" t="str">
        <x:v>SOURCE-VERIFIED</x:v>
      </x:c>
    </x:row>
    <x:row r="22">
      <x:c r="A22" s="18" t="str">
        <x:v>Zhu 2022</x:v>
      </x:c>
      <x:c r="B22" s="18" t="str">
        <x:v>ZHU22_30_vs_USUAL_POV</x:v>
      </x:c>
      <x:c r="C22" s="18" t="str">
        <x:v>EA 30 min before surgery</x:v>
      </x:c>
      <x:c r="D22" s="18" t="str">
        <x:v>Usual care alone</x:v>
      </x:c>
      <x:c r="E22" s="18" t="str">
        <x:v>PONV</x:v>
      </x:c>
      <x:c r="F22" s="18" t="str">
        <x:v>Postoperative vomiting</x:v>
      </x:c>
      <x:c r="G22" s="18" t="str">
        <x:v>6-24 h postoperatively</x:v>
      </x:c>
      <x:c r="H22" s="18" t="str">
        <x:v>Events/total</x:v>
      </x:c>
      <x:c r="I22" s="18" t="n">
        <x:v>103</x:v>
      </x:c>
      <x:c r="J22" s="18" t="n">
        <x:v>104</x:v>
      </x:c>
      <x:c r="K22" s="18" t="n">
        <x:v>98</x:v>
      </x:c>
      <x:c r="L22" s="18" t="n">
        <x:v>101</x:v>
      </x:c>
      <x:c r="M22" s="18"/>
      <x:c r="N22" s="18"/>
      <x:c r="O22" s="18"/>
      <x:c r="P22" s="18"/>
      <x:c r="Q22" s="18"/>
      <x:c r="R22" s="18" t="n">
        <x:v>8</x:v>
      </x:c>
      <x:c r="S22" s="18"/>
      <x:c r="T22" s="18"/>
      <x:c r="U22" s="18"/>
      <x:c r="V22" s="18"/>
      <x:c r="W22" s="18"/>
      <x:c r="X22" s="18" t="n">
        <x:v>22</x:v>
      </x:c>
      <x:c r="Y22" s="18" t="str">
        <x:v>participants with vomiting</x:v>
      </x:c>
      <x:c r="Z22" s="18" t="str">
        <x:v>0.034</x:v>
      </x:c>
      <x:c r="AA22" s="18" t="str">
        <x:v>Yes</x:v>
      </x:c>
      <x:c r="AB22" s="18" t="str">
        <x:v>No</x:v>
      </x:c>
      <x:c r="AC22" s="18" t="str">
        <x:f>IF(H22="Mean/SD","MD",IF(H22="Events/total","RR",""))</x:f>
        <x:v>RR</x:v>
      </x:c>
      <x:c r="AD22" s="18" t="n">
        <x:f>IF(H22="Mean/SD",M22-S22,IF(H22="Events/total",IFERROR((R22/K22)/(X22/L22),""),""))</x:f>
        <x:v>0.3747680890538033</x:v>
      </x:c>
      <x:c r="AE22" s="18" t="str">
        <x:v>No</x:v>
      </x:c>
      <x:c r="AF22" s="18" t="str">
        <x:v>No</x:v>
      </x:c>
      <x:c r="AG22" s="18" t="str">
        <x:v>Eligible for dichotomous POV analysis with shared-control/multi-arm adjustment</x:v>
      </x:c>
      <x:c r="AH22" s="18" t="str">
        <x:v>Yes</x:v>
      </x:c>
      <x:c r="AI22" s="18" t="str">
        <x:v>Four-arm RCT; no sham; use exact arm-specific analyzed denominators</x:v>
      </x:c>
      <x:c r="AJ22" s="18" t="str">
        <x:v>Table 2</x:v>
      </x:c>
      <x:c r="AK22" s="18" t="str">
        <x:v>https://drive.google.com/file/d/1vux5IaubjInusplW6GJ2SsxhzibtSCe-/view?usp=drivesdk</x:v>
      </x:c>
      <x:c r="AL22" s="18" t="str">
        <x:v>SOURCE-VERIFIED</x:v>
      </x:c>
    </x:row>
    <x:row r="23">
      <x:c r="A23" s="18" t="str">
        <x:v>Zhu 2022</x:v>
      </x:c>
      <x:c r="B23" s="18" t="str">
        <x:v>ZHU22_COMB_vs_USUAL_PON</x:v>
      </x:c>
      <x:c r="C23" s="18" t="str">
        <x:v>EA day before + 30 min before</x:v>
      </x:c>
      <x:c r="D23" s="18" t="str">
        <x:v>Usual care alone</x:v>
      </x:c>
      <x:c r="E23" s="18" t="str">
        <x:v>PONV</x:v>
      </x:c>
      <x:c r="F23" s="18" t="str">
        <x:v>Postoperative nausea</x:v>
      </x:c>
      <x:c r="G23" s="18" t="str">
        <x:v>6-24 h postoperatively</x:v>
      </x:c>
      <x:c r="H23" s="18" t="str">
        <x:v>Events/total</x:v>
      </x:c>
      <x:c r="I23" s="18" t="n">
        <x:v>103</x:v>
      </x:c>
      <x:c r="J23" s="18" t="n">
        <x:v>104</x:v>
      </x:c>
      <x:c r="K23" s="18" t="n">
        <x:v>100</x:v>
      </x:c>
      <x:c r="L23" s="18" t="n">
        <x:v>101</x:v>
      </x:c>
      <x:c r="M23" s="18"/>
      <x:c r="N23" s="18"/>
      <x:c r="O23" s="18"/>
      <x:c r="P23" s="18"/>
      <x:c r="Q23" s="18"/>
      <x:c r="R23" s="18" t="n">
        <x:v>11</x:v>
      </x:c>
      <x:c r="S23" s="18"/>
      <x:c r="T23" s="18"/>
      <x:c r="U23" s="18"/>
      <x:c r="V23" s="18"/>
      <x:c r="W23" s="18"/>
      <x:c r="X23" s="18" t="n">
        <x:v>27</x:v>
      </x:c>
      <x:c r="Y23" s="18" t="str">
        <x:v>participants with nausea</x:v>
      </x:c>
      <x:c r="Z23" s="18" t="str">
        <x:v>0.024</x:v>
      </x:c>
      <x:c r="AA23" s="18" t="str">
        <x:v>Yes</x:v>
      </x:c>
      <x:c r="AB23" s="18" t="str">
        <x:v>No</x:v>
      </x:c>
      <x:c r="AC23" s="18" t="str">
        <x:f>IF(H23="Mean/SD","MD",IF(H23="Events/total","RR",""))</x:f>
        <x:v>RR</x:v>
      </x:c>
      <x:c r="AD23" s="18" t="n">
        <x:f>IF(H23="Mean/SD",M23-S23,IF(H23="Events/total",IFERROR((R23/K23)/(X23/L23),""),""))</x:f>
        <x:v>0.41148148148148145</x:v>
      </x:c>
      <x:c r="AE23" s="18" t="str">
        <x:v>No</x:v>
      </x:c>
      <x:c r="AF23" s="18" t="str">
        <x:v>No</x:v>
      </x:c>
      <x:c r="AG23" s="18" t="str">
        <x:v>Eligible for dichotomous PON analysis with shared-control/multi-arm adjustment</x:v>
      </x:c>
      <x:c r="AH23" s="18" t="str">
        <x:v>Yes</x:v>
      </x:c>
      <x:c r="AI23" s="18" t="str">
        <x:v>Four-arm RCT; no sham; analysis denominators differ from randomized denominators</x:v>
      </x:c>
      <x:c r="AJ23" s="18" t="str">
        <x:v>Table 2</x:v>
      </x:c>
      <x:c r="AK23" s="18" t="str">
        <x:v>https://drive.google.com/file/d/1vux5IaubjInusplW6GJ2SsxhzibtSCe-/view?usp=drivesdk</x:v>
      </x:c>
      <x:c r="AL23" s="18" t="str">
        <x:v>SOURCE-VERIFIED</x:v>
      </x:c>
    </x:row>
    <x:row r="24">
      <x:c r="A24" s="18" t="str">
        <x:v>Zhu 2022</x:v>
      </x:c>
      <x:c r="B24" s="18" t="str">
        <x:v>ZHU22_COMB_vs_USUAL_POV</x:v>
      </x:c>
      <x:c r="C24" s="18" t="str">
        <x:v>EA day before + 30 min before</x:v>
      </x:c>
      <x:c r="D24" s="18" t="str">
        <x:v>Usual care alone</x:v>
      </x:c>
      <x:c r="E24" s="18" t="str">
        <x:v>PONV</x:v>
      </x:c>
      <x:c r="F24" s="18" t="str">
        <x:v>Postoperative vomiting</x:v>
      </x:c>
      <x:c r="G24" s="18" t="str">
        <x:v>6-24 h postoperatively</x:v>
      </x:c>
      <x:c r="H24" s="18" t="str">
        <x:v>Events/total</x:v>
      </x:c>
      <x:c r="I24" s="18" t="n">
        <x:v>103</x:v>
      </x:c>
      <x:c r="J24" s="18" t="n">
        <x:v>104</x:v>
      </x:c>
      <x:c r="K24" s="18" t="n">
        <x:v>100</x:v>
      </x:c>
      <x:c r="L24" s="18" t="n">
        <x:v>101</x:v>
      </x:c>
      <x:c r="M24" s="18"/>
      <x:c r="N24" s="18"/>
      <x:c r="O24" s="18"/>
      <x:c r="P24" s="18"/>
      <x:c r="Q24" s="18"/>
      <x:c r="R24" s="18" t="n">
        <x:v>9</x:v>
      </x:c>
      <x:c r="S24" s="18"/>
      <x:c r="T24" s="18"/>
      <x:c r="U24" s="18"/>
      <x:c r="V24" s="18"/>
      <x:c r="W24" s="18"/>
      <x:c r="X24" s="18" t="n">
        <x:v>22</x:v>
      </x:c>
      <x:c r="Y24" s="18" t="str">
        <x:v>participants with vomiting</x:v>
      </x:c>
      <x:c r="Z24" s="18" t="str">
        <x:v>NR pairwise</x:v>
      </x:c>
      <x:c r="AA24" s="18" t="str">
        <x:v>Yes</x:v>
      </x:c>
      <x:c r="AB24" s="18" t="str">
        <x:v>No</x:v>
      </x:c>
      <x:c r="AC24" s="18" t="str">
        <x:f>IF(H24="Mean/SD","MD",IF(H24="Events/total","RR",""))</x:f>
        <x:v>RR</x:v>
      </x:c>
      <x:c r="AD24" s="18" t="n">
        <x:f>IF(H24="Mean/SD",M24-S24,IF(H24="Events/total",IFERROR((R24/K24)/(X24/L24),""),""))</x:f>
        <x:v>0.41318181818181815</x:v>
      </x:c>
      <x:c r="AE24" s="18" t="str">
        <x:v>No</x:v>
      </x:c>
      <x:c r="AF24" s="18" t="str">
        <x:v>No</x:v>
      </x:c>
      <x:c r="AG24" s="18" t="str">
        <x:v>Eligible for dichotomous POV analysis with shared-control/multi-arm adjustment</x:v>
      </x:c>
      <x:c r="AH24" s="18" t="str">
        <x:v>Yes</x:v>
      </x:c>
      <x:c r="AI24" s="18" t="str">
        <x:v>Four-arm RCT; no sham; use exact arm-specific analyzed denominators</x:v>
      </x:c>
      <x:c r="AJ24" s="18" t="str">
        <x:v>Table 2</x:v>
      </x:c>
      <x:c r="AK24" s="18" t="str">
        <x:v>https://drive.google.com/file/d/1vux5IaubjInusplW6GJ2SsxhzibtSCe-/view?usp=drivesdk</x:v>
      </x:c>
      <x:c r="AL24" s="18" t="str">
        <x:v>SOURCE-VERIFIED</x:v>
      </x:c>
    </x:row>
    <x:row r="25">
      <x:c r="A25" s="18" t="str">
        <x:v>Zhou 2025</x:v>
      </x:c>
      <x:c r="B25" s="18" t="str">
        <x:v>ZHOU25_TEAS_vs_SHAM_QOR15</x:v>
      </x:c>
      <x:c r="C25" s="18" t="str">
        <x:v>PACU TEAS</x:v>
      </x:c>
      <x:c r="D25" s="18" t="str">
        <x:v>Sham/no current</x:v>
      </x:c>
      <x:c r="E25" s="18" t="str">
        <x:v>Quality of recovery</x:v>
      </x:c>
      <x:c r="F25" s="18" t="str">
        <x:v>Global QoR-15</x:v>
      </x:c>
      <x:c r="G25" s="18" t="str">
        <x:v>POD1</x:v>
      </x:c>
      <x:c r="H25" s="18" t="str">
        <x:v>Mean/SD</x:v>
      </x:c>
      <x:c r="I25" s="18" t="n">
        <x:v>50</x:v>
      </x:c>
      <x:c r="J25" s="18" t="n">
        <x:v>50</x:v>
      </x:c>
      <x:c r="K25" s="18" t="n">
        <x:v>48</x:v>
      </x:c>
      <x:c r="L25" s="18" t="n">
        <x:v>49</x:v>
      </x:c>
      <x:c r="M25" s="18" t="n">
        <x:v>112</x:v>
      </x:c>
      <x:c r="N25" s="18" t="n">
        <x:v>10.67</x:v>
      </x:c>
      <x:c r="O25" s="18"/>
      <x:c r="P25" s="18"/>
      <x:c r="Q25" s="18"/>
      <x:c r="R25" s="18"/>
      <x:c r="S25" s="18" t="n">
        <x:v>107.62</x:v>
      </x:c>
      <x:c r="T25" s="18" t="n">
        <x:v>10.27</x:v>
      </x:c>
      <x:c r="U25" s="18"/>
      <x:c r="V25" s="18"/>
      <x:c r="W25" s="18"/>
      <x:c r="X25" s="18"/>
      <x:c r="Y25" s="18" t="str">
        <x:v>QoR-15 points</x:v>
      </x:c>
      <x:c r="Z25" s="18" t="str">
        <x:v>0.042</x:v>
      </x:c>
      <x:c r="AA25" s="18" t="str">
        <x:v>Yes</x:v>
      </x:c>
      <x:c r="AB25" s="18" t="str">
        <x:v>No</x:v>
      </x:c>
      <x:c r="AC25" s="18" t="str">
        <x:f>IF(H25="Mean/SD","MD",IF(H25="Events/total","RR",""))</x:f>
        <x:v>MD</x:v>
      </x:c>
      <x:c r="AD25" s="18" t="n">
        <x:f>IF(H25="Mean/SD",M25-S25,IF(H25="Events/total",IFERROR((R25/K25)/(X25/L25),""),""))</x:f>
        <x:v>4.3799999999999955</x:v>
      </x:c>
      <x:c r="AE25" s="18" t="str">
        <x:v>No</x:v>
      </x:c>
      <x:c r="AF25" s="18" t="str">
        <x:v>No</x:v>
      </x:c>
      <x:c r="AG25" s="18" t="str">
        <x:v>Eligible for QoR-15 meta-analysis</x:v>
      </x:c>
      <x:c r="AH25" s="18" t="str">
        <x:v>No</x:v>
      </x:c>
      <x:c r="AI25" s="18" t="str">
        <x:v>3 post-randomization withdrawals; sensory blinding uncertain because active 10-15 mA/De Qi vs no current</x:v>
      </x:c>
      <x:c r="AJ25" s="18" t="str">
        <x:v>Table 2, p7</x:v>
      </x:c>
      <x:c r="AK25" s="18" t="str">
        <x:v>https://drive.google.com/file/d/1gpNBuoukUttXKWiAAeZSqdIaaHSMOwDU/view?usp=drivesdk</x:v>
      </x:c>
      <x:c r="AL25" s="18" t="str">
        <x:v>SOURCE-VERIFIED</x:v>
      </x:c>
    </x:row>
    <x:row r="26">
      <x:c r="A26" s="18" t="str">
        <x:v>Zhou 2025</x:v>
      </x:c>
      <x:c r="B26" s="18" t="str">
        <x:v>ZHOU25_TEAS_vs_SHAM_PAINREST</x:v>
      </x:c>
      <x:c r="C26" s="18" t="str">
        <x:v>PACU TEAS</x:v>
      </x:c>
      <x:c r="D26" s="18" t="str">
        <x:v>Sham/no current</x:v>
      </x:c>
      <x:c r="E26" s="18" t="str">
        <x:v>Pain</x:v>
      </x:c>
      <x:c r="F26" s="18" t="str">
        <x:v>Resting pain VAS</x:v>
      </x:c>
      <x:c r="G26" s="18" t="str">
        <x:v>POD1</x:v>
      </x:c>
      <x:c r="H26" s="18" t="str">
        <x:v>Median/IQR</x:v>
      </x:c>
      <x:c r="I26" s="18" t="n">
        <x:v>50</x:v>
      </x:c>
      <x:c r="J26" s="18" t="n">
        <x:v>50</x:v>
      </x:c>
      <x:c r="K26" s="18" t="n">
        <x:v>48</x:v>
      </x:c>
      <x:c r="L26" s="18" t="n">
        <x:v>49</x:v>
      </x:c>
      <x:c r="M26" s="18"/>
      <x:c r="N26" s="18"/>
      <x:c r="O26" s="18" t="n">
        <x:v>3</x:v>
      </x:c>
      <x:c r="P26" s="18" t="n">
        <x:v>3</x:v>
      </x:c>
      <x:c r="Q26" s="18" t="n">
        <x:v>4</x:v>
      </x:c>
      <x:c r="R26" s="18"/>
      <x:c r="S26" s="18"/>
      <x:c r="T26" s="18"/>
      <x:c r="U26" s="18" t="n">
        <x:v>4</x:v>
      </x:c>
      <x:c r="V26" s="18" t="n">
        <x:v>4</x:v>
      </x:c>
      <x:c r="W26" s="18" t="n">
        <x:v>5</x:v>
      </x:c>
      <x:c r="X26" s="18"/>
      <x:c r="Y26" s="18" t="str">
        <x:v>VAS 0-10</x:v>
      </x:c>
      <x:c r="Z26" s="18" t="str">
        <x:v>&lt;0.001</x:v>
      </x:c>
      <x:c r="AA26" s="18" t="str">
        <x:v>Yes</x:v>
      </x:c>
      <x:c r="AB26" s="18" t="str">
        <x:v>No</x:v>
      </x:c>
      <x:c r="AC26" s="18" t="str">
        <x:f>IF(H26="Mean/SD","MD",IF(H26="Events/total","RR",""))</x:f>
      </x:c>
      <x:c r="AD26" s="18" t="str">
        <x:f>IF(H26="Mean/SD",M26-S26,IF(H26="Events/total",IFERROR((R26/K26)/(X26/L26),""),""))</x:f>
      </x:c>
      <x:c r="AE26" s="18" t="str">
        <x:v>No</x:v>
      </x:c>
      <x:c r="AF26" s="18" t="str">
        <x:v>No</x:v>
      </x:c>
      <x:c r="AG26" s="18" t="str">
        <x:v>Eligible for pain analysis using nonparametric/prespecified conversion method</x:v>
      </x:c>
      <x:c r="AH26" s="18" t="str">
        <x:v>No</x:v>
      </x:c>
      <x:c r="AI26" s="18" t="str">
        <x:v>Do not convert median/IQR to mean/SD without prespecified method</x:v>
      </x:c>
      <x:c r="AJ26" s="18" t="str">
        <x:v>Table 3, p8</x:v>
      </x:c>
      <x:c r="AK26" s="18" t="str">
        <x:v>https://drive.google.com/file/d/1gpNBuoukUttXKWiAAeZSqdIaaHSMOwDU/view?usp=drivesdk</x:v>
      </x:c>
      <x:c r="AL26" s="18" t="str">
        <x:v>SOURCE-VERIFIED</x:v>
      </x:c>
    </x:row>
    <x:row r="27">
      <x:c r="A27" s="18" t="str">
        <x:v>Zhou 2025</x:v>
      </x:c>
      <x:c r="B27" s="18" t="str">
        <x:v>ZHOU25_TEAS_vs_SHAM_PONV</x:v>
      </x:c>
      <x:c r="C27" s="18" t="str">
        <x:v>PACU TEAS</x:v>
      </x:c>
      <x:c r="D27" s="18" t="str">
        <x:v>Sham/no current</x:v>
      </x:c>
      <x:c r="E27" s="18" t="str">
        <x:v>PONV</x:v>
      </x:c>
      <x:c r="F27" s="18" t="str">
        <x:v>PONV incidence</x:v>
      </x:c>
      <x:c r="G27" s="18" t="str">
        <x:v>POD1</x:v>
      </x:c>
      <x:c r="H27" s="18" t="str">
        <x:v>Events/total</x:v>
      </x:c>
      <x:c r="I27" s="18" t="n">
        <x:v>50</x:v>
      </x:c>
      <x:c r="J27" s="18" t="n">
        <x:v>50</x:v>
      </x:c>
      <x:c r="K27" s="18" t="n">
        <x:v>48</x:v>
      </x:c>
      <x:c r="L27" s="18" t="n">
        <x:v>49</x:v>
      </x:c>
      <x:c r="M27" s="18"/>
      <x:c r="N27" s="18"/>
      <x:c r="O27" s="18"/>
      <x:c r="P27" s="18"/>
      <x:c r="Q27" s="18"/>
      <x:c r="R27" s="18" t="n">
        <x:v>10</x:v>
      </x:c>
      <x:c r="S27" s="18"/>
      <x:c r="T27" s="18"/>
      <x:c r="U27" s="18"/>
      <x:c r="V27" s="18"/>
      <x:c r="W27" s="18"/>
      <x:c r="X27" s="18" t="n">
        <x:v>19</x:v>
      </x:c>
      <x:c r="Y27" s="18" t="str">
        <x:v>participants</x:v>
      </x:c>
      <x:c r="Z27" s="18" t="str">
        <x:v>0.047</x:v>
      </x:c>
      <x:c r="AA27" s="18" t="str">
        <x:v>Yes</x:v>
      </x:c>
      <x:c r="AB27" s="18" t="str">
        <x:v>No</x:v>
      </x:c>
      <x:c r="AC27" s="18" t="str">
        <x:f>IF(H27="Mean/SD","MD",IF(H27="Events/total","RR",""))</x:f>
        <x:v>RR</x:v>
      </x:c>
      <x:c r="AD27" s="18" t="n">
        <x:f>IF(H27="Mean/SD",M27-S27,IF(H27="Events/total",IFERROR((R27/K27)/(X27/L27),""),""))</x:f>
        <x:v>0.537280701754386</x:v>
      </x:c>
      <x:c r="AE27" s="18" t="str">
        <x:v>No</x:v>
      </x:c>
      <x:c r="AF27" s="18" t="str">
        <x:v>No</x:v>
      </x:c>
      <x:c r="AG27" s="18" t="str">
        <x:v>Eligible for dichotomous POD1 PONV analysis</x:v>
      </x:c>
      <x:c r="AH27" s="18" t="str">
        <x:v>No</x:v>
      </x:c>
      <x:c r="AI27" s="18" t="str">
        <x:v>Participant sensory blinding uncertain</x:v>
      </x:c>
      <x:c r="AJ27" s="18" t="str">
        <x:v>Table 4, p8</x:v>
      </x:c>
      <x:c r="AK27" s="18" t="str">
        <x:v>https://drive.google.com/file/d/1gpNBuoukUttXKWiAAeZSqdIaaHSMOwDU/view?usp=drivesdk</x:v>
      </x:c>
      <x:c r="AL27" s="18" t="str">
        <x:v>SOURCE-VERIFIED</x:v>
      </x:c>
    </x:row>
    <x:row r="28">
      <x:c r="A28" s="18" t="str">
        <x:v>Zhou 2025</x:v>
      </x:c>
      <x:c r="B28" s="18" t="str">
        <x:v>ZHOU25_TEAS_vs_SHAM_FLATUS</x:v>
      </x:c>
      <x:c r="C28" s="18" t="str">
        <x:v>PACU TEAS</x:v>
      </x:c>
      <x:c r="D28" s="18" t="str">
        <x:v>Sham/no current</x:v>
      </x:c>
      <x:c r="E28" s="18" t="str">
        <x:v>GI recovery</x:v>
      </x:c>
      <x:c r="F28" s="18" t="str">
        <x:v>Time to first flatus</x:v>
      </x:c>
      <x:c r="G28" s="18" t="str">
        <x:v>Postoperative</x:v>
      </x:c>
      <x:c r="H28" s="18" t="str">
        <x:v>Mean/SD</x:v>
      </x:c>
      <x:c r="I28" s="18" t="n">
        <x:v>50</x:v>
      </x:c>
      <x:c r="J28" s="18" t="n">
        <x:v>50</x:v>
      </x:c>
      <x:c r="K28" s="18" t="n">
        <x:v>48</x:v>
      </x:c>
      <x:c r="L28" s="18" t="n">
        <x:v>49</x:v>
      </x:c>
      <x:c r="M28" s="18" t="n">
        <x:v>14.1</x:v>
      </x:c>
      <x:c r="N28" s="18" t="n">
        <x:v>3.19</x:v>
      </x:c>
      <x:c r="O28" s="18"/>
      <x:c r="P28" s="18"/>
      <x:c r="Q28" s="18"/>
      <x:c r="R28" s="18"/>
      <x:c r="S28" s="18" t="n">
        <x:v>15.88</x:v>
      </x:c>
      <x:c r="T28" s="18" t="n">
        <x:v>3.78</x:v>
      </x:c>
      <x:c r="U28" s="18"/>
      <x:c r="V28" s="18"/>
      <x:c r="W28" s="18"/>
      <x:c r="X28" s="18"/>
      <x:c r="Y28" s="18" t="str">
        <x:v>hours</x:v>
      </x:c>
      <x:c r="Z28" s="18" t="str">
        <x:v>0.014</x:v>
      </x:c>
      <x:c r="AA28" s="18" t="str">
        <x:v>Yes</x:v>
      </x:c>
      <x:c r="AB28" s="18" t="str">
        <x:v>No</x:v>
      </x:c>
      <x:c r="AC28" s="18" t="str">
        <x:f>IF(H28="Mean/SD","MD",IF(H28="Events/total","RR",""))</x:f>
        <x:v>MD</x:v>
      </x:c>
      <x:c r="AD28" s="18" t="n">
        <x:f>IF(H28="Mean/SD",M28-S28,IF(H28="Events/total",IFERROR((R28/K28)/(X28/L28),""),""))</x:f>
        <x:v>-1.7800000000000011</x:v>
      </x:c>
      <x:c r="AE28" s="18" t="str">
        <x:v>No</x:v>
      </x:c>
      <x:c r="AF28" s="18" t="str">
        <x:v>No</x:v>
      </x:c>
      <x:c r="AG28" s="18" t="str">
        <x:v>Eligible for GI-recovery meta-analysis</x:v>
      </x:c>
      <x:c r="AH28" s="18" t="str">
        <x:v>No</x:v>
      </x:c>
      <x:c r="AI28" s="18" t="str">
        <x:v>Ascertainment mechanism should be considered in RoB because participant sensory blinding may be imperfect</x:v>
      </x:c>
      <x:c r="AJ28" s="18" t="str">
        <x:v>Postoperative recovery-time table</x:v>
      </x:c>
      <x:c r="AK28" s="18" t="str">
        <x:v>https://drive.google.com/file/d/1gpNBuoukUttXKWiAAeZSqdIaaHSMOwDU/view?usp=drivesdk</x:v>
      </x:c>
      <x:c r="AL28" s="18" t="str">
        <x:v>SOURCE-VERIFIED</x:v>
      </x:c>
    </x:row>
    <x:row r="29">
      <x:c r="A29" s="18" t="str">
        <x:v>Zhou 2025</x:v>
      </x:c>
      <x:c r="B29" s="18" t="str">
        <x:v>ZHOU25_TEAS_vs_SHAM_RESCUE</x:v>
      </x:c>
      <x:c r="C29" s="18" t="str">
        <x:v>PACU TEAS</x:v>
      </x:c>
      <x:c r="D29" s="18" t="str">
        <x:v>Sham/no current</x:v>
      </x:c>
      <x:c r="E29" s="18" t="str">
        <x:v>Rescue analgesia</x:v>
      </x:c>
      <x:c r="F29" s="18" t="str">
        <x:v>Any rescue analgesia</x:v>
      </x:c>
      <x:c r="G29" s="18" t="str">
        <x:v>POD1-POD3</x:v>
      </x:c>
      <x:c r="H29" s="18" t="str">
        <x:v>Events/total</x:v>
      </x:c>
      <x:c r="I29" s="18" t="n">
        <x:v>50</x:v>
      </x:c>
      <x:c r="J29" s="18" t="n">
        <x:v>50</x:v>
      </x:c>
      <x:c r="K29" s="18" t="n">
        <x:v>48</x:v>
      </x:c>
      <x:c r="L29" s="18" t="n">
        <x:v>49</x:v>
      </x:c>
      <x:c r="M29" s="18"/>
      <x:c r="N29" s="18"/>
      <x:c r="O29" s="18"/>
      <x:c r="P29" s="18"/>
      <x:c r="Q29" s="18"/>
      <x:c r="R29" s="18" t="n">
        <x:v>6</x:v>
      </x:c>
      <x:c r="S29" s="18"/>
      <x:c r="T29" s="18"/>
      <x:c r="U29" s="18"/>
      <x:c r="V29" s="18"/>
      <x:c r="W29" s="18"/>
      <x:c r="X29" s="18" t="n">
        <x:v>13</x:v>
      </x:c>
      <x:c r="Y29" s="18" t="str">
        <x:v>participants</x:v>
      </x:c>
      <x:c r="Z29" s="18" t="str">
        <x:v>0.124</x:v>
      </x:c>
      <x:c r="AA29" s="18" t="str">
        <x:v>Yes</x:v>
      </x:c>
      <x:c r="AB29" s="18" t="str">
        <x:v>No</x:v>
      </x:c>
      <x:c r="AC29" s="18" t="str">
        <x:f>IF(H29="Mean/SD","MD",IF(H29="Events/total","RR",""))</x:f>
        <x:v>RR</x:v>
      </x:c>
      <x:c r="AD29" s="18" t="n">
        <x:f>IF(H29="Mean/SD",M29-S29,IF(H29="Events/total",IFERROR((R29/K29)/(X29/L29),""),""))</x:f>
        <x:v>0.47115384615384615</x:v>
      </x:c>
      <x:c r="AE29" s="18" t="str">
        <x:v>No</x:v>
      </x:c>
      <x:c r="AF29" s="18" t="str">
        <x:v>No</x:v>
      </x:c>
      <x:c r="AG29" s="18" t="str">
        <x:v>Eligible only for 3-day binary rescue-analgesia analysis</x:v>
      </x:c>
      <x:c r="AH29" s="18" t="str">
        <x:v>No</x:v>
      </x:c>
      <x:c r="AI29" s="18" t="str">
        <x:v>Not a 24-h opioid dose; exact cumulative tramadol dose is not reported</x:v>
      </x:c>
      <x:c r="AJ29" s="18" t="str">
        <x:v>Table 3, p8</x:v>
      </x:c>
      <x:c r="AK29" s="18" t="str">
        <x:v>https://drive.google.com/file/d/1gpNBuoukUttXKWiAAeZSqdIaaHSMOwDU/view?usp=drivesdk</x:v>
      </x:c>
      <x:c r="AL29" s="18" t="str">
        <x:v>SOURCE-VERIFIED</x:v>
      </x:c>
    </x:row>
    <x:row r="30">
      <x:c r="A30" s="18" t="str">
        <x:v>Zhou 2025</x:v>
      </x:c>
      <x:c r="B30" s="18" t="str">
        <x:v>ZHOU25_TEAS_vs_SHAM_OPIOID24</x:v>
      </x:c>
      <x:c r="C30" s="18" t="str">
        <x:v>PACU TEAS</x:v>
      </x:c>
      <x:c r="D30" s="18" t="str">
        <x:v>Sham/no current</x:v>
      </x:c>
      <x:c r="E30" s="18" t="str">
        <x:v>Opioid consumption</x:v>
      </x:c>
      <x:c r="F30" s="18" t="str">
        <x:v>Exact cumulative postoperative opioid dose</x:v>
      </x:c>
      <x:c r="G30" s="18" t="str">
        <x:v>0-24 h</x:v>
      </x:c>
      <x:c r="H30" s="18" t="str">
        <x:v>Not reported</x:v>
      </x:c>
      <x:c r="I30" s="18" t="n">
        <x:v>50</x:v>
      </x:c>
      <x:c r="J30" s="18" t="n">
        <x:v>50</x:v>
      </x:c>
      <x:c r="K30" s="18" t="n">
        <x:v>48</x:v>
      </x:c>
      <x:c r="L30" s="18" t="n">
        <x:v>49</x:v>
      </x:c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 t="str">
        <x:v>mg/µg</x:v>
      </x:c>
      <x:c r="Z30" s="18" t="str"/>
      <x:c r="AA30" s="18" t="str">
        <x:v>No</x:v>
      </x:c>
      <x:c r="AB30" s="18" t="str">
        <x:v>No</x:v>
      </x:c>
      <x:c r="AC30" s="18" t="str">
        <x:f>IF(H30="Mean/SD","MD",IF(H30="Events/total","RR",""))</x:f>
      </x:c>
      <x:c r="AD30" s="18" t="str">
        <x:f>IF(H30="Mean/SD",M30-S30,IF(H30="Events/total",IFERROR((R30/K30)/(X30/L30),""),""))</x:f>
      </x:c>
      <x:c r="AE30" s="18" t="str">
        <x:v>No</x:v>
      </x:c>
      <x:c r="AF30" s="18" t="str">
        <x:v>No</x:v>
      </x:c>
      <x:c r="AG30" s="18" t="str">
        <x:v>Not eligible for continuous 24-h opioid meta-analysis without author data</x:v>
      </x:c>
      <x:c r="AH30" s="18" t="str">
        <x:v>No</x:v>
      </x:c>
      <x:c r="AI30" s="18" t="str">
        <x:v>Standard perioperative sufentanil plus PRN tramadol; exact 0-24-h cumulative dose not reported</x:v>
      </x:c>
      <x:c r="AJ30" s="18" t="str">
        <x:v>Not numerically reported</x:v>
      </x:c>
      <x:c r="AK30" s="18" t="str">
        <x:v>https://drive.google.com/file/d/1gpNBuoukUttXKWiAAeZSqdIaaHSMOwDU/view?usp=drivesdk</x:v>
      </x:c>
      <x:c r="AL30" s="18" t="str">
        <x:v>MISSING / AUTHOR DATA NEEDED</x:v>
      </x:c>
    </x:row>
    <x:row r="31">
      <x:c r="A31" s="18" t="str">
        <x:v>Zhou 2021</x:v>
      </x:c>
      <x:c r="B31" s="18" t="str">
        <x:v>ZHOU21_TEAS_vs_UC_PAIN</x:v>
      </x:c>
      <x:c r="C31" s="18" t="str">
        <x:v>Postoperative TEAS + ERAS</x:v>
      </x:c>
      <x:c r="D31" s="18" t="str">
        <x:v>ERAS/usual care</x:v>
      </x:c>
      <x:c r="E31" s="18" t="str">
        <x:v>Pain</x:v>
      </x:c>
      <x:c r="F31" s="18" t="str">
        <x:v>Average postoperative pain</x:v>
      </x:c>
      <x:c r="G31" s="18" t="str">
        <x:v>POD1-POD5 average</x:v>
      </x:c>
      <x:c r="H31" s="18" t="str">
        <x:v>Mean/SD</x:v>
      </x:c>
      <x:c r="I31" s="18" t="n">
        <x:v>41</x:v>
      </x:c>
      <x:c r="J31" s="18" t="n">
        <x:v>41</x:v>
      </x:c>
      <x:c r="K31" s="18" t="n">
        <x:v>41</x:v>
      </x:c>
      <x:c r="L31" s="18" t="n">
        <x:v>40</x:v>
      </x:c>
      <x:c r="M31" s="18" t="n">
        <x:v>2.55</x:v>
      </x:c>
      <x:c r="N31" s="18" t="n">
        <x:v>0.21</x:v>
      </x:c>
      <x:c r="O31" s="18"/>
      <x:c r="P31" s="18"/>
      <x:c r="Q31" s="18"/>
      <x:c r="R31" s="18"/>
      <x:c r="S31" s="18" t="n">
        <x:v>3.1</x:v>
      </x:c>
      <x:c r="T31" s="18" t="n">
        <x:v>0.42</x:v>
      </x:c>
      <x:c r="U31" s="18"/>
      <x:c r="V31" s="18"/>
      <x:c r="W31" s="18"/>
      <x:c r="X31" s="18"/>
      <x:c r="Y31" s="18" t="str">
        <x:v>pain score</x:v>
      </x:c>
      <x:c r="Z31" s="18" t="str">
        <x:v>&lt;0.001</x:v>
      </x:c>
      <x:c r="AA31" s="18" t="str">
        <x:v>Yes</x:v>
      </x:c>
      <x:c r="AB31" s="18" t="str">
        <x:v>No</x:v>
      </x:c>
      <x:c r="AC31" s="18" t="str">
        <x:f>IF(H31="Mean/SD","MD",IF(H31="Events/total","RR",""))</x:f>
        <x:v>MD</x:v>
      </x:c>
      <x:c r="AD31" s="18" t="n">
        <x:f>IF(H31="Mean/SD",M31-S31,IF(H31="Events/total",IFERROR((R31/K31)/(X31/L31),""),""))</x:f>
        <x:v>-0.5500000000000003</x:v>
      </x:c>
      <x:c r="AE31" s="18" t="str">
        <x:v>No</x:v>
      </x:c>
      <x:c r="AF31" s="18" t="str">
        <x:v>No</x:v>
      </x:c>
      <x:c r="AG31" s="18" t="str">
        <x:v>Eligible only for matching POD1-POD5 average pain analysis</x:v>
      </x:c>
      <x:c r="AH31" s="18" t="str">
        <x:v>No</x:v>
      </x:c>
      <x:c r="AI31" s="18" t="str">
        <x:v>Open-label/no sham; subjective outcome</x:v>
      </x:c>
      <x:c r="AJ31" s="18" t="str">
        <x:v>Table 3, p6</x:v>
      </x:c>
      <x:c r="AK31" s="18" t="str">
        <x:v>https://drive.google.com/file/d/1PxYyULBv_ZjWeqAm_bNYkDn_j2_lNYLq/view?usp=drivesdk</x:v>
      </x:c>
      <x:c r="AL31" s="18" t="str">
        <x:v>SOURCE-VERIFIED</x:v>
      </x:c>
    </x:row>
    <x:row r="32">
      <x:c r="A32" s="18" t="str">
        <x:v>Zhou 2021</x:v>
      </x:c>
      <x:c r="B32" s="18" t="str">
        <x:v>ZHOU21_TEAS_vs_UC_OPIOIDUSE</x:v>
      </x:c>
      <x:c r="C32" s="18" t="str">
        <x:v>Postoperative TEAS + ERAS</x:v>
      </x:c>
      <x:c r="D32" s="18" t="str">
        <x:v>ERAS/usual care</x:v>
      </x:c>
      <x:c r="E32" s="18" t="str">
        <x:v>Opioid consumption</x:v>
      </x:c>
      <x:c r="F32" s="18" t="str">
        <x:v>Any postoperative opioid use</x:v>
      </x:c>
      <x:c r="G32" s="18" t="str">
        <x:v>Postoperative window not clearly defined as 0-24 h</x:v>
      </x:c>
      <x:c r="H32" s="18" t="str">
        <x:v>Events/total</x:v>
      </x:c>
      <x:c r="I32" s="18" t="n">
        <x:v>41</x:v>
      </x:c>
      <x:c r="J32" s="18" t="n">
        <x:v>41</x:v>
      </x:c>
      <x:c r="K32" s="18" t="n">
        <x:v>41</x:v>
      </x:c>
      <x:c r="L32" s="18" t="n">
        <x:v>40</x:v>
      </x:c>
      <x:c r="M32" s="18"/>
      <x:c r="N32" s="18"/>
      <x:c r="O32" s="18"/>
      <x:c r="P32" s="18"/>
      <x:c r="Q32" s="18"/>
      <x:c r="R32" s="18" t="n">
        <x:v>18</x:v>
      </x:c>
      <x:c r="S32" s="18"/>
      <x:c r="T32" s="18"/>
      <x:c r="U32" s="18"/>
      <x:c r="V32" s="18"/>
      <x:c r="W32" s="18"/>
      <x:c r="X32" s="18" t="n">
        <x:v>30</x:v>
      </x:c>
      <x:c r="Y32" s="18" t="str">
        <x:v>participants</x:v>
      </x:c>
      <x:c r="Z32" s="18" t="str">
        <x:v>0.004</x:v>
      </x:c>
      <x:c r="AA32" s="18" t="str">
        <x:v>Yes</x:v>
      </x:c>
      <x:c r="AB32" s="18" t="str">
        <x:v>No</x:v>
      </x:c>
      <x:c r="AC32" s="18" t="str">
        <x:f>IF(H32="Mean/SD","MD",IF(H32="Events/total","RR",""))</x:f>
        <x:v>RR</x:v>
      </x:c>
      <x:c r="AD32" s="18" t="n">
        <x:f>IF(H32="Mean/SD",M32-S32,IF(H32="Events/total",IFERROR((R32/K32)/(X32/L32),""),""))</x:f>
        <x:v>0.5853658536585366</x:v>
      </x:c>
      <x:c r="AE32" s="18" t="str">
        <x:v>No</x:v>
      </x:c>
      <x:c r="AF32" s="18" t="str">
        <x:v>No</x:v>
      </x:c>
      <x:c r="AG32" s="18" t="str">
        <x:v>Eligible for binary opioid-use analysis only if matching time window is acceptable</x:v>
      </x:c>
      <x:c r="AH32" s="18" t="str">
        <x:v>No</x:v>
      </x:c>
      <x:c r="AI32" s="18" t="str">
        <x:v>Exact postoperative time window is not clearly stated</x:v>
      </x:c>
      <x:c r="AJ32" s="18" t="str">
        <x:v>Table 3</x:v>
      </x:c>
      <x:c r="AK32" s="18" t="str">
        <x:v>https://drive.google.com/file/d/1PxYyULBv_ZjWeqAm_bNYkDn_j2_lNYLq/view?usp=drivesdk</x:v>
      </x:c>
      <x:c r="AL32" s="18" t="str">
        <x:v>SOURCE-VERIFIED / WINDOW QC</x:v>
      </x:c>
    </x:row>
    <x:row r="33">
      <x:c r="A33" s="18" t="str">
        <x:v>Zheng 2025</x:v>
      </x:c>
      <x:c r="B33" s="18" t="str">
        <x:v>ZHENG25_TEAS_vs_SHAM_PONV</x:v>
      </x:c>
      <x:c r="C33" s="18" t="str">
        <x:v>Perioperative TEAS</x:v>
      </x:c>
      <x:c r="D33" s="18" t="str">
        <x:v>Sham/no current</x:v>
      </x:c>
      <x:c r="E33" s="18" t="str">
        <x:v>PONV</x:v>
      </x:c>
      <x:c r="F33" s="18" t="str">
        <x:v>Any PONV</x:v>
      </x:c>
      <x:c r="G33" s="18" t="str">
        <x:v>Within 24 h postoperatively</x:v>
      </x:c>
      <x:c r="H33" s="18" t="str">
        <x:v>Events/total</x:v>
      </x:c>
      <x:c r="I33" s="18" t="n">
        <x:v>44</x:v>
      </x:c>
      <x:c r="J33" s="18" t="n">
        <x:v>44</x:v>
      </x:c>
      <x:c r="K33" s="18" t="n">
        <x:v>42</x:v>
      </x:c>
      <x:c r="L33" s="18" t="n">
        <x:v>43</x:v>
      </x:c>
      <x:c r="M33" s="18"/>
      <x:c r="N33" s="18"/>
      <x:c r="O33" s="18"/>
      <x:c r="P33" s="18"/>
      <x:c r="Q33" s="18"/>
      <x:c r="R33" s="18" t="n">
        <x:v>18</x:v>
      </x:c>
      <x:c r="S33" s="18"/>
      <x:c r="T33" s="18"/>
      <x:c r="U33" s="18"/>
      <x:c r="V33" s="18"/>
      <x:c r="W33" s="18"/>
      <x:c r="X33" s="18" t="n">
        <x:v>29</x:v>
      </x:c>
      <x:c r="Y33" s="18" t="str">
        <x:v>participants</x:v>
      </x:c>
      <x:c r="Z33" s="18" t="str">
        <x:v>0.023</x:v>
      </x:c>
      <x:c r="AA33" s="18" t="str">
        <x:v>Percentages directly reported; counts derived</x:v>
      </x:c>
      <x:c r="AB33" s="18" t="str">
        <x:v>Yes</x:v>
      </x:c>
      <x:c r="AC33" s="18" t="str">
        <x:f>IF(H33="Mean/SD","MD",IF(H33="Events/total","RR",""))</x:f>
        <x:v>RR</x:v>
      </x:c>
      <x:c r="AD33" s="18" t="n">
        <x:f>IF(H33="Mean/SD",M33-S33,IF(H33="Events/total",IFERROR((R33/K33)/(X33/L33),""),""))</x:f>
        <x:v>0.6354679802955665</x:v>
      </x:c>
      <x:c r="AE33" s="18" t="str">
        <x:v>No</x:v>
      </x:c>
      <x:c r="AF33" s="18" t="str">
        <x:v>No</x:v>
      </x:c>
      <x:c r="AG33" s="18" t="str">
        <x:v>Eligible for dichotomous 24-h PONV analysis</x:v>
      </x:c>
      <x:c r="AH33" s="18" t="str">
        <x:v>No</x:v>
      </x:c>
      <x:c r="AI33" s="18" t="str">
        <x:v>Counts 18/42 and 29/43 are reconstructed from reported 42.9% and 67.4%; use percentages as source truth</x:v>
      </x:c>
      <x:c r="AJ33" s="18" t="str">
        <x:v>Primary outcome / 24-h PONV result</x:v>
      </x:c>
      <x:c r="AK33" s="18" t="str">
        <x:v>https://drive.google.com/file/d/1-JWKZgQXaQQQBZgMSDqyIP-vG9aAxBqb/view?usp=drivesdk</x:v>
      </x:c>
      <x:c r="AL33" s="18" t="str">
        <x:v>SOURCE-VERIFIED / COUNTS DERIVED</x:v>
      </x:c>
    </x:row>
    <x:row r="34">
      <x:c r="A34" s="18" t="str">
        <x:v>Zheng 2025</x:v>
      </x:c>
      <x:c r="B34" s="18" t="str">
        <x:v>ZHENG25_TEAS_vs_SHAM_REMI</x:v>
      </x:c>
      <x:c r="C34" s="18" t="str">
        <x:v>Perioperative TEAS</x:v>
      </x:c>
      <x:c r="D34" s="18" t="str">
        <x:v>Sham/no current</x:v>
      </x:c>
      <x:c r="E34" s="18" t="str">
        <x:v>Intraoperative opioid</x:v>
      </x:c>
      <x:c r="F34" s="18" t="str">
        <x:v>Total intraoperative remifentanil consumption</x:v>
      </x:c>
      <x:c r="G34" s="18" t="str">
        <x:v>Intraoperative</x:v>
      </x:c>
      <x:c r="H34" s="18" t="str">
        <x:v>Mean/SD</x:v>
      </x:c>
      <x:c r="I34" s="18" t="n">
        <x:v>44</x:v>
      </x:c>
      <x:c r="J34" s="18" t="n">
        <x:v>44</x:v>
      </x:c>
      <x:c r="K34" s="18" t="n">
        <x:v>42</x:v>
      </x:c>
      <x:c r="L34" s="18" t="n">
        <x:v>43</x:v>
      </x:c>
      <x:c r="M34" s="18" t="n">
        <x:v>233.1</x:v>
      </x:c>
      <x:c r="N34" s="18" t="n">
        <x:v>29.6</x:v>
      </x:c>
      <x:c r="O34" s="18"/>
      <x:c r="P34" s="18"/>
      <x:c r="Q34" s="18"/>
      <x:c r="R34" s="18"/>
      <x:c r="S34" s="18" t="n">
        <x:v>289.5</x:v>
      </x:c>
      <x:c r="T34" s="18" t="n">
        <x:v>37.9</x:v>
      </x:c>
      <x:c r="U34" s="18"/>
      <x:c r="V34" s="18"/>
      <x:c r="W34" s="18"/>
      <x:c r="X34" s="18"/>
      <x:c r="Y34" s="18" t="str">
        <x:v>µg remifentanil</x:v>
      </x:c>
      <x:c r="Z34" s="18" t="str">
        <x:v>0.031</x:v>
      </x:c>
      <x:c r="AA34" s="18" t="str">
        <x:v>Yes</x:v>
      </x:c>
      <x:c r="AB34" s="18" t="str">
        <x:v>No</x:v>
      </x:c>
      <x:c r="AC34" s="18" t="str">
        <x:f>IF(H34="Mean/SD","MD",IF(H34="Events/total","RR",""))</x:f>
        <x:v>MD</x:v>
      </x:c>
      <x:c r="AD34" s="18" t="n">
        <x:f>IF(H34="Mean/SD",M34-S34,IF(H34="Events/total",IFERROR((R34/K34)/(X34/L34),""),""))</x:f>
        <x:v>-56.400000000000006</x:v>
      </x:c>
      <x:c r="AE34" s="18" t="str">
        <x:v>No</x:v>
      </x:c>
      <x:c r="AF34" s="18" t="str">
        <x:v>No</x:v>
      </x:c>
      <x:c r="AG34" s="18" t="str">
        <x:v>Eligible for intraoperative opioid-sparing analysis, not postoperative 24-h opioid analysis</x:v>
      </x:c>
      <x:c r="AH34" s="18" t="str">
        <x:v>No</x:v>
      </x:c>
      <x:c r="AI34" s="18" t="str">
        <x:v>Not a postoperative endpoint</x:v>
      </x:c>
      <x:c r="AJ34" s="18" t="str">
        <x:v>Table 3, p9</x:v>
      </x:c>
      <x:c r="AK34" s="18" t="str">
        <x:v>https://drive.google.com/file/d/1-JWKZgQXaQQQBZgMSDqyIP-vG9aAxBqb/view?usp=drivesdk</x:v>
      </x:c>
      <x:c r="AL34" s="18" t="str">
        <x:v>SOURCE-VERIFIED</x:v>
      </x:c>
    </x:row>
    <x:row r="35">
      <x:c r="A35" s="18" t="str">
        <x:v>Zheng 2025</x:v>
      </x:c>
      <x:c r="B35" s="18" t="str">
        <x:v>ZHENG25_TEAS_vs_SHAM_PCA_PRESS</x:v>
      </x:c>
      <x:c r="C35" s="18" t="str">
        <x:v>Perioperative TEAS</x:v>
      </x:c>
      <x:c r="D35" s="18" t="str">
        <x:v>Sham/no current</x:v>
      </x:c>
      <x:c r="E35" s="18" t="str">
        <x:v>Opioid demand</x:v>
      </x:c>
      <x:c r="F35" s="18" t="str">
        <x:v>Total PCIA button presses</x:v>
      </x:c>
      <x:c r="G35" s="18" t="str">
        <x:v>Postoperative; exact pump duration NR</x:v>
      </x:c>
      <x:c r="H35" s="18" t="str">
        <x:v>Mean/SD</x:v>
      </x:c>
      <x:c r="I35" s="18" t="n">
        <x:v>44</x:v>
      </x:c>
      <x:c r="J35" s="18" t="n">
        <x:v>44</x:v>
      </x:c>
      <x:c r="K35" s="18" t="n">
        <x:v>42</x:v>
      </x:c>
      <x:c r="L35" s="18" t="n">
        <x:v>43</x:v>
      </x:c>
      <x:c r="M35" s="18" t="n">
        <x:v>6.3</x:v>
      </x:c>
      <x:c r="N35" s="18" t="n">
        <x:v>2.2</x:v>
      </x:c>
      <x:c r="O35" s="18"/>
      <x:c r="P35" s="18"/>
      <x:c r="Q35" s="18"/>
      <x:c r="R35" s="18"/>
      <x:c r="S35" s="18" t="n">
        <x:v>10.7</x:v>
      </x:c>
      <x:c r="T35" s="18" t="n">
        <x:v>3.9</x:v>
      </x:c>
      <x:c r="U35" s="18"/>
      <x:c r="V35" s="18"/>
      <x:c r="W35" s="18"/>
      <x:c r="X35" s="18"/>
      <x:c r="Y35" s="18" t="str">
        <x:v>presses</x:v>
      </x:c>
      <x:c r="Z35" s="18" t="str">
        <x:v>0.004</x:v>
      </x:c>
      <x:c r="AA35" s="18" t="str">
        <x:v>Yes</x:v>
      </x:c>
      <x:c r="AB35" s="18" t="str">
        <x:v>No</x:v>
      </x:c>
      <x:c r="AC35" s="18" t="str">
        <x:f>IF(H35="Mean/SD","MD",IF(H35="Events/total","RR",""))</x:f>
        <x:v>MD</x:v>
      </x:c>
      <x:c r="AD35" s="18" t="n">
        <x:f>IF(H35="Mean/SD",M35-S35,IF(H35="Events/total",IFERROR((R35/K35)/(X35/L35),""),""))</x:f>
        <x:v>-4.3999999999999995</x:v>
      </x:c>
      <x:c r="AE35" s="18" t="str">
        <x:v>No</x:v>
      </x:c>
      <x:c r="AF35" s="18" t="str">
        <x:v>No</x:v>
      </x:c>
      <x:c r="AG35" s="18" t="str">
        <x:v>Eligible for PCA-demand analysis only</x:v>
      </x:c>
      <x:c r="AH35" s="18" t="str">
        <x:v>No</x:v>
      </x:c>
      <x:c r="AI35" s="18" t="str">
        <x:v>PCIA final volume/concentration is NR, so presses cannot be converted to sufentanil mass</x:v>
      </x:c>
      <x:c r="AJ35" s="18" t="str">
        <x:v>Postoperative PCIA results</x:v>
      </x:c>
      <x:c r="AK35" s="18" t="str">
        <x:v>https://drive.google.com/file/d/1-JWKZgQXaQQQBZgMSDqyIP-vG9aAxBqb/view?usp=drivesdk</x:v>
      </x:c>
      <x:c r="AL35" s="18" t="str">
        <x:v>SOURCE-VERIFIED / DOSE NOT RECONSTRUCTABLE</x:v>
      </x:c>
    </x:row>
    <x:row r="36">
      <x:c r="A36" t="str">
        <x:v>Zheng 2025</x:v>
      </x:c>
      <x:c r="B36" t="str">
        <x:v>ZHENG25_TEAS_vs_SHAM_OPIOID24</x:v>
      </x:c>
      <x:c r="C36" t="str">
        <x:v>Perioperative TEAS</x:v>
      </x:c>
      <x:c r="D36" t="str">
        <x:v>Sham/no current</x:v>
      </x:c>
      <x:c r="E36" t="str">
        <x:v>Opioid consumption</x:v>
      </x:c>
      <x:c r="F36" t="str">
        <x:v>Exact cumulative postoperative sufentanil mass</x:v>
      </x:c>
      <x:c r="G36" t="str">
        <x:v>0-24 h</x:v>
      </x:c>
      <x:c r="H36" t="str">
        <x:v>Not reported</x:v>
      </x:c>
      <x:c r="I36" t="n">
        <x:v>44</x:v>
      </x:c>
      <x:c r="J36" t="n">
        <x:v>44</x:v>
      </x:c>
      <x:c r="K36" t="n">
        <x:v>42</x:v>
      </x:c>
      <x:c r="L36" t="n">
        <x:v>43</x:v>
      </x:c>
      <x:c r="M36"/>
      <x:c r="N36"/>
      <x:c r="O36"/>
      <x:c r="P36"/>
      <x:c r="Q36"/>
      <x:c r="R36"/>
      <x:c r="S36"/>
      <x:c r="T36"/>
      <x:c r="U36"/>
      <x:c r="V36"/>
      <x:c r="W36"/>
      <x:c r="X36"/>
      <x:c r="Y36" t="str">
        <x:v>µg sufentanil</x:v>
      </x:c>
      <x:c r="Z36" t="str"/>
      <x:c r="AA36" t="str">
        <x:v>No</x:v>
      </x:c>
      <x:c r="AB36" t="str">
        <x:v>No</x:v>
      </x:c>
      <x:c r="AC36" t="str">
        <x:f>IF(H36="Mean/SD","MD",IF(H36="Events/total","RR",""))</x:f>
      </x:c>
      <x:c r="AD36" t="str">
        <x:f>IF(H36="Mean/SD",M36-S36,IF(H36="Events/total",IFERROR((R36/K36)/(X36/L36),""),""))</x:f>
      </x:c>
      <x:c r="AE36" t="str">
        <x:v>No</x:v>
      </x:c>
      <x:c r="AF36" t="str">
        <x:v>No</x:v>
      </x:c>
      <x:c r="AG36" t="str">
        <x:v>Not eligible for continuous 24-h opioid meta-analysis without author data</x:v>
      </x:c>
      <x:c r="AH36" t="str">
        <x:v>No</x:v>
      </x:c>
      <x:c r="AI36" t="str">
        <x:v>Final PCIA volume/concentration and exact cumulative sufentanil mass are not reported</x:v>
      </x:c>
      <x:c r="AJ36" t="str">
        <x:v>PCIA formulation section / missing outcome</x:v>
      </x:c>
      <x:c r="AK36" t="str">
        <x:v>https://drive.google.com/file/d/1-JWKZgQXaQQQBZgMSDqyIP-vG9aAxBqb/view?usp=drivesdk</x:v>
      </x:c>
      <x:c r="AL36" t="str">
        <x:v>MISSING / AUTHOR DATA NEEDED</x:v>
      </x:c>
    </x:row>
    <x:row r="37">
      <x:c r="A37" t="str">
        <x:v>Zhan 2020</x:v>
      </x:c>
      <x:c r="B37" t="str">
        <x:v>ZHAN20_TAPTEAS_vs_TAP_PAIN24</x:v>
      </x:c>
      <x:c r="C37" t="str">
        <x:v>TAP block + postoperative TEAS</x:v>
      </x:c>
      <x:c r="D37" t="str">
        <x:v>TAP block</x:v>
      </x:c>
      <x:c r="E37" t="str">
        <x:v>Pain</x:v>
      </x:c>
      <x:c r="F37" t="str">
        <x:v>VAS pain intensity</x:v>
      </x:c>
      <x:c r="G37" t="str">
        <x:v>24 h postoperatively</x:v>
      </x:c>
      <x:c r="H37" t="str">
        <x:v>Source-format ambiguous</x:v>
      </x:c>
      <x:c r="I37" t="n">
        <x:v>30</x:v>
      </x:c>
      <x:c r="J37" t="n">
        <x:v>30</x:v>
      </x:c>
      <x:c r="K37" t="n">
        <x:v>30</x:v>
      </x:c>
      <x:c r="L37" t="n">
        <x:v>30</x:v>
      </x:c>
      <x:c r="M37"/>
      <x:c r="N37"/>
      <x:c r="O37"/>
      <x:c r="P37"/>
      <x:c r="Q37"/>
      <x:c r="R37"/>
      <x:c r="S37"/>
      <x:c r="T37"/>
      <x:c r="U37"/>
      <x:c r="V37"/>
      <x:c r="W37"/>
      <x:c r="X37"/>
      <x:c r="Y37" t="str">
        <x:v>VAS</x:v>
      </x:c>
      <x:c r="Z37" t="str">
        <x:v>0.03 pairwise</x:v>
      </x:c>
      <x:c r="AA37" t="str">
        <x:v>Yes</x:v>
      </x:c>
      <x:c r="AB37" t="str">
        <x:v>No</x:v>
      </x:c>
      <x:c r="AC37" t="str">
        <x:f>IF(H37="Mean/SD","MD",IF(H37="Events/total","RR",""))</x:f>
      </x:c>
      <x:c r="AD37" t="str">
        <x:f>IF(H37="Mean/SD",M37-S37,IF(H37="Events/total",IFERROR((R37/K37)/(X37/L37),""),""))</x:f>
      </x:c>
      <x:c r="AE37" t="str">
        <x:v>No</x:v>
      </x:c>
      <x:c r="AF37" t="str">
        <x:v>No</x:v>
      </x:c>
      <x:c r="AG37" t="str">
        <x:v>Qualitative/source-text use only until summary format is clarified</x:v>
      </x:c>
      <x:c r="AH37" t="str">
        <x:v>Yes</x:v>
      </x:c>
      <x:c r="AI37" t="str">
        <x:v>Printed source values are TAP+TEAS '2 (1.7 ± 2.2)' vs TAP '2 (2.0 ± 3.0)'; format is not defined as mean/SD, median/IQR, or range</x:v>
      </x:c>
      <x:c r="AJ37" t="str">
        <x:v>Table 2, p4</x:v>
      </x:c>
      <x:c r="AK37" t="str">
        <x:v>https://drive.google.com/file/d/1GYG7JxUOQxbt724-Ng7dWv3sYeC8dDSr/view?usp=drivesdk</x:v>
      </x:c>
      <x:c r="AL37" t="str">
        <x:v>SOURCE-VERIFIED / FORMAT QC</x:v>
      </x:c>
    </x:row>
    <x:row r="38">
      <x:c r="A38" t="str">
        <x:v>Zhan 2020</x:v>
      </x:c>
      <x:c r="B38" t="str">
        <x:v>ZHAN20_TAPTEAS_vs_TAP_OPIOID24</x:v>
      </x:c>
      <x:c r="C38" t="str">
        <x:v>TAP block + postoperative TEAS</x:v>
      </x:c>
      <x:c r="D38" t="str">
        <x:v>TAP block</x:v>
      </x:c>
      <x:c r="E38" t="str">
        <x:v>Opioid consumption</x:v>
      </x:c>
      <x:c r="F38" t="str">
        <x:v>Actual cumulative postoperative sufentanil consumption</x:v>
      </x:c>
      <x:c r="G38" t="str">
        <x:v>0-24 h</x:v>
      </x:c>
      <x:c r="H38" t="str">
        <x:v>Not reported</x:v>
      </x:c>
      <x:c r="I38" t="n">
        <x:v>30</x:v>
      </x:c>
      <x:c r="J38" t="n">
        <x:v>30</x:v>
      </x:c>
      <x:c r="K38" t="n">
        <x:v>30</x:v>
      </x:c>
      <x:c r="L38" t="n">
        <x:v>30</x:v>
      </x:c>
      <x:c r="M38"/>
      <x:c r="N38"/>
      <x:c r="O38"/>
      <x:c r="P38"/>
      <x:c r="Q38"/>
      <x:c r="R38"/>
      <x:c r="S38"/>
      <x:c r="T38"/>
      <x:c r="U38"/>
      <x:c r="V38"/>
      <x:c r="W38"/>
      <x:c r="X38"/>
      <x:c r="Y38" t="str">
        <x:v>µg sufentanil</x:v>
      </x:c>
      <x:c r="Z38" t="str"/>
      <x:c r="AA38" t="str">
        <x:v>No</x:v>
      </x:c>
      <x:c r="AB38" t="str">
        <x:v>No</x:v>
      </x:c>
      <x:c r="AC38" t="str">
        <x:f>IF(H38="Mean/SD","MD",IF(H38="Events/total","RR",""))</x:f>
      </x:c>
      <x:c r="AD38" t="str">
        <x:f>IF(H38="Mean/SD",M38-S38,IF(H38="Events/total",IFERROR((R38/K38)/(X38/L38),""),""))</x:f>
      </x:c>
      <x:c r="AE38" t="str">
        <x:v>No</x:v>
      </x:c>
      <x:c r="AF38" t="str">
        <x:v>No</x:v>
      </x:c>
      <x:c r="AG38" t="str">
        <x:v>Not eligible for continuous 24-h opioid meta-analysis</x:v>
      </x:c>
      <x:c r="AH38" t="str">
        <x:v>Yes</x:v>
      </x:c>
      <x:c r="AI38" t="str">
        <x:v>Only programmed PCIA reservoir/basal settings are reported; actual group-specific delivered opioid is NR</x:v>
      </x:c>
      <x:c r="AJ38" t="str">
        <x:v>PCIA protocol / exact 24-h opioid section</x:v>
      </x:c>
      <x:c r="AK38" t="str">
        <x:v>https://drive.google.com/file/d/1GYG7JxUOQxbt724-Ng7dWv3sYeC8dDSr/view?usp=drivesdk</x:v>
      </x:c>
      <x:c r="AL38" t="str">
        <x:v>MISSING / NOT OBSERVED</x:v>
      </x:c>
    </x:row>
    <x:row r="39">
      <x:c r="A39" t="str">
        <x:v>Zhang 2025</x:v>
      </x:c>
      <x:c r="B39" t="str">
        <x:v>ZHANG25_TEAS_vs_SHAM_SUFPOD1</x:v>
      </x:c>
      <x:c r="C39" t="str">
        <x:v>Perioperative TEAS</x:v>
      </x:c>
      <x:c r="D39" t="str">
        <x:v>Sub-sensory sham</x:v>
      </x:c>
      <x:c r="E39" t="str">
        <x:v>Opioid consumption</x:v>
      </x:c>
      <x:c r="F39" t="str">
        <x:v>Total sufentanil consumption</x:v>
      </x:c>
      <x:c r="G39" t="str">
        <x:v>POD1; approximately 24 h but exact clock window not explicit</x:v>
      </x:c>
      <x:c r="H39" t="str">
        <x:v>Mean/SD</x:v>
      </x:c>
      <x:c r="I39" t="n">
        <x:v>54</x:v>
      </x:c>
      <x:c r="J39" t="n">
        <x:v>54</x:v>
      </x:c>
      <x:c r="K39" t="n">
        <x:v>45</x:v>
      </x:c>
      <x:c r="L39" t="n">
        <x:v>48</x:v>
      </x:c>
      <x:c r="M39" t="n">
        <x:v>50.53</x:v>
      </x:c>
      <x:c r="N39" t="n">
        <x:v>4.46</x:v>
      </x:c>
      <x:c r="O39"/>
      <x:c r="P39"/>
      <x:c r="Q39"/>
      <x:c r="R39"/>
      <x:c r="S39" t="n">
        <x:v>53.79</x:v>
      </x:c>
      <x:c r="T39" t="n">
        <x:v>5.14</x:v>
      </x:c>
      <x:c r="U39"/>
      <x:c r="V39"/>
      <x:c r="W39"/>
      <x:c r="X39"/>
      <x:c r="Y39" t="str">
        <x:v>µg sufentanil</x:v>
      </x:c>
      <x:c r="Z39" t="str">
        <x:v>0.002</x:v>
      </x:c>
      <x:c r="AA39" t="str">
        <x:v>Yes</x:v>
      </x:c>
      <x:c r="AB39" t="str">
        <x:v>No</x:v>
      </x:c>
      <x:c r="AC39" t="str">
        <x:f>IF(H39="Mean/SD","MD",IF(H39="Events/total","RR",""))</x:f>
        <x:v>MD</x:v>
      </x:c>
      <x:c r="AD39" t="n">
        <x:f>IF(H39="Mean/SD",M39-S39,IF(H39="Events/total",IFERROR((R39/K39)/(X39/L39),""),""))</x:f>
        <x:v>-3.259999999999998</x:v>
      </x:c>
      <x:c r="AE39" t="str">
        <x:v>Conditional</x:v>
      </x:c>
      <x:c r="AF39" t="str">
        <x:v>Conditional</x:v>
      </x:c>
      <x:c r="AG39" t="str">
        <x:v>Eligible for POD1 opioid analysis; strict 0-24-h use requires confirmation</x:v>
      </x:c>
      <x:c r="AH39" t="str">
        <x:v>No</x:v>
      </x:c>
      <x:c r="AI39" t="str">
        <x:v>Endpoint is directly reported as POD1, not explicitly clock-defined 0-24 h; 15/108 excluded after randomization</x:v>
      </x:c>
      <x:c r="AJ39" t="str">
        <x:v>Table 4, p9</x:v>
      </x:c>
      <x:c r="AK39" t="str">
        <x:v>https://drive.google.com/file/d/1eHx6Hk16vmIfMgoiZ5eNae4zmCR5ktwJ/view?usp=drivesdk</x:v>
      </x:c>
      <x:c r="AL39" t="str">
        <x:v>SOURCE-VERIFIED / WINDOW QC</x:v>
      </x:c>
    </x:row>
    <x:row r="40">
      <x:c r="A40" t="str">
        <x:v>Zhang 2025</x:v>
      </x:c>
      <x:c r="B40" t="str">
        <x:v>ZHANG25_TEAS_vs_SHAM_RESCUE</x:v>
      </x:c>
      <x:c r="C40" t="str">
        <x:v>Perioperative TEAS</x:v>
      </x:c>
      <x:c r="D40" t="str">
        <x:v>Sub-sensory sham</x:v>
      </x:c>
      <x:c r="E40" t="str">
        <x:v>Rescue analgesia</x:v>
      </x:c>
      <x:c r="F40" t="str">
        <x:v>Any rescue analgesia demand</x:v>
      </x:c>
      <x:c r="G40" t="str">
        <x:v>POD1 / postoperative period reported in Table 4</x:v>
      </x:c>
      <x:c r="H40" t="str">
        <x:v>Events/total</x:v>
      </x:c>
      <x:c r="I40" t="n">
        <x:v>54</x:v>
      </x:c>
      <x:c r="J40" t="n">
        <x:v>54</x:v>
      </x:c>
      <x:c r="K40" t="n">
        <x:v>45</x:v>
      </x:c>
      <x:c r="L40" t="n">
        <x:v>48</x:v>
      </x:c>
      <x:c r="M40"/>
      <x:c r="N40"/>
      <x:c r="O40"/>
      <x:c r="P40"/>
      <x:c r="Q40"/>
      <x:c r="R40" t="n">
        <x:v>14</x:v>
      </x:c>
      <x:c r="S40"/>
      <x:c r="T40"/>
      <x:c r="U40"/>
      <x:c r="V40"/>
      <x:c r="W40"/>
      <x:c r="X40" t="n">
        <x:v>29</x:v>
      </x:c>
      <x:c r="Y40" t="str">
        <x:v>participants</x:v>
      </x:c>
      <x:c r="Z40" t="str">
        <x:v>0.005 in Table 4; 0.002 in prose</x:v>
      </x:c>
      <x:c r="AA40" t="str">
        <x:v>Yes</x:v>
      </x:c>
      <x:c r="AB40" t="str">
        <x:v>No</x:v>
      </x:c>
      <x:c r="AC40" t="str">
        <x:f>IF(H40="Mean/SD","MD",IF(H40="Events/total","RR",""))</x:f>
        <x:v>RR</x:v>
      </x:c>
      <x:c r="AD40" t="n">
        <x:f>IF(H40="Mean/SD",M40-S40,IF(H40="Events/total",IFERROR((R40/K40)/(X40/L40),""),""))</x:f>
        <x:v>0.5149425287356322</x:v>
      </x:c>
      <x:c r="AE40" t="str">
        <x:v>No</x:v>
      </x:c>
      <x:c r="AF40" t="str">
        <x:v>No</x:v>
      </x:c>
      <x:c r="AG40" t="str">
        <x:v>Eligible for binary rescue-analgesia analysis using raw counts</x:v>
      </x:c>
      <x:c r="AH40" t="str">
        <x:v>No</x:v>
      </x:c>
      <x:c r="AI40" t="str">
        <x:v>Published RR 0.70 (0.44-1.10) conflicts with raw counts (~0.52) and significant P-value; use raw event counts</x:v>
      </x:c>
      <x:c r="AJ40" t="str">
        <x:v>Table 4, p9</x:v>
      </x:c>
      <x:c r="AK40" t="str">
        <x:v>https://drive.google.com/file/d/1eHx6Hk16vmIfMgoiZ5eNae4zmCR5ktwJ/view?usp=drivesdk</x:v>
      </x:c>
      <x:c r="AL40" t="str">
        <x:v>SOURCE-VERIFIED / PUBLISHED EFFECT QC</x:v>
      </x:c>
    </x:row>
    <x:row r="41">
      <x:c r="A41" t="str">
        <x:v>Zhang 2025</x:v>
      </x:c>
      <x:c r="B41" t="str">
        <x:v>ZHANG25_TEAS_vs_SHAM_VISCERAL_POD1</x:v>
      </x:c>
      <x:c r="C41" t="str">
        <x:v>Perioperative TEAS</x:v>
      </x:c>
      <x:c r="D41" t="str">
        <x:v>Sub-sensory sham</x:v>
      </x:c>
      <x:c r="E41" t="str">
        <x:v>Pain</x:v>
      </x:c>
      <x:c r="F41" t="str">
        <x:v>Moderate-to-severe visceral pain</x:v>
      </x:c>
      <x:c r="G41" t="str">
        <x:v>POD1</x:v>
      </x:c>
      <x:c r="H41" t="str">
        <x:v>Events/total</x:v>
      </x:c>
      <x:c r="I41" t="n">
        <x:v>54</x:v>
      </x:c>
      <x:c r="J41" t="n">
        <x:v>54</x:v>
      </x:c>
      <x:c r="K41" t="n">
        <x:v>45</x:v>
      </x:c>
      <x:c r="L41" t="n">
        <x:v>48</x:v>
      </x:c>
      <x:c r="M41"/>
      <x:c r="N41"/>
      <x:c r="O41"/>
      <x:c r="P41"/>
      <x:c r="Q41"/>
      <x:c r="R41" t="n">
        <x:v>4</x:v>
      </x:c>
      <x:c r="S41"/>
      <x:c r="T41"/>
      <x:c r="U41"/>
      <x:c r="V41"/>
      <x:c r="W41"/>
      <x:c r="X41" t="n">
        <x:v>18</x:v>
      </x:c>
      <x:c r="Y41" t="str">
        <x:v>participants</x:v>
      </x:c>
      <x:c r="Z41" t="str">
        <x:v>0.001</x:v>
      </x:c>
      <x:c r="AA41" t="str">
        <x:v>Percentages directly reported; counts reconstructed exactly from denominators</x:v>
      </x:c>
      <x:c r="AB41" t="str">
        <x:v>Yes</x:v>
      </x:c>
      <x:c r="AC41" t="str">
        <x:f>IF(H41="Mean/SD","MD",IF(H41="Events/total","RR",""))</x:f>
        <x:v>RR</x:v>
      </x:c>
      <x:c r="AD41" t="n">
        <x:f>IF(H41="Mean/SD",M41-S41,IF(H41="Events/total",IFERROR((R41/K41)/(X41/L41),""),""))</x:f>
        <x:v>0.23703703703703705</x:v>
      </x:c>
      <x:c r="AE41" t="str">
        <x:v>No</x:v>
      </x:c>
      <x:c r="AF41" t="str">
        <x:v>No</x:v>
      </x:c>
      <x:c r="AG41" t="str">
        <x:v>Eligible for dichotomous visceral-pain analysis</x:v>
      </x:c>
      <x:c r="AH41" t="str">
        <x:v>No</x:v>
      </x:c>
      <x:c r="AI41" t="str">
        <x:v>Figure 3D reports 8.9% vs 37.5%; 4/45 and 18/48 are exact denominator reconstructions</x:v>
      </x:c>
      <x:c r="AJ41" t="str">
        <x:v>Figure 3D, p8</x:v>
      </x:c>
      <x:c r="AK41" t="str">
        <x:v>https://drive.google.com/file/d/1eHx6Hk16vmIfMgoiZ5eNae4zmCR5ktwJ/view?usp=drivesdk</x:v>
      </x:c>
      <x:c r="AL41" t="str">
        <x:v>SOURCE-VERIFIED / COUNTS DERIVED</x:v>
      </x:c>
    </x:row>
    <x:row r="42">
      <x:c r="A42" t="str">
        <x:v>Zhang 2023</x:v>
      </x:c>
      <x:c r="B42" t="str">
        <x:v>ZHANG23_TEAS_vs_SHAM_VOID</x:v>
      </x:c>
      <x:c r="C42" t="str">
        <x:v>TEAS</x:v>
      </x:c>
      <x:c r="D42" t="str">
        <x:v>Sham/no current</x:v>
      </x:c>
      <x:c r="E42" t="str">
        <x:v>Urinary recovery</x:v>
      </x:c>
      <x:c r="F42" t="str">
        <x:v>Time to first spontaneous void</x:v>
      </x:c>
      <x:c r="G42" t="str">
        <x:v>Postoperative</x:v>
      </x:c>
      <x:c r="H42" t="str">
        <x:v>Median/IQR</x:v>
      </x:c>
      <x:c r="I42" t="n">
        <x:v>975</x:v>
      </x:c>
      <x:c r="J42" t="n">
        <x:v>973</x:v>
      </x:c>
      <x:c r="K42" t="n">
        <x:v>922</x:v>
      </x:c>
      <x:c r="L42" t="n">
        <x:v>916</x:v>
      </x:c>
      <x:c r="M42"/>
      <x:c r="N42"/>
      <x:c r="O42" t="n">
        <x:v>5.6</x:v>
      </x:c>
      <x:c r="P42" t="n">
        <x:v>3.7</x:v>
      </x:c>
      <x:c r="Q42" t="n">
        <x:v>8</x:v>
      </x:c>
      <x:c r="R42"/>
      <x:c r="S42"/>
      <x:c r="T42"/>
      <x:c r="U42" t="n">
        <x:v>7.1</x:v>
      </x:c>
      <x:c r="V42" t="n">
        <x:v>4.7</x:v>
      </x:c>
      <x:c r="W42" t="n">
        <x:v>9.7</x:v>
      </x:c>
      <x:c r="X42"/>
      <x:c r="Y42" t="str">
        <x:v>hours</x:v>
      </x:c>
      <x:c r="Z42" t="str">
        <x:v>&lt;0.001</x:v>
      </x:c>
      <x:c r="AA42" t="str">
        <x:v>Yes</x:v>
      </x:c>
      <x:c r="AB42" t="str">
        <x:v>No</x:v>
      </x:c>
      <x:c r="AC42" t="str">
        <x:f>IF(H42="Mean/SD","MD",IF(H42="Events/total","RR",""))</x:f>
      </x:c>
      <x:c r="AD42" t="str">
        <x:f>IF(H42="Mean/SD",M42-S42,IF(H42="Events/total",IFERROR((R42/K42)/(X42/L42),""),""))</x:f>
      </x:c>
      <x:c r="AE42" t="str">
        <x:v>No</x:v>
      </x:c>
      <x:c r="AF42" t="str">
        <x:v>No</x:v>
      </x:c>
      <x:c r="AG42" t="str">
        <x:v>Eligible for urinary-recovery meta-analysis using median/IQR methods</x:v>
      </x:c>
      <x:c r="AH42" t="str">
        <x:v>No</x:v>
      </x:c>
      <x:c r="AI42" t="str">
        <x:v>110/1948 randomized participants were excluded from final analysis; abstract gives sham median 7.0 h but Table 2 gives 7.1 h—use table value</x:v>
      </x:c>
      <x:c r="AJ42" t="str">
        <x:v>Table 2 / primary spontaneous-void outcome</x:v>
      </x:c>
      <x:c r="AK42" t="str">
        <x:v>https://drive.google.com/file/d/1LXNXNhVJaOcYXBODulFUuMD4FQXC5dph/view?usp=drivesdk</x:v>
      </x:c>
      <x:c r="AL42" t="str">
        <x:v>SOURCE-VERIFIED / ATTRITION QC</x:v>
      </x:c>
    </x:row>
    <x:row r="43">
      <x:c r="A43" t="str">
        <x:v>Zhang 2023</x:v>
      </x:c>
      <x:c r="B43" t="str">
        <x:v>ZHANG23_TEAS_vs_SHAM_DELAYED</x:v>
      </x:c>
      <x:c r="C43" t="str">
        <x:v>TEAS</x:v>
      </x:c>
      <x:c r="D43" t="str">
        <x:v>Sham/no current</x:v>
      </x:c>
      <x:c r="E43" t="str">
        <x:v>Urinary recovery</x:v>
      </x:c>
      <x:c r="F43" t="str">
        <x:v>Delayed urinary recovery (&gt;12 h without spontaneous void)</x:v>
      </x:c>
      <x:c r="G43" t="str">
        <x:v>Postoperative</x:v>
      </x:c>
      <x:c r="H43" t="str">
        <x:v>Events/total</x:v>
      </x:c>
      <x:c r="I43" t="n">
        <x:v>975</x:v>
      </x:c>
      <x:c r="J43" t="n">
        <x:v>973</x:v>
      </x:c>
      <x:c r="K43" t="n">
        <x:v>922</x:v>
      </x:c>
      <x:c r="L43" t="n">
        <x:v>916</x:v>
      </x:c>
      <x:c r="M43"/>
      <x:c r="N43"/>
      <x:c r="O43"/>
      <x:c r="P43"/>
      <x:c r="Q43"/>
      <x:c r="R43" t="n">
        <x:v>103</x:v>
      </x:c>
      <x:c r="S43"/>
      <x:c r="T43"/>
      <x:c r="U43"/>
      <x:c r="V43"/>
      <x:c r="W43"/>
      <x:c r="X43" t="n">
        <x:v>173</x:v>
      </x:c>
      <x:c r="Y43" t="str">
        <x:v>participants</x:v>
      </x:c>
      <x:c r="Z43" t="str">
        <x:v>&lt;0.001</x:v>
      </x:c>
      <x:c r="AA43" t="str">
        <x:v>Yes</x:v>
      </x:c>
      <x:c r="AB43" t="str">
        <x:v>No</x:v>
      </x:c>
      <x:c r="AC43" t="str">
        <x:f>IF(H43="Mean/SD","MD",IF(H43="Events/total","RR",""))</x:f>
        <x:v>RR</x:v>
      </x:c>
      <x:c r="AD43" t="n">
        <x:f>IF(H43="Mean/SD",M43-S43,IF(H43="Events/total",IFERROR((R43/K43)/(X43/L43),""),""))</x:f>
        <x:v>0.5915012601406844</x:v>
      </x:c>
      <x:c r="AE43" t="str">
        <x:v>No</x:v>
      </x:c>
      <x:c r="AF43" t="str">
        <x:v>No</x:v>
      </x:c>
      <x:c r="AG43" t="str">
        <x:v>Eligible for dichotomous delayed-voiding analysis</x:v>
      </x:c>
      <x:c r="AH43" t="str">
        <x:v>No</x:v>
      </x:c>
      <x:c r="AI43" t="str">
        <x:v>Use analyzed denominators 922 and 916, not randomized denominators</x:v>
      </x:c>
      <x:c r="AJ43" t="str">
        <x:v>Table 2 / delayed urinary recovery</x:v>
      </x:c>
      <x:c r="AK43" t="str">
        <x:v>https://drive.google.com/file/d/1LXNXNhVJaOcYXBODulFUuMD4FQXC5dph/view?usp=drivesdk</x:v>
      </x:c>
      <x:c r="AL43" t="str">
        <x:v>SOURCE-VERIFIED / ATTRITION QC</x:v>
      </x:c>
    </x:row>
    <x:row r="44">
      <x:c r="A44" t="str">
        <x:v>Zhang 2023</x:v>
      </x:c>
      <x:c r="B44" t="str">
        <x:v>ZHANG23_TEAS_vs_SHAM_POUR</x:v>
      </x:c>
      <x:c r="C44" t="str">
        <x:v>TEAS</x:v>
      </x:c>
      <x:c r="D44" t="str">
        <x:v>Sham/no current</x:v>
      </x:c>
      <x:c r="E44" t="str">
        <x:v>Urinary recovery</x:v>
      </x:c>
      <x:c r="F44" t="str">
        <x:v>Postoperative urinary retention</x:v>
      </x:c>
      <x:c r="G44" t="str">
        <x:v>Postoperative</x:v>
      </x:c>
      <x:c r="H44" t="str">
        <x:v>Events/total</x:v>
      </x:c>
      <x:c r="I44" t="n">
        <x:v>975</x:v>
      </x:c>
      <x:c r="J44" t="n">
        <x:v>973</x:v>
      </x:c>
      <x:c r="K44" t="n">
        <x:v>922</x:v>
      </x:c>
      <x:c r="L44" t="n">
        <x:v>916</x:v>
      </x:c>
      <x:c r="M44"/>
      <x:c r="N44"/>
      <x:c r="O44"/>
      <x:c r="P44"/>
      <x:c r="Q44"/>
      <x:c r="R44" t="n">
        <x:v>75</x:v>
      </x:c>
      <x:c r="S44"/>
      <x:c r="T44"/>
      <x:c r="U44"/>
      <x:c r="V44"/>
      <x:c r="W44"/>
      <x:c r="X44" t="n">
        <x:v>104</x:v>
      </x:c>
      <x:c r="Y44" t="str">
        <x:v>participants</x:v>
      </x:c>
      <x:c r="Z44" t="str">
        <x:v>0.02</x:v>
      </x:c>
      <x:c r="AA44" t="str">
        <x:v>Yes</x:v>
      </x:c>
      <x:c r="AB44" t="str">
        <x:v>No</x:v>
      </x:c>
      <x:c r="AC44" t="str">
        <x:f>IF(H44="Mean/SD","MD",IF(H44="Events/total","RR",""))</x:f>
        <x:v>RR</x:v>
      </x:c>
      <x:c r="AD44" t="n">
        <x:f>IF(H44="Mean/SD",M44-S44,IF(H44="Events/total",IFERROR((R44/K44)/(X44/L44),""),""))</x:f>
        <x:v>0.7164608710161855</x:v>
      </x:c>
      <x:c r="AE44" t="str">
        <x:v>No</x:v>
      </x:c>
      <x:c r="AF44" t="str">
        <x:v>No</x:v>
      </x:c>
      <x:c r="AG44" t="str">
        <x:v>Eligible for dichotomous POUR analysis</x:v>
      </x:c>
      <x:c r="AH44" t="str">
        <x:v>No</x:v>
      </x:c>
      <x:c r="AI44" t="str">
        <x:v>Use analyzed denominators 922 and 916</x:v>
      </x:c>
      <x:c r="AJ44" t="str">
        <x:v>Table 2 / POUR result</x:v>
      </x:c>
      <x:c r="AK44" t="str">
        <x:v>https://drive.google.com/file/d/1LXNXNhVJaOcYXBODulFUuMD4FQXC5dph/view?usp=drivesdk</x:v>
      </x:c>
      <x:c r="AL44" t="str">
        <x:v>SOURCE-VERIFIED / ATTRITION QC</x:v>
      </x:c>
    </x:row>
    <x:row r="45">
      <x:c r="A45" t="str">
        <x:v>Zhang 2023</x:v>
      </x:c>
      <x:c r="B45" t="str">
        <x:v>ZHANG23_TEAS_vs_SHAM_MME48</x:v>
      </x:c>
      <x:c r="C45" t="str">
        <x:v>TEAS</x:v>
      </x:c>
      <x:c r="D45" t="str">
        <x:v>Sham/no current</x:v>
      </x:c>
      <x:c r="E45" t="str">
        <x:v>Opioid consumption</x:v>
      </x:c>
      <x:c r="F45" t="str">
        <x:v>Postoperative IV morphine-equivalent consumption</x:v>
      </x:c>
      <x:c r="G45" t="str">
        <x:v>Within 48 h</x:v>
      </x:c>
      <x:c r="H45" t="str">
        <x:v>Median/IQR</x:v>
      </x:c>
      <x:c r="I45" t="n">
        <x:v>975</x:v>
      </x:c>
      <x:c r="J45" t="n">
        <x:v>973</x:v>
      </x:c>
      <x:c r="K45" t="n">
        <x:v>922</x:v>
      </x:c>
      <x:c r="L45" t="n">
        <x:v>916</x:v>
      </x:c>
      <x:c r="M45"/>
      <x:c r="N45"/>
      <x:c r="O45" t="n">
        <x:v>110</x:v>
      </x:c>
      <x:c r="P45" t="n">
        <x:v>80</x:v>
      </x:c>
      <x:c r="Q45" t="n">
        <x:v>110</x:v>
      </x:c>
      <x:c r="R45"/>
      <x:c r="S45"/>
      <x:c r="T45"/>
      <x:c r="U45" t="n">
        <x:v>110</x:v>
      </x:c>
      <x:c r="V45" t="n">
        <x:v>90</x:v>
      </x:c>
      <x:c r="W45" t="n">
        <x:v>110</x:v>
      </x:c>
      <x:c r="X45"/>
      <x:c r="Y45" t="str">
        <x:v>mg IV morphine-equivalent</x:v>
      </x:c>
      <x:c r="Z45" t="str">
        <x:v>NR</x:v>
      </x:c>
      <x:c r="AA45" t="str">
        <x:v>Yes</x:v>
      </x:c>
      <x:c r="AB45" t="str">
        <x:v>Yes</x:v>
      </x:c>
      <x:c r="AC45" t="str">
        <x:f>IF(H45="Mean/SD","MD",IF(H45="Events/total","RR",""))</x:f>
      </x:c>
      <x:c r="AD45" t="str">
        <x:f>IF(H45="Mean/SD",M45-S45,IF(H45="Events/total",IFERROR((R45/K45)/(X45/L45),""),""))</x:f>
      </x:c>
      <x:c r="AE45" t="str">
        <x:v>No</x:v>
      </x:c>
      <x:c r="AF45" t="str">
        <x:v>No</x:v>
      </x:c>
      <x:c r="AG45" t="str">
        <x:v>Potentially eligible for 48-h opioid analysis if median/IQR endpoints are prespecified</x:v>
      </x:c>
      <x:c r="AH45" t="str">
        <x:v>No</x:v>
      </x:c>
      <x:c r="AI45" t="str">
        <x:v>Authors converted opioids using ClinCalc; exact 24-h postoperative dose is not reported</x:v>
      </x:c>
      <x:c r="AJ45" t="str">
        <x:v>Table 1 / postoperative opioid-equivalent result</x:v>
      </x:c>
      <x:c r="AK45" t="str">
        <x:v>https://drive.google.com/file/d/1LXNXNhVJaOcYXBODulFUuMD4FQXC5dph/view?usp=drivesdk</x:v>
      </x:c>
      <x:c r="AL45" t="str">
        <x:v>SOURCE-VERIFIED / 48H ONLY</x:v>
      </x:c>
    </x:row>
    <x:row r="46">
      <x:c r="A46" t="str">
        <x:v>Zhang 2023</x:v>
      </x:c>
      <x:c r="B46" t="str">
        <x:v>ZHANG23_TEAS_vs_SHAM_OPIOID24</x:v>
      </x:c>
      <x:c r="C46" t="str">
        <x:v>TEAS</x:v>
      </x:c>
      <x:c r="D46" t="str">
        <x:v>Sham/no current</x:v>
      </x:c>
      <x:c r="E46" t="str">
        <x:v>Opioid consumption</x:v>
      </x:c>
      <x:c r="F46" t="str">
        <x:v>Exact cumulative postoperative opioid dose</x:v>
      </x:c>
      <x:c r="G46" t="str">
        <x:v>0-24 h</x:v>
      </x:c>
      <x:c r="H46" t="str">
        <x:v>Not reported</x:v>
      </x:c>
      <x:c r="I46" t="n">
        <x:v>975</x:v>
      </x:c>
      <x:c r="J46" t="n">
        <x:v>973</x:v>
      </x:c>
      <x:c r="K46" t="n">
        <x:v>922</x:v>
      </x:c>
      <x:c r="L46" t="n">
        <x:v>916</x:v>
      </x:c>
      <x:c r="M46"/>
      <x:c r="N46"/>
      <x:c r="O46"/>
      <x:c r="P46"/>
      <x:c r="Q46"/>
      <x:c r="R46"/>
      <x:c r="S46"/>
      <x:c r="T46"/>
      <x:c r="U46"/>
      <x:c r="V46"/>
      <x:c r="W46"/>
      <x:c r="X46"/>
      <x:c r="Y46" t="str">
        <x:v>mg IV morphine-equivalent</x:v>
      </x:c>
      <x:c r="Z46" t="str"/>
      <x:c r="AA46" t="str">
        <x:v>No</x:v>
      </x:c>
      <x:c r="AB46" t="str">
        <x:v>No</x:v>
      </x:c>
      <x:c r="AC46" t="str">
        <x:f>IF(H46="Mean/SD","MD",IF(H46="Events/total","RR",""))</x:f>
      </x:c>
      <x:c r="AD46" t="str">
        <x:f>IF(H46="Mean/SD",M46-S46,IF(H46="Events/total",IFERROR((R46/K46)/(X46/L46),""),""))</x:f>
      </x:c>
      <x:c r="AE46" t="str">
        <x:v>No</x:v>
      </x:c>
      <x:c r="AF46" t="str">
        <x:v>No</x:v>
      </x:c>
      <x:c r="AG46" t="str">
        <x:v>Not eligible for strict continuous 24-h opioid meta-analysis</x:v>
      </x:c>
      <x:c r="AH46" t="str">
        <x:v>No</x:v>
      </x:c>
      <x:c r="AI46" t="str">
        <x:v>Only a postoperative 48-h opioid-equivalent endpoint is reported</x:v>
      </x:c>
      <x:c r="AJ46" t="str">
        <x:v>Exact 24-h endpoint absent</x:v>
      </x:c>
      <x:c r="AK46" t="str">
        <x:v>https://drive.google.com/file/d/1LXNXNhVJaOcYXBODulFUuMD4FQXC5dph/view?usp=drivesdk</x:v>
      </x:c>
      <x:c r="AL46" t="str">
        <x:v>MISSING / NOT REPORTED</x:v>
      </x:c>
    </x:row>
    <x:row r="47">
      <x:c r="A47" t="str">
        <x:v>Zhang 2014</x:v>
      </x:c>
      <x:c r="B47" t="str">
        <x:v>ZHANG14_TEAS_vs_SHAM_RR</x:v>
      </x:c>
      <x:c r="C47" t="str">
        <x:v>Preoperative TEAS</x:v>
      </x:c>
      <x:c r="D47" t="str">
        <x:v>Sham/no current</x:v>
      </x:c>
      <x:c r="E47" t="str">
        <x:v>Recovery</x:v>
      </x:c>
      <x:c r="F47" t="str">
        <x:v>Recovery-room stay</x:v>
      </x:c>
      <x:c r="G47" t="str">
        <x:v>Recovery-room discharge</x:v>
      </x:c>
      <x:c r="H47" t="str">
        <x:v>Mean/SD</x:v>
      </x:c>
      <x:c r="I47" t="n">
        <x:v>33</x:v>
      </x:c>
      <x:c r="J47" t="n">
        <x:v>32</x:v>
      </x:c>
      <x:c r="K47" t="n">
        <x:v>33</x:v>
      </x:c>
      <x:c r="L47" t="n">
        <x:v>32</x:v>
      </x:c>
      <x:c r="M47" t="n">
        <x:v>35.6</x:v>
      </x:c>
      <x:c r="N47" t="n">
        <x:v>12.9</x:v>
      </x:c>
      <x:c r="O47"/>
      <x:c r="P47"/>
      <x:c r="Q47"/>
      <x:c r="R47"/>
      <x:c r="S47" t="n">
        <x:v>48.3</x:v>
      </x:c>
      <x:c r="T47" t="n">
        <x:v>16.3</x:v>
      </x:c>
      <x:c r="U47"/>
      <x:c r="V47"/>
      <x:c r="W47"/>
      <x:c r="X47"/>
      <x:c r="Y47" t="str">
        <x:v>minutes</x:v>
      </x:c>
      <x:c r="Z47" t="str">
        <x:v>0.01</x:v>
      </x:c>
      <x:c r="AA47" t="str">
        <x:v>Yes</x:v>
      </x:c>
      <x:c r="AB47" t="str">
        <x:v>No</x:v>
      </x:c>
      <x:c r="AC47" t="str">
        <x:f>IF(H47="Mean/SD","MD",IF(H47="Events/total","RR",""))</x:f>
        <x:v>MD</x:v>
      </x:c>
      <x:c r="AD47" t="n">
        <x:f>IF(H47="Mean/SD",M47-S47,IF(H47="Events/total",IFERROR((R47/K47)/(X47/L47),""),""))</x:f>
        <x:v>-12.699999999999996</x:v>
      </x:c>
      <x:c r="AE47" t="str">
        <x:v>No</x:v>
      </x:c>
      <x:c r="AF47" t="str">
        <x:v>No</x:v>
      </x:c>
      <x:c r="AG47" t="str">
        <x:v>Eligible for recovery-time analysis</x:v>
      </x:c>
      <x:c r="AH47" t="str">
        <x:v>No</x:v>
      </x:c>
      <x:c r="AI47" t="str">
        <x:v>Abstract incorrectly states 72 randomized; detailed flowchart/tables show 65 randomized and analyzed</x:v>
      </x:c>
      <x:c r="AJ47" t="str">
        <x:v>Primary outcome / recovery-room stay</x:v>
      </x:c>
      <x:c r="AK47" t="str">
        <x:v>https://drive.google.com/file/d/1lws1zFpIE-wbLY8X9ewYyTuIP-WySa-c/view?usp=drivesdk</x:v>
      </x:c>
      <x:c r="AL47" t="str">
        <x:v>SOURCE-VERIFIED</x:v>
      </x:c>
    </x:row>
    <x:row r="48">
      <x:c r="A48" t="str">
        <x:v>Zhang 2014</x:v>
      </x:c>
      <x:c r="B48" t="str">
        <x:v>ZHANG14_TEAS_vs_SHAM_REMI</x:v>
      </x:c>
      <x:c r="C48" t="str">
        <x:v>Preoperative TEAS</x:v>
      </x:c>
      <x:c r="D48" t="str">
        <x:v>Sham/no current</x:v>
      </x:c>
      <x:c r="E48" t="str">
        <x:v>Intraoperative opioid</x:v>
      </x:c>
      <x:c r="F48" t="str">
        <x:v>Remifentanil consumption rate</x:v>
      </x:c>
      <x:c r="G48" t="str">
        <x:v>Intraoperative</x:v>
      </x:c>
      <x:c r="H48" t="str">
        <x:v>Mean/SD</x:v>
      </x:c>
      <x:c r="I48" t="n">
        <x:v>33</x:v>
      </x:c>
      <x:c r="J48" t="n">
        <x:v>32</x:v>
      </x:c>
      <x:c r="K48" t="n">
        <x:v>33</x:v>
      </x:c>
      <x:c r="L48" t="n">
        <x:v>32</x:v>
      </x:c>
      <x:c r="M48" t="n">
        <x:v>0.06</x:v>
      </x:c>
      <x:c r="N48" t="n">
        <x:v>0.02</x:v>
      </x:c>
      <x:c r="O48"/>
      <x:c r="P48"/>
      <x:c r="Q48"/>
      <x:c r="R48"/>
      <x:c r="S48" t="n">
        <x:v>0.09</x:v>
      </x:c>
      <x:c r="T48" t="n">
        <x:v>0.03</x:v>
      </x:c>
      <x:c r="U48"/>
      <x:c r="V48"/>
      <x:c r="W48"/>
      <x:c r="X48"/>
      <x:c r="Y48" t="str">
        <x:v>µg/kg/min</x:v>
      </x:c>
      <x:c r="Z48" t="str">
        <x:v>0.01</x:v>
      </x:c>
      <x:c r="AA48" t="str">
        <x:v>Yes</x:v>
      </x:c>
      <x:c r="AB48" t="str">
        <x:v>No</x:v>
      </x:c>
      <x:c r="AC48" t="str">
        <x:f>IF(H48="Mean/SD","MD",IF(H48="Events/total","RR",""))</x:f>
        <x:v>MD</x:v>
      </x:c>
      <x:c r="AD48" t="n">
        <x:f>IF(H48="Mean/SD",M48-S48,IF(H48="Events/total",IFERROR((R48/K48)/(X48/L48),""),""))</x:f>
        <x:v>-0.03</x:v>
      </x:c>
      <x:c r="AE48" t="str">
        <x:v>No</x:v>
      </x:c>
      <x:c r="AF48" t="str">
        <x:v>No</x:v>
      </x:c>
      <x:c r="AG48" t="str">
        <x:v>Eligible for intraoperative opioid-sparing analysis only</x:v>
      </x:c>
      <x:c r="AH48" t="str">
        <x:v>No</x:v>
      </x:c>
      <x:c r="AI48" t="str">
        <x:v>Weight/time-normalized consumption, not absolute remifentanil dose</x:v>
      </x:c>
      <x:c r="AJ48" t="str">
        <x:v>Table 2 / intraoperative remifentanil</x:v>
      </x:c>
      <x:c r="AK48" t="str">
        <x:v>https://drive.google.com/file/d/1lws1zFpIE-wbLY8X9ewYyTuIP-WySa-c/view?usp=drivesdk</x:v>
      </x:c>
      <x:c r="AL48" t="str">
        <x:v>SOURCE-VERIFIED</x:v>
      </x:c>
    </x:row>
    <x:row r="49">
      <x:c r="A49" t="str">
        <x:v>Zhang 2014</x:v>
      </x:c>
      <x:c r="B49" t="str">
        <x:v>ZHANG14_TEAS_vs_SHAM_NAUSEA</x:v>
      </x:c>
      <x:c r="C49" t="str">
        <x:v>Preoperative TEAS</x:v>
      </x:c>
      <x:c r="D49" t="str">
        <x:v>Sham/no current</x:v>
      </x:c>
      <x:c r="E49" t="str">
        <x:v>PONV</x:v>
      </x:c>
      <x:c r="F49" t="str">
        <x:v>Postoperative nausea</x:v>
      </x:c>
      <x:c r="G49" t="str">
        <x:v>Postoperative</x:v>
      </x:c>
      <x:c r="H49" t="str">
        <x:v>Events/total</x:v>
      </x:c>
      <x:c r="I49" t="n">
        <x:v>33</x:v>
      </x:c>
      <x:c r="J49" t="n">
        <x:v>32</x:v>
      </x:c>
      <x:c r="K49" t="n">
        <x:v>33</x:v>
      </x:c>
      <x:c r="L49" t="n">
        <x:v>32</x:v>
      </x:c>
      <x:c r="M49"/>
      <x:c r="N49"/>
      <x:c r="O49"/>
      <x:c r="P49"/>
      <x:c r="Q49"/>
      <x:c r="R49" t="n">
        <x:v>7</x:v>
      </x:c>
      <x:c r="S49"/>
      <x:c r="T49"/>
      <x:c r="U49"/>
      <x:c r="V49"/>
      <x:c r="W49"/>
      <x:c r="X49" t="n">
        <x:v>15</x:v>
      </x:c>
      <x:c r="Y49" t="str">
        <x:v>participants</x:v>
      </x:c>
      <x:c r="Z49" t="str">
        <x:v>0.03</x:v>
      </x:c>
      <x:c r="AA49" t="str">
        <x:v>Yes</x:v>
      </x:c>
      <x:c r="AB49" t="str">
        <x:v>No</x:v>
      </x:c>
      <x:c r="AC49" t="str">
        <x:f>IF(H49="Mean/SD","MD",IF(H49="Events/total","RR",""))</x:f>
        <x:v>RR</x:v>
      </x:c>
      <x:c r="AD49" t="n">
        <x:f>IF(H49="Mean/SD",M49-S49,IF(H49="Events/total",IFERROR((R49/K49)/(X49/L49),""),""))</x:f>
        <x:v>0.45252525252525255</x:v>
      </x:c>
      <x:c r="AE49" t="str">
        <x:v>No</x:v>
      </x:c>
      <x:c r="AF49" t="str">
        <x:v>No</x:v>
      </x:c>
      <x:c r="AG49" t="str">
        <x:v>Eligible for dichotomous nausea analysis</x:v>
      </x:c>
      <x:c r="AH49" t="str">
        <x:v>No</x:v>
      </x:c>
      <x:c r="AI49" t="str">
        <x:v>No exact narrower time window reported in the extraction</x:v>
      </x:c>
      <x:c r="AJ49" t="str">
        <x:v>Table 3 / postoperative side effects</x:v>
      </x:c>
      <x:c r="AK49" t="str">
        <x:v>https://drive.google.com/file/d/1lws1zFpIE-wbLY8X9ewYyTuIP-WySa-c/view?usp=drivesdk</x:v>
      </x:c>
      <x:c r="AL49" t="str">
        <x:v>SOURCE-VERIFIED</x:v>
      </x:c>
    </x:row>
    <x:row r="50">
      <x:c r="A50" t="str">
        <x:v>Zhang 2014</x:v>
      </x:c>
      <x:c r="B50" t="str">
        <x:v>ZHANG14_TEAS_vs_SHAM_VOMIT</x:v>
      </x:c>
      <x:c r="C50" t="str">
        <x:v>Preoperative TEAS</x:v>
      </x:c>
      <x:c r="D50" t="str">
        <x:v>Sham/no current</x:v>
      </x:c>
      <x:c r="E50" t="str">
        <x:v>PONV</x:v>
      </x:c>
      <x:c r="F50" t="str">
        <x:v>Postoperative vomiting</x:v>
      </x:c>
      <x:c r="G50" t="str">
        <x:v>Postoperative</x:v>
      </x:c>
      <x:c r="H50" t="str">
        <x:v>Events/total</x:v>
      </x:c>
      <x:c r="I50" t="n">
        <x:v>33</x:v>
      </x:c>
      <x:c r="J50" t="n">
        <x:v>32</x:v>
      </x:c>
      <x:c r="K50" t="n">
        <x:v>33</x:v>
      </x:c>
      <x:c r="L50" t="n">
        <x:v>32</x:v>
      </x:c>
      <x:c r="M50"/>
      <x:c r="N50"/>
      <x:c r="O50"/>
      <x:c r="P50"/>
      <x:c r="Q50"/>
      <x:c r="R50" t="n">
        <x:v>4</x:v>
      </x:c>
      <x:c r="S50"/>
      <x:c r="T50"/>
      <x:c r="U50"/>
      <x:c r="V50"/>
      <x:c r="W50"/>
      <x:c r="X50" t="n">
        <x:v>11</x:v>
      </x:c>
      <x:c r="Y50" t="str">
        <x:v>participants</x:v>
      </x:c>
      <x:c r="Z50" t="str">
        <x:v>0.03</x:v>
      </x:c>
      <x:c r="AA50" t="str">
        <x:v>Yes</x:v>
      </x:c>
      <x:c r="AB50" t="str">
        <x:v>No</x:v>
      </x:c>
      <x:c r="AC50" t="str">
        <x:f>IF(H50="Mean/SD","MD",IF(H50="Events/total","RR",""))</x:f>
        <x:v>RR</x:v>
      </x:c>
      <x:c r="AD50" t="n">
        <x:f>IF(H50="Mean/SD",M50-S50,IF(H50="Events/total",IFERROR((R50/K50)/(X50/L50),""),""))</x:f>
        <x:v>0.3526170798898072</x:v>
      </x:c>
      <x:c r="AE50" t="str">
        <x:v>No</x:v>
      </x:c>
      <x:c r="AF50" t="str">
        <x:v>No</x:v>
      </x:c>
      <x:c r="AG50" t="str">
        <x:v>Eligible for dichotomous vomiting analysis</x:v>
      </x:c>
      <x:c r="AH50" t="str">
        <x:v>No</x:v>
      </x:c>
      <x:c r="AI50" t="str">
        <x:v>No exact narrower time window reported in the extraction</x:v>
      </x:c>
      <x:c r="AJ50" t="str">
        <x:v>Table 3 / postoperative side effects</x:v>
      </x:c>
      <x:c r="AK50" t="str">
        <x:v>https://drive.google.com/file/d/1lws1zFpIE-wbLY8X9ewYyTuIP-WySa-c/view?usp=drivesdk</x:v>
      </x:c>
      <x:c r="AL50" t="str">
        <x:v>SOURCE-VERIFIED</x:v>
      </x:c>
    </x:row>
    <x:row r="51">
      <x:c r="A51" t="str">
        <x:v>Zhang 2014</x:v>
      </x:c>
      <x:c r="B51" t="str">
        <x:v>ZHANG14_TEAS_vs_SHAM_OPIOID24</x:v>
      </x:c>
      <x:c r="C51" t="str">
        <x:v>Preoperative TEAS</x:v>
      </x:c>
      <x:c r="D51" t="str">
        <x:v>Sham/no current</x:v>
      </x:c>
      <x:c r="E51" t="str">
        <x:v>Opioid consumption</x:v>
      </x:c>
      <x:c r="F51" t="str">
        <x:v>Exact cumulative postoperative opioid dose</x:v>
      </x:c>
      <x:c r="G51" t="str">
        <x:v>0-24 h</x:v>
      </x:c>
      <x:c r="H51" t="str">
        <x:v>Not reported</x:v>
      </x:c>
      <x:c r="I51" t="n">
        <x:v>33</x:v>
      </x:c>
      <x:c r="J51" t="n">
        <x:v>32</x:v>
      </x:c>
      <x:c r="K51" t="n">
        <x:v>33</x:v>
      </x:c>
      <x:c r="L51" t="n">
        <x:v>32</x:v>
      </x:c>
      <x:c r="M51"/>
      <x:c r="N51"/>
      <x:c r="O51"/>
      <x:c r="P51"/>
      <x:c r="Q51"/>
      <x:c r="R51"/>
      <x:c r="S51"/>
      <x:c r="T51"/>
      <x:c r="U51"/>
      <x:c r="V51"/>
      <x:c r="W51"/>
      <x:c r="X51"/>
      <x:c r="Y51" t="str">
        <x:v>mg/µg</x:v>
      </x:c>
      <x:c r="Z51" t="str"/>
      <x:c r="AA51" t="str">
        <x:v>No</x:v>
      </x:c>
      <x:c r="AB51" t="str">
        <x:v>No</x:v>
      </x:c>
      <x:c r="AC51" t="str">
        <x:f>IF(H51="Mean/SD","MD",IF(H51="Events/total","RR",""))</x:f>
      </x:c>
      <x:c r="AD51" t="str">
        <x:f>IF(H51="Mean/SD",M51-S51,IF(H51="Events/total",IFERROR((R51/K51)/(X51/L51),""),""))</x:f>
      </x:c>
      <x:c r="AE51" t="str">
        <x:v>No</x:v>
      </x:c>
      <x:c r="AF51" t="str">
        <x:v>No</x:v>
      </x:c>
      <x:c r="AG51" t="str">
        <x:v>Not eligible for continuous 24-h postoperative opioid meta-analysis</x:v>
      </x:c>
      <x:c r="AH51" t="str">
        <x:v>No</x:v>
      </x:c>
      <x:c r="AI51" t="str">
        <x:v>Study reports intraoperative remifentanil rate but no exact postoperative opioid-consumption total</x:v>
      </x:c>
      <x:c r="AJ51" t="str">
        <x:v>Postoperative analgesic section</x:v>
      </x:c>
      <x:c r="AK51" t="str">
        <x:v>https://drive.google.com/file/d/1lws1zFpIE-wbLY8X9ewYyTuIP-WySa-c/view?usp=drivesdk</x:v>
      </x:c>
      <x:c r="AL51" t="str">
        <x:v>MISSING / NOT REPORTED</x:v>
      </x:c>
    </x:row>
    <x:row r="52">
      <x:c r="A52" t="str">
        <x:v>Yang 2024</x:v>
      </x:c>
      <x:c r="B52" t="str">
        <x:v>YANG24_EA_vs_UC_MORPH24</x:v>
      </x:c>
      <x:c r="C52" t="str">
        <x:v>Perioperative EA + usual care</x:v>
      </x:c>
      <x:c r="D52" t="str">
        <x:v>Usual care</x:v>
      </x:c>
      <x:c r="E52" t="str">
        <x:v>Opioid consumption</x:v>
      </x:c>
      <x:c r="F52" t="str">
        <x:v>Morphine use via IV PCA</x:v>
      </x:c>
      <x:c r="G52" t="str">
        <x:v>First 24 h / POD1</x:v>
      </x:c>
      <x:c r="H52" t="str">
        <x:v>Mean/SD</x:v>
      </x:c>
      <x:c r="I52" t="n">
        <x:v>90</x:v>
      </x:c>
      <x:c r="J52" t="n">
        <x:v>90</x:v>
      </x:c>
      <x:c r="K52" t="n">
        <x:v>90</x:v>
      </x:c>
      <x:c r="L52" t="n">
        <x:v>90</x:v>
      </x:c>
      <x:c r="M52" t="n">
        <x:v>43.7</x:v>
      </x:c>
      <x:c r="N52" t="n">
        <x:v>4.7</x:v>
      </x:c>
      <x:c r="O52"/>
      <x:c r="P52"/>
      <x:c r="Q52"/>
      <x:c r="R52"/>
      <x:c r="S52" t="n">
        <x:v>44</x:v>
      </x:c>
      <x:c r="T52" t="n">
        <x:v>4.9</x:v>
      </x:c>
      <x:c r="U52"/>
      <x:c r="V52"/>
      <x:c r="W52"/>
      <x:c r="X52"/>
      <x:c r="Y52" t="str">
        <x:v>mg morphine</x:v>
      </x:c>
      <x:c r="Z52" t="str">
        <x:v>0.733</x:v>
      </x:c>
      <x:c r="AA52" t="str">
        <x:v>Yes</x:v>
      </x:c>
      <x:c r="AB52" t="str">
        <x:v>No</x:v>
      </x:c>
      <x:c r="AC52" t="str">
        <x:f>IF(H52="Mean/SD","MD",IF(H52="Events/total","RR",""))</x:f>
        <x:v>MD</x:v>
      </x:c>
      <x:c r="AD52" t="n">
        <x:f>IF(H52="Mean/SD",M52-S52,IF(H52="Events/total",IFERROR((R52/K52)/(X52/L52),""),""))</x:f>
        <x:v>-0.29999999999999716</x:v>
      </x:c>
      <x:c r="AE52" t="str">
        <x:v>Yes</x:v>
      </x:c>
      <x:c r="AF52" t="str">
        <x:v>Yes</x:v>
      </x:c>
      <x:c r="AG52" t="str">
        <x:v>Primary continuous 24-h opioid outcome</x:v>
      </x:c>
      <x:c r="AH52" t="str">
        <x:v>No</x:v>
      </x:c>
      <x:c r="AI52" t="str">
        <x:v>All 180 randomized participants retained in ITT; open-label patients but objective PCA drug-use record</x:v>
      </x:c>
      <x:c r="AJ52" t="str">
        <x:v>Table 3 / Morphine use on POD1</x:v>
      </x:c>
      <x:c r="AK52" t="str">
        <x:v>https://drive.google.com/file/d/160N3psd5tLEphwXHJzUEZ3uJfaIXcs5V/view?usp=drivesdk</x:v>
      </x:c>
      <x:c r="AL52" t="str">
        <x:v>SOURCE-VERIFIED</x:v>
      </x:c>
    </x:row>
    <x:row r="53">
      <x:c r="A53" t="str">
        <x:v>Yang 2024</x:v>
      </x:c>
      <x:c r="B53" t="str">
        <x:v>YANG24_EA_vs_UC_FLATUS</x:v>
      </x:c>
      <x:c r="C53" t="str">
        <x:v>Perioperative EA + usual care</x:v>
      </x:c>
      <x:c r="D53" t="str">
        <x:v>Usual care</x:v>
      </x:c>
      <x:c r="E53" t="str">
        <x:v>GI recovery</x:v>
      </x:c>
      <x:c r="F53" t="str">
        <x:v>Time to first flatus</x:v>
      </x:c>
      <x:c r="G53" t="str">
        <x:v>Postoperative</x:v>
      </x:c>
      <x:c r="H53" t="str">
        <x:v>Mean/SD</x:v>
      </x:c>
      <x:c r="I53" t="n">
        <x:v>90</x:v>
      </x:c>
      <x:c r="J53" t="n">
        <x:v>90</x:v>
      </x:c>
      <x:c r="K53" t="n">
        <x:v>90</x:v>
      </x:c>
      <x:c r="L53" t="n">
        <x:v>90</x:v>
      </x:c>
      <x:c r="M53" t="n">
        <x:v>15.4</x:v>
      </x:c>
      <x:c r="N53" t="n">
        <x:v>3.2</x:v>
      </x:c>
      <x:c r="O53"/>
      <x:c r="P53"/>
      <x:c r="Q53"/>
      <x:c r="R53"/>
      <x:c r="S53" t="n">
        <x:v>17</x:v>
      </x:c>
      <x:c r="T53" t="n">
        <x:v>3.7</x:v>
      </x:c>
      <x:c r="U53"/>
      <x:c r="V53"/>
      <x:c r="W53"/>
      <x:c r="X53"/>
      <x:c r="Y53" t="str">
        <x:v>hours</x:v>
      </x:c>
      <x:c r="Z53" t="str">
        <x:v>0.004</x:v>
      </x:c>
      <x:c r="AA53" t="str">
        <x:v>Yes</x:v>
      </x:c>
      <x:c r="AB53" t="str">
        <x:v>No</x:v>
      </x:c>
      <x:c r="AC53" t="str">
        <x:f>IF(H53="Mean/SD","MD",IF(H53="Events/total","RR",""))</x:f>
        <x:v>MD</x:v>
      </x:c>
      <x:c r="AD53" t="n">
        <x:f>IF(H53="Mean/SD",M53-S53,IF(H53="Events/total",IFERROR((R53/K53)/(X53/L53),""),""))</x:f>
        <x:v>-1.5999999999999996</x:v>
      </x:c>
      <x:c r="AE53" t="str">
        <x:v>No</x:v>
      </x:c>
      <x:c r="AF53" t="str">
        <x:v>No</x:v>
      </x:c>
      <x:c r="AG53" t="str">
        <x:v>Eligible for GI-recovery meta-analysis</x:v>
      </x:c>
      <x:c r="AH53" t="str">
        <x:v>No</x:v>
      </x:c>
      <x:c r="AI53" t="str">
        <x:v>Open-label participants; outcome assessor blinded</x:v>
      </x:c>
      <x:c r="AJ53" t="str">
        <x:v>Table 2 / primary first-flatus outcome</x:v>
      </x:c>
      <x:c r="AK53" t="str">
        <x:v>https://drive.google.com/file/d/160N3psd5tLEphwXHJzUEZ3uJfaIXcs5V/view?usp=drivesdk</x:v>
      </x:c>
      <x:c r="AL53" t="str">
        <x:v>SOURCE-VERIFIED</x:v>
      </x:c>
    </x:row>
    <x:row r="54">
      <x:c r="A54" t="str">
        <x:v>Yang 2024</x:v>
      </x:c>
      <x:c r="B54" t="str">
        <x:v>YANG24_EA_vs_UC_DEFEC</x:v>
      </x:c>
      <x:c r="C54" t="str">
        <x:v>Perioperative EA + usual care</x:v>
      </x:c>
      <x:c r="D54" t="str">
        <x:v>Usual care</x:v>
      </x:c>
      <x:c r="E54" t="str">
        <x:v>GI recovery</x:v>
      </x:c>
      <x:c r="F54" t="str">
        <x:v>Time to first defecation</x:v>
      </x:c>
      <x:c r="G54" t="str">
        <x:v>Postoperative</x:v>
      </x:c>
      <x:c r="H54" t="str">
        <x:v>Mean/SD</x:v>
      </x:c>
      <x:c r="I54" t="n">
        <x:v>90</x:v>
      </x:c>
      <x:c r="J54" t="n">
        <x:v>90</x:v>
      </x:c>
      <x:c r="K54" t="n">
        <x:v>90</x:v>
      </x:c>
      <x:c r="L54" t="n">
        <x:v>90</x:v>
      </x:c>
      <x:c r="M54" t="n">
        <x:v>75.9</x:v>
      </x:c>
      <x:c r="N54" t="n">
        <x:v>7.9</x:v>
      </x:c>
      <x:c r="O54"/>
      <x:c r="P54"/>
      <x:c r="Q54"/>
      <x:c r="R54"/>
      <x:c r="S54" t="n">
        <x:v>79.7</x:v>
      </x:c>
      <x:c r="T54" t="n">
        <x:v>8.1</x:v>
      </x:c>
      <x:c r="U54"/>
      <x:c r="V54"/>
      <x:c r="W54"/>
      <x:c r="X54"/>
      <x:c r="Y54" t="str">
        <x:v>hours</x:v>
      </x:c>
      <x:c r="Z54" t="str">
        <x:v>0.002</x:v>
      </x:c>
      <x:c r="AA54" t="str">
        <x:v>Yes</x:v>
      </x:c>
      <x:c r="AB54" t="str">
        <x:v>No</x:v>
      </x:c>
      <x:c r="AC54" t="str">
        <x:f>IF(H54="Mean/SD","MD",IF(H54="Events/total","RR",""))</x:f>
        <x:v>MD</x:v>
      </x:c>
      <x:c r="AD54" t="n">
        <x:f>IF(H54="Mean/SD",M54-S54,IF(H54="Events/total",IFERROR((R54/K54)/(X54/L54),""),""))</x:f>
        <x:v>-3.799999999999997</x:v>
      </x:c>
      <x:c r="AE54" t="str">
        <x:v>No</x:v>
      </x:c>
      <x:c r="AF54" t="str">
        <x:v>No</x:v>
      </x:c>
      <x:c r="AG54" t="str">
        <x:v>Eligible for GI-recovery meta-analysis</x:v>
      </x:c>
      <x:c r="AH54" t="str">
        <x:v>No</x:v>
      </x:c>
      <x:c r="AI54" t="str">
        <x:v>Open-label participants; outcome assessor blinded</x:v>
      </x:c>
      <x:c r="AJ54" t="str">
        <x:v>Table 2 / primary first-defecation outcome</x:v>
      </x:c>
      <x:c r="AK54" t="str">
        <x:v>https://drive.google.com/file/d/160N3psd5tLEphwXHJzUEZ3uJfaIXcs5V/view?usp=drivesdk</x:v>
      </x:c>
      <x:c r="AL54" t="str">
        <x:v>SOURCE-VERIFIED</x:v>
      </x:c>
    </x:row>
    <x:row r="55">
      <x:c r="A55" t="str">
        <x:v>Yang 2024</x:v>
      </x:c>
      <x:c r="B55" t="str">
        <x:v>YANG24_EA_vs_UC_VOMIT</x:v>
      </x:c>
      <x:c r="C55" t="str">
        <x:v>Perioperative EA + usual care</x:v>
      </x:c>
      <x:c r="D55" t="str">
        <x:v>Usual care</x:v>
      </x:c>
      <x:c r="E55" t="str">
        <x:v>PONV</x:v>
      </x:c>
      <x:c r="F55" t="str">
        <x:v>Postoperative vomiting</x:v>
      </x:c>
      <x:c r="G55" t="str">
        <x:v>Within 72 h</x:v>
      </x:c>
      <x:c r="H55" t="str">
        <x:v>Events/total</x:v>
      </x:c>
      <x:c r="I55" t="n">
        <x:v>90</x:v>
      </x:c>
      <x:c r="J55" t="n">
        <x:v>90</x:v>
      </x:c>
      <x:c r="K55" t="n">
        <x:v>90</x:v>
      </x:c>
      <x:c r="L55" t="n">
        <x:v>90</x:v>
      </x:c>
      <x:c r="M55"/>
      <x:c r="N55"/>
      <x:c r="O55"/>
      <x:c r="P55"/>
      <x:c r="Q55"/>
      <x:c r="R55" t="n">
        <x:v>12</x:v>
      </x:c>
      <x:c r="S55"/>
      <x:c r="T55"/>
      <x:c r="U55"/>
      <x:c r="V55"/>
      <x:c r="W55"/>
      <x:c r="X55" t="n">
        <x:v>25</x:v>
      </x:c>
      <x:c r="Y55" t="str">
        <x:v>participants</x:v>
      </x:c>
      <x:c r="Z55" t="str">
        <x:v>0.016</x:v>
      </x:c>
      <x:c r="AA55" t="str">
        <x:v>Yes</x:v>
      </x:c>
      <x:c r="AB55" t="str">
        <x:v>No</x:v>
      </x:c>
      <x:c r="AC55" t="str">
        <x:f>IF(H55="Mean/SD","MD",IF(H55="Events/total","RR",""))</x:f>
        <x:v>RR</x:v>
      </x:c>
      <x:c r="AD55" t="n">
        <x:f>IF(H55="Mean/SD",M55-S55,IF(H55="Events/total",IFERROR((R55/K55)/(X55/L55),""),""))</x:f>
        <x:v>0.48</x:v>
      </x:c>
      <x:c r="AE55" t="str">
        <x:v>No</x:v>
      </x:c>
      <x:c r="AF55" t="str">
        <x:v>No</x:v>
      </x:c>
      <x:c r="AG55" t="str">
        <x:v>Eligible for dichotomous vomiting analysis at matching follow-up</x:v>
      </x:c>
      <x:c r="AH55" t="str">
        <x:v>No</x:v>
      </x:c>
      <x:c r="AI55" t="str">
        <x:v>No sham acupuncture; patient knowledge could affect subjective nausea but vomiting is more objective</x:v>
      </x:c>
      <x:c r="AJ55" t="str">
        <x:v>Secondary outcomes / PONV</x:v>
      </x:c>
      <x:c r="AK55" t="str">
        <x:v>https://drive.google.com/file/d/160N3psd5tLEphwXHJzUEZ3uJfaIXcs5V/view?usp=drivesdk</x:v>
      </x:c>
      <x:c r="AL55" t="str">
        <x:v>SOURCE-VERIFIED</x:v>
      </x:c>
    </x:row>
    <x:row r="56">
      <x:c r="A56" t="str">
        <x:v>Xiong 2021</x:v>
      </x:c>
      <x:c r="B56" t="str">
        <x:v>XIONG21_TEAS_vs_CTRL_PONV48</x:v>
      </x:c>
      <x:c r="C56" t="str">
        <x:v>TEAS + dexamethasone + tropisetron</x:v>
      </x:c>
      <x:c r="D56" t="str">
        <x:v>Dexamethasone + tropisetron</x:v>
      </x:c>
      <x:c r="E56" t="str">
        <x:v>PONV</x:v>
      </x:c>
      <x:c r="F56" t="str">
        <x:v>Any PONV</x:v>
      </x:c>
      <x:c r="G56" t="str">
        <x:v>Within 48 h</x:v>
      </x:c>
      <x:c r="H56" t="str">
        <x:v>Events/total</x:v>
      </x:c>
      <x:c r="I56" t="n">
        <x:v>31</x:v>
      </x:c>
      <x:c r="J56" t="n">
        <x:v>31</x:v>
      </x:c>
      <x:c r="K56" t="n">
        <x:v>31</x:v>
      </x:c>
      <x:c r="L56" t="n">
        <x:v>31</x:v>
      </x:c>
      <x:c r="M56"/>
      <x:c r="N56"/>
      <x:c r="O56"/>
      <x:c r="P56"/>
      <x:c r="Q56"/>
      <x:c r="R56" t="n">
        <x:v>13</x:v>
      </x:c>
      <x:c r="S56"/>
      <x:c r="T56"/>
      <x:c r="U56"/>
      <x:c r="V56"/>
      <x:c r="W56"/>
      <x:c r="X56" t="n">
        <x:v>24</x:v>
      </x:c>
      <x:c r="Y56" t="str">
        <x:v>participants</x:v>
      </x:c>
      <x:c r="Z56" t="str">
        <x:v>0.004</x:v>
      </x:c>
      <x:c r="AA56" t="str">
        <x:v>Yes</x:v>
      </x:c>
      <x:c r="AB56" t="str">
        <x:v>No</x:v>
      </x:c>
      <x:c r="AC56" t="str">
        <x:f>IF(H56="Mean/SD","MD",IF(H56="Events/total","RR",""))</x:f>
        <x:v>RR</x:v>
      </x:c>
      <x:c r="AD56" t="n">
        <x:f>IF(H56="Mean/SD",M56-S56,IF(H56="Events/total",IFERROR((R56/K56)/(X56/L56),""),""))</x:f>
        <x:v>0.5416666666666667</x:v>
      </x:c>
      <x:c r="AE56" t="str">
        <x:v>No</x:v>
      </x:c>
      <x:c r="AF56" t="str">
        <x:v>No</x:v>
      </x:c>
      <x:c r="AG56" t="str">
        <x:v>Eligible for dichotomous 48-h PONV analysis</x:v>
      </x:c>
      <x:c r="AH56" t="str">
        <x:v>No</x:v>
      </x:c>
      <x:c r="AI56" t="str">
        <x:v>Participant blinding intended but active postoperative tingling may have revealed allocation</x:v>
      </x:c>
      <x:c r="AJ56" t="str">
        <x:v>Abstract / 48-h PONV result</x:v>
      </x:c>
      <x:c r="AK56" t="str">
        <x:v>https://drive.google.com/file/d/1sNaquYeWpsts7_e3XYP9c0CwM-tbQS6T/view?usp=drivesdk</x:v>
      </x:c>
      <x:c r="AL56" t="str">
        <x:v>SOURCE-VERIFIED</x:v>
      </x:c>
    </x:row>
    <x:row r="57">
      <x:c r="A57" t="str">
        <x:v>Xiong 2021</x:v>
      </x:c>
      <x:c r="B57" t="str">
        <x:v>XIONG21_TEAS_vs_CTRL_CIPONV</x:v>
      </x:c>
      <x:c r="C57" t="str">
        <x:v>TEAS + dexamethasone + tropisetron</x:v>
      </x:c>
      <x:c r="D57" t="str">
        <x:v>Dexamethasone + tropisetron</x:v>
      </x:c>
      <x:c r="E57" t="str">
        <x:v>PONV</x:v>
      </x:c>
      <x:c r="F57" t="str">
        <x:v>Clinically important PONV</x:v>
      </x:c>
      <x:c r="G57" t="str">
        <x:v>Within 48 h</x:v>
      </x:c>
      <x:c r="H57" t="str">
        <x:v>Events/total</x:v>
      </x:c>
      <x:c r="I57" t="n">
        <x:v>31</x:v>
      </x:c>
      <x:c r="J57" t="n">
        <x:v>31</x:v>
      </x:c>
      <x:c r="K57" t="n">
        <x:v>31</x:v>
      </x:c>
      <x:c r="L57" t="n">
        <x:v>31</x:v>
      </x:c>
      <x:c r="M57"/>
      <x:c r="N57"/>
      <x:c r="O57"/>
      <x:c r="P57"/>
      <x:c r="Q57"/>
      <x:c r="R57" t="n">
        <x:v>5</x:v>
      </x:c>
      <x:c r="S57"/>
      <x:c r="T57"/>
      <x:c r="U57"/>
      <x:c r="V57"/>
      <x:c r="W57"/>
      <x:c r="X57" t="n">
        <x:v>15</x:v>
      </x:c>
      <x:c r="Y57" t="str">
        <x:v>participants</x:v>
      </x:c>
      <x:c r="Z57" t="str">
        <x:v>0.007</x:v>
      </x:c>
      <x:c r="AA57" t="str">
        <x:v>Yes</x:v>
      </x:c>
      <x:c r="AB57" t="str">
        <x:v>No</x:v>
      </x:c>
      <x:c r="AC57" t="str">
        <x:f>IF(H57="Mean/SD","MD",IF(H57="Events/total","RR",""))</x:f>
        <x:v>RR</x:v>
      </x:c>
      <x:c r="AD57" t="n">
        <x:f>IF(H57="Mean/SD",M57-S57,IF(H57="Events/total",IFERROR((R57/K57)/(X57/L57),""),""))</x:f>
        <x:v>0.3333333333333333</x:v>
      </x:c>
      <x:c r="AE57" t="str">
        <x:v>No</x:v>
      </x:c>
      <x:c r="AF57" t="str">
        <x:v>No</x:v>
      </x:c>
      <x:c r="AG57" t="str">
        <x:v>Eligible for dichotomous clinically-important PONV analysis</x:v>
      </x:c>
      <x:c r="AH57" t="str">
        <x:v>No</x:v>
      </x:c>
      <x:c r="AI57" t="str">
        <x:v>Patient-reported symptom severity; sensory blinding may be imperfect</x:v>
      </x:c>
      <x:c r="AJ57" t="str">
        <x:v>Abstract / clinically important PONV</x:v>
      </x:c>
      <x:c r="AK57" t="str">
        <x:v>https://drive.google.com/file/d/1sNaquYeWpsts7_e3XYP9c0CwM-tbQS6T/view?usp=drivesdk</x:v>
      </x:c>
      <x:c r="AL57" t="str">
        <x:v>SOURCE-VERIFIED</x:v>
      </x:c>
    </x:row>
    <x:row r="58">
      <x:c r="A58" t="str">
        <x:v>Xiong 2021</x:v>
      </x:c>
      <x:c r="B58" t="str">
        <x:v>XIONG21_TEAS_vs_CTRL_RESCUEAE</x:v>
      </x:c>
      <x:c r="C58" t="str">
        <x:v>TEAS + dexamethasone + tropisetron</x:v>
      </x:c>
      <x:c r="D58" t="str">
        <x:v>Dexamethasone + tropisetron</x:v>
      </x:c>
      <x:c r="E58" t="str">
        <x:v>Rescue antiemetic</x:v>
      </x:c>
      <x:c r="F58" t="str">
        <x:v>Any rescue antiemetic medication</x:v>
      </x:c>
      <x:c r="G58" t="str">
        <x:v>Within 48 h</x:v>
      </x:c>
      <x:c r="H58" t="str">
        <x:v>Events/total</x:v>
      </x:c>
      <x:c r="I58" t="n">
        <x:v>31</x:v>
      </x:c>
      <x:c r="J58" t="n">
        <x:v>31</x:v>
      </x:c>
      <x:c r="K58" t="n">
        <x:v>31</x:v>
      </x:c>
      <x:c r="L58" t="n">
        <x:v>31</x:v>
      </x:c>
      <x:c r="M58"/>
      <x:c r="N58"/>
      <x:c r="O58"/>
      <x:c r="P58"/>
      <x:c r="Q58"/>
      <x:c r="R58" t="n">
        <x:v>9</x:v>
      </x:c>
      <x:c r="S58"/>
      <x:c r="T58"/>
      <x:c r="U58"/>
      <x:c r="V58"/>
      <x:c r="W58"/>
      <x:c r="X58" t="n">
        <x:v>18</x:v>
      </x:c>
      <x:c r="Y58" t="str">
        <x:v>participants</x:v>
      </x:c>
      <x:c r="Z58" t="str">
        <x:v>0.021</x:v>
      </x:c>
      <x:c r="AA58" t="str">
        <x:v>Percentages directly reported; counts exactly reconstructed from 29.0% and 58.1%</x:v>
      </x:c>
      <x:c r="AB58" t="str">
        <x:v>Yes</x:v>
      </x:c>
      <x:c r="AC58" t="str">
        <x:f>IF(H58="Mean/SD","MD",IF(H58="Events/total","RR",""))</x:f>
        <x:v>RR</x:v>
      </x:c>
      <x:c r="AD58" t="n">
        <x:f>IF(H58="Mean/SD",M58-S58,IF(H58="Events/total",IFERROR((R58/K58)/(X58/L58),""),""))</x:f>
        <x:v>0.5</x:v>
      </x:c>
      <x:c r="AE58" t="str">
        <x:v>No</x:v>
      </x:c>
      <x:c r="AF58" t="str">
        <x:v>No</x:v>
      </x:c>
      <x:c r="AG58" t="str">
        <x:v>Eligible for dichotomous rescue-antiemetic analysis</x:v>
      </x:c>
      <x:c r="AH58" t="str">
        <x:v>No</x:v>
      </x:c>
      <x:c r="AI58" t="str">
        <x:v>Counts reconstructed exactly from group denominator 31</x:v>
      </x:c>
      <x:c r="AJ58" t="str">
        <x:v>Abstract / rescue antiemetic result</x:v>
      </x:c>
      <x:c r="AK58" t="str">
        <x:v>https://drive.google.com/file/d/1sNaquYeWpsts7_e3XYP9c0CwM-tbQS6T/view?usp=drivesdk</x:v>
      </x:c>
      <x:c r="AL58" t="str">
        <x:v>SOURCE-VERIFIED / COUNTS DERIVED</x:v>
      </x:c>
    </x:row>
    <x:row r="59">
      <x:c r="A59" t="str">
        <x:v>Xiong 2021</x:v>
      </x:c>
      <x:c r="B59" t="str">
        <x:v>XIONG21_TEAS_vs_CTRL_POSTOPMME</x:v>
      </x:c>
      <x:c r="C59" t="str">
        <x:v>TEAS + dexamethasone + tropisetron</x:v>
      </x:c>
      <x:c r="D59" t="str">
        <x:v>Dexamethasone + tropisetron</x:v>
      </x:c>
      <x:c r="E59" t="str">
        <x:v>Opioid consumption</x:v>
      </x:c>
      <x:c r="F59" t="str">
        <x:v>Postoperative opioid consumption</x:v>
      </x:c>
      <x:c r="G59" t="str">
        <x:v>Postoperative window unclear</x:v>
      </x:c>
      <x:c r="H59" t="str">
        <x:v>Mean/SD</x:v>
      </x:c>
      <x:c r="I59" t="n">
        <x:v>31</x:v>
      </x:c>
      <x:c r="J59" t="n">
        <x:v>31</x:v>
      </x:c>
      <x:c r="K59" t="n">
        <x:v>31</x:v>
      </x:c>
      <x:c r="L59" t="n">
        <x:v>31</x:v>
      </x:c>
      <x:c r="M59" t="n">
        <x:v>0.6</x:v>
      </x:c>
      <x:c r="N59" t="n">
        <x:v>0.2</x:v>
      </x:c>
      <x:c r="O59"/>
      <x:c r="P59"/>
      <x:c r="Q59"/>
      <x:c r="R59"/>
      <x:c r="S59" t="n">
        <x:v>0.6</x:v>
      </x:c>
      <x:c r="T59" t="n">
        <x:v>0.1</x:v>
      </x:c>
      <x:c r="U59"/>
      <x:c r="V59"/>
      <x:c r="W59"/>
      <x:c r="X59"/>
      <x:c r="Y59" t="str">
        <x:v>mg morphine-equivalent/kg</x:v>
      </x:c>
      <x:c r="Z59" t="str">
        <x:v>0.908</x:v>
      </x:c>
      <x:c r="AA59" t="str">
        <x:v>Yes</x:v>
      </x:c>
      <x:c r="AB59" t="str">
        <x:v>Yes</x:v>
      </x:c>
      <x:c r="AC59" t="str">
        <x:f>IF(H59="Mean/SD","MD",IF(H59="Events/total","RR",""))</x:f>
        <x:v>MD</x:v>
      </x:c>
      <x:c r="AD59" t="n">
        <x:f>IF(H59="Mean/SD",M59-S59,IF(H59="Events/total",IFERROR((R59/K59)/(X59/L59),""),""))</x:f>
        <x:v>0</x:v>
      </x:c>
      <x:c r="AE59" t="str">
        <x:v>No</x:v>
      </x:c>
      <x:c r="AF59" t="str">
        <x:v>No</x:v>
      </x:c>
      <x:c r="AG59" t="str">
        <x:v>Not eligible for strict 0-24-h opioid meta-analysis until time window is clarified</x:v>
      </x:c>
      <x:c r="AH59" t="str">
        <x:v>No</x:v>
      </x:c>
      <x:c r="AI59" t="str">
        <x:v>Exact postoperative interval is not stated; route terminology in Results is internally inconsistent</x:v>
      </x:c>
      <x:c r="AJ59" t="str">
        <x:v>Table 1 / postoperative opioid consumption</x:v>
      </x:c>
      <x:c r="AK59" t="str">
        <x:v>https://drive.google.com/file/d/1sNaquYeWpsts7_e3XYP9c0CwM-tbQS6T/view?usp=drivesdk</x:v>
      </x:c>
      <x:c r="AL59" t="str">
        <x:v>SOURCE-VERIFIED / WINDOW QC</x:v>
      </x:c>
    </x:row>
    <x:row r="60">
      <x:c r="A60" t="str">
        <x:v>Xiong 2021</x:v>
      </x:c>
      <x:c r="B60" t="str">
        <x:v>XIONG21_TEAS_vs_CTRL_OPIOID24</x:v>
      </x:c>
      <x:c r="C60" t="str">
        <x:v>TEAS + dexamethasone + tropisetron</x:v>
      </x:c>
      <x:c r="D60" t="str">
        <x:v>Dexamethasone + tropisetron</x:v>
      </x:c>
      <x:c r="E60" t="str">
        <x:v>Opioid consumption</x:v>
      </x:c>
      <x:c r="F60" t="str">
        <x:v>Exact cumulative postoperative opioid dose</x:v>
      </x:c>
      <x:c r="G60" t="str">
        <x:v>0-24 h</x:v>
      </x:c>
      <x:c r="H60" t="str">
        <x:v>Not reported</x:v>
      </x:c>
      <x:c r="I60" t="n">
        <x:v>31</x:v>
      </x:c>
      <x:c r="J60" t="n">
        <x:v>31</x:v>
      </x:c>
      <x:c r="K60" t="n">
        <x:v>31</x:v>
      </x:c>
      <x:c r="L60" t="n">
        <x:v>31</x:v>
      </x:c>
      <x:c r="M60"/>
      <x:c r="N60"/>
      <x:c r="O60"/>
      <x:c r="P60"/>
      <x:c r="Q60"/>
      <x:c r="R60"/>
      <x:c r="S60"/>
      <x:c r="T60"/>
      <x:c r="U60"/>
      <x:c r="V60"/>
      <x:c r="W60"/>
      <x:c r="X60"/>
      <x:c r="Y60" t="str">
        <x:v>mg morphine-equivalent/kg</x:v>
      </x:c>
      <x:c r="Z60" t="str"/>
      <x:c r="AA60" t="str">
        <x:v>No</x:v>
      </x:c>
      <x:c r="AB60" t="str">
        <x:v>No</x:v>
      </x:c>
      <x:c r="AC60" t="str">
        <x:f>IF(H60="Mean/SD","MD",IF(H60="Events/total","RR",""))</x:f>
      </x:c>
      <x:c r="AD60" t="str">
        <x:f>IF(H60="Mean/SD",M60-S60,IF(H60="Events/total",IFERROR((R60/K60)/(X60/L60),""),""))</x:f>
      </x:c>
      <x:c r="AE60" t="str">
        <x:v>No</x:v>
      </x:c>
      <x:c r="AF60" t="str">
        <x:v>No</x:v>
      </x:c>
      <x:c r="AG60" t="str">
        <x:v>Not eligible for continuous 24-h opioid meta-analysis</x:v>
      </x:c>
      <x:c r="AH60" t="str">
        <x:v>No</x:v>
      </x:c>
      <x:c r="AI60" t="str">
        <x:v>Published opioid-equivalent result lacks a fixed time window</x:v>
      </x:c>
      <x:c r="AJ60" t="str">
        <x:v>Exact 24-h endpoint absent</x:v>
      </x:c>
      <x:c r="AK60" t="str">
        <x:v>https://drive.google.com/file/d/1sNaquYeWpsts7_e3XYP9c0CwM-tbQS6T/view?usp=drivesdk</x:v>
      </x:c>
      <x:c r="AL60" t="str">
        <x:v>MISSING / WINDOW NOT REPORTED</x:v>
      </x:c>
    </x:row>
    <x:row r="61">
      <x:c r="A61" t="str">
        <x:v>Xing 2022</x:v>
      </x:c>
      <x:c r="B61" t="str">
        <x:v>XING22_NTG_vs_NG_REMI</x:v>
      </x:c>
      <x:c r="C61" t="str">
        <x:v>TEAS + active TAPB</x:v>
      </x:c>
      <x:c r="D61" t="str">
        <x:v>Sham TEAS + active TAPB</x:v>
      </x:c>
      <x:c r="E61" t="str">
        <x:v>Intraoperative opioid</x:v>
      </x:c>
      <x:c r="F61" t="str">
        <x:v>Total remifentanil consumption</x:v>
      </x:c>
      <x:c r="G61" t="str">
        <x:v>Intraoperative</x:v>
      </x:c>
      <x:c r="H61" t="str">
        <x:v>Mean/SD</x:v>
      </x:c>
      <x:c r="I61" t="n">
        <x:v>30</x:v>
      </x:c>
      <x:c r="J61" t="n">
        <x:v>30</x:v>
      </x:c>
      <x:c r="K61" t="n">
        <x:v>29</x:v>
      </x:c>
      <x:c r="L61" t="n">
        <x:v>29</x:v>
      </x:c>
      <x:c r="M61" t="n">
        <x:v>1182.61</x:v>
      </x:c>
      <x:c r="N61" t="n">
        <x:v>253.61</x:v>
      </x:c>
      <x:c r="O61"/>
      <x:c r="P61"/>
      <x:c r="Q61"/>
      <x:c r="R61"/>
      <x:c r="S61" t="n">
        <x:v>1415.41</x:v>
      </x:c>
      <x:c r="T61" t="n">
        <x:v>295.67</x:v>
      </x:c>
      <x:c r="U61"/>
      <x:c r="V61"/>
      <x:c r="W61"/>
      <x:c r="X61"/>
      <x:c r="Y61" t="str">
        <x:v>µg remifentanil</x:v>
      </x:c>
      <x:c r="Z61" t="str">
        <x:v>&lt;0.05 pairwise</x:v>
      </x:c>
      <x:c r="AA61" t="str">
        <x:v>Yes</x:v>
      </x:c>
      <x:c r="AB61" t="str">
        <x:v>No</x:v>
      </x:c>
      <x:c r="AC61" t="str">
        <x:f>IF(H61="Mean/SD","MD",IF(H61="Events/total","RR",""))</x:f>
        <x:v>MD</x:v>
      </x:c>
      <x:c r="AD61" t="n">
        <x:f>IF(H61="Mean/SD",M61-S61,IF(H61="Events/total",IFERROR((R61/K61)/(X61/L61),""),""))</x:f>
        <x:v>-232.80000000000018</x:v>
      </x:c>
      <x:c r="AE61" t="str">
        <x:v>No</x:v>
      </x:c>
      <x:c r="AF61" t="str">
        <x:v>No</x:v>
      </x:c>
      <x:c r="AG61" t="str">
        <x:v>Eligible for incremental TEAS intraoperative opioid-sparing analysis</x:v>
      </x:c>
      <x:c r="AH61" t="str">
        <x:v>Yes</x:v>
      </x:c>
      <x:c r="AI61" t="str">
        <x:v>Direct TEAS contrast is NTG vs NG; do not attribute NTG-vs-G combined package entirely to TEAS</x:v>
      </x:c>
      <x:c r="AJ61" t="str">
        <x:v>Table 3, p10</x:v>
      </x:c>
      <x:c r="AK61" t="str">
        <x:v>https://drive.google.com/file/d/1h3IGpQ56nSh7H16xBEVyTzCBkWOXRSxK/view?usp=drivesdk</x:v>
      </x:c>
      <x:c r="AL61" t="str">
        <x:v>SOURCE-VERIFIED</x:v>
      </x:c>
    </x:row>
    <x:row r="62">
      <x:c r="A62" t="str">
        <x:v>Xing 2022</x:v>
      </x:c>
      <x:c r="B62" t="str">
        <x:v>XING22_NTG_vs_NG_FLATUS</x:v>
      </x:c>
      <x:c r="C62" t="str">
        <x:v>TEAS + active TAPB</x:v>
      </x:c>
      <x:c r="D62" t="str">
        <x:v>Sham TEAS + active TAPB</x:v>
      </x:c>
      <x:c r="E62" t="str">
        <x:v>GI recovery</x:v>
      </x:c>
      <x:c r="F62" t="str">
        <x:v>Time to first flatus</x:v>
      </x:c>
      <x:c r="G62" t="str">
        <x:v>Postoperative</x:v>
      </x:c>
      <x:c r="H62" t="str">
        <x:v>Mean/SD</x:v>
      </x:c>
      <x:c r="I62" t="n">
        <x:v>30</x:v>
      </x:c>
      <x:c r="J62" t="n">
        <x:v>30</x:v>
      </x:c>
      <x:c r="K62" t="n">
        <x:v>29</x:v>
      </x:c>
      <x:c r="L62" t="n">
        <x:v>29</x:v>
      </x:c>
      <x:c r="M62" t="n">
        <x:v>32.57</x:v>
      </x:c>
      <x:c r="N62" t="n">
        <x:v>6.94</x:v>
      </x:c>
      <x:c r="O62"/>
      <x:c r="P62"/>
      <x:c r="Q62"/>
      <x:c r="R62"/>
      <x:c r="S62" t="n">
        <x:v>36.83</x:v>
      </x:c>
      <x:c r="T62" t="n">
        <x:v>6.19</x:v>
      </x:c>
      <x:c r="U62"/>
      <x:c r="V62"/>
      <x:c r="W62"/>
      <x:c r="X62"/>
      <x:c r="Y62" t="str">
        <x:v>hours</x:v>
      </x:c>
      <x:c r="Z62" t="str">
        <x:v>&lt;0.05 pairwise</x:v>
      </x:c>
      <x:c r="AA62" t="str">
        <x:v>Yes</x:v>
      </x:c>
      <x:c r="AB62" t="str">
        <x:v>No</x:v>
      </x:c>
      <x:c r="AC62" t="str">
        <x:f>IF(H62="Mean/SD","MD",IF(H62="Events/total","RR",""))</x:f>
        <x:v>MD</x:v>
      </x:c>
      <x:c r="AD62" t="n">
        <x:f>IF(H62="Mean/SD",M62-S62,IF(H62="Events/total",IFERROR((R62/K62)/(X62/L62),""),""))</x:f>
        <x:v>-4.259999999999998</x:v>
      </x:c>
      <x:c r="AE62" t="str">
        <x:v>No</x:v>
      </x:c>
      <x:c r="AF62" t="str">
        <x:v>No</x:v>
      </x:c>
      <x:c r="AG62" t="str">
        <x:v>Eligible for GI-recovery analysis</x:v>
      </x:c>
      <x:c r="AH62" t="str">
        <x:v>Yes</x:v>
      </x:c>
      <x:c r="AI62" t="str">
        <x:v>Three-arm study; use NTG vs NG for incremental TEAS effect</x:v>
      </x:c>
      <x:c r="AJ62" t="str">
        <x:v>Postoperative recovery results</x:v>
      </x:c>
      <x:c r="AK62" t="str">
        <x:v>https://drive.google.com/file/d/1h3IGpQ56nSh7H16xBEVyTzCBkWOXRSxK/view?usp=drivesdk</x:v>
      </x:c>
      <x:c r="AL62" t="str">
        <x:v>SOURCE-VERIFIED</x:v>
      </x:c>
    </x:row>
    <x:row r="63">
      <x:c r="A63" t="str">
        <x:v>Xing 2022</x:v>
      </x:c>
      <x:c r="B63" t="str">
        <x:v>XING22_NTG_vs_NG_PONV</x:v>
      </x:c>
      <x:c r="C63" t="str">
        <x:v>TEAS + active TAPB</x:v>
      </x:c>
      <x:c r="D63" t="str">
        <x:v>Sham TEAS + active TAPB</x:v>
      </x:c>
      <x:c r="E63" t="str">
        <x:v>PONV</x:v>
      </x:c>
      <x:c r="F63" t="str">
        <x:v>PONV incidence</x:v>
      </x:c>
      <x:c r="G63" t="str">
        <x:v>Postoperative</x:v>
      </x:c>
      <x:c r="H63" t="str">
        <x:v>Events/total</x:v>
      </x:c>
      <x:c r="I63" t="n">
        <x:v>30</x:v>
      </x:c>
      <x:c r="J63" t="n">
        <x:v>30</x:v>
      </x:c>
      <x:c r="K63" t="n">
        <x:v>29</x:v>
      </x:c>
      <x:c r="L63" t="n">
        <x:v>29</x:v>
      </x:c>
      <x:c r="M63"/>
      <x:c r="N63"/>
      <x:c r="O63"/>
      <x:c r="P63"/>
      <x:c r="Q63"/>
      <x:c r="R63" t="n">
        <x:v>5</x:v>
      </x:c>
      <x:c r="S63"/>
      <x:c r="T63"/>
      <x:c r="U63"/>
      <x:c r="V63"/>
      <x:c r="W63"/>
      <x:c r="X63" t="n">
        <x:v>11</x:v>
      </x:c>
      <x:c r="Y63" t="str">
        <x:v>participants</x:v>
      </x:c>
      <x:c r="Z63" t="str">
        <x:v>&lt;0.05 pairwise</x:v>
      </x:c>
      <x:c r="AA63" t="str">
        <x:v>Percentages reported; counts exactly reconstructed from 17.24% and 37.93%</x:v>
      </x:c>
      <x:c r="AB63" t="str">
        <x:v>Yes</x:v>
      </x:c>
      <x:c r="AC63" t="str">
        <x:f>IF(H63="Mean/SD","MD",IF(H63="Events/total","RR",""))</x:f>
        <x:v>RR</x:v>
      </x:c>
      <x:c r="AD63" t="n">
        <x:f>IF(H63="Mean/SD",M63-S63,IF(H63="Events/total",IFERROR((R63/K63)/(X63/L63),""),""))</x:f>
        <x:v>0.4545454545454546</x:v>
      </x:c>
      <x:c r="AE63" t="str">
        <x:v>No</x:v>
      </x:c>
      <x:c r="AF63" t="str">
        <x:v>No</x:v>
      </x:c>
      <x:c r="AG63" t="str">
        <x:v>Eligible for dichotomous PONV analysis</x:v>
      </x:c>
      <x:c r="AH63" t="str">
        <x:v>Yes</x:v>
      </x:c>
      <x:c r="AI63" t="str">
        <x:v>Counts reconstructed from n=29 analyzed per arm</x:v>
      </x:c>
      <x:c r="AJ63" t="str">
        <x:v>Postoperative complications</x:v>
      </x:c>
      <x:c r="AK63" t="str">
        <x:v>https://drive.google.com/file/d/1h3IGpQ56nSh7H16xBEVyTzCBkWOXRSxK/view?usp=drivesdk</x:v>
      </x:c>
      <x:c r="AL63" t="str">
        <x:v>SOURCE-VERIFIED / COUNTS DERIVED</x:v>
      </x:c>
    </x:row>
    <x:row r="64">
      <x:c r="A64" t="str">
        <x:v>Xing 2022</x:v>
      </x:c>
      <x:c r="B64" t="str">
        <x:v>XING22_NTG_vs_NG_RESTVAS24</x:v>
      </x:c>
      <x:c r="C64" t="str">
        <x:v>TEAS + active TAPB</x:v>
      </x:c>
      <x:c r="D64" t="str">
        <x:v>Sham TEAS + active TAPB</x:v>
      </x:c>
      <x:c r="E64" t="str">
        <x:v>Pain</x:v>
      </x:c>
      <x:c r="F64" t="str">
        <x:v>Rest pain VAS</x:v>
      </x:c>
      <x:c r="G64" t="str">
        <x:v>24 h</x:v>
      </x:c>
      <x:c r="H64" t="str">
        <x:v>Mean/SD</x:v>
      </x:c>
      <x:c r="I64" t="n">
        <x:v>30</x:v>
      </x:c>
      <x:c r="J64" t="n">
        <x:v>30</x:v>
      </x:c>
      <x:c r="K64" t="n">
        <x:v>29</x:v>
      </x:c>
      <x:c r="L64" t="n">
        <x:v>29</x:v>
      </x:c>
      <x:c r="M64" t="n">
        <x:v>1.18</x:v>
      </x:c>
      <x:c r="N64" t="n">
        <x:v>0.42</x:v>
      </x:c>
      <x:c r="O64"/>
      <x:c r="P64"/>
      <x:c r="Q64"/>
      <x:c r="R64"/>
      <x:c r="S64" t="n">
        <x:v>1.4</x:v>
      </x:c>
      <x:c r="T64" t="n">
        <x:v>0.52</x:v>
      </x:c>
      <x:c r="U64"/>
      <x:c r="V64"/>
      <x:c r="W64"/>
      <x:c r="X64"/>
      <x:c r="Y64" t="str">
        <x:v>VAS 0-10</x:v>
      </x:c>
      <x:c r="Z64" t="str">
        <x:v>NS for NTG vs NG at 24 h</x:v>
      </x:c>
      <x:c r="AA64" t="str">
        <x:v>Yes</x:v>
      </x:c>
      <x:c r="AB64" t="str">
        <x:v>No</x:v>
      </x:c>
      <x:c r="AC64" t="str">
        <x:f>IF(H64="Mean/SD","MD",IF(H64="Events/total","RR",""))</x:f>
        <x:v>MD</x:v>
      </x:c>
      <x:c r="AD64" t="n">
        <x:f>IF(H64="Mean/SD",M64-S64,IF(H64="Events/total",IFERROR((R64/K64)/(X64/L64),""),""))</x:f>
        <x:v>-0.21999999999999997</x:v>
      </x:c>
      <x:c r="AE64" t="str">
        <x:v>No</x:v>
      </x:c>
      <x:c r="AF64" t="str">
        <x:v>No</x:v>
      </x:c>
      <x:c r="AG64" t="str">
        <x:v>Eligible for 24-h pain analysis</x:v>
      </x:c>
      <x:c r="AH64" t="str">
        <x:v>Yes</x:v>
      </x:c>
      <x:c r="AI64" t="str">
        <x:v>At 24 h both TAPB groups improved versus G, but incremental NTG-vs-NG difference was not reported significant</x:v>
      </x:c>
      <x:c r="AJ64" t="str">
        <x:v>24-h pain result</x:v>
      </x:c>
      <x:c r="AK64" t="str">
        <x:v>https://drive.google.com/file/d/1h3IGpQ56nSh7H16xBEVyTzCBkWOXRSxK/view?usp=drivesdk</x:v>
      </x:c>
      <x:c r="AL64" t="str">
        <x:v>SOURCE-VERIFIED</x:v>
      </x:c>
    </x:row>
    <x:row r="65">
      <x:c r="A65" t="str">
        <x:v>Xing 2022</x:v>
      </x:c>
      <x:c r="B65" t="str">
        <x:v>XING22_NTG_vs_NG_PRESS</x:v>
      </x:c>
      <x:c r="C65" t="str">
        <x:v>TEAS + active TAPB</x:v>
      </x:c>
      <x:c r="D65" t="str">
        <x:v>Sham TEAS + active TAPB</x:v>
      </x:c>
      <x:c r="E65" t="str">
        <x:v>Opioid demand</x:v>
      </x:c>
      <x:c r="F65" t="str">
        <x:v>PCIA pump press count</x:v>
      </x:c>
      <x:c r="G65" t="str">
        <x:v>48-h / 2-day PCIA period</x:v>
      </x:c>
      <x:c r="H65" t="str">
        <x:v>Mean/SD</x:v>
      </x:c>
      <x:c r="I65" t="n">
        <x:v>30</x:v>
      </x:c>
      <x:c r="J65" t="n">
        <x:v>30</x:v>
      </x:c>
      <x:c r="K65" t="n">
        <x:v>29</x:v>
      </x:c>
      <x:c r="L65" t="n">
        <x:v>29</x:v>
      </x:c>
      <x:c r="M65" t="n">
        <x:v>6.55</x:v>
      </x:c>
      <x:c r="N65" t="n">
        <x:v>3.19</x:v>
      </x:c>
      <x:c r="O65"/>
      <x:c r="P65"/>
      <x:c r="Q65"/>
      <x:c r="R65"/>
      <x:c r="S65" t="n">
        <x:v>9.97</x:v>
      </x:c>
      <x:c r="T65" t="n">
        <x:v>3.8</x:v>
      </x:c>
      <x:c r="U65"/>
      <x:c r="V65"/>
      <x:c r="W65"/>
      <x:c r="X65"/>
      <x:c r="Y65" t="str">
        <x:v>presses</x:v>
      </x:c>
      <x:c r="Z65" t="str">
        <x:v>&lt;0.05 pairwise</x:v>
      </x:c>
      <x:c r="AA65" t="str">
        <x:v>Yes</x:v>
      </x:c>
      <x:c r="AB65" t="str">
        <x:v>No</x:v>
      </x:c>
      <x:c r="AC65" t="str">
        <x:f>IF(H65="Mean/SD","MD",IF(H65="Events/total","RR",""))</x:f>
        <x:v>MD</x:v>
      </x:c>
      <x:c r="AD65" t="n">
        <x:f>IF(H65="Mean/SD",M65-S65,IF(H65="Events/total",IFERROR((R65/K65)/(X65/L65),""),""))</x:f>
        <x:v>-3.420000000000001</x:v>
      </x:c>
      <x:c r="AE65" t="str">
        <x:v>No</x:v>
      </x:c>
      <x:c r="AF65" t="str">
        <x:v>No</x:v>
      </x:c>
      <x:c r="AG65" t="str">
        <x:v>Eligible only as PCA-demand outcome, not exact opioid consumption</x:v>
      </x:c>
      <x:c r="AH65" t="str">
        <x:v>Yes</x:v>
      </x:c>
      <x:c r="AI65" t="str">
        <x:v>Press attempts may not equal successful delivered boluses; do not multiply by 1 µg</x:v>
      </x:c>
      <x:c r="AJ65" t="str">
        <x:v>Table 3 / PCIA press count</x:v>
      </x:c>
      <x:c r="AK65" t="str">
        <x:v>https://drive.google.com/file/d/1h3IGpQ56nSh7H16xBEVyTzCBkWOXRSxK/view?usp=drivesdk</x:v>
      </x:c>
      <x:c r="AL65" t="str">
        <x:v>SOURCE-VERIFIED / DOSE NOT RECONSTRUCTABLE</x:v>
      </x:c>
    </x:row>
    <x:row r="66">
      <x:c r="A66" t="str">
        <x:v>Xing 2022</x:v>
      </x:c>
      <x:c r="B66" t="str">
        <x:v>XING22_NTG_vs_NG_OPIOID24</x:v>
      </x:c>
      <x:c r="C66" t="str">
        <x:v>TEAS + active TAPB</x:v>
      </x:c>
      <x:c r="D66" t="str">
        <x:v>Sham TEAS + active TAPB</x:v>
      </x:c>
      <x:c r="E66" t="str">
        <x:v>Opioid consumption</x:v>
      </x:c>
      <x:c r="F66" t="str">
        <x:v>Exact cumulative postoperative sufentanil delivered</x:v>
      </x:c>
      <x:c r="G66" t="str">
        <x:v>0-24 h</x:v>
      </x:c>
      <x:c r="H66" t="str">
        <x:v>Not reported</x:v>
      </x:c>
      <x:c r="I66" t="n">
        <x:v>30</x:v>
      </x:c>
      <x:c r="J66" t="n">
        <x:v>30</x:v>
      </x:c>
      <x:c r="K66" t="n">
        <x:v>29</x:v>
      </x:c>
      <x:c r="L66" t="n">
        <x:v>29</x:v>
      </x:c>
      <x:c r="M66"/>
      <x:c r="N66"/>
      <x:c r="O66"/>
      <x:c r="P66"/>
      <x:c r="Q66"/>
      <x:c r="R66"/>
      <x:c r="S66"/>
      <x:c r="T66"/>
      <x:c r="U66"/>
      <x:c r="V66"/>
      <x:c r="W66"/>
      <x:c r="X66"/>
      <x:c r="Y66" t="str">
        <x:v>µg sufentanil</x:v>
      </x:c>
      <x:c r="Z66" t="str"/>
      <x:c r="AA66" t="str">
        <x:v>No</x:v>
      </x:c>
      <x:c r="AB66" t="str">
        <x:v>No</x:v>
      </x:c>
      <x:c r="AC66" t="str">
        <x:f>IF(H66="Mean/SD","MD",IF(H66="Events/total","RR",""))</x:f>
      </x:c>
      <x:c r="AD66" t="str">
        <x:f>IF(H66="Mean/SD",M66-S66,IF(H66="Events/total",IFERROR((R66/K66)/(X66/L66),""),""))</x:f>
      </x:c>
      <x:c r="AE66" t="str">
        <x:v>No</x:v>
      </x:c>
      <x:c r="AF66" t="str">
        <x:v>No</x:v>
      </x:c>
      <x:c r="AG66" t="str">
        <x:v>Not eligible for continuous 24-h opioid meta-analysis without author data</x:v>
      </x:c>
      <x:c r="AH66" t="str">
        <x:v>Yes</x:v>
      </x:c>
      <x:c r="AI66" t="str">
        <x:v>PCIA wording is internally contradictory and only press counts are reported</x:v>
      </x:c>
      <x:c r="AJ66" t="str">
        <x:v>Exact 24-h endpoint absent</x:v>
      </x:c>
      <x:c r="AK66" t="str">
        <x:v>https://drive.google.com/file/d/1h3IGpQ56nSh7H16xBEVyTzCBkWOXRSxK/view?usp=drivesdk</x:v>
      </x:c>
      <x:c r="AL66" t="str">
        <x:v>MISSING / AUTHOR DATA NEEDED</x:v>
      </x:c>
    </x:row>
    <x:row r="67">
      <x:c r="A67" t="str">
        <x:v>Xie 2014</x:v>
      </x:c>
      <x:c r="B67" t="str">
        <x:v>XIE14_EAS_vs_SHAM_TOTALSUF</x:v>
      </x:c>
      <x:c r="C67" t="str">
        <x:v>Active EAS PC4/PC6</x:v>
      </x:c>
      <x:c r="D67" t="str">
        <x:v>Sham needling PC4/PC6</x:v>
      </x:c>
      <x:c r="E67" t="str">
        <x:v>Opioid consumption</x:v>
      </x:c>
      <x:c r="F67" t="str">
        <x:v>Total postoperative/perioperative sufentanil</x:v>
      </x:c>
      <x:c r="G67" t="str">
        <x:v>Study PCA period; exact fixed window unclear</x:v>
      </x:c>
      <x:c r="H67" t="str">
        <x:v>Mean/SD</x:v>
      </x:c>
      <x:c r="I67" t="n">
        <x:v>20</x:v>
      </x:c>
      <x:c r="J67" t="n">
        <x:v>20</x:v>
      </x:c>
      <x:c r="K67" t="n">
        <x:v>20</x:v>
      </x:c>
      <x:c r="L67" t="n">
        <x:v>20</x:v>
      </x:c>
      <x:c r="M67" t="n">
        <x:v>115</x:v>
      </x:c>
      <x:c r="N67" t="n">
        <x:v>6</x:v>
      </x:c>
      <x:c r="O67"/>
      <x:c r="P67"/>
      <x:c r="Q67"/>
      <x:c r="R67"/>
      <x:c r="S67" t="n">
        <x:v>133</x:v>
      </x:c>
      <x:c r="T67" t="n">
        <x:v>7</x:v>
      </x:c>
      <x:c r="U67"/>
      <x:c r="V67"/>
      <x:c r="W67"/>
      <x:c r="X67"/>
      <x:c r="Y67" t="str">
        <x:v>µg sufentanil</x:v>
      </x:c>
      <x:c r="Z67" t="str">
        <x:v>&lt;0.05</x:v>
      </x:c>
      <x:c r="AA67" t="str">
        <x:v>Yes</x:v>
      </x:c>
      <x:c r="AB67" t="str">
        <x:v>No</x:v>
      </x:c>
      <x:c r="AC67" t="str">
        <x:f>IF(H67="Mean/SD","MD",IF(H67="Events/total","RR",""))</x:f>
        <x:v>MD</x:v>
      </x:c>
      <x:c r="AD67" t="n">
        <x:f>IF(H67="Mean/SD",M67-S67,IF(H67="Events/total",IFERROR((R67/K67)/(X67/L67),""),""))</x:f>
        <x:v>-18</x:v>
      </x:c>
      <x:c r="AE67" t="str">
        <x:v>No</x:v>
      </x:c>
      <x:c r="AF67" t="str">
        <x:v>No</x:v>
      </x:c>
      <x:c r="AG67" t="str">
        <x:v>Potentially usable only for non-24-h opioid analysis after time-window adjudication</x:v>
      </x:c>
      <x:c r="AH67" t="str">
        <x:v>Yes</x:v>
      </x:c>
      <x:c r="AI67" t="str">
        <x:v>Infusion described through POD3; Discussion mentions lower use through 48 h; Table 2 does not define fixed window</x:v>
      </x:c>
      <x:c r="AJ67" t="str">
        <x:v>Table 2 / total sufentanil</x:v>
      </x:c>
      <x:c r="AK67" t="str">
        <x:v>https://drive.google.com/file/d/17faY_h0rMJTuhjPOC5PL_S59jYmHDPee/view?usp=drivesdk</x:v>
      </x:c>
      <x:c r="AL67" t="str">
        <x:v>SOURCE-VERIFIED / WINDOW QC</x:v>
      </x:c>
    </x:row>
    <x:row r="68">
      <x:c r="A68" t="str">
        <x:v>Xie 2014</x:v>
      </x:c>
      <x:c r="B68" t="str">
        <x:v>XIE14_EAS_vs_CONTROL_TOTALSUF</x:v>
      </x:c>
      <x:c r="C68" t="str">
        <x:v>Active EAS PC4/PC6</x:v>
      </x:c>
      <x:c r="D68" t="str">
        <x:v>General-anesthesia control</x:v>
      </x:c>
      <x:c r="E68" t="str">
        <x:v>Opioid consumption</x:v>
      </x:c>
      <x:c r="F68" t="str">
        <x:v>Total postoperative/perioperative sufentanil</x:v>
      </x:c>
      <x:c r="G68" t="str">
        <x:v>Study PCA period; exact fixed window unclear</x:v>
      </x:c>
      <x:c r="H68" t="str">
        <x:v>Mean/SD</x:v>
      </x:c>
      <x:c r="I68" t="n">
        <x:v>20</x:v>
      </x:c>
      <x:c r="J68" t="n">
        <x:v>20</x:v>
      </x:c>
      <x:c r="K68" t="n">
        <x:v>20</x:v>
      </x:c>
      <x:c r="L68" t="n">
        <x:v>20</x:v>
      </x:c>
      <x:c r="M68" t="n">
        <x:v>115</x:v>
      </x:c>
      <x:c r="N68" t="n">
        <x:v>6</x:v>
      </x:c>
      <x:c r="O68"/>
      <x:c r="P68"/>
      <x:c r="Q68"/>
      <x:c r="R68"/>
      <x:c r="S68" t="n">
        <x:v>134</x:v>
      </x:c>
      <x:c r="T68" t="n">
        <x:v>5.9</x:v>
      </x:c>
      <x:c r="U68"/>
      <x:c r="V68"/>
      <x:c r="W68"/>
      <x:c r="X68"/>
      <x:c r="Y68" t="str">
        <x:v>µg sufentanil</x:v>
      </x:c>
      <x:c r="Z68" t="str">
        <x:v>&lt;0.05</x:v>
      </x:c>
      <x:c r="AA68" t="str">
        <x:v>Yes</x:v>
      </x:c>
      <x:c r="AB68" t="str">
        <x:v>No</x:v>
      </x:c>
      <x:c r="AC68" t="str">
        <x:f>IF(H68="Mean/SD","MD",IF(H68="Events/total","RR",""))</x:f>
        <x:v>MD</x:v>
      </x:c>
      <x:c r="AD68" t="n">
        <x:f>IF(H68="Mean/SD",M68-S68,IF(H68="Events/total",IFERROR((R68/K68)/(X68/L68),""),""))</x:f>
        <x:v>-19</x:v>
      </x:c>
      <x:c r="AE68" t="str">
        <x:v>No</x:v>
      </x:c>
      <x:c r="AF68" t="str">
        <x:v>No</x:v>
      </x:c>
      <x:c r="AG68" t="str">
        <x:v>Potentially usable only for non-24-h opioid analysis after time-window adjudication</x:v>
      </x:c>
      <x:c r="AH68" t="str">
        <x:v>Yes</x:v>
      </x:c>
      <x:c r="AI68" t="str">
        <x:v>Three-arm shared-intervention structure; exact fixed observation window not established</x:v>
      </x:c>
      <x:c r="AJ68" t="str">
        <x:v>Table 2 / total sufentanil</x:v>
      </x:c>
      <x:c r="AK68" t="str">
        <x:v>https://drive.google.com/file/d/17faY_h0rMJTuhjPOC5PL_S59jYmHDPee/view?usp=drivesdk</x:v>
      </x:c>
      <x:c r="AL68" t="str">
        <x:v>SOURCE-VERIFIED / WINDOW QC</x:v>
      </x:c>
    </x:row>
    <x:row r="69">
      <x:c r="A69" t="str">
        <x:v>Xie 2014</x:v>
      </x:c>
      <x:c r="B69" t="str">
        <x:v>XIE14_EAS_vs_SHAM_PCADEMAND</x:v>
      </x:c>
      <x:c r="C69" t="str">
        <x:v>Active EAS PC4/PC6</x:v>
      </x:c>
      <x:c r="D69" t="str">
        <x:v>Sham needling PC4/PC6</x:v>
      </x:c>
      <x:c r="E69" t="str">
        <x:v>Opioid demand</x:v>
      </x:c>
      <x:c r="F69" t="str">
        <x:v>Patient-controlled analgesia demand count</x:v>
      </x:c>
      <x:c r="G69" t="str">
        <x:v>Study PCA period</x:v>
      </x:c>
      <x:c r="H69" t="str">
        <x:v>Mean/SD</x:v>
      </x:c>
      <x:c r="I69" t="n">
        <x:v>20</x:v>
      </x:c>
      <x:c r="J69" t="n">
        <x:v>20</x:v>
      </x:c>
      <x:c r="K69" t="n">
        <x:v>20</x:v>
      </x:c>
      <x:c r="L69" t="n">
        <x:v>20</x:v>
      </x:c>
      <x:c r="M69" t="n">
        <x:v>16</x:v>
      </x:c>
      <x:c r="N69" t="n">
        <x:v>3</x:v>
      </x:c>
      <x:c r="O69"/>
      <x:c r="P69"/>
      <x:c r="Q69"/>
      <x:c r="R69"/>
      <x:c r="S69" t="n">
        <x:v>43</x:v>
      </x:c>
      <x:c r="T69" t="n">
        <x:v>3</x:v>
      </x:c>
      <x:c r="U69"/>
      <x:c r="V69"/>
      <x:c r="W69"/>
      <x:c r="X69"/>
      <x:c r="Y69" t="str">
        <x:v>demands</x:v>
      </x:c>
      <x:c r="Z69" t="str">
        <x:v>&lt;0.05</x:v>
      </x:c>
      <x:c r="AA69" t="str">
        <x:v>Yes</x:v>
      </x:c>
      <x:c r="AB69" t="str">
        <x:v>No</x:v>
      </x:c>
      <x:c r="AC69" t="str">
        <x:f>IF(H69="Mean/SD","MD",IF(H69="Events/total","RR",""))</x:f>
        <x:v>MD</x:v>
      </x:c>
      <x:c r="AD69" t="n">
        <x:f>IF(H69="Mean/SD",M69-S69,IF(H69="Events/total",IFERROR((R69/K69)/(X69/L69),""),""))</x:f>
        <x:v>-27</x:v>
      </x:c>
      <x:c r="AE69" t="str">
        <x:v>No</x:v>
      </x:c>
      <x:c r="AF69" t="str">
        <x:v>No</x:v>
      </x:c>
      <x:c r="AG69" t="str">
        <x:v>Eligible as analgesic-demand outcome only</x:v>
      </x:c>
      <x:c r="AH69" t="str">
        <x:v>Yes</x:v>
      </x:c>
      <x:c r="AI69" t="str">
        <x:v>Demand count should not be converted into delivered sufentanil without confirmation</x:v>
      </x:c>
      <x:c r="AJ69" t="str">
        <x:v>Table 2 / patient demand</x:v>
      </x:c>
      <x:c r="AK69" t="str">
        <x:v>https://drive.google.com/file/d/17faY_h0rMJTuhjPOC5PL_S59jYmHDPee/view?usp=drivesdk</x:v>
      </x:c>
      <x:c r="AL69" t="str">
        <x:v>SOURCE-VERIFIED / DOSE NOT RECONSTRUCTABLE</x:v>
      </x:c>
    </x:row>
    <x:row r="70">
      <x:c r="A70" t="str">
        <x:v>Xie 2014</x:v>
      </x:c>
      <x:c r="B70" t="str">
        <x:v>XIE14_EAS_vs_SHAM_OPIOID24</x:v>
      </x:c>
      <x:c r="C70" t="str">
        <x:v>Active EAS PC4/PC6</x:v>
      </x:c>
      <x:c r="D70" t="str">
        <x:v>Sham needling PC4/PC6</x:v>
      </x:c>
      <x:c r="E70" t="str">
        <x:v>Opioid consumption</x:v>
      </x:c>
      <x:c r="F70" t="str">
        <x:v>Exact cumulative postoperative sufentanil</x:v>
      </x:c>
      <x:c r="G70" t="str">
        <x:v>0-24 h</x:v>
      </x:c>
      <x:c r="H70" t="str">
        <x:v>Not reported</x:v>
      </x:c>
      <x:c r="I70" t="n">
        <x:v>20</x:v>
      </x:c>
      <x:c r="J70" t="n">
        <x:v>20</x:v>
      </x:c>
      <x:c r="K70" t="n">
        <x:v>20</x:v>
      </x:c>
      <x:c r="L70" t="n">
        <x:v>20</x:v>
      </x:c>
      <x:c r="M70"/>
      <x:c r="N70"/>
      <x:c r="O70"/>
      <x:c r="P70"/>
      <x:c r="Q70"/>
      <x:c r="R70"/>
      <x:c r="S70"/>
      <x:c r="T70"/>
      <x:c r="U70"/>
      <x:c r="V70"/>
      <x:c r="W70"/>
      <x:c r="X70"/>
      <x:c r="Y70" t="str">
        <x:v>µg sufentanil</x:v>
      </x:c>
      <x:c r="Z70" t="str"/>
      <x:c r="AA70" t="str">
        <x:v>No</x:v>
      </x:c>
      <x:c r="AB70" t="str">
        <x:v>No</x:v>
      </x:c>
      <x:c r="AC70" t="str">
        <x:f>IF(H70="Mean/SD","MD",IF(H70="Events/total","RR",""))</x:f>
      </x:c>
      <x:c r="AD70" t="str">
        <x:f>IF(H70="Mean/SD",M70-S70,IF(H70="Events/total",IFERROR((R70/K70)/(X70/L70),""),""))</x:f>
      </x:c>
      <x:c r="AE70" t="str">
        <x:v>No</x:v>
      </x:c>
      <x:c r="AF70" t="str">
        <x:v>No</x:v>
      </x:c>
      <x:c r="AG70" t="str">
        <x:v>Not eligible for strict continuous 24-h opioid meta-analysis</x:v>
      </x:c>
      <x:c r="AH70" t="str">
        <x:v>Yes</x:v>
      </x:c>
      <x:c r="AI70" t="str">
        <x:v>Directly reported total cannot be assigned to a fixed 24-h window</x:v>
      </x:c>
      <x:c r="AJ70" t="str">
        <x:v>Exact 24-h endpoint absent</x:v>
      </x:c>
      <x:c r="AK70" t="str">
        <x:v>https://drive.google.com/file/d/17faY_h0rMJTuhjPOC5PL_S59jYmHDPee/view?usp=drivesdk</x:v>
      </x:c>
      <x:c r="AL70" t="str">
        <x:v>MISSING / TIME WINDOW UNRESOLVED</x:v>
      </x:c>
    </x:row>
    <x:row r="71">
      <x:c r="A71" t="str">
        <x:v>Wu 2022</x:v>
      </x:c>
      <x:c r="B71" t="str">
        <x:v>WU22_PTEAS_vs_CTRL_PAINPOD1</x:v>
      </x:c>
      <x:c r="C71" t="str">
        <x:v>Perioperative pTEAS</x:v>
      </x:c>
      <x:c r="D71" t="str">
        <x:v>No-current control</x:v>
      </x:c>
      <x:c r="E71" t="str">
        <x:v>Pain</x:v>
      </x:c>
      <x:c r="F71" t="str">
        <x:v>VAS pain intensity</x:v>
      </x:c>
      <x:c r="G71" t="str">
        <x:v>POD1</x:v>
      </x:c>
      <x:c r="H71" t="str">
        <x:v>Mean/SD</x:v>
      </x:c>
      <x:c r="I71" t="n">
        <x:v>45</x:v>
      </x:c>
      <x:c r="J71" t="n">
        <x:v>45</x:v>
      </x:c>
      <x:c r="K71" t="n">
        <x:v>44</x:v>
      </x:c>
      <x:c r="L71" t="n">
        <x:v>40</x:v>
      </x:c>
      <x:c r="M71" t="n">
        <x:v>1.77</x:v>
      </x:c>
      <x:c r="N71" t="n">
        <x:v>0.91</x:v>
      </x:c>
      <x:c r="O71"/>
      <x:c r="P71"/>
      <x:c r="Q71"/>
      <x:c r="R71"/>
      <x:c r="S71" t="n">
        <x:v>2.25</x:v>
      </x:c>
      <x:c r="T71" t="n">
        <x:v>0.71</x:v>
      </x:c>
      <x:c r="U71"/>
      <x:c r="V71"/>
      <x:c r="W71"/>
      <x:c r="X71"/>
      <x:c r="Y71" t="str">
        <x:v>VAS 0-10</x:v>
      </x:c>
      <x:c r="Z71" t="str">
        <x:v>0.009</x:v>
      </x:c>
      <x:c r="AA71" t="str">
        <x:v>Yes</x:v>
      </x:c>
      <x:c r="AB71" t="str">
        <x:v>No</x:v>
      </x:c>
      <x:c r="AC71" t="str">
        <x:f>IF(H71="Mean/SD","MD",IF(H71="Events/total","RR",""))</x:f>
        <x:v>MD</x:v>
      </x:c>
      <x:c r="AD71" t="n">
        <x:f>IF(H71="Mean/SD",M71-S71,IF(H71="Events/total",IFERROR((R71/K71)/(X71/L71),""),""))</x:f>
        <x:v>-0.48</x:v>
      </x:c>
      <x:c r="AE71" t="str">
        <x:v>No</x:v>
      </x:c>
      <x:c r="AF71" t="str">
        <x:v>No</x:v>
      </x:c>
      <x:c r="AG71" t="str">
        <x:v>Eligible for POD1 pain analysis</x:v>
      </x:c>
      <x:c r="AH71" t="str">
        <x:v>No</x:v>
      </x:c>
      <x:c r="AI71" t="str">
        <x:v>Asymmetric post-randomization exclusions: 1/45 pTEAS vs 5/45 control; participant sensory blinding not convincing</x:v>
      </x:c>
      <x:c r="AJ71" t="str">
        <x:v>Table 3 / POD1 pain</x:v>
      </x:c>
      <x:c r="AK71" t="str">
        <x:v>https://drive.google.com/file/d/1XR_8qmeHR7ulwV7NaaI0CeYbpwKdc_ym/view?usp=drivesdk</x:v>
      </x:c>
      <x:c r="AL71" t="str">
        <x:v>SOURCE-VERIFIED / ATTRITION QC</x:v>
      </x:c>
    </x:row>
    <x:row r="72">
      <x:c r="A72" t="str">
        <x:v>Wu 2022</x:v>
      </x:c>
      <x:c r="B72" t="str">
        <x:v>WU22_PTEAS_vs_CTRL_REMI</x:v>
      </x:c>
      <x:c r="C72" t="str">
        <x:v>Perioperative pTEAS</x:v>
      </x:c>
      <x:c r="D72" t="str">
        <x:v>No-current control</x:v>
      </x:c>
      <x:c r="E72" t="str">
        <x:v>Intraoperative opioid</x:v>
      </x:c>
      <x:c r="F72" t="str">
        <x:v>Cumulative remifentanil</x:v>
      </x:c>
      <x:c r="G72" t="str">
        <x:v>Intraoperative</x:v>
      </x:c>
      <x:c r="H72" t="str">
        <x:v>Mean/SD</x:v>
      </x:c>
      <x:c r="I72" t="n">
        <x:v>45</x:v>
      </x:c>
      <x:c r="J72" t="n">
        <x:v>45</x:v>
      </x:c>
      <x:c r="K72" t="n">
        <x:v>44</x:v>
      </x:c>
      <x:c r="L72" t="n">
        <x:v>40</x:v>
      </x:c>
      <x:c r="M72" t="n">
        <x:v>1383</x:v>
      </x:c>
      <x:c r="N72" t="n">
        <x:v>494</x:v>
      </x:c>
      <x:c r="O72"/>
      <x:c r="P72"/>
      <x:c r="Q72"/>
      <x:c r="R72"/>
      <x:c r="S72" t="n">
        <x:v>1637</x:v>
      </x:c>
      <x:c r="T72" t="n">
        <x:v>630</x:v>
      </x:c>
      <x:c r="U72"/>
      <x:c r="V72"/>
      <x:c r="W72"/>
      <x:c r="X72"/>
      <x:c r="Y72" t="str">
        <x:v>µg remifentanil</x:v>
      </x:c>
      <x:c r="Z72" t="str">
        <x:v>0.042</x:v>
      </x:c>
      <x:c r="AA72" t="str">
        <x:v>Yes</x:v>
      </x:c>
      <x:c r="AB72" t="str">
        <x:v>No</x:v>
      </x:c>
      <x:c r="AC72" t="str">
        <x:f>IF(H72="Mean/SD","MD",IF(H72="Events/total","RR",""))</x:f>
        <x:v>MD</x:v>
      </x:c>
      <x:c r="AD72" t="n">
        <x:f>IF(H72="Mean/SD",M72-S72,IF(H72="Events/total",IFERROR((R72/K72)/(X72/L72),""),""))</x:f>
        <x:v>-254</x:v>
      </x:c>
      <x:c r="AE72" t="str">
        <x:v>No</x:v>
      </x:c>
      <x:c r="AF72" t="str">
        <x:v>No</x:v>
      </x:c>
      <x:c r="AG72" t="str">
        <x:v>Eligible for intraoperative opioid-sparing analysis</x:v>
      </x:c>
      <x:c r="AH72" t="str">
        <x:v>No</x:v>
      </x:c>
      <x:c r="AI72" t="str">
        <x:v>Complete-case analysis with asymmetric attrition</x:v>
      </x:c>
      <x:c r="AJ72" t="str">
        <x:v>Table 2 / cumulative remifentanil</x:v>
      </x:c>
      <x:c r="AK72" t="str">
        <x:v>https://drive.google.com/file/d/1XR_8qmeHR7ulwV7NaaI0CeYbpwKdc_ym/view?usp=drivesdk</x:v>
      </x:c>
      <x:c r="AL72" t="str">
        <x:v>SOURCE-VERIFIED</x:v>
      </x:c>
    </x:row>
    <x:row r="73">
      <x:c r="A73" t="str">
        <x:v>Wu 2022</x:v>
      </x:c>
      <x:c r="B73" t="str">
        <x:v>WU22_PTEAS_vs_CTRL_REMIINDEX</x:v>
      </x:c>
      <x:c r="C73" t="str">
        <x:v>Perioperative pTEAS</x:v>
      </x:c>
      <x:c r="D73" t="str">
        <x:v>No-current control</x:v>
      </x:c>
      <x:c r="E73" t="str">
        <x:v>Intraoperative opioid</x:v>
      </x:c>
      <x:c r="F73" t="str">
        <x:v>Remifentanil dose index</x:v>
      </x:c>
      <x:c r="G73" t="str">
        <x:v>Intraoperative</x:v>
      </x:c>
      <x:c r="H73" t="str">
        <x:v>Mean/SD</x:v>
      </x:c>
      <x:c r="I73" t="n">
        <x:v>45</x:v>
      </x:c>
      <x:c r="J73" t="n">
        <x:v>45</x:v>
      </x:c>
      <x:c r="K73" t="n">
        <x:v>44</x:v>
      </x:c>
      <x:c r="L73" t="n">
        <x:v>40</x:v>
      </x:c>
      <x:c r="M73" t="n">
        <x:v>0.084</x:v>
      </x:c>
      <x:c r="N73" t="n">
        <x:v>0.018</x:v>
      </x:c>
      <x:c r="O73"/>
      <x:c r="P73"/>
      <x:c r="Q73"/>
      <x:c r="R73"/>
      <x:c r="S73" t="n">
        <x:v>0.114</x:v>
      </x:c>
      <x:c r="T73" t="n">
        <x:v>0.09</x:v>
      </x:c>
      <x:c r="U73"/>
      <x:c r="V73"/>
      <x:c r="W73"/>
      <x:c r="X73"/>
      <x:c r="Y73" t="str">
        <x:v>µg/min/kg</x:v>
      </x:c>
      <x:c r="Z73" t="str">
        <x:v>0.045</x:v>
      </x:c>
      <x:c r="AA73" t="str">
        <x:v>Yes</x:v>
      </x:c>
      <x:c r="AB73" t="str">
        <x:v>No</x:v>
      </x:c>
      <x:c r="AC73" t="str">
        <x:f>IF(H73="Mean/SD","MD",IF(H73="Events/total","RR",""))</x:f>
        <x:v>MD</x:v>
      </x:c>
      <x:c r="AD73" t="n">
        <x:f>IF(H73="Mean/SD",M73-S73,IF(H73="Events/total",IFERROR((R73/K73)/(X73/L73),""),""))</x:f>
        <x:v>-0.03</x:v>
      </x:c>
      <x:c r="AE73" t="str">
        <x:v>No</x:v>
      </x:c>
      <x:c r="AF73" t="str">
        <x:v>No</x:v>
      </x:c>
      <x:c r="AG73" t="str">
        <x:v>Eligible for intraoperative dose-index analysis</x:v>
      </x:c>
      <x:c r="AH73" t="str">
        <x:v>No</x:v>
      </x:c>
      <x:c r="AI73" t="str">
        <x:v>Preserve source units as reported</x:v>
      </x:c>
      <x:c r="AJ73" t="str">
        <x:v>Table 2 / remifentanil index</x:v>
      </x:c>
      <x:c r="AK73" t="str">
        <x:v>https://drive.google.com/file/d/1XR_8qmeHR7ulwV7NaaI0CeYbpwKdc_ym/view?usp=drivesdk</x:v>
      </x:c>
      <x:c r="AL73" t="str">
        <x:v>SOURCE-VERIFIED</x:v>
      </x:c>
    </x:row>
    <x:row r="74">
      <x:c r="A74" t="str">
        <x:v>Wu 2022</x:v>
      </x:c>
      <x:c r="B74" t="str">
        <x:v>WU22_PTEAS_vs_CTRL_OPIOID24</x:v>
      </x:c>
      <x:c r="C74" t="str">
        <x:v>Perioperative pTEAS</x:v>
      </x:c>
      <x:c r="D74" t="str">
        <x:v>No-current control</x:v>
      </x:c>
      <x:c r="E74" t="str">
        <x:v>Opioid consumption</x:v>
      </x:c>
      <x:c r="F74" t="str">
        <x:v>Exact cumulative postoperative opioid consumption</x:v>
      </x:c>
      <x:c r="G74" t="str">
        <x:v>0-24 h</x:v>
      </x:c>
      <x:c r="H74" t="str">
        <x:v>Not reported</x:v>
      </x:c>
      <x:c r="I74" t="n">
        <x:v>45</x:v>
      </x:c>
      <x:c r="J74" t="n">
        <x:v>45</x:v>
      </x:c>
      <x:c r="K74" t="n">
        <x:v>44</x:v>
      </x:c>
      <x:c r="L74" t="n">
        <x:v>40</x:v>
      </x:c>
      <x:c r="M74"/>
      <x:c r="N74"/>
      <x:c r="O74"/>
      <x:c r="P74"/>
      <x:c r="Q74"/>
      <x:c r="R74"/>
      <x:c r="S74"/>
      <x:c r="T74"/>
      <x:c r="U74"/>
      <x:c r="V74"/>
      <x:c r="W74"/>
      <x:c r="X74"/>
      <x:c r="Y74" t="str">
        <x:v>mg/µg</x:v>
      </x:c>
      <x:c r="Z74" t="str"/>
      <x:c r="AA74" t="str">
        <x:v>No</x:v>
      </x:c>
      <x:c r="AB74" t="str">
        <x:v>No</x:v>
      </x:c>
      <x:c r="AC74" t="str">
        <x:f>IF(H74="Mean/SD","MD",IF(H74="Events/total","RR",""))</x:f>
      </x:c>
      <x:c r="AD74" t="str">
        <x:f>IF(H74="Mean/SD",M74-S74,IF(H74="Events/total",IFERROR((R74/K74)/(X74/L74),""),""))</x:f>
      </x:c>
      <x:c r="AE74" t="str">
        <x:v>No</x:v>
      </x:c>
      <x:c r="AF74" t="str">
        <x:v>No</x:v>
      </x:c>
      <x:c r="AG74" t="str">
        <x:v>Not eligible for continuous 24-h postoperative opioid meta-analysis</x:v>
      </x:c>
      <x:c r="AH74" t="str">
        <x:v>No</x:v>
      </x:c>
      <x:c r="AI74" t="str">
        <x:v>Standard end-of-surgery tramadol/fentanyl are reported, but no randomized group-specific 0-24-h opioid total is provided</x:v>
      </x:c>
      <x:c r="AJ74" t="str">
        <x:v>Postoperative analgesia section</x:v>
      </x:c>
      <x:c r="AK74" t="str">
        <x:v>https://drive.google.com/file/d/1XR_8qmeHR7ulwV7NaaI0CeYbpwKdc_ym/view?usp=drivesdk</x:v>
      </x:c>
      <x:c r="AL74" t="str">
        <x:v>MISSING / NOT REPORTED</x:v>
      </x:c>
    </x:row>
    <x:row r="75">
      <x:c r="A75" t="str">
        <x:v>Wu 2025</x:v>
      </x:c>
      <x:c r="B75" t="str">
        <x:v>WU25_TEAS_vs_SHAM_VAS24</x:v>
      </x:c>
      <x:c r="C75" t="str">
        <x:v>PACU TEAS</x:v>
      </x:c>
      <x:c r="D75" t="str">
        <x:v>Sham/no current</x:v>
      </x:c>
      <x:c r="E75" t="str">
        <x:v>Pain</x:v>
      </x:c>
      <x:c r="F75" t="str">
        <x:v>VAS pain intensity</x:v>
      </x:c>
      <x:c r="G75" t="str">
        <x:v>24 h</x:v>
      </x:c>
      <x:c r="H75" t="str">
        <x:v>Mean/SD</x:v>
      </x:c>
      <x:c r="I75" t="n">
        <x:v>50</x:v>
      </x:c>
      <x:c r="J75" t="n">
        <x:v>50</x:v>
      </x:c>
      <x:c r="K75" t="n">
        <x:v>50</x:v>
      </x:c>
      <x:c r="L75" t="n">
        <x:v>50</x:v>
      </x:c>
      <x:c r="M75" t="n">
        <x:v>1.7</x:v>
      </x:c>
      <x:c r="N75" t="n">
        <x:v>0.9</x:v>
      </x:c>
      <x:c r="O75"/>
      <x:c r="P75"/>
      <x:c r="Q75"/>
      <x:c r="R75"/>
      <x:c r="S75" t="n">
        <x:v>4</x:v>
      </x:c>
      <x:c r="T75" t="n">
        <x:v>1.4</x:v>
      </x:c>
      <x:c r="U75"/>
      <x:c r="V75"/>
      <x:c r="W75"/>
      <x:c r="X75"/>
      <x:c r="Y75" t="str">
        <x:v>VAS 0-10</x:v>
      </x:c>
      <x:c r="Z75" t="str">
        <x:v>&lt;0.001</x:v>
      </x:c>
      <x:c r="AA75" t="str">
        <x:v>Yes</x:v>
      </x:c>
      <x:c r="AB75" t="str">
        <x:v>No</x:v>
      </x:c>
      <x:c r="AC75" t="str">
        <x:f>IF(H75="Mean/SD","MD",IF(H75="Events/total","RR",""))</x:f>
        <x:v>MD</x:v>
      </x:c>
      <x:c r="AD75" t="n">
        <x:f>IF(H75="Mean/SD",M75-S75,IF(H75="Events/total",IFERROR((R75/K75)/(X75/L75),""),""))</x:f>
        <x:v>-2.3</x:v>
      </x:c>
      <x:c r="AE75" t="str">
        <x:v>No</x:v>
      </x:c>
      <x:c r="AF75" t="str">
        <x:v>No</x:v>
      </x:c>
      <x:c r="AG75" t="str">
        <x:v>Eligible for 24-h pain meta-analysis</x:v>
      </x:c>
      <x:c r="AH75" t="str">
        <x:v>No</x:v>
      </x:c>
      <x:c r="AI75" t="str">
        <x:v>Three patients could not be contacted at 24 h, yet all 100 were included in ITT; imputation/handling method is not explained</x:v>
      </x:c>
      <x:c r="AJ75" t="str">
        <x:v>Table 2 / primary 24-h VAS</x:v>
      </x:c>
      <x:c r="AK75" t="str">
        <x:v>https://drive.google.com/file/d/1ZV6JFjevGSPqnISdX61KPdcC_yEtq3vf/view?usp=drivesdk</x:v>
      </x:c>
      <x:c r="AL75" t="str">
        <x:v>SOURCE-VERIFIED / MISSING-DATA METHOD QC</x:v>
      </x:c>
    </x:row>
    <x:row r="76">
      <x:c r="A76" t="str">
        <x:v>Wu 2025</x:v>
      </x:c>
      <x:c r="B76" t="str">
        <x:v>WU25_TEAS_vs_SHAM_MODPAIN12</x:v>
      </x:c>
      <x:c r="C76" t="str">
        <x:v>PACU TEAS</x:v>
      </x:c>
      <x:c r="D76" t="str">
        <x:v>Sham/no current</x:v>
      </x:c>
      <x:c r="E76" t="str">
        <x:v>Pain</x:v>
      </x:c>
      <x:c r="F76" t="str">
        <x:v>Moderate-to-severe pain (VAS &gt;4)</x:v>
      </x:c>
      <x:c r="G76" t="str">
        <x:v>Within 12 h</x:v>
      </x:c>
      <x:c r="H76" t="str">
        <x:v>Events/total</x:v>
      </x:c>
      <x:c r="I76" t="n">
        <x:v>50</x:v>
      </x:c>
      <x:c r="J76" t="n">
        <x:v>50</x:v>
      </x:c>
      <x:c r="K76" t="n">
        <x:v>50</x:v>
      </x:c>
      <x:c r="L76" t="n">
        <x:v>50</x:v>
      </x:c>
      <x:c r="M76"/>
      <x:c r="N76"/>
      <x:c r="O76"/>
      <x:c r="P76"/>
      <x:c r="Q76"/>
      <x:c r="R76" t="n">
        <x:v>6</x:v>
      </x:c>
      <x:c r="S76"/>
      <x:c r="T76"/>
      <x:c r="U76"/>
      <x:c r="V76"/>
      <x:c r="W76"/>
      <x:c r="X76" t="n">
        <x:v>37</x:v>
      </x:c>
      <x:c r="Y76" t="str">
        <x:v>participants</x:v>
      </x:c>
      <x:c r="Z76" t="str">
        <x:v>&lt;0.001</x:v>
      </x:c>
      <x:c r="AA76" t="str">
        <x:v>Yes</x:v>
      </x:c>
      <x:c r="AB76" t="str">
        <x:v>No</x:v>
      </x:c>
      <x:c r="AC76" t="str">
        <x:f>IF(H76="Mean/SD","MD",IF(H76="Events/total","RR",""))</x:f>
        <x:v>RR</x:v>
      </x:c>
      <x:c r="AD76" t="n">
        <x:f>IF(H76="Mean/SD",M76-S76,IF(H76="Events/total",IFERROR((R76/K76)/(X76/L76),""),""))</x:f>
        <x:v>0.16216216216216217</x:v>
      </x:c>
      <x:c r="AE76" t="str">
        <x:v>No</x:v>
      </x:c>
      <x:c r="AF76" t="str">
        <x:v>No</x:v>
      </x:c>
      <x:c r="AG76" t="str">
        <x:v>Eligible for dichotomous early postoperative pain analysis</x:v>
      </x:c>
      <x:c r="AH76" t="str">
        <x:v>No</x:v>
      </x:c>
      <x:c r="AI76" t="str">
        <x:v>Very large subjective effect; interpret with incomplete sensory blinding</x:v>
      </x:c>
      <x:c r="AJ76" t="str">
        <x:v>Moderate-to-severe pain outcome</x:v>
      </x:c>
      <x:c r="AK76" t="str">
        <x:v>https://drive.google.com/file/d/1ZV6JFjevGSPqnISdX61KPdcC_yEtq3vf/view?usp=drivesdk</x:v>
      </x:c>
      <x:c r="AL76" t="str">
        <x:v>SOURCE-VERIFIED</x:v>
      </x:c>
    </x:row>
    <x:row r="77">
      <x:c r="A77" t="str">
        <x:v>Wu 2025</x:v>
      </x:c>
      <x:c r="B77" t="str">
        <x:v>WU25_TEAS_vs_SHAM_INTRAOPSUF</x:v>
      </x:c>
      <x:c r="C77" t="str">
        <x:v>PACU TEAS</x:v>
      </x:c>
      <x:c r="D77" t="str">
        <x:v>Sham/no current</x:v>
      </x:c>
      <x:c r="E77" t="str">
        <x:v>Intraoperative opioid</x:v>
      </x:c>
      <x:c r="F77" t="str">
        <x:v>Sufentanil consumption</x:v>
      </x:c>
      <x:c r="G77" t="str">
        <x:v>Intraoperative</x:v>
      </x:c>
      <x:c r="H77" t="str">
        <x:v>Mean/SD</x:v>
      </x:c>
      <x:c r="I77" t="n">
        <x:v>50</x:v>
      </x:c>
      <x:c r="J77" t="n">
        <x:v>50</x:v>
      </x:c>
      <x:c r="K77" t="n">
        <x:v>50</x:v>
      </x:c>
      <x:c r="L77" t="n">
        <x:v>50</x:v>
      </x:c>
      <x:c r="M77" t="n">
        <x:v>24.2</x:v>
      </x:c>
      <x:c r="N77" t="n">
        <x:v>9.5</x:v>
      </x:c>
      <x:c r="O77"/>
      <x:c r="P77"/>
      <x:c r="Q77"/>
      <x:c r="R77"/>
      <x:c r="S77" t="n">
        <x:v>24.3</x:v>
      </x:c>
      <x:c r="T77" t="n">
        <x:v>10.9</x:v>
      </x:c>
      <x:c r="U77"/>
      <x:c r="V77"/>
      <x:c r="W77"/>
      <x:c r="X77"/>
      <x:c r="Y77" t="str">
        <x:v>µg sufentanil</x:v>
      </x:c>
      <x:c r="Z77" t="str">
        <x:v>0.953</x:v>
      </x:c>
      <x:c r="AA77" t="str">
        <x:v>Yes</x:v>
      </x:c>
      <x:c r="AB77" t="str">
        <x:v>No</x:v>
      </x:c>
      <x:c r="AC77" t="str">
        <x:f>IF(H77="Mean/SD","MD",IF(H77="Events/total","RR",""))</x:f>
        <x:v>MD</x:v>
      </x:c>
      <x:c r="AD77" t="n">
        <x:f>IF(H77="Mean/SD",M77-S77,IF(H77="Events/total",IFERROR((R77/K77)/(X77/L77),""),""))</x:f>
        <x:v>-0.10000000000000142</x:v>
      </x:c>
      <x:c r="AE77" t="str">
        <x:v>No</x:v>
      </x:c>
      <x:c r="AF77" t="str">
        <x:v>No</x:v>
      </x:c>
      <x:c r="AG77" t="str">
        <x:v>Eligible for intraoperative opioid analysis</x:v>
      </x:c>
      <x:c r="AH77" t="str">
        <x:v>No</x:v>
      </x:c>
      <x:c r="AI77" t="str">
        <x:v>No intraoperative opioid-sparing effect</x:v>
      </x:c>
      <x:c r="AJ77" t="str">
        <x:v>Table 1 / sufentanil</x:v>
      </x:c>
      <x:c r="AK77" t="str">
        <x:v>https://drive.google.com/file/d/1ZV6JFjevGSPqnISdX61KPdcC_yEtq3vf/view?usp=drivesdk</x:v>
      </x:c>
      <x:c r="AL77" t="str">
        <x:v>SOURCE-VERIFIED</x:v>
      </x:c>
    </x:row>
    <x:row r="78">
      <x:c r="A78" t="str">
        <x:v>Wu 2025</x:v>
      </x:c>
      <x:c r="B78" t="str">
        <x:v>WU25_TEAS_vs_SHAM_INTRAOPREMI</x:v>
      </x:c>
      <x:c r="C78" t="str">
        <x:v>PACU TEAS</x:v>
      </x:c>
      <x:c r="D78" t="str">
        <x:v>Sham/no current</x:v>
      </x:c>
      <x:c r="E78" t="str">
        <x:v>Intraoperative opioid</x:v>
      </x:c>
      <x:c r="F78" t="str">
        <x:v>Remifentanil consumption</x:v>
      </x:c>
      <x:c r="G78" t="str">
        <x:v>Intraoperative</x:v>
      </x:c>
      <x:c r="H78" t="str">
        <x:v>Mean/SD</x:v>
      </x:c>
      <x:c r="I78" t="n">
        <x:v>50</x:v>
      </x:c>
      <x:c r="J78" t="n">
        <x:v>50</x:v>
      </x:c>
      <x:c r="K78" t="n">
        <x:v>50</x:v>
      </x:c>
      <x:c r="L78" t="n">
        <x:v>50</x:v>
      </x:c>
      <x:c r="M78" t="n">
        <x:v>489.4</x:v>
      </x:c>
      <x:c r="N78" t="n">
        <x:v>226</x:v>
      </x:c>
      <x:c r="O78"/>
      <x:c r="P78"/>
      <x:c r="Q78"/>
      <x:c r="R78"/>
      <x:c r="S78" t="n">
        <x:v>533.8</x:v>
      </x:c>
      <x:c r="T78" t="n">
        <x:v>263.6</x:v>
      </x:c>
      <x:c r="U78"/>
      <x:c r="V78"/>
      <x:c r="W78"/>
      <x:c r="X78"/>
      <x:c r="Y78" t="str">
        <x:v>µg remifentanil</x:v>
      </x:c>
      <x:c r="Z78" t="str">
        <x:v>0.368</x:v>
      </x:c>
      <x:c r="AA78" t="str">
        <x:v>Yes</x:v>
      </x:c>
      <x:c r="AB78" t="str">
        <x:v>No</x:v>
      </x:c>
      <x:c r="AC78" t="str">
        <x:f>IF(H78="Mean/SD","MD",IF(H78="Events/total","RR",""))</x:f>
        <x:v>MD</x:v>
      </x:c>
      <x:c r="AD78" t="n">
        <x:f>IF(H78="Mean/SD",M78-S78,IF(H78="Events/total",IFERROR((R78/K78)/(X78/L78),""),""))</x:f>
        <x:v>-44.39999999999998</x:v>
      </x:c>
      <x:c r="AE78" t="str">
        <x:v>No</x:v>
      </x:c>
      <x:c r="AF78" t="str">
        <x:v>No</x:v>
      </x:c>
      <x:c r="AG78" t="str">
        <x:v>Eligible for intraoperative opioid analysis</x:v>
      </x:c>
      <x:c r="AH78" t="str">
        <x:v>No</x:v>
      </x:c>
      <x:c r="AI78" t="str">
        <x:v>No significant intraoperative opioid-sparing effect</x:v>
      </x:c>
      <x:c r="AJ78" t="str">
        <x:v>Table 1 / remifentanil</x:v>
      </x:c>
      <x:c r="AK78" t="str">
        <x:v>https://drive.google.com/file/d/1ZV6JFjevGSPqnISdX61KPdcC_yEtq3vf/view?usp=drivesdk</x:v>
      </x:c>
      <x:c r="AL78" t="str">
        <x:v>SOURCE-VERIFIED</x:v>
      </x:c>
    </x:row>
    <x:row r="79">
      <x:c r="A79" t="str">
        <x:v>Wu 2025</x:v>
      </x:c>
      <x:c r="B79" t="str">
        <x:v>WU25_TEAS_vs_SHAM_OPIOID24</x:v>
      </x:c>
      <x:c r="C79" t="str">
        <x:v>PACU TEAS</x:v>
      </x:c>
      <x:c r="D79" t="str">
        <x:v>Sham/no current</x:v>
      </x:c>
      <x:c r="E79" t="str">
        <x:v>Opioid consumption</x:v>
      </x:c>
      <x:c r="F79" t="str">
        <x:v>Exact postoperative opioid/MME consumption</x:v>
      </x:c>
      <x:c r="G79" t="str">
        <x:v>0-24 h</x:v>
      </x:c>
      <x:c r="H79" t="str">
        <x:v>Not calculable</x:v>
      </x:c>
      <x:c r="I79" t="n">
        <x:v>50</x:v>
      </x:c>
      <x:c r="J79" t="n">
        <x:v>50</x:v>
      </x:c>
      <x:c r="K79" t="n">
        <x:v>50</x:v>
      </x:c>
      <x:c r="L79" t="n">
        <x:v>50</x:v>
      </x:c>
      <x:c r="M79"/>
      <x:c r="N79"/>
      <x:c r="O79"/>
      <x:c r="P79"/>
      <x:c r="Q79"/>
      <x:c r="R79"/>
      <x:c r="S79"/>
      <x:c r="T79"/>
      <x:c r="U79"/>
      <x:c r="V79"/>
      <x:c r="W79"/>
      <x:c r="X79"/>
      <x:c r="Y79" t="str">
        <x:v>MME</x:v>
      </x:c>
      <x:c r="Z79" t="str"/>
      <x:c r="AA79" t="str">
        <x:v>No</x:v>
      </x:c>
      <x:c r="AB79" t="str">
        <x:v>No</x:v>
      </x:c>
      <x:c r="AC79" t="str">
        <x:f>IF(H79="Mean/SD","MD",IF(H79="Events/total","RR",""))</x:f>
      </x:c>
      <x:c r="AD79" t="str">
        <x:f>IF(H79="Mean/SD",M79-S79,IF(H79="Events/total",IFERROR((R79/K79)/(X79/L79),""),""))</x:f>
      </x:c>
      <x:c r="AE79" t="str">
        <x:v>No</x:v>
      </x:c>
      <x:c r="AF79" t="str">
        <x:v>No</x:v>
      </x:c>
      <x:c r="AG79" t="str">
        <x:v>Not eligible for continuous 24-h opioid meta-analysis</x:v>
      </x:c>
      <x:c r="AH79" t="str">
        <x:v>No</x:v>
      </x:c>
      <x:c r="AI79" t="str">
        <x:v>Oxycodone/acetaminophen rescue strength is not reported; rescue regimen is mixed opioid/non-opioid</x:v>
      </x:c>
      <x:c r="AJ79" t="str">
        <x:v>Postoperative rescue-analgesia section</x:v>
      </x:c>
      <x:c r="AK79" t="str">
        <x:v>https://drive.google.com/file/d/1ZV6JFjevGSPqnISdX61KPdcC_yEtq3vf/view?usp=drivesdk</x:v>
      </x:c>
      <x:c r="AL79" t="str">
        <x:v>MISSING / MME NOT CALCULABLE</x:v>
      </x:c>
    </x:row>
    <x:row r="80">
      <x:c r="A80" t="str">
        <x:v>Wang 2023</x:v>
      </x:c>
      <x:c r="B80" t="str">
        <x:v>WANG23_TEAS_vs_SHAM_SLEEPD1</x:v>
      </x:c>
      <x:c r="C80" t="str">
        <x:v>Nighttime TEAS</x:v>
      </x:c>
      <x:c r="D80" t="str">
        <x:v>Sham/no current</x:v>
      </x:c>
      <x:c r="E80" t="str">
        <x:v>Sleep quality</x:v>
      </x:c>
      <x:c r="F80" t="str">
        <x:v>PSQI and AIS postoperative sleep quality</x:v>
      </x:c>
      <x:c r="G80" t="str">
        <x:v>POD1</x:v>
      </x:c>
      <x:c r="H80" t="str">
        <x:v>Graph-only continuous data</x:v>
      </x:c>
      <x:c r="I80" t="n">
        <x:v>43</x:v>
      </x:c>
      <x:c r="J80" t="n">
        <x:v>45</x:v>
      </x:c>
      <x:c r="K80" t="n">
        <x:v>40</x:v>
      </x:c>
      <x:c r="L80" t="n">
        <x:v>43</x:v>
      </x:c>
      <x:c r="M80"/>
      <x:c r="N80"/>
      <x:c r="O80"/>
      <x:c r="P80"/>
      <x:c r="Q80"/>
      <x:c r="R80"/>
      <x:c r="S80"/>
      <x:c r="T80"/>
      <x:c r="U80"/>
      <x:c r="V80"/>
      <x:c r="W80"/>
      <x:c r="X80"/>
      <x:c r="Y80" t="str">
        <x:v>PSQI/AIS points</x:v>
      </x:c>
      <x:c r="Z80" t="str">
        <x:v>&lt;0.05 between groups</x:v>
      </x:c>
      <x:c r="AA80" t="str">
        <x:v>No</x:v>
      </x:c>
      <x:c r="AB80" t="str">
        <x:v>No</x:v>
      </x:c>
      <x:c r="AC80" t="str">
        <x:f>IF(H80="Mean/SD","MD",IF(H80="Events/total","RR",""))</x:f>
      </x:c>
      <x:c r="AD80" t="str">
        <x:f>IF(H80="Mean/SD",M80-S80,IF(H80="Events/total",IFERROR((R80/K80)/(X80/L80),""),""))</x:f>
      </x:c>
      <x:c r="AE80" t="str">
        <x:v>No</x:v>
      </x:c>
      <x:c r="AF80" t="str">
        <x:v>No</x:v>
      </x:c>
      <x:c r="AG80" t="str">
        <x:v>Not ready for continuous meta-analysis without formal graph digitization or author data</x:v>
      </x:c>
      <x:c r="AH80" t="str">
        <x:v>No</x:v>
      </x:c>
      <x:c r="AI80" t="str">
        <x:v>Exact POD1 means/SDs are figure-only; do not use fabricated exact AIS/PSQI values</x:v>
      </x:c>
      <x:c r="AJ80" t="str">
        <x:v>Figure 3, p8</x:v>
      </x:c>
      <x:c r="AK80" t="str">
        <x:v>https://drive.google.com/file/d/177A4aH42GD90DhsvvtD-VOBSChBBpIWL/view?usp=drivesdk</x:v>
      </x:c>
      <x:c r="AL80" t="str">
        <x:v>FIGURE ONLY / DIGITIZATION NEEDED</x:v>
      </x:c>
    </x:row>
    <x:row r="81">
      <x:c r="A81" t="str">
        <x:v>Wang 2023</x:v>
      </x:c>
      <x:c r="B81" t="str">
        <x:v>WANG23_TEAS_vs_SHAM_RESCUEDOSE</x:v>
      </x:c>
      <x:c r="C81" t="str">
        <x:v>Nighttime TEAS</x:v>
      </x:c>
      <x:c r="D81" t="str">
        <x:v>Sham/no current</x:v>
      </x:c>
      <x:c r="E81" t="str">
        <x:v>Rescue analgesia</x:v>
      </x:c>
      <x:c r="F81" t="str">
        <x:v>Cumulative number of additional rescue-analgesia doses</x:v>
      </x:c>
      <x:c r="G81" t="str">
        <x:v>0-72 h</x:v>
      </x:c>
      <x:c r="H81" t="str">
        <x:v>Mean/SD</x:v>
      </x:c>
      <x:c r="I81" t="n">
        <x:v>43</x:v>
      </x:c>
      <x:c r="J81" t="n">
        <x:v>45</x:v>
      </x:c>
      <x:c r="K81" t="n">
        <x:v>40</x:v>
      </x:c>
      <x:c r="L81" t="n">
        <x:v>43</x:v>
      </x:c>
      <x:c r="M81" t="n">
        <x:v>0.53</x:v>
      </x:c>
      <x:c r="N81" t="n">
        <x:v>0.55</x:v>
      </x:c>
      <x:c r="O81"/>
      <x:c r="P81"/>
      <x:c r="Q81"/>
      <x:c r="R81"/>
      <x:c r="S81" t="n">
        <x:v>0.98</x:v>
      </x:c>
      <x:c r="T81" t="n">
        <x:v>0.96</x:v>
      </x:c>
      <x:c r="U81"/>
      <x:c r="V81"/>
      <x:c r="W81"/>
      <x:c r="X81"/>
      <x:c r="Y81" t="str">
        <x:v>rescue doses</x:v>
      </x:c>
      <x:c r="Z81" t="str">
        <x:v>0.011</x:v>
      </x:c>
      <x:c r="AA81" t="str">
        <x:v>Yes</x:v>
      </x:c>
      <x:c r="AB81" t="str">
        <x:v>No</x:v>
      </x:c>
      <x:c r="AC81" t="str">
        <x:f>IF(H81="Mean/SD","MD",IF(H81="Events/total","RR",""))</x:f>
        <x:v>MD</x:v>
      </x:c>
      <x:c r="AD81" t="n">
        <x:f>IF(H81="Mean/SD",M81-S81,IF(H81="Events/total",IFERROR((R81/K81)/(X81/L81),""),""))</x:f>
        <x:v>-0.44999999999999996</x:v>
      </x:c>
      <x:c r="AE81" t="str">
        <x:v>No</x:v>
      </x:c>
      <x:c r="AF81" t="str">
        <x:v>No</x:v>
      </x:c>
      <x:c r="AG81" t="str">
        <x:v>Eligible as rescue-analgesia frequency outcome only</x:v>
      </x:c>
      <x:c r="AH81" t="str">
        <x:v>No</x:v>
      </x:c>
      <x:c r="AI81" t="str">
        <x:v>Rescue drug, dose, route and opioid/non-opioid identity are not specified in the main article</x:v>
      </x:c>
      <x:c r="AJ81" t="str">
        <x:v>Table 2 / rescue analgesia</x:v>
      </x:c>
      <x:c r="AK81" t="str">
        <x:v>https://drive.google.com/file/d/177A4aH42GD90DhsvvtD-VOBSChBBpIWL/view?usp=drivesdk</x:v>
      </x:c>
      <x:c r="AL81" t="str">
        <x:v>SOURCE-VERIFIED / DRUG IDENTITY MISSING</x:v>
      </x:c>
    </x:row>
    <x:row r="82">
      <x:c r="A82" t="str">
        <x:v>Wang 2023</x:v>
      </x:c>
      <x:c r="B82" t="str">
        <x:v>WANG23_TEAS_vs_SHAM_FLATUS</x:v>
      </x:c>
      <x:c r="C82" t="str">
        <x:v>Nighttime TEAS</x:v>
      </x:c>
      <x:c r="D82" t="str">
        <x:v>Sham/no current</x:v>
      </x:c>
      <x:c r="E82" t="str">
        <x:v>GI recovery</x:v>
      </x:c>
      <x:c r="F82" t="str">
        <x:v>Time to first flatus</x:v>
      </x:c>
      <x:c r="G82" t="str">
        <x:v>Postoperative</x:v>
      </x:c>
      <x:c r="H82" t="str">
        <x:v>Mean/SD</x:v>
      </x:c>
      <x:c r="I82" t="n">
        <x:v>43</x:v>
      </x:c>
      <x:c r="J82" t="n">
        <x:v>45</x:v>
      </x:c>
      <x:c r="K82" t="n">
        <x:v>40</x:v>
      </x:c>
      <x:c r="L82" t="n">
        <x:v>43</x:v>
      </x:c>
      <x:c r="M82" t="n">
        <x:v>54.57</x:v>
      </x:c>
      <x:c r="N82" t="n">
        <x:v>16.62</x:v>
      </x:c>
      <x:c r="O82"/>
      <x:c r="P82"/>
      <x:c r="Q82"/>
      <x:c r="R82"/>
      <x:c r="S82" t="n">
        <x:v>60.7</x:v>
      </x:c>
      <x:c r="T82" t="n">
        <x:v>19.1</x:v>
      </x:c>
      <x:c r="U82"/>
      <x:c r="V82"/>
      <x:c r="W82"/>
      <x:c r="X82"/>
      <x:c r="Y82" t="str">
        <x:v>hours</x:v>
      </x:c>
      <x:c r="Z82" t="str">
        <x:v>0.124</x:v>
      </x:c>
      <x:c r="AA82" t="str">
        <x:v>Yes</x:v>
      </x:c>
      <x:c r="AB82" t="str">
        <x:v>No</x:v>
      </x:c>
      <x:c r="AC82" t="str">
        <x:f>IF(H82="Mean/SD","MD",IF(H82="Events/total","RR",""))</x:f>
        <x:v>MD</x:v>
      </x:c>
      <x:c r="AD82" t="n">
        <x:f>IF(H82="Mean/SD",M82-S82,IF(H82="Events/total",IFERROR((R82/K82)/(X82/L82),""),""))</x:f>
        <x:v>-6.130000000000003</x:v>
      </x:c>
      <x:c r="AE82" t="str">
        <x:v>No</x:v>
      </x:c>
      <x:c r="AF82" t="str">
        <x:v>No</x:v>
      </x:c>
      <x:c r="AG82" t="str">
        <x:v>Eligible for GI-recovery analysis</x:v>
      </x:c>
      <x:c r="AH82" t="str">
        <x:v>No</x:v>
      </x:c>
      <x:c r="AI82" t="str">
        <x:v>5/88 randomized participants excluded for protocol breaches; no full ITT</x:v>
      </x:c>
      <x:c r="AJ82" t="str">
        <x:v>Table 1 / postoperative first flatus</x:v>
      </x:c>
      <x:c r="AK82" t="str">
        <x:v>https://drive.google.com/file/d/177A4aH42GD90DhsvvtD-VOBSChBBpIWL/view?usp=drivesdk</x:v>
      </x:c>
      <x:c r="AL82" t="str">
        <x:v>SOURCE-VERIFIED / ATTRITION QC</x:v>
      </x:c>
    </x:row>
    <x:row r="83">
      <x:c r="A83" t="str">
        <x:v>Wang 2023</x:v>
      </x:c>
      <x:c r="B83" t="str">
        <x:v>WANG23_TEAS_vs_SHAM_PAIN24</x:v>
      </x:c>
      <x:c r="C83" t="str">
        <x:v>Nighttime TEAS</x:v>
      </x:c>
      <x:c r="D83" t="str">
        <x:v>Sham/no current</x:v>
      </x:c>
      <x:c r="E83" t="str">
        <x:v>Pain</x:v>
      </x:c>
      <x:c r="F83" t="str">
        <x:v>Activity pain VAS</x:v>
      </x:c>
      <x:c r="G83" t="str">
        <x:v>24 h</x:v>
      </x:c>
      <x:c r="H83" t="str">
        <x:v>Graph-only mean/SD</x:v>
      </x:c>
      <x:c r="I83" t="n">
        <x:v>43</x:v>
      </x:c>
      <x:c r="J83" t="n">
        <x:v>45</x:v>
      </x:c>
      <x:c r="K83" t="n">
        <x:v>40</x:v>
      </x:c>
      <x:c r="L83" t="n">
        <x:v>43</x:v>
      </x:c>
      <x:c r="M83"/>
      <x:c r="N83"/>
      <x:c r="O83"/>
      <x:c r="P83"/>
      <x:c r="Q83"/>
      <x:c r="R83"/>
      <x:c r="S83"/>
      <x:c r="T83"/>
      <x:c r="U83"/>
      <x:c r="V83"/>
      <x:c r="W83"/>
      <x:c r="X83"/>
      <x:c r="Y83" t="str">
        <x:v>VAS 0-10</x:v>
      </x:c>
      <x:c r="Z83" t="str">
        <x:v>&lt;0.05</x:v>
      </x:c>
      <x:c r="AA83" t="str">
        <x:v>No</x:v>
      </x:c>
      <x:c r="AB83" t="str">
        <x:v>No</x:v>
      </x:c>
      <x:c r="AC83" t="str">
        <x:f>IF(H83="Mean/SD","MD",IF(H83="Events/total","RR",""))</x:f>
      </x:c>
      <x:c r="AD83" t="str">
        <x:f>IF(H83="Mean/SD",M83-S83,IF(H83="Events/total",IFERROR((R83/K83)/(X83/L83),""),""))</x:f>
      </x:c>
      <x:c r="AE83" t="str">
        <x:v>No</x:v>
      </x:c>
      <x:c r="AF83" t="str">
        <x:v>No</x:v>
      </x:c>
      <x:c r="AG83" t="str">
        <x:v>Not ready for quantitative pooling without formal digitization or author data</x:v>
      </x:c>
      <x:c r="AH83" t="str">
        <x:v>No</x:v>
      </x:c>
      <x:c r="AI83" t="str">
        <x:v>Exact 24-h activity VAS values are only shown graphically; stored derivative exact values were fabricated</x:v>
      </x:c>
      <x:c r="AJ83" t="str">
        <x:v>Figure 4, p8</x:v>
      </x:c>
      <x:c r="AK83" t="str">
        <x:v>https://drive.google.com/file/d/177A4aH42GD90DhsvvtD-VOBSChBBpIWL/view?usp=drivesdk</x:v>
      </x:c>
      <x:c r="AL83" t="str">
        <x:v>FIGURE ONLY / DIGITIZATION NEEDED</x:v>
      </x:c>
    </x:row>
    <x:row r="84">
      <x:c r="A84" t="str">
        <x:v>Wang 2023</x:v>
      </x:c>
      <x:c r="B84" t="str">
        <x:v>WANG23_TEAS_vs_SHAM_OPIOID24</x:v>
      </x:c>
      <x:c r="C84" t="str">
        <x:v>Nighttime TEAS</x:v>
      </x:c>
      <x:c r="D84" t="str">
        <x:v>Sham/no current</x:v>
      </x:c>
      <x:c r="E84" t="str">
        <x:v>Opioid consumption</x:v>
      </x:c>
      <x:c r="F84" t="str">
        <x:v>Exact cumulative postoperative opioid dose</x:v>
      </x:c>
      <x:c r="G84" t="str">
        <x:v>0-24 h</x:v>
      </x:c>
      <x:c r="H84" t="str">
        <x:v>Not reported</x:v>
      </x:c>
      <x:c r="I84" t="n">
        <x:v>43</x:v>
      </x:c>
      <x:c r="J84" t="n">
        <x:v>45</x:v>
      </x:c>
      <x:c r="K84" t="n">
        <x:v>40</x:v>
      </x:c>
      <x:c r="L84" t="n">
        <x:v>43</x:v>
      </x:c>
      <x:c r="M84"/>
      <x:c r="N84"/>
      <x:c r="O84"/>
      <x:c r="P84"/>
      <x:c r="Q84"/>
      <x:c r="R84"/>
      <x:c r="S84"/>
      <x:c r="T84"/>
      <x:c r="U84"/>
      <x:c r="V84"/>
      <x:c r="W84"/>
      <x:c r="X84"/>
      <x:c r="Y84" t="str">
        <x:v>mg/µg</x:v>
      </x:c>
      <x:c r="Z84" t="str"/>
      <x:c r="AA84" t="str">
        <x:v>No</x:v>
      </x:c>
      <x:c r="AB84" t="str">
        <x:v>No</x:v>
      </x:c>
      <x:c r="AC84" t="str">
        <x:f>IF(H84="Mean/SD","MD",IF(H84="Events/total","RR",""))</x:f>
      </x:c>
      <x:c r="AD84" t="str">
        <x:f>IF(H84="Mean/SD",M84-S84,IF(H84="Events/total",IFERROR((R84/K84)/(X84/L84),""),""))</x:f>
      </x:c>
      <x:c r="AE84" t="str">
        <x:v>No</x:v>
      </x:c>
      <x:c r="AF84" t="str">
        <x:v>No</x:v>
      </x:c>
      <x:c r="AG84" t="str">
        <x:v>Not eligible for continuous 24-h opioid meta-analysis</x:v>
      </x:c>
      <x:c r="AH84" t="str">
        <x:v>No</x:v>
      </x:c>
      <x:c r="AI84" t="str">
        <x:v>Only rescue-dose counts are reported and the rescue drug is not identified</x:v>
      </x:c>
      <x:c r="AJ84" t="str">
        <x:v>Postoperative analgesia outcomes</x:v>
      </x:c>
      <x:c r="AK84" t="str">
        <x:v>https://drive.google.com/file/d/177A4aH42GD90DhsvvtD-VOBSChBBpIWL/view?usp=drivesdk</x:v>
      </x:c>
      <x:c r="AL84" t="str">
        <x:v>MISSING / DRUG IDENTITY NOT REPORTED</x:v>
      </x:c>
    </x:row>
    <x:row r="85">
      <x:c r="A85" t="str">
        <x:v>Wang 2024</x:v>
      </x:c>
      <x:c r="B85" t="str">
        <x:v>WANG24_SNVP_ODT_vs_OD_PONV6_12</x:v>
      </x:c>
      <x:c r="C85" t="str">
        <x:v>SNVP: ondansetron+dexamethasone+TEAS</x:v>
      </x:c>
      <x:c r="D85" t="str">
        <x:v>SNVP: ondansetron+dexamethasone</x:v>
      </x:c>
      <x:c r="E85" t="str">
        <x:v>PONV</x:v>
      </x:c>
      <x:c r="F85" t="str">
        <x:v>PONV incidence</x:v>
      </x:c>
      <x:c r="G85" t="str">
        <x:v>6-12 h</x:v>
      </x:c>
      <x:c r="H85" t="str">
        <x:v>Events/total</x:v>
      </x:c>
      <x:c r="I85" t="n">
        <x:v>35</x:v>
      </x:c>
      <x:c r="J85" t="n">
        <x:v>35</x:v>
      </x:c>
      <x:c r="K85" t="n">
        <x:v>33</x:v>
      </x:c>
      <x:c r="L85" t="n">
        <x:v>35</x:v>
      </x:c>
      <x:c r="M85"/>
      <x:c r="N85"/>
      <x:c r="O85"/>
      <x:c r="P85"/>
      <x:c r="Q85"/>
      <x:c r="R85" t="n">
        <x:v>7</x:v>
      </x:c>
      <x:c r="S85"/>
      <x:c r="T85"/>
      <x:c r="U85"/>
      <x:c r="V85"/>
      <x:c r="W85"/>
      <x:c r="X85" t="n">
        <x:v>16</x:v>
      </x:c>
      <x:c r="Y85" t="str">
        <x:v>participants</x:v>
      </x:c>
      <x:c r="Z85" t="str">
        <x:v>0.033</x:v>
      </x:c>
      <x:c r="AA85" t="str">
        <x:v>Yes</x:v>
      </x:c>
      <x:c r="AB85" t="str">
        <x:v>No</x:v>
      </x:c>
      <x:c r="AC85" t="str">
        <x:f>IF(H85="Mean/SD","MD",IF(H85="Events/total","RR",""))</x:f>
        <x:v>RR</x:v>
      </x:c>
      <x:c r="AD85" t="n">
        <x:f>IF(H85="Mean/SD",M85-S85,IF(H85="Events/total",IFERROR((R85/K85)/(X85/L85),""),""))</x:f>
        <x:v>0.46401515151515155</x:v>
      </x:c>
      <x:c r="AE85" t="str">
        <x:v>No</x:v>
      </x:c>
      <x:c r="AF85" t="str">
        <x:v>No</x:v>
      </x:c>
      <x:c r="AG85" t="str">
        <x:v>Eligible for stratum-specific dichotomous PONV analysis</x:v>
      </x:c>
      <x:c r="AH85" t="str">
        <x:v>No</x:v>
      </x:c>
      <x:c r="AI85" t="str">
        <x:v>Do not pool across SNVP/MNVP as if strata were randomized; 2 ODT patients excluded after randomization due postoperative fever</x:v>
      </x:c>
      <x:c r="AJ85" t="str">
        <x:v>Table 3 / SNVP randomized contrast</x:v>
      </x:c>
      <x:c r="AK85" t="str">
        <x:v>https://drive.google.com/file/d/1U8tkq6mKFO0IkA2glfgLjN4Krwku3FZn/view?usp=drivesdk</x:v>
      </x:c>
      <x:c r="AL85" t="str">
        <x:v>SOURCE-VERIFIED / STRATIFIED RCT</x:v>
      </x:c>
    </x:row>
    <x:row r="86">
      <x:c r="A86" t="str">
        <x:v>Wang 2024</x:v>
      </x:c>
      <x:c r="B86" t="str">
        <x:v>WANG24_SNVP_ODT_vs_OD_PONV12_24</x:v>
      </x:c>
      <x:c r="C86" t="str">
        <x:v>SNVP: ondansetron+dexamethasone+TEAS</x:v>
      </x:c>
      <x:c r="D86" t="str">
        <x:v>SNVP: ondansetron+dexamethasone</x:v>
      </x:c>
      <x:c r="E86" t="str">
        <x:v>PONV</x:v>
      </x:c>
      <x:c r="F86" t="str">
        <x:v>PONV incidence</x:v>
      </x:c>
      <x:c r="G86" t="str">
        <x:v>12-24 h</x:v>
      </x:c>
      <x:c r="H86" t="str">
        <x:v>Events/total</x:v>
      </x:c>
      <x:c r="I86" t="n">
        <x:v>35</x:v>
      </x:c>
      <x:c r="J86" t="n">
        <x:v>35</x:v>
      </x:c>
      <x:c r="K86" t="n">
        <x:v>33</x:v>
      </x:c>
      <x:c r="L86" t="n">
        <x:v>35</x:v>
      </x:c>
      <x:c r="M86"/>
      <x:c r="N86"/>
      <x:c r="O86"/>
      <x:c r="P86"/>
      <x:c r="Q86"/>
      <x:c r="R86" t="n">
        <x:v>2</x:v>
      </x:c>
      <x:c r="S86"/>
      <x:c r="T86"/>
      <x:c r="U86"/>
      <x:c r="V86"/>
      <x:c r="W86"/>
      <x:c r="X86" t="n">
        <x:v>11</x:v>
      </x:c>
      <x:c r="Y86" t="str">
        <x:v>participants</x:v>
      </x:c>
      <x:c r="Z86" t="str">
        <x:v>0.008</x:v>
      </x:c>
      <x:c r="AA86" t="str">
        <x:v>Yes</x:v>
      </x:c>
      <x:c r="AB86" t="str">
        <x:v>No</x:v>
      </x:c>
      <x:c r="AC86" t="str">
        <x:f>IF(H86="Mean/SD","MD",IF(H86="Events/total","RR",""))</x:f>
        <x:v>RR</x:v>
      </x:c>
      <x:c r="AD86" t="n">
        <x:f>IF(H86="Mean/SD",M86-S86,IF(H86="Events/total",IFERROR((R86/K86)/(X86/L86),""),""))</x:f>
        <x:v>0.1928374655647383</x:v>
      </x:c>
      <x:c r="AE86" t="str">
        <x:v>No</x:v>
      </x:c>
      <x:c r="AF86" t="str">
        <x:v>No</x:v>
      </x:c>
      <x:c r="AG86" t="str">
        <x:v>Eligible for stratum-specific dichotomous PONV analysis</x:v>
      </x:c>
      <x:c r="AH86" t="str">
        <x:v>No</x:v>
      </x:c>
      <x:c r="AI86" t="str">
        <x:v>Two post-randomization ODT exclusions; marked surgical-procedure imbalance (radical mastectomy + axillary dissection 36.4% vs 71.4%)</x:v>
      </x:c>
      <x:c r="AJ86" t="str">
        <x:v>Table 3 / SNVP randomized contrast</x:v>
      </x:c>
      <x:c r="AK86" t="str">
        <x:v>https://drive.google.com/file/d/1U8tkq6mKFO0IkA2glfgLjN4Krwku3FZn/view?usp=drivesdk</x:v>
      </x:c>
      <x:c r="AL86" t="str">
        <x:v>SOURCE-VERIFIED / STRATIFIED RCT / ATTRITION QC</x:v>
      </x:c>
    </x:row>
    <x:row r="87">
      <x:c r="A87" t="str">
        <x:v>Wang 2024</x:v>
      </x:c>
      <x:c r="B87" t="str">
        <x:v>WANG24_SNVP_ODT_vs_OD_TOTALPONV</x:v>
      </x:c>
      <x:c r="C87" t="str">
        <x:v>SNVP: ondansetron+dexamethasone+TEAS</x:v>
      </x:c>
      <x:c r="D87" t="str">
        <x:v>SNVP: ondansetron+dexamethasone</x:v>
      </x:c>
      <x:c r="E87" t="str">
        <x:v>PONV</x:v>
      </x:c>
      <x:c r="F87" t="str">
        <x:v>Any PONV over reported follow-up</x:v>
      </x:c>
      <x:c r="G87" t="str">
        <x:v>0-36 h</x:v>
      </x:c>
      <x:c r="H87" t="str">
        <x:v>Events/total</x:v>
      </x:c>
      <x:c r="I87" t="n">
        <x:v>35</x:v>
      </x:c>
      <x:c r="J87" t="n">
        <x:v>35</x:v>
      </x:c>
      <x:c r="K87" t="n">
        <x:v>33</x:v>
      </x:c>
      <x:c r="L87" t="n">
        <x:v>35</x:v>
      </x:c>
      <x:c r="M87"/>
      <x:c r="N87"/>
      <x:c r="O87"/>
      <x:c r="P87"/>
      <x:c r="Q87"/>
      <x:c r="R87" t="n">
        <x:v>14</x:v>
      </x:c>
      <x:c r="S87"/>
      <x:c r="T87"/>
      <x:c r="U87"/>
      <x:c r="V87"/>
      <x:c r="W87"/>
      <x:c r="X87" t="n">
        <x:v>20</x:v>
      </x:c>
      <x:c r="Y87" t="str">
        <x:v>participants</x:v>
      </x:c>
      <x:c r="Z87" t="str">
        <x:v>0.225</x:v>
      </x:c>
      <x:c r="AA87" t="str">
        <x:v>Yes</x:v>
      </x:c>
      <x:c r="AB87" t="str">
        <x:v>No</x:v>
      </x:c>
      <x:c r="AC87" t="str">
        <x:f>IF(H87="Mean/SD","MD",IF(H87="Events/total","RR",""))</x:f>
        <x:v>RR</x:v>
      </x:c>
      <x:c r="AD87" t="n">
        <x:f>IF(H87="Mean/SD",M87-S87,IF(H87="Events/total",IFERROR((R87/K87)/(X87/L87),""),""))</x:f>
        <x:v>0.7424242424242424</x:v>
      </x:c>
      <x:c r="AE87" t="str">
        <x:v>No</x:v>
      </x:c>
      <x:c r="AF87" t="str">
        <x:v>No</x:v>
      </x:c>
      <x:c r="AG87" t="str">
        <x:v>Eligible for stratum-specific total-PONV analysis</x:v>
      </x:c>
      <x:c r="AH87" t="str">
        <x:v>No</x:v>
      </x:c>
      <x:c r="AI87" t="str">
        <x:v>No significant overall treatment effect despite time-specific benefits</x:v>
      </x:c>
      <x:c r="AJ87" t="str">
        <x:v>Table 3 / total PONV</x:v>
      </x:c>
      <x:c r="AK87" t="str">
        <x:v>https://drive.google.com/file/d/1U8tkq6mKFO0IkA2glfgLjN4Krwku3FZn/view?usp=drivesdk</x:v>
      </x:c>
      <x:c r="AL87" t="str">
        <x:v>SOURCE-VERIFIED / STRATIFIED RCT</x:v>
      </x:c>
    </x:row>
    <x:row r="88">
      <x:c r="A88" t="str">
        <x:v>Wang 2024</x:v>
      </x:c>
      <x:c r="B88" t="str">
        <x:v>WANG24_MNVP_ODT_vs_OD_PONV0_2</x:v>
      </x:c>
      <x:c r="C88" t="str">
        <x:v>MNVP: ondansetron+dexamethasone+TEAS</x:v>
      </x:c>
      <x:c r="D88" t="str">
        <x:v>MNVP: ondansetron+dexamethasone</x:v>
      </x:c>
      <x:c r="E88" t="str">
        <x:v>PONV</x:v>
      </x:c>
      <x:c r="F88" t="str">
        <x:v>PONV incidence</x:v>
      </x:c>
      <x:c r="G88" t="str">
        <x:v>0-2 h</x:v>
      </x:c>
      <x:c r="H88" t="str">
        <x:v>Events/total</x:v>
      </x:c>
      <x:c r="I88" t="n">
        <x:v>35</x:v>
      </x:c>
      <x:c r="J88" t="n">
        <x:v>35</x:v>
      </x:c>
      <x:c r="K88" t="n">
        <x:v>35</x:v>
      </x:c>
      <x:c r="L88" t="n">
        <x:v>35</x:v>
      </x:c>
      <x:c r="M88"/>
      <x:c r="N88"/>
      <x:c r="O88"/>
      <x:c r="P88"/>
      <x:c r="Q88"/>
      <x:c r="R88" t="n">
        <x:v>2</x:v>
      </x:c>
      <x:c r="S88"/>
      <x:c r="T88"/>
      <x:c r="U88"/>
      <x:c r="V88"/>
      <x:c r="W88"/>
      <x:c r="X88" t="n">
        <x:v>9</x:v>
      </x:c>
      <x:c r="Y88" t="str">
        <x:v>participants</x:v>
      </x:c>
      <x:c r="Z88" t="str">
        <x:v>0.022</x:v>
      </x:c>
      <x:c r="AA88" t="str">
        <x:v>Yes</x:v>
      </x:c>
      <x:c r="AB88" t="str">
        <x:v>No</x:v>
      </x:c>
      <x:c r="AC88" t="str">
        <x:f>IF(H88="Mean/SD","MD",IF(H88="Events/total","RR",""))</x:f>
        <x:v>RR</x:v>
      </x:c>
      <x:c r="AD88" t="n">
        <x:f>IF(H88="Mean/SD",M88-S88,IF(H88="Events/total",IFERROR((R88/K88)/(X88/L88),""),""))</x:f>
        <x:v>0.22222222222222224</x:v>
      </x:c>
      <x:c r="AE88" t="str">
        <x:v>No</x:v>
      </x:c>
      <x:c r="AF88" t="str">
        <x:v>No</x:v>
      </x:c>
      <x:c r="AG88" t="str">
        <x:v>Eligible for stratum-specific dichotomous PONV analysis</x:v>
      </x:c>
      <x:c r="AH88" t="str">
        <x:v>No</x:v>
      </x:c>
      <x:c r="AI88" t="str">
        <x:v>Keep separate from SNVP; MNVP-ODT had more segmental mastectomy + axillary dissection (20.0% vs 2.9%)</x:v>
      </x:c>
      <x:c r="AJ88" t="str">
        <x:v>Table 3 / MNVP randomized contrast</x:v>
      </x:c>
      <x:c r="AK88" t="str">
        <x:v>https://drive.google.com/file/d/1U8tkq6mKFO0IkA2glfgLjN4Krwku3FZn/view?usp=drivesdk</x:v>
      </x:c>
      <x:c r="AL88" t="str">
        <x:v>SOURCE-VERIFIED / STRATIFIED RCT</x:v>
      </x:c>
    </x:row>
    <x:row r="89">
      <x:c r="A89" t="str">
        <x:v>Wang 2024</x:v>
      </x:c>
      <x:c r="B89" t="str">
        <x:v>WANG24_MNVP_ODT_vs_OD_PONV2_6</x:v>
      </x:c>
      <x:c r="C89" t="str">
        <x:v>MNVP: ondansetron+dexamethasone+TEAS</x:v>
      </x:c>
      <x:c r="D89" t="str">
        <x:v>MNVP: ondansetron+dexamethasone</x:v>
      </x:c>
      <x:c r="E89" t="str">
        <x:v>PONV</x:v>
      </x:c>
      <x:c r="F89" t="str">
        <x:v>PONV incidence</x:v>
      </x:c>
      <x:c r="G89" t="str">
        <x:v>2-6 h</x:v>
      </x:c>
      <x:c r="H89" t="str">
        <x:v>Events/total</x:v>
      </x:c>
      <x:c r="I89" t="n">
        <x:v>35</x:v>
      </x:c>
      <x:c r="J89" t="n">
        <x:v>35</x:v>
      </x:c>
      <x:c r="K89" t="n">
        <x:v>35</x:v>
      </x:c>
      <x:c r="L89" t="n">
        <x:v>35</x:v>
      </x:c>
      <x:c r="M89"/>
      <x:c r="N89"/>
      <x:c r="O89"/>
      <x:c r="P89"/>
      <x:c r="Q89"/>
      <x:c r="R89" t="n">
        <x:v>2</x:v>
      </x:c>
      <x:c r="S89"/>
      <x:c r="T89"/>
      <x:c r="U89"/>
      <x:c r="V89"/>
      <x:c r="W89"/>
      <x:c r="X89" t="n">
        <x:v>8</x:v>
      </x:c>
      <x:c r="Y89" t="str">
        <x:v>participants</x:v>
      </x:c>
      <x:c r="Z89" t="str">
        <x:v>0.040</x:v>
      </x:c>
      <x:c r="AA89" t="str">
        <x:v>Yes</x:v>
      </x:c>
      <x:c r="AB89" t="str">
        <x:v>No</x:v>
      </x:c>
      <x:c r="AC89" t="str">
        <x:f>IF(H89="Mean/SD","MD",IF(H89="Events/total","RR",""))</x:f>
        <x:v>RR</x:v>
      </x:c>
      <x:c r="AD89" t="n">
        <x:f>IF(H89="Mean/SD",M89-S89,IF(H89="Events/total",IFERROR((R89/K89)/(X89/L89),""),""))</x:f>
        <x:v>0.25</x:v>
      </x:c>
      <x:c r="AE89" t="str">
        <x:v>No</x:v>
      </x:c>
      <x:c r="AF89" t="str">
        <x:v>No</x:v>
      </x:c>
      <x:c r="AG89" t="str">
        <x:v>Eligible for stratum-specific dichotomous PONV analysis</x:v>
      </x:c>
      <x:c r="AH89" t="str">
        <x:v>No</x:v>
      </x:c>
      <x:c r="AI89" t="str">
        <x:v>Keep separate from SNVP risk stratum</x:v>
      </x:c>
      <x:c r="AJ89" t="str">
        <x:v>Table 3 / MNVP randomized contrast</x:v>
      </x:c>
      <x:c r="AK89" t="str">
        <x:v>https://drive.google.com/file/d/1U8tkq6mKFO0IkA2glfgLjN4Krwku3FZn/view?usp=drivesdk</x:v>
      </x:c>
      <x:c r="AL89" t="str">
        <x:v>SOURCE-VERIFIED / STRATIFIED RCT</x:v>
      </x:c>
    </x:row>
    <x:row r="90">
      <x:c r="A90" t="str">
        <x:v>Wang 2024</x:v>
      </x:c>
      <x:c r="B90" t="str">
        <x:v>WANG24_MNVP_ODT_vs_OD_TOTALPONV</x:v>
      </x:c>
      <x:c r="C90" t="str">
        <x:v>MNVP: ondansetron+dexamethasone+TEAS</x:v>
      </x:c>
      <x:c r="D90" t="str">
        <x:v>MNVP: ondansetron+dexamethasone</x:v>
      </x:c>
      <x:c r="E90" t="str">
        <x:v>PONV</x:v>
      </x:c>
      <x:c r="F90" t="str">
        <x:v>Any PONV over reported follow-up</x:v>
      </x:c>
      <x:c r="G90" t="str">
        <x:v>0-36 h</x:v>
      </x:c>
      <x:c r="H90" t="str">
        <x:v>Events/total</x:v>
      </x:c>
      <x:c r="I90" t="n">
        <x:v>35</x:v>
      </x:c>
      <x:c r="J90" t="n">
        <x:v>35</x:v>
      </x:c>
      <x:c r="K90" t="n">
        <x:v>35</x:v>
      </x:c>
      <x:c r="L90" t="n">
        <x:v>35</x:v>
      </x:c>
      <x:c r="M90"/>
      <x:c r="N90"/>
      <x:c r="O90"/>
      <x:c r="P90"/>
      <x:c r="Q90"/>
      <x:c r="R90" t="n">
        <x:v>5</x:v>
      </x:c>
      <x:c r="S90"/>
      <x:c r="T90"/>
      <x:c r="U90"/>
      <x:c r="V90"/>
      <x:c r="W90"/>
      <x:c r="X90" t="n">
        <x:v>10</x:v>
      </x:c>
      <x:c r="Y90" t="str">
        <x:v>participants</x:v>
      </x:c>
      <x:c r="Z90" t="str">
        <x:v>0.145</x:v>
      </x:c>
      <x:c r="AA90" t="str">
        <x:v>Yes</x:v>
      </x:c>
      <x:c r="AB90" t="str">
        <x:v>No</x:v>
      </x:c>
      <x:c r="AC90" t="str">
        <x:f>IF(H90="Mean/SD","MD",IF(H90="Events/total","RR",""))</x:f>
        <x:v>RR</x:v>
      </x:c>
      <x:c r="AD90" t="n">
        <x:f>IF(H90="Mean/SD",M90-S90,IF(H90="Events/total",IFERROR((R90/K90)/(X90/L90),""),""))</x:f>
        <x:v>0.5</x:v>
      </x:c>
      <x:c r="AE90" t="str">
        <x:v>No</x:v>
      </x:c>
      <x:c r="AF90" t="str">
        <x:v>No</x:v>
      </x:c>
      <x:c r="AG90" t="str">
        <x:v>Eligible for stratum-specific total-PONV analysis</x:v>
      </x:c>
      <x:c r="AH90" t="str">
        <x:v>No</x:v>
      </x:c>
      <x:c r="AI90" t="str">
        <x:v>No significant overall treatment effect despite early time-specific benefit</x:v>
      </x:c>
      <x:c r="AJ90" t="str">
        <x:v>Table 3 / total PONV</x:v>
      </x:c>
      <x:c r="AK90" t="str">
        <x:v>https://drive.google.com/file/d/1U8tkq6mKFO0IkA2glfgLjN4Krwku3FZn/view?usp=drivesdk</x:v>
      </x:c>
      <x:c r="AL90" t="str">
        <x:v>SOURCE-VERIFIED / STRATIFIED RCT</x:v>
      </x:c>
    </x:row>
    <x:row r="91">
      <x:c r="A91" t="str">
        <x:v>Wang 2024</x:v>
      </x:c>
      <x:c r="B91" t="str">
        <x:v>WANG24_SNVP_ODT_vs_OD_INTRAOPSUF</x:v>
      </x:c>
      <x:c r="C91" t="str">
        <x:v>SNVP: ondansetron+dexamethasone+TEAS</x:v>
      </x:c>
      <x:c r="D91" t="str">
        <x:v>SNVP: ondansetron+dexamethasone</x:v>
      </x:c>
      <x:c r="E91" t="str">
        <x:v>Intraoperative opioid</x:v>
      </x:c>
      <x:c r="F91" t="str">
        <x:v>Total sufentanil</x:v>
      </x:c>
      <x:c r="G91" t="str">
        <x:v>Intraoperative</x:v>
      </x:c>
      <x:c r="H91" t="str">
        <x:v>Mean/SD</x:v>
      </x:c>
      <x:c r="I91" t="n">
        <x:v>35</x:v>
      </x:c>
      <x:c r="J91" t="n">
        <x:v>35</x:v>
      </x:c>
      <x:c r="K91" t="n">
        <x:v>33</x:v>
      </x:c>
      <x:c r="L91" t="n">
        <x:v>35</x:v>
      </x:c>
      <x:c r="M91" t="n">
        <x:v>21.2</x:v>
      </x:c>
      <x:c r="N91" t="n">
        <x:v>3.1</x:v>
      </x:c>
      <x:c r="O91"/>
      <x:c r="P91"/>
      <x:c r="Q91"/>
      <x:c r="R91"/>
      <x:c r="S91" t="n">
        <x:v>21.9</x:v>
      </x:c>
      <x:c r="T91" t="n">
        <x:v>3.2</x:v>
      </x:c>
      <x:c r="U91"/>
      <x:c r="V91"/>
      <x:c r="W91"/>
      <x:c r="X91"/>
      <x:c r="Y91" t="str">
        <x:v>µg sufentanil</x:v>
      </x:c>
      <x:c r="Z91" t="str">
        <x:v>0.402</x:v>
      </x:c>
      <x:c r="AA91" t="str">
        <x:v>Yes</x:v>
      </x:c>
      <x:c r="AB91" t="str">
        <x:v>No</x:v>
      </x:c>
      <x:c r="AC91" t="str">
        <x:f>IF(H91="Mean/SD","MD",IF(H91="Events/total","RR",""))</x:f>
        <x:v>MD</x:v>
      </x:c>
      <x:c r="AD91" t="n">
        <x:f>IF(H91="Mean/SD",M91-S91,IF(H91="Events/total",IFERROR((R91/K91)/(X91/L91),""),""))</x:f>
        <x:v>-0.6999999999999993</x:v>
      </x:c>
      <x:c r="AE91" t="str">
        <x:v>No</x:v>
      </x:c>
      <x:c r="AF91" t="str">
        <x:v>No</x:v>
      </x:c>
      <x:c r="AG91" t="str">
        <x:v>Eligible for intraoperative opioid analysis</x:v>
      </x:c>
      <x:c r="AH91" t="str">
        <x:v>No</x:v>
      </x:c>
      <x:c r="AI91" t="str">
        <x:v>No intraoperative opioid-sparing effect</x:v>
      </x:c>
      <x:c r="AJ91" t="str">
        <x:v>Table 1 / SNVP sufentanil</x:v>
      </x:c>
      <x:c r="AK91" t="str">
        <x:v>https://drive.google.com/file/d/1U8tkq6mKFO0IkA2glfgLjN4Krwku3FZn/view?usp=drivesdk</x:v>
      </x:c>
      <x:c r="AL91" t="str">
        <x:v>SOURCE-VERIFIED</x:v>
      </x:c>
    </x:row>
    <x:row r="92">
      <x:c r="A92" t="str">
        <x:v>Wang 2024</x:v>
      </x:c>
      <x:c r="B92" t="str">
        <x:v>WANG24_MNVP_ODT_vs_OD_INTRAOPSUF</x:v>
      </x:c>
      <x:c r="C92" t="str">
        <x:v>MNVP: ondansetron+dexamethasone+TEAS</x:v>
      </x:c>
      <x:c r="D92" t="str">
        <x:v>MNVP: ondansetron+dexamethasone</x:v>
      </x:c>
      <x:c r="E92" t="str">
        <x:v>Intraoperative opioid</x:v>
      </x:c>
      <x:c r="F92" t="str">
        <x:v>Total sufentanil</x:v>
      </x:c>
      <x:c r="G92" t="str">
        <x:v>Intraoperative</x:v>
      </x:c>
      <x:c r="H92" t="str">
        <x:v>Mean/SD</x:v>
      </x:c>
      <x:c r="I92" t="n">
        <x:v>35</x:v>
      </x:c>
      <x:c r="J92" t="n">
        <x:v>35</x:v>
      </x:c>
      <x:c r="K92" t="n">
        <x:v>35</x:v>
      </x:c>
      <x:c r="L92" t="n">
        <x:v>35</x:v>
      </x:c>
      <x:c r="M92" t="n">
        <x:v>21</x:v>
      </x:c>
      <x:c r="N92" t="n">
        <x:v>3.4</x:v>
      </x:c>
      <x:c r="O92"/>
      <x:c r="P92"/>
      <x:c r="Q92"/>
      <x:c r="R92"/>
      <x:c r="S92" t="n">
        <x:v>20.9</x:v>
      </x:c>
      <x:c r="T92" t="n">
        <x:v>3.1</x:v>
      </x:c>
      <x:c r="U92"/>
      <x:c r="V92"/>
      <x:c r="W92"/>
      <x:c r="X92"/>
      <x:c r="Y92" t="str">
        <x:v>µg sufentanil</x:v>
      </x:c>
      <x:c r="Z92" t="str">
        <x:v>0.854</x:v>
      </x:c>
      <x:c r="AA92" t="str">
        <x:v>Yes</x:v>
      </x:c>
      <x:c r="AB92" t="str">
        <x:v>No</x:v>
      </x:c>
      <x:c r="AC92" t="str">
        <x:f>IF(H92="Mean/SD","MD",IF(H92="Events/total","RR",""))</x:f>
        <x:v>MD</x:v>
      </x:c>
      <x:c r="AD92" t="n">
        <x:f>IF(H92="Mean/SD",M92-S92,IF(H92="Events/total",IFERROR((R92/K92)/(X92/L92),""),""))</x:f>
        <x:v>0.10000000000000142</x:v>
      </x:c>
      <x:c r="AE92" t="str">
        <x:v>No</x:v>
      </x:c>
      <x:c r="AF92" t="str">
        <x:v>No</x:v>
      </x:c>
      <x:c r="AG92" t="str">
        <x:v>Eligible for intraoperative opioid analysis</x:v>
      </x:c>
      <x:c r="AH92" t="str">
        <x:v>No</x:v>
      </x:c>
      <x:c r="AI92" t="str">
        <x:v>No intraoperative opioid-sparing effect</x:v>
      </x:c>
      <x:c r="AJ92" t="str">
        <x:v>Table 1 / MNVP sufentanil</x:v>
      </x:c>
      <x:c r="AK92" t="str">
        <x:v>https://drive.google.com/file/d/1U8tkq6mKFO0IkA2glfgLjN4Krwku3FZn/view?usp=drivesdk</x:v>
      </x:c>
      <x:c r="AL92" t="str">
        <x:v>SOURCE-VERIFIED</x:v>
      </x:c>
    </x:row>
    <x:row r="93">
      <x:c r="A93" t="str">
        <x:v>Wang 2024</x:v>
      </x:c>
      <x:c r="B93" t="str">
        <x:v>WANG24_POSTOP_OPIOID24</x:v>
      </x:c>
      <x:c r="C93" t="str">
        <x:v>TEAS within risk strata</x:v>
      </x:c>
      <x:c r="D93" t="str">
        <x:v>OD within risk strata</x:v>
      </x:c>
      <x:c r="E93" t="str">
        <x:v>Opioid consumption</x:v>
      </x:c>
      <x:c r="F93" t="str">
        <x:v>Postoperative opioid consumption</x:v>
      </x:c>
      <x:c r="G93" t="str">
        <x:v>0-24 h</x:v>
      </x:c>
      <x:c r="H93" t="str">
        <x:v>Not reported</x:v>
      </x:c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 t="str">
        <x:v>mg/µg</x:v>
      </x:c>
      <x:c r="Z93" t="str"/>
      <x:c r="AA93" t="str">
        <x:v>No</x:v>
      </x:c>
      <x:c r="AB93" t="str">
        <x:v>No</x:v>
      </x:c>
      <x:c r="AC93" t="str">
        <x:f>IF(H93="Mean/SD","MD",IF(H93="Events/total","RR",""))</x:f>
      </x:c>
      <x:c r="AD93" t="str">
        <x:f>IF(H93="Mean/SD",M93-S93,IF(H93="Events/total",IFERROR((R93/K93)/(X93/L93),""),""))</x:f>
      </x:c>
      <x:c r="AE93" t="str">
        <x:v>No</x:v>
      </x:c>
      <x:c r="AF93" t="str">
        <x:v>No</x:v>
      </x:c>
      <x:c r="AG93" t="str">
        <x:v>Not eligible for postoperative 24-h opioid meta-analysis</x:v>
      </x:c>
      <x:c r="AH93" t="str">
        <x:v>No</x:v>
      </x:c>
      <x:c r="AI93" t="str">
        <x:v>Postoperative rescue analgesia was non-opioid flurbiprofen; no postoperative opioid-consumption endpoint</x:v>
      </x:c>
      <x:c r="AJ93" t="str">
        <x:v>Postoperative analgesia section</x:v>
      </x:c>
      <x:c r="AK93" t="str">
        <x:v>https://drive.google.com/file/d/1U8tkq6mKFO0IkA2glfgLjN4Krwku3FZn/view?usp=drivesdk</x:v>
      </x:c>
      <x:c r="AL93" t="str">
        <x:v>NOT REPORTED / NO POSTOP OPIOID ENDPOINT</x:v>
      </x:c>
    </x:row>
    <x:row r="94">
      <x:c r="A94" t="str">
        <x:v>Tu 2024</x:v>
      </x:c>
      <x:c r="B94" t="str">
        <x:v>TU24_TEAS_vs_SHAM_VOMIT2_6</x:v>
      </x:c>
      <x:c r="C94" t="str">
        <x:v>Postoperative TEAS</x:v>
      </x:c>
      <x:c r="D94" t="str">
        <x:v>Sham/no current</x:v>
      </x:c>
      <x:c r="E94" t="str">
        <x:v>PONV</x:v>
      </x:c>
      <x:c r="F94" t="str">
        <x:v>Vomiting incidence</x:v>
      </x:c>
      <x:c r="G94" t="str">
        <x:v>2-6 h</x:v>
      </x:c>
      <x:c r="H94" t="str">
        <x:v>Events/total</x:v>
      </x:c>
      <x:c r="I94" t="n">
        <x:v>60</x:v>
      </x:c>
      <x:c r="J94" t="n">
        <x:v>60</x:v>
      </x:c>
      <x:c r="K94" t="n">
        <x:v>57</x:v>
      </x:c>
      <x:c r="L94" t="n">
        <x:v>58</x:v>
      </x:c>
      <x:c r="M94"/>
      <x:c r="N94"/>
      <x:c r="O94"/>
      <x:c r="P94"/>
      <x:c r="Q94"/>
      <x:c r="R94" t="n">
        <x:v>8</x:v>
      </x:c>
      <x:c r="S94"/>
      <x:c r="T94"/>
      <x:c r="U94"/>
      <x:c r="V94"/>
      <x:c r="W94"/>
      <x:c r="X94" t="n">
        <x:v>17</x:v>
      </x:c>
      <x:c r="Y94" t="str">
        <x:v>participants</x:v>
      </x:c>
      <x:c r="Z94" t="str">
        <x:v>0.047</x:v>
      </x:c>
      <x:c r="AA94" t="str">
        <x:v>Yes</x:v>
      </x:c>
      <x:c r="AB94" t="str">
        <x:v>No</x:v>
      </x:c>
      <x:c r="AC94" t="str">
        <x:f>IF(H94="Mean/SD","MD",IF(H94="Events/total","RR",""))</x:f>
        <x:v>RR</x:v>
      </x:c>
      <x:c r="AD94" t="n">
        <x:f>IF(H94="Mean/SD",M94-S94,IF(H94="Events/total",IFERROR((R94/K94)/(X94/L94),""),""))</x:f>
        <x:v>0.478844169246646</x:v>
      </x:c>
      <x:c r="AE94" t="str">
        <x:v>No</x:v>
      </x:c>
      <x:c r="AF94" t="str">
        <x:v>No</x:v>
      </x:c>
      <x:c r="AG94" t="str">
        <x:v>Eligible for dichotomous vomiting analysis</x:v>
      </x:c>
      <x:c r="AH94" t="str">
        <x:v>No</x:v>
      </x:c>
      <x:c r="AI94" t="str">
        <x:v>Five post-randomization exclusions include one sham participant excluded specifically for vomiting caused by intracranial hypertension</x:v>
      </x:c>
      <x:c r="AJ94" t="str">
        <x:v>Table 3 / vomiting 2-6 h</x:v>
      </x:c>
      <x:c r="AK94" t="str">
        <x:v>https://drive.google.com/file/d/1xQ9SbXVZblphUrb0-T9xpnAXk-_z5nBX/view?usp=drivesdk</x:v>
      </x:c>
      <x:c r="AL94" t="str">
        <x:v>SOURCE-VERIFIED / MISSINGNESS QC</x:v>
      </x:c>
    </x:row>
    <x:row r="95">
      <x:c r="A95" t="str">
        <x:v>Tu 2024</x:v>
      </x:c>
      <x:c r="B95" t="str">
        <x:v>TU24_TEAS_vs_SHAM_VOMIT6_24</x:v>
      </x:c>
      <x:c r="C95" t="str">
        <x:v>Postoperative TEAS</x:v>
      </x:c>
      <x:c r="D95" t="str">
        <x:v>Sham/no current</x:v>
      </x:c>
      <x:c r="E95" t="str">
        <x:v>PONV</x:v>
      </x:c>
      <x:c r="F95" t="str">
        <x:v>Vomiting incidence</x:v>
      </x:c>
      <x:c r="G95" t="str">
        <x:v>6-24 h</x:v>
      </x:c>
      <x:c r="H95" t="str">
        <x:v>Events/total</x:v>
      </x:c>
      <x:c r="I95" t="n">
        <x:v>60</x:v>
      </x:c>
      <x:c r="J95" t="n">
        <x:v>60</x:v>
      </x:c>
      <x:c r="K95" t="n">
        <x:v>57</x:v>
      </x:c>
      <x:c r="L95" t="n">
        <x:v>58</x:v>
      </x:c>
      <x:c r="M95"/>
      <x:c r="N95"/>
      <x:c r="O95"/>
      <x:c r="P95"/>
      <x:c r="Q95"/>
      <x:c r="R95" t="n">
        <x:v>11</x:v>
      </x:c>
      <x:c r="S95"/>
      <x:c r="T95"/>
      <x:c r="U95"/>
      <x:c r="V95"/>
      <x:c r="W95"/>
      <x:c r="X95" t="n">
        <x:v>15</x:v>
      </x:c>
      <x:c r="Y95" t="str">
        <x:v>participants</x:v>
      </x:c>
      <x:c r="Z95" t="str">
        <x:v>0.405</x:v>
      </x:c>
      <x:c r="AA95" t="str">
        <x:v>Yes</x:v>
      </x:c>
      <x:c r="AB95" t="str">
        <x:v>No</x:v>
      </x:c>
      <x:c r="AC95" t="str">
        <x:f>IF(H95="Mean/SD","MD",IF(H95="Events/total","RR",""))</x:f>
        <x:v>RR</x:v>
      </x:c>
      <x:c r="AD95" t="n">
        <x:f>IF(H95="Mean/SD",M95-S95,IF(H95="Events/total",IFERROR((R95/K95)/(X95/L95),""),""))</x:f>
        <x:v>0.7461988304093566</x:v>
      </x:c>
      <x:c r="AE95" t="str">
        <x:v>No</x:v>
      </x:c>
      <x:c r="AF95" t="str">
        <x:v>No</x:v>
      </x:c>
      <x:c r="AG95" t="str">
        <x:v>Eligible for dichotomous vomiting analysis</x:v>
      </x:c>
      <x:c r="AH95" t="str">
        <x:v>No</x:v>
      </x:c>
      <x:c r="AI95" t="str">
        <x:v>Same post-randomization exclusion concern</x:v>
      </x:c>
      <x:c r="AJ95" t="str">
        <x:v>Table 3 / vomiting 6-24 h</x:v>
      </x:c>
      <x:c r="AK95" t="str">
        <x:v>https://drive.google.com/file/d/1xQ9SbXVZblphUrb0-T9xpnAXk-_z5nBX/view?usp=drivesdk</x:v>
      </x:c>
      <x:c r="AL95" t="str">
        <x:v>SOURCE-VERIFIED / MISSINGNESS QC</x:v>
      </x:c>
    </x:row>
    <x:row r="96">
      <x:c r="A96" t="str">
        <x:v>Tu 2024</x:v>
      </x:c>
      <x:c r="B96" t="str">
        <x:v>TU24_TEAS_vs_SHAM_PAIN6_24</x:v>
      </x:c>
      <x:c r="C96" t="str">
        <x:v>Postoperative TEAS</x:v>
      </x:c>
      <x:c r="D96" t="str">
        <x:v>Sham/no current</x:v>
      </x:c>
      <x:c r="E96" t="str">
        <x:v>Pain</x:v>
      </x:c>
      <x:c r="F96" t="str">
        <x:v>VAS pain intensity</x:v>
      </x:c>
      <x:c r="G96" t="str">
        <x:v>6-24 h</x:v>
      </x:c>
      <x:c r="H96" t="str">
        <x:v>Median/IQR</x:v>
      </x:c>
      <x:c r="I96" t="n">
        <x:v>60</x:v>
      </x:c>
      <x:c r="J96" t="n">
        <x:v>60</x:v>
      </x:c>
      <x:c r="K96" t="n">
        <x:v>57</x:v>
      </x:c>
      <x:c r="L96" t="n">
        <x:v>58</x:v>
      </x:c>
      <x:c r="M96"/>
      <x:c r="N96"/>
      <x:c r="O96" t="n">
        <x:v>2</x:v>
      </x:c>
      <x:c r="P96" t="n">
        <x:v>0.5</x:v>
      </x:c>
      <x:c r="Q96" t="n">
        <x:v>3</x:v>
      </x:c>
      <x:c r="R96"/>
      <x:c r="S96"/>
      <x:c r="T96"/>
      <x:c r="U96" t="n">
        <x:v>4</x:v>
      </x:c>
      <x:c r="V96" t="n">
        <x:v>3</x:v>
      </x:c>
      <x:c r="W96" t="n">
        <x:v>4</x:v>
      </x:c>
      <x:c r="X96"/>
      <x:c r="Y96" t="str">
        <x:v>VAS 0-10</x:v>
      </x:c>
      <x:c r="Z96" t="str">
        <x:v>0.001</x:v>
      </x:c>
      <x:c r="AA96" t="str">
        <x:v>Yes</x:v>
      </x:c>
      <x:c r="AB96" t="str">
        <x:v>No</x:v>
      </x:c>
      <x:c r="AC96" t="str">
        <x:f>IF(H96="Mean/SD","MD",IF(H96="Events/total","RR",""))</x:f>
      </x:c>
      <x:c r="AD96" t="str">
        <x:f>IF(H96="Mean/SD",M96-S96,IF(H96="Events/total",IFERROR((R96/K96)/(X96/L96),""),""))</x:f>
      </x:c>
      <x:c r="AE96" t="str">
        <x:v>No</x:v>
      </x:c>
      <x:c r="AF96" t="str">
        <x:v>No</x:v>
      </x:c>
      <x:c r="AG96" t="str">
        <x:v>Eligible for pain analysis using median/IQR methods</x:v>
      </x:c>
      <x:c r="AH96" t="str">
        <x:v>No</x:v>
      </x:c>
      <x:c r="AI96" t="str">
        <x:v>Subjective outcome; sensory difference between active de qi and no-current sham may affect participant masking</x:v>
      </x:c>
      <x:c r="AJ96" t="str">
        <x:v>Pain outcome 6-24 h</x:v>
      </x:c>
      <x:c r="AK96" t="str">
        <x:v>https://drive.google.com/file/d/1xQ9SbXVZblphUrb0-T9xpnAXk-_z5nBX/view?usp=drivesdk</x:v>
      </x:c>
      <x:c r="AL96" t="str">
        <x:v>SOURCE-VERIFIED / SUBJECTIVE OUTCOME QC</x:v>
      </x:c>
    </x:row>
    <x:row r="97">
      <x:c r="A97" t="str">
        <x:v>Tu 2024</x:v>
      </x:c>
      <x:c r="B97" t="str">
        <x:v>TU24_TEAS_vs_SHAM_TRAMADOL</x:v>
      </x:c>
      <x:c r="C97" t="str">
        <x:v>Postoperative TEAS</x:v>
      </x:c>
      <x:c r="D97" t="str">
        <x:v>Sham/no current</x:v>
      </x:c>
      <x:c r="E97" t="str">
        <x:v>Rescue opioid use</x:v>
      </x:c>
      <x:c r="F97" t="str">
        <x:v>Any rescue tramadol use</x:v>
      </x:c>
      <x:c r="G97" t="str">
        <x:v>Within 24 h</x:v>
      </x:c>
      <x:c r="H97" t="str">
        <x:v>Events/total</x:v>
      </x:c>
      <x:c r="I97" t="n">
        <x:v>60</x:v>
      </x:c>
      <x:c r="J97" t="n">
        <x:v>60</x:v>
      </x:c>
      <x:c r="K97" t="n">
        <x:v>57</x:v>
      </x:c>
      <x:c r="L97" t="n">
        <x:v>58</x:v>
      </x:c>
      <x:c r="M97"/>
      <x:c r="N97"/>
      <x:c r="O97"/>
      <x:c r="P97"/>
      <x:c r="Q97"/>
      <x:c r="R97" t="n">
        <x:v>3</x:v>
      </x:c>
      <x:c r="S97"/>
      <x:c r="T97"/>
      <x:c r="U97"/>
      <x:c r="V97"/>
      <x:c r="W97"/>
      <x:c r="X97" t="n">
        <x:v>6</x:v>
      </x:c>
      <x:c r="Y97" t="str">
        <x:v>participants</x:v>
      </x:c>
      <x:c r="Z97" t="str">
        <x:v>0.315</x:v>
      </x:c>
      <x:c r="AA97" t="str">
        <x:v>Yes</x:v>
      </x:c>
      <x:c r="AB97" t="str">
        <x:v>No</x:v>
      </x:c>
      <x:c r="AC97" t="str">
        <x:f>IF(H97="Mean/SD","MD",IF(H97="Events/total","RR",""))</x:f>
        <x:v>RR</x:v>
      </x:c>
      <x:c r="AD97" t="n">
        <x:f>IF(H97="Mean/SD",M97-S97,IF(H97="Events/total",IFERROR((R97/K97)/(X97/L97),""),""))</x:f>
        <x:v>0.5087719298245614</x:v>
      </x:c>
      <x:c r="AE97" t="str">
        <x:v>No</x:v>
      </x:c>
      <x:c r="AF97" t="str">
        <x:v>No</x:v>
      </x:c>
      <x:c r="AG97" t="str">
        <x:v>Eligible only for binary rescue-opioid-use analysis</x:v>
      </x:c>
      <x:c r="AH97" t="str">
        <x:v>No</x:v>
      </x:c>
      <x:c r="AI97" t="str">
        <x:v>Tramadol was 10 mg IM for VAS &gt;6; number of doses/cumulative tramadol per patient is not reported</x:v>
      </x:c>
      <x:c r="AJ97" t="str">
        <x:v>Rescue analgesia outcome</x:v>
      </x:c>
      <x:c r="AK97" t="str">
        <x:v>https://drive.google.com/file/d/1xQ9SbXVZblphUrb0-T9xpnAXk-_z5nBX/view?usp=drivesdk</x:v>
      </x:c>
      <x:c r="AL97" t="str">
        <x:v>SOURCE-VERIFIED / DOSE MISSING</x:v>
      </x:c>
    </x:row>
    <x:row r="98">
      <x:c r="A98" t="str">
        <x:v>Tu 2024</x:v>
      </x:c>
      <x:c r="B98" t="str">
        <x:v>TU24_TEAS_vs_SHAM_OPIOID24</x:v>
      </x:c>
      <x:c r="C98" t="str">
        <x:v>Postoperative TEAS</x:v>
      </x:c>
      <x:c r="D98" t="str">
        <x:v>Sham/no current</x:v>
      </x:c>
      <x:c r="E98" t="str">
        <x:v>Opioid consumption</x:v>
      </x:c>
      <x:c r="F98" t="str">
        <x:v>Cumulative rescue tramadol consumption</x:v>
      </x:c>
      <x:c r="G98" t="str">
        <x:v>0-24 h</x:v>
      </x:c>
      <x:c r="H98" t="str">
        <x:v>Not reported</x:v>
      </x:c>
      <x:c r="I98" t="n">
        <x:v>60</x:v>
      </x:c>
      <x:c r="J98" t="n">
        <x:v>60</x:v>
      </x:c>
      <x:c r="K98" t="n">
        <x:v>57</x:v>
      </x:c>
      <x:c r="L98" t="n">
        <x:v>58</x:v>
      </x:c>
      <x:c r="M98"/>
      <x:c r="N98"/>
      <x:c r="O98"/>
      <x:c r="P98"/>
      <x:c r="Q98"/>
      <x:c r="R98"/>
      <x:c r="S98"/>
      <x:c r="T98"/>
      <x:c r="U98"/>
      <x:c r="V98"/>
      <x:c r="W98"/>
      <x:c r="X98"/>
      <x:c r="Y98" t="str">
        <x:v>mg tramadol</x:v>
      </x:c>
      <x:c r="Z98" t="str"/>
      <x:c r="AA98" t="str">
        <x:v>No</x:v>
      </x:c>
      <x:c r="AB98" t="str">
        <x:v>No</x:v>
      </x:c>
      <x:c r="AC98" t="str">
        <x:f>IF(H98="Mean/SD","MD",IF(H98="Events/total","RR",""))</x:f>
      </x:c>
      <x:c r="AD98" t="str">
        <x:f>IF(H98="Mean/SD",M98-S98,IF(H98="Events/total",IFERROR((R98/K98)/(X98/L98),""),""))</x:f>
      </x:c>
      <x:c r="AE98" t="str">
        <x:v>No</x:v>
      </x:c>
      <x:c r="AF98" t="str">
        <x:v>No</x:v>
      </x:c>
      <x:c r="AG98" t="str">
        <x:v>Not eligible for continuous 24-h opioid meta-analysis</x:v>
      </x:c>
      <x:c r="AH98" t="str">
        <x:v>No</x:v>
      </x:c>
      <x:c r="AI98" t="str">
        <x:v>Only number of patients receiving rescue tramadol is reported; cumulative dose is unavailable</x:v>
      </x:c>
      <x:c r="AJ98" t="str">
        <x:v>Rescue analgesia section</x:v>
      </x:c>
      <x:c r="AK98" t="str">
        <x:v>https://drive.google.com/file/d/1xQ9SbXVZblphUrb0-T9xpnAXk-_z5nBX/view?usp=drivesdk</x:v>
      </x:c>
      <x:c r="AL98" t="str">
        <x:v>MISSING / CUMULATIVE DOSE NOT REPORTED</x:v>
      </x:c>
    </x:row>
    <x:row r="99">
      <x:c r="A99" t="str">
        <x:v>Sun 2017</x:v>
      </x:c>
      <x:c r="B99" t="str">
        <x:v>SUN17_TSS_vs_SSS_ACTIVITY24</x:v>
      </x:c>
      <x:c r="C99" t="str">
        <x:v>Preoperative true TEAS only</x:v>
      </x:c>
      <x:c r="D99" t="str">
        <x:v>All-period sham TEAS (SSS)</x:v>
      </x:c>
      <x:c r="E99" t="str">
        <x:v>Pain</x:v>
      </x:c>
      <x:c r="F99" t="str">
        <x:v>Activity-evoked VAS</x:v>
      </x:c>
      <x:c r="G99" t="str">
        <x:v>24 h</x:v>
      </x:c>
      <x:c r="H99" t="str">
        <x:v>Median/IQR</x:v>
      </x:c>
      <x:c r="I99" t="n">
        <x:v>95</x:v>
      </x:c>
      <x:c r="J99" t="n">
        <x:v>95</x:v>
      </x:c>
      <x:c r="K99" t="n">
        <x:v>91</x:v>
      </x:c>
      <x:c r="L99" t="n">
        <x:v>90</x:v>
      </x:c>
      <x:c r="M99"/>
      <x:c r="N99"/>
      <x:c r="O99" t="n">
        <x:v>4</x:v>
      </x:c>
      <x:c r="P99" t="n">
        <x:v>4</x:v>
      </x:c>
      <x:c r="Q99" t="n">
        <x:v>5</x:v>
      </x:c>
      <x:c r="R99"/>
      <x:c r="S99"/>
      <x:c r="T99"/>
      <x:c r="U99" t="n">
        <x:v>4</x:v>
      </x:c>
      <x:c r="V99" t="n">
        <x:v>3.8</x:v>
      </x:c>
      <x:c r="W99" t="n">
        <x:v>5</x:v>
      </x:c>
      <x:c r="X99"/>
      <x:c r="Y99" t="str">
        <x:v>VAS 0-10</x:v>
      </x:c>
      <x:c r="Z99" t="str">
        <x:v>&lt;0.001 reported comparisons</x:v>
      </x:c>
      <x:c r="AA99" t="str">
        <x:v>Yes</x:v>
      </x:c>
      <x:c r="AB99" t="str">
        <x:v>No</x:v>
      </x:c>
      <x:c r="AC99" t="str">
        <x:f>IF(H99="Mean/SD","MD",IF(H99="Events/total","RR",""))</x:f>
      </x:c>
      <x:c r="AD99" t="str">
        <x:f>IF(H99="Mean/SD",M99-S99,IF(H99="Events/total",IFERROR((R99/K99)/(X99/L99),""),""))</x:f>
      </x:c>
      <x:c r="AE99" t="str">
        <x:v>No</x:v>
      </x:c>
      <x:c r="AF99" t="str">
        <x:v>No</x:v>
      </x:c>
      <x:c r="AG99" t="str">
        <x:v>Eligible for 24-h movement-pain analysis with multi-arm/shared-control adjustment</x:v>
      </x:c>
      <x:c r="AH99" t="str">
        <x:v>Yes</x:v>
      </x:c>
      <x:c r="AI99" t="str">
        <x:v>Four-arm timing trial; sham received 5 min perceptible low-current stimulation, not electrically inert</x:v>
      </x:c>
      <x:c r="AJ99" t="str">
        <x:v>Primary activity-pain outcome, 24 h</x:v>
      </x:c>
      <x:c r="AK99" t="str">
        <x:v>https://drive.google.com/file/d/1lELlw0IpkhqoB8OuintAI22fxKfNEcEd/view?usp=drivesdk</x:v>
      </x:c>
      <x:c r="AL99" t="str">
        <x:v>SOURCE-VERIFIED</x:v>
      </x:c>
    </x:row>
    <x:row r="100">
      <x:c r="A100" t="str">
        <x:v>Sun 2017</x:v>
      </x:c>
      <x:c r="B100" t="str">
        <x:v>SUN17_TTS_vs_SSS_ACTIVITY24</x:v>
      </x:c>
      <x:c r="C100" t="str">
        <x:v>Preoperative + intraoperative true TEAS</x:v>
      </x:c>
      <x:c r="D100" t="str">
        <x:v>All-period sham TEAS (SSS)</x:v>
      </x:c>
      <x:c r="E100" t="str">
        <x:v>Pain</x:v>
      </x:c>
      <x:c r="F100" t="str">
        <x:v>Activity-evoked VAS</x:v>
      </x:c>
      <x:c r="G100" t="str">
        <x:v>24 h</x:v>
      </x:c>
      <x:c r="H100" t="str">
        <x:v>Median/IQR</x:v>
      </x:c>
      <x:c r="I100" t="n">
        <x:v>95</x:v>
      </x:c>
      <x:c r="J100" t="n">
        <x:v>95</x:v>
      </x:c>
      <x:c r="K100" t="n">
        <x:v>91</x:v>
      </x:c>
      <x:c r="L100" t="n">
        <x:v>90</x:v>
      </x:c>
      <x:c r="M100"/>
      <x:c r="N100"/>
      <x:c r="O100" t="n">
        <x:v>4</x:v>
      </x:c>
      <x:c r="P100" t="n">
        <x:v>3</x:v>
      </x:c>
      <x:c r="Q100" t="n">
        <x:v>4</x:v>
      </x:c>
      <x:c r="R100"/>
      <x:c r="S100"/>
      <x:c r="T100"/>
      <x:c r="U100" t="n">
        <x:v>4</x:v>
      </x:c>
      <x:c r="V100" t="n">
        <x:v>3.8</x:v>
      </x:c>
      <x:c r="W100" t="n">
        <x:v>5</x:v>
      </x:c>
      <x:c r="X100"/>
      <x:c r="Y100" t="str">
        <x:v>VAS 0-10</x:v>
      </x:c>
      <x:c r="Z100" t="str">
        <x:v>&lt;0.001 reported comparisons</x:v>
      </x:c>
      <x:c r="AA100" t="str">
        <x:v>Yes</x:v>
      </x:c>
      <x:c r="AB100" t="str">
        <x:v>No</x:v>
      </x:c>
      <x:c r="AC100" t="str">
        <x:f>IF(H100="Mean/SD","MD",IF(H100="Events/total","RR",""))</x:f>
      </x:c>
      <x:c r="AD100" t="str">
        <x:f>IF(H100="Mean/SD",M100-S100,IF(H100="Events/total",IFERROR((R100/K100)/(X100/L100),""),""))</x:f>
      </x:c>
      <x:c r="AE100" t="str">
        <x:v>No</x:v>
      </x:c>
      <x:c r="AF100" t="str">
        <x:v>No</x:v>
      </x:c>
      <x:c r="AG100" t="str">
        <x:v>Eligible for 24-h movement-pain analysis with multi-arm/shared-control adjustment</x:v>
      </x:c>
      <x:c r="AH100" t="str">
        <x:v>Yes</x:v>
      </x:c>
      <x:c r="AI100" t="str">
        <x:v>Four-arm timing trial; sham received 5 min perceptible low-current stimulation, not electrically inert</x:v>
      </x:c>
      <x:c r="AJ100" t="str">
        <x:v>Primary activity-pain outcome, 24 h</x:v>
      </x:c>
      <x:c r="AK100" t="str">
        <x:v>https://drive.google.com/file/d/1lELlw0IpkhqoB8OuintAI22fxKfNEcEd/view?usp=drivesdk</x:v>
      </x:c>
      <x:c r="AL100" t="str">
        <x:v>SOURCE-VERIFIED</x:v>
      </x:c>
    </x:row>
    <x:row r="101">
      <x:c r="A101" t="str">
        <x:v>Sun 2017</x:v>
      </x:c>
      <x:c r="B101" t="str">
        <x:v>SUN17_TST_vs_SSS_ACTIVITY24</x:v>
      </x:c>
      <x:c r="C101" t="str">
        <x:v>Preoperative + postoperative true TEAS</x:v>
      </x:c>
      <x:c r="D101" t="str">
        <x:v>All-period sham TEAS (SSS)</x:v>
      </x:c>
      <x:c r="E101" t="str">
        <x:v>Pain</x:v>
      </x:c>
      <x:c r="F101" t="str">
        <x:v>Activity-evoked VAS</x:v>
      </x:c>
      <x:c r="G101" t="str">
        <x:v>24 h</x:v>
      </x:c>
      <x:c r="H101" t="str">
        <x:v>Median/IQR</x:v>
      </x:c>
      <x:c r="I101" t="n">
        <x:v>95</x:v>
      </x:c>
      <x:c r="J101" t="n">
        <x:v>95</x:v>
      </x:c>
      <x:c r="K101" t="n">
        <x:v>89</x:v>
      </x:c>
      <x:c r="L101" t="n">
        <x:v>90</x:v>
      </x:c>
      <x:c r="M101"/>
      <x:c r="N101"/>
      <x:c r="O101" t="n">
        <x:v>3</x:v>
      </x:c>
      <x:c r="P101" t="n">
        <x:v>3</x:v>
      </x:c>
      <x:c r="Q101" t="n">
        <x:v>4</x:v>
      </x:c>
      <x:c r="R101"/>
      <x:c r="S101"/>
      <x:c r="T101"/>
      <x:c r="U101" t="n">
        <x:v>4</x:v>
      </x:c>
      <x:c r="V101" t="n">
        <x:v>3.8</x:v>
      </x:c>
      <x:c r="W101" t="n">
        <x:v>5</x:v>
      </x:c>
      <x:c r="X101"/>
      <x:c r="Y101" t="str">
        <x:v>VAS 0-10</x:v>
      </x:c>
      <x:c r="Z101" t="str">
        <x:v>&lt;0.001 reported comparisons</x:v>
      </x:c>
      <x:c r="AA101" t="str">
        <x:v>Yes</x:v>
      </x:c>
      <x:c r="AB101" t="str">
        <x:v>No</x:v>
      </x:c>
      <x:c r="AC101" t="str">
        <x:f>IF(H101="Mean/SD","MD",IF(H101="Events/total","RR",""))</x:f>
      </x:c>
      <x:c r="AD101" t="str">
        <x:f>IF(H101="Mean/SD",M101-S101,IF(H101="Events/total",IFERROR((R101/K101)/(X101/L101),""),""))</x:f>
      </x:c>
      <x:c r="AE101" t="str">
        <x:v>No</x:v>
      </x:c>
      <x:c r="AF101" t="str">
        <x:v>No</x:v>
      </x:c>
      <x:c r="AG101" t="str">
        <x:v>Eligible for 24-h movement-pain analysis with multi-arm/shared-control adjustment</x:v>
      </x:c>
      <x:c r="AH101" t="str">
        <x:v>Yes</x:v>
      </x:c>
      <x:c r="AI101" t="str">
        <x:v>Four-arm timing trial; sham received 5 min perceptible low-current stimulation, not electrically inert</x:v>
      </x:c>
      <x:c r="AJ101" t="str">
        <x:v>Primary activity-pain outcome, 24 h</x:v>
      </x:c>
      <x:c r="AK101" t="str">
        <x:v>https://drive.google.com/file/d/1lELlw0IpkhqoB8OuintAI22fxKfNEcEd/view?usp=drivesdk</x:v>
      </x:c>
      <x:c r="AL101" t="str">
        <x:v>SOURCE-VERIFIED</x:v>
      </x:c>
    </x:row>
    <x:row r="102">
      <x:c r="A102" t="str">
        <x:v>Sun 2017</x:v>
      </x:c>
      <x:c r="B102" t="str">
        <x:v>SUN17_TSS_vs_SSS_NSAID48</x:v>
      </x:c>
      <x:c r="C102" t="str">
        <x:v>Preoperative true TEAS only</x:v>
      </x:c>
      <x:c r="D102" t="str">
        <x:v>All-period sham TEAS (SSS)</x:v>
      </x:c>
      <x:c r="E102" t="str">
        <x:v>Rescue analgesia</x:v>
      </x:c>
      <x:c r="F102" t="str">
        <x:v>Supplemental flurbiprofen axetil requirement</x:v>
      </x:c>
      <x:c r="G102" t="str">
        <x:v>Within 48 h</x:v>
      </x:c>
      <x:c r="H102" t="str">
        <x:v>Published percentage</x:v>
      </x:c>
      <x:c r="I102" t="n">
        <x:v>95</x:v>
      </x:c>
      <x:c r="J102" t="n">
        <x:v>95</x:v>
      </x:c>
      <x:c r="K102" t="n">
        <x:v>91</x:v>
      </x:c>
      <x:c r="L102" t="n">
        <x:v>90</x:v>
      </x:c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 t="str">
        <x:v>11.0% intervention vs 23.3% SSS</x:v>
      </x:c>
      <x:c r="Z102" t="str">
        <x:v>0.020 overall; TST vs SSS significant</x:v>
      </x:c>
      <x:c r="AA102" t="str">
        <x:v>Yes</x:v>
      </x:c>
      <x:c r="AB102" t="str">
        <x:v>No</x:v>
      </x:c>
      <x:c r="AC102" t="str">
        <x:f>IF(H102="Mean/SD","MD",IF(H102="Events/total","RR",""))</x:f>
      </x:c>
      <x:c r="AD102" t="str">
        <x:f>IF(H102="Mean/SD",M102-S102,IF(H102="Events/total",IFERROR((R102/K102)/(X102/L102),""),""))</x:f>
      </x:c>
      <x:c r="AE102" t="str">
        <x:v>No</x:v>
      </x:c>
      <x:c r="AF102" t="str">
        <x:v>No</x:v>
      </x:c>
      <x:c r="AG102" t="str">
        <x:v>Eligible for 48-h non-opioid rescue-analgesia analysis; not an opioid outcome</x:v>
      </x:c>
      <x:c r="AH102" t="str">
        <x:v>Yes</x:v>
      </x:c>
      <x:c r="AI102" t="str">
        <x:v>Do not convert printed percentages to exact event counts without confirmation</x:v>
      </x:c>
      <x:c r="AJ102" t="str">
        <x:v>Table 2 / supplemental analgesic requirement</x:v>
      </x:c>
      <x:c r="AK102" t="str">
        <x:v>https://drive.google.com/file/d/1lELlw0IpkhqoB8OuintAI22fxKfNEcEd/view?usp=drivesdk</x:v>
      </x:c>
      <x:c r="AL102" t="str">
        <x:v>SOURCE-VERIFIED / PERCENTAGES ONLY</x:v>
      </x:c>
    </x:row>
    <x:row r="103">
      <x:c r="A103" t="str">
        <x:v>Sun 2017</x:v>
      </x:c>
      <x:c r="B103" t="str">
        <x:v>SUN17_TTS_vs_SSS_NSAID48</x:v>
      </x:c>
      <x:c r="C103" t="str">
        <x:v>Preoperative + intraoperative true TEAS</x:v>
      </x:c>
      <x:c r="D103" t="str">
        <x:v>All-period sham TEAS (SSS)</x:v>
      </x:c>
      <x:c r="E103" t="str">
        <x:v>Rescue analgesia</x:v>
      </x:c>
      <x:c r="F103" t="str">
        <x:v>Supplemental flurbiprofen axetil requirement</x:v>
      </x:c>
      <x:c r="G103" t="str">
        <x:v>Within 48 h</x:v>
      </x:c>
      <x:c r="H103" t="str">
        <x:v>Published percentage</x:v>
      </x:c>
      <x:c r="I103" t="n">
        <x:v>95</x:v>
      </x:c>
      <x:c r="J103" t="n">
        <x:v>95</x:v>
      </x:c>
      <x:c r="K103" t="n">
        <x:v>91</x:v>
      </x:c>
      <x:c r="L103" t="n">
        <x:v>90</x:v>
      </x:c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 t="str">
        <x:v>15.4% intervention vs 23.3% SSS</x:v>
      </x:c>
      <x:c r="Z103" t="str">
        <x:v>0.020 overall; TST vs SSS significant</x:v>
      </x:c>
      <x:c r="AA103" t="str">
        <x:v>Yes</x:v>
      </x:c>
      <x:c r="AB103" t="str">
        <x:v>No</x:v>
      </x:c>
      <x:c r="AC103" t="str">
        <x:f>IF(H103="Mean/SD","MD",IF(H103="Events/total","RR",""))</x:f>
      </x:c>
      <x:c r="AD103" t="str">
        <x:f>IF(H103="Mean/SD",M103-S103,IF(H103="Events/total",IFERROR((R103/K103)/(X103/L103),""),""))</x:f>
      </x:c>
      <x:c r="AE103" t="str">
        <x:v>No</x:v>
      </x:c>
      <x:c r="AF103" t="str">
        <x:v>No</x:v>
      </x:c>
      <x:c r="AG103" t="str">
        <x:v>Eligible for 48-h non-opioid rescue-analgesia analysis; not an opioid outcome</x:v>
      </x:c>
      <x:c r="AH103" t="str">
        <x:v>Yes</x:v>
      </x:c>
      <x:c r="AI103" t="str">
        <x:v>Do not convert printed percentages to exact event counts without confirmation</x:v>
      </x:c>
      <x:c r="AJ103" t="str">
        <x:v>Table 2 / supplemental analgesic requirement</x:v>
      </x:c>
      <x:c r="AK103" t="str">
        <x:v>https://drive.google.com/file/d/1lELlw0IpkhqoB8OuintAI22fxKfNEcEd/view?usp=drivesdk</x:v>
      </x:c>
      <x:c r="AL103" t="str">
        <x:v>SOURCE-VERIFIED / PERCENTAGES ONLY</x:v>
      </x:c>
    </x:row>
    <x:row r="104">
      <x:c r="A104" t="str">
        <x:v>Sun 2017</x:v>
      </x:c>
      <x:c r="B104" t="str">
        <x:v>SUN17_TST_vs_SSS_NSAID48</x:v>
      </x:c>
      <x:c r="C104" t="str">
        <x:v>Preoperative + postoperative true TEAS</x:v>
      </x:c>
      <x:c r="D104" t="str">
        <x:v>All-period sham TEAS (SSS)</x:v>
      </x:c>
      <x:c r="E104" t="str">
        <x:v>Rescue analgesia</x:v>
      </x:c>
      <x:c r="F104" t="str">
        <x:v>Supplemental flurbiprofen axetil requirement</x:v>
      </x:c>
      <x:c r="G104" t="str">
        <x:v>Within 48 h</x:v>
      </x:c>
      <x:c r="H104" t="str">
        <x:v>Published percentage</x:v>
      </x:c>
      <x:c r="I104" t="n">
        <x:v>95</x:v>
      </x:c>
      <x:c r="J104" t="n">
        <x:v>95</x:v>
      </x:c>
      <x:c r="K104" t="n">
        <x:v>89</x:v>
      </x:c>
      <x:c r="L104" t="n">
        <x:v>90</x:v>
      </x:c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 t="str">
        <x:v>7.9% intervention vs 23.3% SSS</x:v>
      </x:c>
      <x:c r="Z104" t="str">
        <x:v>0.020 overall; TST vs SSS significant</x:v>
      </x:c>
      <x:c r="AA104" t="str">
        <x:v>Yes</x:v>
      </x:c>
      <x:c r="AB104" t="str">
        <x:v>No</x:v>
      </x:c>
      <x:c r="AC104" t="str">
        <x:f>IF(H104="Mean/SD","MD",IF(H104="Events/total","RR",""))</x:f>
      </x:c>
      <x:c r="AD104" t="str">
        <x:f>IF(H104="Mean/SD",M104-S104,IF(H104="Events/total",IFERROR((R104/K104)/(X104/L104),""),""))</x:f>
      </x:c>
      <x:c r="AE104" t="str">
        <x:v>No</x:v>
      </x:c>
      <x:c r="AF104" t="str">
        <x:v>No</x:v>
      </x:c>
      <x:c r="AG104" t="str">
        <x:v>Eligible for 48-h non-opioid rescue-analgesia analysis; not an opioid outcome</x:v>
      </x:c>
      <x:c r="AH104" t="str">
        <x:v>Yes</x:v>
      </x:c>
      <x:c r="AI104" t="str">
        <x:v>Do not convert printed percentages to exact event counts without confirmation</x:v>
      </x:c>
      <x:c r="AJ104" t="str">
        <x:v>Table 2 / supplemental analgesic requirement</x:v>
      </x:c>
      <x:c r="AK104" t="str">
        <x:v>https://drive.google.com/file/d/1lELlw0IpkhqoB8OuintAI22fxKfNEcEd/view?usp=drivesdk</x:v>
      </x:c>
      <x:c r="AL104" t="str">
        <x:v>SOURCE-VERIFIED / PERCENTAGES ONLY</x:v>
      </x:c>
    </x:row>
    <x:row r="105">
      <x:c r="A105" t="str">
        <x:v>Sun 2017</x:v>
      </x:c>
      <x:c r="B105" t="str">
        <x:v>SUN17_INTRAOP_MORPH_EQUIV</x:v>
      </x:c>
      <x:c r="C105" t="str">
        <x:v>Pre/intraoperative TEAS timing arms</x:v>
      </x:c>
      <x:c r="D105" t="str">
        <x:v>All-period sham TEAS</x:v>
      </x:c>
      <x:c r="E105" t="str">
        <x:v>Intraoperative opioid</x:v>
      </x:c>
      <x:c r="F105" t="str">
        <x:v>Author-defined intraoperative morphine-equivalent exposure</x:v>
      </x:c>
      <x:c r="G105" t="str">
        <x:v>Intraoperative</x:v>
      </x:c>
      <x:c r="H105" t="str">
        <x:v>Study-defined converted metric</x:v>
      </x:c>
      <x:c r="I105" t="n">
        <x:v>95</x:v>
      </x:c>
      <x:c r="J105" t="n">
        <x:v>95</x:v>
      </x:c>
      <x:c r="K105" t="n">
        <x:v>91</x:v>
      </x:c>
      <x:c r="L105" t="n">
        <x:v>90</x:v>
      </x:c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 t="str">
        <x:v>mg/kg morphine-equivalent</x:v>
      </x:c>
      <x:c r="Z105" t="str">
        <x:v>0.303</x:v>
      </x:c>
      <x:c r="AA105" t="str">
        <x:v>Yes</x:v>
      </x:c>
      <x:c r="AB105" t="str">
        <x:v>Yes</x:v>
      </x:c>
      <x:c r="AC105" t="str">
        <x:f>IF(H105="Mean/SD","MD",IF(H105="Events/total","RR",""))</x:f>
      </x:c>
      <x:c r="AD105" t="str">
        <x:f>IF(H105="Mean/SD",M105-S105,IF(H105="Events/total",IFERROR((R105/K105)/(X105/L105),""),""))</x:f>
      </x:c>
      <x:c r="AE105" t="str">
        <x:v>No</x:v>
      </x:c>
      <x:c r="AF105" t="str">
        <x:v>No</x:v>
      </x:c>
      <x:c r="AG105" t="str">
        <x:v>Not directly harmonized to review MME until conversion method is adjudicated</x:v>
      </x:c>
      <x:c r="AH105" t="str">
        <x:v>Yes</x:v>
      </x:c>
      <x:c r="AI105" t="str">
        <x:v>Values ~1.5-1.6 mg/kg across all four groups; study-specific conversion of sufentanil/remifentanil</x:v>
      </x:c>
      <x:c r="AJ105" t="str">
        <x:v>Table 2 / intraoperative anesthetic consumption</x:v>
      </x:c>
      <x:c r="AK105" t="str">
        <x:v>https://drive.google.com/file/d/1lELlw0IpkhqoB8OuintAI22fxKfNEcEd/view?usp=drivesdk</x:v>
      </x:c>
      <x:c r="AL105" t="str">
        <x:v>SOURCE-VERIFIED / STUDY-DEFINED CONVERSION</x:v>
      </x:c>
    </x:row>
    <x:row r="106">
      <x:c r="A106" t="str">
        <x:v>Sun 2017</x:v>
      </x:c>
      <x:c r="B106" t="str">
        <x:v>SUN17_POSTOP_OPIOID24</x:v>
      </x:c>
      <x:c r="C106" t="str">
        <x:v>True TEAS timing arms</x:v>
      </x:c>
      <x:c r="D106" t="str">
        <x:v>All-period sham TEAS</x:v>
      </x:c>
      <x:c r="E106" t="str">
        <x:v>Opioid consumption</x:v>
      </x:c>
      <x:c r="F106" t="str">
        <x:v>Postoperative opioid consumption</x:v>
      </x:c>
      <x:c r="G106" t="str">
        <x:v>0-24 h</x:v>
      </x:c>
      <x:c r="H106" t="str">
        <x:v>Not applicable / not reported</x:v>
      </x:c>
      <x:c r="I106" t="n">
        <x:v>95</x:v>
      </x:c>
      <x:c r="J106" t="n">
        <x:v>95</x:v>
      </x:c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 t="str">
        <x:v>mg/µg</x:v>
      </x:c>
      <x:c r="Z106" t="str"/>
      <x:c r="AA106" t="str">
        <x:v>No</x:v>
      </x:c>
      <x:c r="AB106" t="str">
        <x:v>No</x:v>
      </x:c>
      <x:c r="AC106" t="str">
        <x:f>IF(H106="Mean/SD","MD",IF(H106="Events/total","RR",""))</x:f>
      </x:c>
      <x:c r="AD106" t="str">
        <x:f>IF(H106="Mean/SD",M106-S106,IF(H106="Events/total",IFERROR((R106/K106)/(X106/L106),""),""))</x:f>
      </x:c>
      <x:c r="AE106" t="str">
        <x:v>No</x:v>
      </x:c>
      <x:c r="AF106" t="str">
        <x:v>No</x:v>
      </x:c>
      <x:c r="AG106" t="str">
        <x:v>Not eligible for postoperative opioid meta-analysis</x:v>
      </x:c>
      <x:c r="AH106" t="str">
        <x:v>Yes</x:v>
      </x:c>
      <x:c r="AI106" t="str">
        <x:v>Postoperative rescue analgesia was flurbiprofen axetil (NSAID), not an opioid</x:v>
      </x:c>
      <x:c r="AJ106" t="str">
        <x:v>Postoperative analgesia protocol</x:v>
      </x:c>
      <x:c r="AK106" t="str">
        <x:v>https://drive.google.com/file/d/1lELlw0IpkhqoB8OuintAI22fxKfNEcEd/view?usp=drivesdk</x:v>
      </x:c>
      <x:c r="AL106" t="str">
        <x:v>NO POSTOPERATIVE OPIOID OUTCOME</x:v>
      </x:c>
    </x:row>
    <x:row r="107">
      <x:c r="A107" t="str">
        <x:v>Sim 2002</x:v>
      </x:c>
      <x:c r="B107" t="str">
        <x:v>SIM02_PREOP_vs_PLACEBO_MORPH24</x:v>
      </x:c>
      <x:c r="C107" t="str">
        <x:v>Preoperative EA</x:v>
      </x:c>
      <x:c r="D107" t="str">
        <x:v>Placebo EA</x:v>
      </x:c>
      <x:c r="E107" t="str">
        <x:v>Opioid consumption</x:v>
      </x:c>
      <x:c r="F107" t="str">
        <x:v>Cumulative postoperative IV PCA morphine</x:v>
      </x:c>
      <x:c r="G107" t="str">
        <x:v>0-24 h</x:v>
      </x:c>
      <x:c r="H107" t="str">
        <x:v>Mean/SD</x:v>
      </x:c>
      <x:c r="I107" t="n">
        <x:v>30</x:v>
      </x:c>
      <x:c r="J107" t="n">
        <x:v>30</x:v>
      </x:c>
      <x:c r="K107" t="n">
        <x:v>30</x:v>
      </x:c>
      <x:c r="L107" t="n">
        <x:v>30</x:v>
      </x:c>
      <x:c r="M107" t="n">
        <x:v>0.52</x:v>
      </x:c>
      <x:c r="N107" t="n">
        <x:v>0.19</x:v>
      </x:c>
      <x:c r="O107"/>
      <x:c r="P107"/>
      <x:c r="Q107"/>
      <x:c r="R107"/>
      <x:c r="S107" t="n">
        <x:v>0.68</x:v>
      </x:c>
      <x:c r="T107" t="n">
        <x:v>0.38</x:v>
      </x:c>
      <x:c r="U107"/>
      <x:c r="V107"/>
      <x:c r="W107"/>
      <x:c r="X107"/>
      <x:c r="Y107" t="str">
        <x:v>mg/kg morphine</x:v>
      </x:c>
      <x:c r="Z107" t="str">
        <x:v>NS overall 24-h cumulative comparison</x:v>
      </x:c>
      <x:c r="AA107" t="str">
        <x:v>Yes</x:v>
      </x:c>
      <x:c r="AB107" t="str">
        <x:v>No</x:v>
      </x:c>
      <x:c r="AC107" t="str">
        <x:f>IF(H107="Mean/SD","MD",IF(H107="Events/total","RR",""))</x:f>
        <x:v>MD</x:v>
      </x:c>
      <x:c r="AD107" t="n">
        <x:f>IF(H107="Mean/SD",M107-S107,IF(H107="Events/total",IFERROR((R107/K107)/(X107/L107),""),""))</x:f>
        <x:v>-0.16000000000000003</x:v>
      </x:c>
      <x:c r="AE107" t="str">
        <x:v>Yes</x:v>
      </x:c>
      <x:c r="AF107" t="str">
        <x:v>Conditional</x:v>
      </x:c>
      <x:c r="AG107" t="str">
        <x:v>Direct weight-normalized 24-h morphine endpoint; pool only if protocol permits mg/kg or a prespecified standardization method</x:v>
      </x:c>
      <x:c r="AH107" t="str">
        <x:v>Yes</x:v>
      </x:c>
      <x:c r="AI107" t="str">
        <x:v>Do not convert mg/kg to absolute mg using group mean body weight; aggregate means cannot reconstruct individual absolute dose</x:v>
      </x:c>
      <x:c r="AJ107" t="str">
        <x:v>Figure 4 / cumulative 24-h morphine</x:v>
      </x:c>
      <x:c r="AK107" t="str">
        <x:v>https://drive.google.com/file/d/1YsNHL-J3Kgfu8mCanRrNu_bHk_roj0w6/view?usp=drivesdk</x:v>
      </x:c>
      <x:c r="AL107" t="str">
        <x:v>SOURCE-VERIFIED</x:v>
      </x:c>
    </x:row>
    <x:row r="108">
      <x:c r="A108" t="str">
        <x:v>Sim 2002</x:v>
      </x:c>
      <x:c r="B108" t="str">
        <x:v>SIM02_POSTOP_vs_PLACEBO_MORPH24</x:v>
      </x:c>
      <x:c r="C108" t="str">
        <x:v>Postoperative EA</x:v>
      </x:c>
      <x:c r="D108" t="str">
        <x:v>Placebo EA</x:v>
      </x:c>
      <x:c r="E108" t="str">
        <x:v>Opioid consumption</x:v>
      </x:c>
      <x:c r="F108" t="str">
        <x:v>Cumulative postoperative IV PCA morphine</x:v>
      </x:c>
      <x:c r="G108" t="str">
        <x:v>0-24 h</x:v>
      </x:c>
      <x:c r="H108" t="str">
        <x:v>Mean/SD</x:v>
      </x:c>
      <x:c r="I108" t="n">
        <x:v>30</x:v>
      </x:c>
      <x:c r="J108" t="n">
        <x:v>30</x:v>
      </x:c>
      <x:c r="K108" t="n">
        <x:v>30</x:v>
      </x:c>
      <x:c r="L108" t="n">
        <x:v>30</x:v>
      </x:c>
      <x:c r="M108" t="n">
        <x:v>0.58</x:v>
      </x:c>
      <x:c r="N108" t="n">
        <x:v>0.27</x:v>
      </x:c>
      <x:c r="O108"/>
      <x:c r="P108"/>
      <x:c r="Q108"/>
      <x:c r="R108"/>
      <x:c r="S108" t="n">
        <x:v>0.68</x:v>
      </x:c>
      <x:c r="T108" t="n">
        <x:v>0.38</x:v>
      </x:c>
      <x:c r="U108"/>
      <x:c r="V108"/>
      <x:c r="W108"/>
      <x:c r="X108"/>
      <x:c r="Y108" t="str">
        <x:v>mg/kg morphine</x:v>
      </x:c>
      <x:c r="Z108" t="str">
        <x:v>NS overall 24-h cumulative comparison</x:v>
      </x:c>
      <x:c r="AA108" t="str">
        <x:v>Yes</x:v>
      </x:c>
      <x:c r="AB108" t="str">
        <x:v>No</x:v>
      </x:c>
      <x:c r="AC108" t="str">
        <x:f>IF(H108="Mean/SD","MD",IF(H108="Events/total","RR",""))</x:f>
        <x:v>MD</x:v>
      </x:c>
      <x:c r="AD108" t="n">
        <x:f>IF(H108="Mean/SD",M108-S108,IF(H108="Events/total",IFERROR((R108/K108)/(X108/L108),""),""))</x:f>
        <x:v>-0.10000000000000009</x:v>
      </x:c>
      <x:c r="AE108" t="str">
        <x:v>Yes</x:v>
      </x:c>
      <x:c r="AF108" t="str">
        <x:v>Conditional</x:v>
      </x:c>
      <x:c r="AG108" t="str">
        <x:v>Timing-comparator 24-h morphine endpoint</x:v>
      </x:c>
      <x:c r="AH108" t="str">
        <x:v>Yes</x:v>
      </x:c>
      <x:c r="AI108" t="str">
        <x:v>Postoperative EA is a distinct randomized timing arm and must not be merged with preoperative EA</x:v>
      </x:c>
      <x:c r="AJ108" t="str">
        <x:v>Figure 4 / cumulative 24-h morphine</x:v>
      </x:c>
      <x:c r="AK108" t="str">
        <x:v>https://drive.google.com/file/d/1YsNHL-J3Kgfu8mCanRrNu_bHk_roj0w6/view?usp=drivesdk</x:v>
      </x:c>
      <x:c r="AL108" t="str">
        <x:v>SOURCE-VERIFIED</x:v>
      </x:c>
    </x:row>
    <x:row r="109">
      <x:c r="A109" t="str">
        <x:v>Sim 2002</x:v>
      </x:c>
      <x:c r="B109" t="str">
        <x:v>SIM02_PREOP_vs_PLACEBO_MORPH6_12</x:v>
      </x:c>
      <x:c r="C109" t="str">
        <x:v>Preoperative EA</x:v>
      </x:c>
      <x:c r="D109" t="str">
        <x:v>Placebo EA</x:v>
      </x:c>
      <x:c r="E109" t="str">
        <x:v>Opioid consumption</x:v>
      </x:c>
      <x:c r="F109" t="str">
        <x:v>Postoperative IV PCA morphine</x:v>
      </x:c>
      <x:c r="G109" t="str">
        <x:v>6-12 h</x:v>
      </x:c>
      <x:c r="H109" t="str">
        <x:v>Median/IQR</x:v>
      </x:c>
      <x:c r="I109" t="n">
        <x:v>30</x:v>
      </x:c>
      <x:c r="J109" t="n">
        <x:v>30</x:v>
      </x:c>
      <x:c r="K109" t="n">
        <x:v>30</x:v>
      </x:c>
      <x:c r="L109" t="n">
        <x:v>30</x:v>
      </x:c>
      <x:c r="M109"/>
      <x:c r="N109"/>
      <x:c r="O109" t="n">
        <x:v>0.03</x:v>
      </x:c>
      <x:c r="P109"/>
      <x:c r="Q109"/>
      <x:c r="R109"/>
      <x:c r="S109"/>
      <x:c r="T109"/>
      <x:c r="U109" t="n">
        <x:v>0.1</x:v>
      </x:c>
      <x:c r="V109"/>
      <x:c r="W109"/>
      <x:c r="X109"/>
      <x:c r="Y109" t="str">
        <x:v>mg/kg morphine</x:v>
      </x:c>
      <x:c r="Z109" t="str">
        <x:v>0.015</x:v>
      </x:c>
      <x:c r="AA109" t="str">
        <x:v>Yes</x:v>
      </x:c>
      <x:c r="AB109" t="str">
        <x:v>No</x:v>
      </x:c>
      <x:c r="AC109" t="str">
        <x:f>IF(H109="Mean/SD","MD",IF(H109="Events/total","RR",""))</x:f>
      </x:c>
      <x:c r="AD109" t="str">
        <x:f>IF(H109="Mean/SD",M109-S109,IF(H109="Events/total",IFERROR((R109/K109)/(X109/L109),""),""))</x:f>
      </x:c>
      <x:c r="AE109" t="str">
        <x:v>No</x:v>
      </x:c>
      <x:c r="AF109" t="str">
        <x:v>No</x:v>
      </x:c>
      <x:c r="AG109" t="str">
        <x:v>Eligible for interval-specific opioid analysis only</x:v>
      </x:c>
      <x:c r="AH109" t="str">
        <x:v>Yes</x:v>
      </x:c>
      <x:c r="AI109" t="str">
        <x:v>Source reports median (IQR) as 0.03 (0.05) vs 0.10 (0.11); IQR is reported as a single width rather than Q1/Q3</x:v>
      </x:c>
      <x:c r="AJ109" t="str">
        <x:v>6-12-h morphine interval</x:v>
      </x:c>
      <x:c r="AK109" t="str">
        <x:v>https://drive.google.com/file/d/1YsNHL-J3Kgfu8mCanRrNu_bHk_roj0w6/view?usp=drivesdk</x:v>
      </x:c>
      <x:c r="AL109" t="str">
        <x:v>SOURCE-VERIFIED / IQR FORMAT QC</x:v>
      </x:c>
    </x:row>
    <x:row r="110">
      <x:c r="A110" t="str">
        <x:v>Sim 2002</x:v>
      </x:c>
      <x:c r="B110" t="str">
        <x:v>SIM02_PREOP_vs_PLACEBO_ALFENT</x:v>
      </x:c>
      <x:c r="C110" t="str">
        <x:v>Preoperative EA</x:v>
      </x:c>
      <x:c r="D110" t="str">
        <x:v>Placebo EA</x:v>
      </x:c>
      <x:c r="E110" t="str">
        <x:v>Intraoperative opioid</x:v>
      </x:c>
      <x:c r="F110" t="str">
        <x:v>Alfentanil requirement rate</x:v>
      </x:c>
      <x:c r="G110" t="str">
        <x:v>Intraoperative</x:v>
      </x:c>
      <x:c r="H110" t="str">
        <x:v>Mean/SD</x:v>
      </x:c>
      <x:c r="I110" t="n">
        <x:v>30</x:v>
      </x:c>
      <x:c r="J110" t="n">
        <x:v>30</x:v>
      </x:c>
      <x:c r="K110" t="n">
        <x:v>30</x:v>
      </x:c>
      <x:c r="L110" t="n">
        <x:v>30</x:v>
      </x:c>
      <x:c r="M110" t="n">
        <x:v>0.44</x:v>
      </x:c>
      <x:c r="N110" t="n">
        <x:v>0.15</x:v>
      </x:c>
      <x:c r="O110"/>
      <x:c r="P110"/>
      <x:c r="Q110"/>
      <x:c r="R110"/>
      <x:c r="S110" t="n">
        <x:v>0.51</x:v>
      </x:c>
      <x:c r="T110" t="n">
        <x:v>0.21</x:v>
      </x:c>
      <x:c r="U110"/>
      <x:c r="V110"/>
      <x:c r="W110"/>
      <x:c r="X110"/>
      <x:c r="Y110" t="str">
        <x:v>µg/kg/min</x:v>
      </x:c>
      <x:c r="Z110" t="str">
        <x:v>0.472</x:v>
      </x:c>
      <x:c r="AA110" t="str">
        <x:v>Yes</x:v>
      </x:c>
      <x:c r="AB110" t="str">
        <x:v>No</x:v>
      </x:c>
      <x:c r="AC110" t="str">
        <x:f>IF(H110="Mean/SD","MD",IF(H110="Events/total","RR",""))</x:f>
        <x:v>MD</x:v>
      </x:c>
      <x:c r="AD110" t="n">
        <x:f>IF(H110="Mean/SD",M110-S110,IF(H110="Events/total",IFERROR((R110/K110)/(X110/L110),""),""))</x:f>
        <x:v>-0.07</x:v>
      </x:c>
      <x:c r="AE110" t="str">
        <x:v>No</x:v>
      </x:c>
      <x:c r="AF110" t="str">
        <x:v>No</x:v>
      </x:c>
      <x:c r="AG110" t="str">
        <x:v>Eligible for intraoperative opioid analysis</x:v>
      </x:c>
      <x:c r="AH110" t="str">
        <x:v>Yes</x:v>
      </x:c>
      <x:c r="AI110" t="str">
        <x:v>No significant placebo-controlled intraoperative opioid-sparing effect</x:v>
      </x:c>
      <x:c r="AJ110" t="str">
        <x:v>Figure 2 / alfentanil requirement</x:v>
      </x:c>
      <x:c r="AK110" t="str">
        <x:v>https://drive.google.com/file/d/1YsNHL-J3Kgfu8mCanRrNu_bHk_roj0w6/view?usp=drivesdk</x:v>
      </x:c>
      <x:c r="AL110" t="str">
        <x:v>SOURCE-VERIFIED</x:v>
      </x:c>
    </x:row>
    <x:row r="111">
      <x:c r="A111" t="str">
        <x:v>Ntritsou 2014</x:v>
      </x:c>
      <x:c r="B111" t="str">
        <x:v>NTRI14_EA_vs_SHAM_TRAMSUM</x:v>
      </x:c>
      <x:c r="C111" t="str">
        <x:v>Perioperative EA + tramadol/ketamine</x:v>
      </x:c>
      <x:c r="D111" t="str">
        <x:v>Sham + tramadol/ketamine</x:v>
      </x:c>
      <x:c r="E111" t="str">
        <x:v>Opioid consumption</x:v>
      </x:c>
      <x:c r="F111" t="str">
        <x:v>Total tramadol exposure</x:v>
      </x:c>
      <x:c r="G111" t="str">
        <x:v>Perioperative / first 24 h most consistent with protocol; table does not restate window</x:v>
      </x:c>
      <x:c r="H111" t="str">
        <x:v>Mean/SD</x:v>
      </x:c>
      <x:c r="I111" t="n">
        <x:v>37</x:v>
      </x:c>
      <x:c r="J111" t="n">
        <x:v>38</x:v>
      </x:c>
      <x:c r="K111" t="n">
        <x:v>35</x:v>
      </x:c>
      <x:c r="L111" t="n">
        <x:v>35</x:v>
      </x:c>
      <x:c r="M111" t="n">
        <x:v>443.7</x:v>
      </x:c>
      <x:c r="N111" t="n">
        <x:v>67.4</x:v>
      </x:c>
      <x:c r="O111"/>
      <x:c r="P111"/>
      <x:c r="Q111"/>
      <x:c r="R111"/>
      <x:c r="S111" t="n">
        <x:v>461.5</x:v>
      </x:c>
      <x:c r="T111" t="n">
        <x:v>63.2</x:v>
      </x:c>
      <x:c r="U111"/>
      <x:c r="V111"/>
      <x:c r="W111"/>
      <x:c r="X111"/>
      <x:c r="Y111" t="str">
        <x:v>mg tramadol</x:v>
      </x:c>
      <x:c r="Z111" t="str">
        <x:v>0.257</x:v>
      </x:c>
      <x:c r="AA111" t="str">
        <x:v>Yes</x:v>
      </x:c>
      <x:c r="AB111" t="str">
        <x:v>No</x:v>
      </x:c>
      <x:c r="AC111" t="str">
        <x:f>IF(H111="Mean/SD","MD",IF(H111="Events/total","RR",""))</x:f>
        <x:v>MD</x:v>
      </x:c>
      <x:c r="AD111" t="n">
        <x:f>IF(H111="Mean/SD",M111-S111,IF(H111="Events/total",IFERROR((R111/K111)/(X111/L111),""),""))</x:f>
        <x:v>-17.80000000000001</x:v>
      </x:c>
      <x:c r="AE111" t="str">
        <x:v>Conditional</x:v>
      </x:c>
      <x:c r="AF111" t="str">
        <x:v>No</x:v>
      </x:c>
      <x:c r="AG111" t="str">
        <x:v>Continuous opioid-related quantity available, but not suitable as complete 24-h MME without confirming window and rescue morphine</x:v>
      </x:c>
      <x:c r="AH111" t="str">
        <x:v>No</x:v>
      </x:c>
      <x:c r="AI111" t="str">
        <x:v>Includes scheduled/background tramadol and likely rescue tramadol; rescue morphine quantity not reported</x:v>
      </x:c>
      <x:c r="AJ111" t="str">
        <x:v>Table 1 / tramadol sum</x:v>
      </x:c>
      <x:c r="AK111" t="str">
        <x:v>https://drive.google.com/file/d/1u_kNuuXF8upB3gJA2aDq8NldYDfhnWy3/view?usp=drivesdk</x:v>
      </x:c>
      <x:c r="AL111" t="str">
        <x:v>SOURCE-VERIFIED / WINDOW + CO-OPIOID QC</x:v>
      </x:c>
    </x:row>
    <x:row r="112">
      <x:c r="A112" t="str">
        <x:v>Ntritsou 2014</x:v>
      </x:c>
      <x:c r="B112" t="str">
        <x:v>NTRI14_EA_vs_SHAM_REMI</x:v>
      </x:c>
      <x:c r="C112" t="str">
        <x:v>Perioperative EA + tramadol/ketamine</x:v>
      </x:c>
      <x:c r="D112" t="str">
        <x:v>Sham + tramadol/ketamine</x:v>
      </x:c>
      <x:c r="E112" t="str">
        <x:v>Intraoperative opioid</x:v>
      </x:c>
      <x:c r="F112" t="str">
        <x:v>Remifentanil consumption</x:v>
      </x:c>
      <x:c r="G112" t="str">
        <x:v>Intraoperative</x:v>
      </x:c>
      <x:c r="H112" t="str">
        <x:v>Mean/SD</x:v>
      </x:c>
      <x:c r="I112" t="n">
        <x:v>37</x:v>
      </x:c>
      <x:c r="J112" t="n">
        <x:v>38</x:v>
      </x:c>
      <x:c r="K112" t="n">
        <x:v>35</x:v>
      </x:c>
      <x:c r="L112" t="n">
        <x:v>35</x:v>
      </x:c>
      <x:c r="M112" t="n">
        <x:v>1003.6</x:v>
      </x:c>
      <x:c r="N112" t="n">
        <x:v>522.7</x:v>
      </x:c>
      <x:c r="O112"/>
      <x:c r="P112"/>
      <x:c r="Q112"/>
      <x:c r="R112"/>
      <x:c r="S112" t="n">
        <x:v>1041.9</x:v>
      </x:c>
      <x:c r="T112" t="n">
        <x:v>631.9</x:v>
      </x:c>
      <x:c r="U112"/>
      <x:c r="V112"/>
      <x:c r="W112"/>
      <x:c r="X112"/>
      <x:c r="Y112" t="str">
        <x:v>µg remifentanil</x:v>
      </x:c>
      <x:c r="Z112" t="str">
        <x:v>0.783</x:v>
      </x:c>
      <x:c r="AA112" t="str">
        <x:v>Yes</x:v>
      </x:c>
      <x:c r="AB112" t="str">
        <x:v>No</x:v>
      </x:c>
      <x:c r="AC112" t="str">
        <x:f>IF(H112="Mean/SD","MD",IF(H112="Events/total","RR",""))</x:f>
        <x:v>MD</x:v>
      </x:c>
      <x:c r="AD112" t="n">
        <x:f>IF(H112="Mean/SD",M112-S112,IF(H112="Events/total",IFERROR((R112/K112)/(X112/L112),""),""))</x:f>
        <x:v>-38.30000000000007</x:v>
      </x:c>
      <x:c r="AE112" t="str">
        <x:v>No</x:v>
      </x:c>
      <x:c r="AF112" t="str">
        <x:v>No</x:v>
      </x:c>
      <x:c r="AG112" t="str">
        <x:v>Eligible for intraoperative opioid analysis</x:v>
      </x:c>
      <x:c r="AH112" t="str">
        <x:v>No</x:v>
      </x:c>
      <x:c r="AI112" t="str">
        <x:v>No significant intraoperative opioid-sparing effect</x:v>
      </x:c>
      <x:c r="AJ112" t="str">
        <x:v>Table 1 / remifentanil</x:v>
      </x:c>
      <x:c r="AK112" t="str">
        <x:v>https://drive.google.com/file/d/1u_kNuuXF8upB3gJA2aDq8NldYDfhnWy3/view?usp=drivesdk</x:v>
      </x:c>
      <x:c r="AL112" t="str">
        <x:v>SOURCE-VERIFIED</x:v>
      </x:c>
    </x:row>
    <x:row r="113">
      <x:c r="A113" t="str">
        <x:v>Ntritsou 2014</x:v>
      </x:c>
      <x:c r="B113" t="str">
        <x:v>NTRI14_EA_vs_SHAM_RESCUE</x:v>
      </x:c>
      <x:c r="C113" t="str">
        <x:v>Perioperative EA + tramadol/ketamine</x:v>
      </x:c>
      <x:c r="D113" t="str">
        <x:v>Sham + tramadol/ketamine</x:v>
      </x:c>
      <x:c r="E113" t="str">
        <x:v>Rescue opioid use</x:v>
      </x:c>
      <x:c r="F113" t="str">
        <x:v>Total rescue analgesia</x:v>
      </x:c>
      <x:c r="G113" t="str">
        <x:v>First 24 h</x:v>
      </x:c>
      <x:c r="H113" t="str">
        <x:v>Qualitative / exact quantities unavailable</x:v>
      </x:c>
      <x:c r="I113" t="n">
        <x:v>37</x:v>
      </x:c>
      <x:c r="J113" t="n">
        <x:v>38</x:v>
      </x:c>
      <x:c r="K113" t="n">
        <x:v>35</x:v>
      </x:c>
      <x:c r="L113" t="n">
        <x:v>35</x:v>
      </x:c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 t="str">
        <x:v>tramadol 50 mg IV then morphine 2 mg IV as needed</x:v>
      </x:c>
      <x:c r="Z113" t="str">
        <x:v>P&lt;0.001 reported</x:v>
      </x:c>
      <x:c r="AA113" t="str">
        <x:v>No</x:v>
      </x:c>
      <x:c r="AB113" t="str">
        <x:v>No</x:v>
      </x:c>
      <x:c r="AC113" t="str">
        <x:f>IF(H113="Mean/SD","MD",IF(H113="Events/total","RR",""))</x:f>
      </x:c>
      <x:c r="AD113" t="str">
        <x:f>IF(H113="Mean/SD",M113-S113,IF(H113="Events/total",IFERROR((R113/K113)/(X113/L113),""),""))</x:f>
      </x:c>
      <x:c r="AE113" t="str">
        <x:v>No</x:v>
      </x:c>
      <x:c r="AF113" t="str">
        <x:v>No</x:v>
      </x:c>
      <x:c r="AG113" t="str">
        <x:v>Not quantitatively poolable from main article</x:v>
      </x:c>
      <x:c r="AH113" t="str">
        <x:v>No</x:v>
      </x:c>
      <x:c r="AI113" t="str">
        <x:v>Main article reports significantly less total rescue analgesia but does not tabulate exact rescue tramadol/morphine quantities</x:v>
      </x:c>
      <x:c r="AJ113" t="str">
        <x:v>Rescue analgesia results</x:v>
      </x:c>
      <x:c r="AK113" t="str">
        <x:v>https://drive.google.com/file/d/1u_kNuuXF8upB3gJA2aDq8NldYDfhnWy3/view?usp=drivesdk</x:v>
      </x:c>
      <x:c r="AL113" t="str">
        <x:v>MISSING / EXACT RESCUE DOSES NOT REPORTED</x:v>
      </x:c>
    </x:row>
    <x:row r="114">
      <x:c r="A114" t="str">
        <x:v>Ntritsou 2014</x:v>
      </x:c>
      <x:c r="B114" t="str">
        <x:v>NTRI14_EA_vs_SHAM_MME24</x:v>
      </x:c>
      <x:c r="C114" t="str">
        <x:v>Perioperative EA + tramadol/ketamine</x:v>
      </x:c>
      <x:c r="D114" t="str">
        <x:v>Sham + tramadol/ketamine</x:v>
      </x:c>
      <x:c r="E114" t="str">
        <x:v>Opioid consumption</x:v>
      </x:c>
      <x:c r="F114" t="str">
        <x:v>Complete 24-h opioid/MME exposure</x:v>
      </x:c>
      <x:c r="G114" t="str">
        <x:v>0-24 h</x:v>
      </x:c>
      <x:c r="H114" t="str">
        <x:v>Not calculable</x:v>
      </x:c>
      <x:c r="I114" t="n">
        <x:v>37</x:v>
      </x:c>
      <x:c r="J114" t="n">
        <x:v>38</x:v>
      </x:c>
      <x:c r="K114" t="n">
        <x:v>35</x:v>
      </x:c>
      <x:c r="L114" t="n">
        <x:v>35</x:v>
      </x:c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 t="str">
        <x:v>MME</x:v>
      </x:c>
      <x:c r="Z114" t="str"/>
      <x:c r="AA114" t="str">
        <x:v>No</x:v>
      </x:c>
      <x:c r="AB114" t="str">
        <x:v>No</x:v>
      </x:c>
      <x:c r="AC114" t="str">
        <x:f>IF(H114="Mean/SD","MD",IF(H114="Events/total","RR",""))</x:f>
      </x:c>
      <x:c r="AD114" t="str">
        <x:f>IF(H114="Mean/SD",M114-S114,IF(H114="Events/total",IFERROR((R114/K114)/(X114/L114),""),""))</x:f>
      </x:c>
      <x:c r="AE114" t="str">
        <x:v>No</x:v>
      </x:c>
      <x:c r="AF114" t="str">
        <x:v>No</x:v>
      </x:c>
      <x:c r="AG114" t="str">
        <x:v>Not eligible for final 24-h MME until rescue morphine and tramadol-sum window are confirmed</x:v>
      </x:c>
      <x:c r="AH114" t="str">
        <x:v>No</x:v>
      </x:c>
      <x:c r="AI114" t="str">
        <x:v>Do not equate lower rescue use with significantly lower total opioid exposure</x:v>
      </x:c>
      <x:c r="AJ114" t="str">
        <x:v>Combined opioid exposure</x:v>
      </x:c>
      <x:c r="AK114" t="str">
        <x:v>https://drive.google.com/file/d/1u_kNuuXF8upB3gJA2aDq8NldYDfhnWy3/view?usp=drivesdk</x:v>
      </x:c>
      <x:c r="AL114" t="str">
        <x:v>MISSING / AUTHOR DATA NEEDED</x:v>
      </x:c>
    </x:row>
    <x:row r="115">
      <x:c r="A115" t="str">
        <x:v>Ng 2013</x:v>
      </x:c>
      <x:c r="B115" t="str">
        <x:v>NG13_EA_vs_SHAM_BOWEL</x:v>
      </x:c>
      <x:c r="C115" t="str">
        <x:v>Electroacupuncture</x:v>
      </x:c>
      <x:c r="D115" t="str">
        <x:v>Sham acupuncture</x:v>
      </x:c>
      <x:c r="E115" t="str">
        <x:v>GI recovery</x:v>
      </x:c>
      <x:c r="F115" t="str">
        <x:v>Time to first bowel motion / defecation</x:v>
      </x:c>
      <x:c r="G115" t="str">
        <x:v>Postoperative</x:v>
      </x:c>
      <x:c r="H115" t="str">
        <x:v>Mean/SD</x:v>
      </x:c>
      <x:c r="I115" t="n">
        <x:v>55</x:v>
      </x:c>
      <x:c r="J115" t="n">
        <x:v>55</x:v>
      </x:c>
      <x:c r="K115" t="n">
        <x:v>55</x:v>
      </x:c>
      <x:c r="L115" t="n">
        <x:v>55</x:v>
      </x:c>
      <x:c r="M115" t="n">
        <x:v>85.9</x:v>
      </x:c>
      <x:c r="N115" t="n">
        <x:v>36.1</x:v>
      </x:c>
      <x:c r="O115"/>
      <x:c r="P115"/>
      <x:c r="Q115"/>
      <x:c r="R115"/>
      <x:c r="S115" t="n">
        <x:v>107.5</x:v>
      </x:c>
      <x:c r="T115" t="n">
        <x:v>46.2</x:v>
      </x:c>
      <x:c r="U115"/>
      <x:c r="V115"/>
      <x:c r="W115"/>
      <x:c r="X115"/>
      <x:c r="Y115" t="str">
        <x:v>hours</x:v>
      </x:c>
      <x:c r="Z115" t="str">
        <x:v>0.007</x:v>
      </x:c>
      <x:c r="AA115" t="str">
        <x:v>Yes</x:v>
      </x:c>
      <x:c r="AB115" t="str">
        <x:v>No</x:v>
      </x:c>
      <x:c r="AC115" t="str">
        <x:f>IF(H115="Mean/SD","MD",IF(H115="Events/total","RR",""))</x:f>
        <x:v>MD</x:v>
      </x:c>
      <x:c r="AD115" t="n">
        <x:f>IF(H115="Mean/SD",M115-S115,IF(H115="Events/total",IFERROR((R115/K115)/(X115/L115),""),""))</x:f>
        <x:v>-21.599999999999994</x:v>
      </x:c>
      <x:c r="AE115" t="str">
        <x:v>No</x:v>
      </x:c>
      <x:c r="AF115" t="str">
        <x:v>No</x:v>
      </x:c>
      <x:c r="AG115" t="str">
        <x:v>Eligible for GI-recovery meta-analysis</x:v>
      </x:c>
      <x:c r="AH115" t="str">
        <x:v>Yes</x:v>
      </x:c>
      <x:c r="AI115" t="str">
        <x:v>Allocation used sealed nonopaque envelopes; EA-vs-sham participants and outcome assessors were blinded</x:v>
      </x:c>
      <x:c r="AJ115" t="str">
        <x:v>Primary outcome / first bowel motion</x:v>
      </x:c>
      <x:c r="AK115" t="str">
        <x:v>https://drive.google.com/file/d/1R1zCiyfWvuSp99Hi2U_K1__8kgdi90gd/view?usp=drivesdk</x:v>
      </x:c>
      <x:c r="AL115" t="str">
        <x:v>SOURCE-VERIFIED / ALLOCATION-CONCEALMENT QC</x:v>
      </x:c>
    </x:row>
    <x:row r="116">
      <x:c r="A116" t="str">
        <x:v>Ng 2013</x:v>
      </x:c>
      <x:c r="B116" t="str">
        <x:v>NG13_EA_vs_NOACU_BOWEL</x:v>
      </x:c>
      <x:c r="C116" t="str">
        <x:v>Electroacupuncture</x:v>
      </x:c>
      <x:c r="D116" t="str">
        <x:v>No acupuncture</x:v>
      </x:c>
      <x:c r="E116" t="str">
        <x:v>GI recovery</x:v>
      </x:c>
      <x:c r="F116" t="str">
        <x:v>Time to first bowel motion / defecation</x:v>
      </x:c>
      <x:c r="G116" t="str">
        <x:v>Postoperative</x:v>
      </x:c>
      <x:c r="H116" t="str">
        <x:v>Mean/SD</x:v>
      </x:c>
      <x:c r="I116" t="n">
        <x:v>55</x:v>
      </x:c>
      <x:c r="J116" t="n">
        <x:v>55</x:v>
      </x:c>
      <x:c r="K116" t="n">
        <x:v>55</x:v>
      </x:c>
      <x:c r="L116" t="n">
        <x:v>55</x:v>
      </x:c>
      <x:c r="M116" t="n">
        <x:v>85.9</x:v>
      </x:c>
      <x:c r="N116" t="n">
        <x:v>36.1</x:v>
      </x:c>
      <x:c r="O116"/>
      <x:c r="P116"/>
      <x:c r="Q116"/>
      <x:c r="R116"/>
      <x:c r="S116" t="n">
        <x:v>122.1</x:v>
      </x:c>
      <x:c r="T116" t="n">
        <x:v>53.5</x:v>
      </x:c>
      <x:c r="U116"/>
      <x:c r="V116"/>
      <x:c r="W116"/>
      <x:c r="X116"/>
      <x:c r="Y116" t="str">
        <x:v>hours</x:v>
      </x:c>
      <x:c r="Z116" t="str">
        <x:v>&lt;0.001</x:v>
      </x:c>
      <x:c r="AA116" t="str">
        <x:v>Yes</x:v>
      </x:c>
      <x:c r="AB116" t="str">
        <x:v>No</x:v>
      </x:c>
      <x:c r="AC116" t="str">
        <x:f>IF(H116="Mean/SD","MD",IF(H116="Events/total","RR",""))</x:f>
        <x:v>MD</x:v>
      </x:c>
      <x:c r="AD116" t="n">
        <x:f>IF(H116="Mean/SD",M116-S116,IF(H116="Events/total",IFERROR((R116/K116)/(X116/L116),""),""))</x:f>
        <x:v>-36.19999999999999</x:v>
      </x:c>
      <x:c r="AE116" t="str">
        <x:v>No</x:v>
      </x:c>
      <x:c r="AF116" t="str">
        <x:v>No</x:v>
      </x:c>
      <x:c r="AG116" t="str">
        <x:v>Eligible for GI-recovery meta-analysis as active-vs-usual-care contrast</x:v>
      </x:c>
      <x:c r="AH116" t="str">
        <x:v>Yes</x:v>
      </x:c>
      <x:c r="AI116" t="str">
        <x:v>No-acupuncture group could not be participant blinded</x:v>
      </x:c>
      <x:c r="AJ116" t="str">
        <x:v>Primary outcome / first bowel motion</x:v>
      </x:c>
      <x:c r="AK116" t="str">
        <x:v>https://drive.google.com/file/d/1R1zCiyfWvuSp99Hi2U_K1__8kgdi90gd/view?usp=drivesdk</x:v>
      </x:c>
      <x:c r="AL116" t="str">
        <x:v>SOURCE-VERIFIED</x:v>
      </x:c>
    </x:row>
    <x:row r="117">
      <x:c r="A117" t="str">
        <x:v>Ng 2013</x:v>
      </x:c>
      <x:c r="B117" t="str">
        <x:v>NG13_EA_vs_SHAM_FLATUS</x:v>
      </x:c>
      <x:c r="C117" t="str">
        <x:v>Electroacupuncture</x:v>
      </x:c>
      <x:c r="D117" t="str">
        <x:v>Sham acupuncture</x:v>
      </x:c>
      <x:c r="E117" t="str">
        <x:v>GI recovery</x:v>
      </x:c>
      <x:c r="F117" t="str">
        <x:v>Time to first flatus</x:v>
      </x:c>
      <x:c r="G117" t="str">
        <x:v>Postoperative</x:v>
      </x:c>
      <x:c r="H117" t="str">
        <x:v>Mean/SD</x:v>
      </x:c>
      <x:c r="I117" t="n">
        <x:v>55</x:v>
      </x:c>
      <x:c r="J117" t="n">
        <x:v>55</x:v>
      </x:c>
      <x:c r="K117" t="n">
        <x:v>55</x:v>
      </x:c>
      <x:c r="L117" t="n">
        <x:v>55</x:v>
      </x:c>
      <x:c r="M117" t="n">
        <x:v>2</x:v>
      </x:c>
      <x:c r="N117" t="n">
        <x:v>0.9</x:v>
      </x:c>
      <x:c r="O117"/>
      <x:c r="P117"/>
      <x:c r="Q117"/>
      <x:c r="R117"/>
      <x:c r="S117" t="n">
        <x:v>2.3</x:v>
      </x:c>
      <x:c r="T117" t="n">
        <x:v>1.1</x:v>
      </x:c>
      <x:c r="U117"/>
      <x:c r="V117"/>
      <x:c r="W117"/>
      <x:c r="X117"/>
      <x:c r="Y117" t="str">
        <x:v>days</x:v>
      </x:c>
      <x:c r="Z117" t="str">
        <x:v>0.095</x:v>
      </x:c>
      <x:c r="AA117" t="str">
        <x:v>Yes</x:v>
      </x:c>
      <x:c r="AB117" t="str">
        <x:v>No</x:v>
      </x:c>
      <x:c r="AC117" t="str">
        <x:f>IF(H117="Mean/SD","MD",IF(H117="Events/total","RR",""))</x:f>
        <x:v>MD</x:v>
      </x:c>
      <x:c r="AD117" t="n">
        <x:f>IF(H117="Mean/SD",M117-S117,IF(H117="Events/total",IFERROR((R117/K117)/(X117/L117),""),""))</x:f>
        <x:v>-0.2999999999999998</x:v>
      </x:c>
      <x:c r="AE117" t="str">
        <x:v>No</x:v>
      </x:c>
      <x:c r="AF117" t="str">
        <x:v>No</x:v>
      </x:c>
      <x:c r="AG117" t="str">
        <x:v>Eligible for GI-recovery analysis</x:v>
      </x:c>
      <x:c r="AH117" t="str">
        <x:v>Yes</x:v>
      </x:c>
      <x:c r="AI117" t="str">
        <x:v>No statistically significant EA-vs-sham difference</x:v>
      </x:c>
      <x:c r="AJ117" t="str">
        <x:v>Secondary outcome / first flatus</x:v>
      </x:c>
      <x:c r="AK117" t="str">
        <x:v>https://drive.google.com/file/d/1R1zCiyfWvuSp99Hi2U_K1__8kgdi90gd/view?usp=drivesdk</x:v>
      </x:c>
      <x:c r="AL117" t="str">
        <x:v>SOURCE-VERIFIED</x:v>
      </x:c>
    </x:row>
    <x:row r="118">
      <x:c r="A118" t="str">
        <x:v>Ng 2013</x:v>
      </x:c>
      <x:c r="B118" t="str">
        <x:v>NG13_EA_vs_SHAM_PAINPOD1</x:v>
      </x:c>
      <x:c r="C118" t="str">
        <x:v>Electroacupuncture</x:v>
      </x:c>
      <x:c r="D118" t="str">
        <x:v>Sham acupuncture</x:v>
      </x:c>
      <x:c r="E118" t="str">
        <x:v>Pain</x:v>
      </x:c>
      <x:c r="F118" t="str">
        <x:v>VAS pain intensity</x:v>
      </x:c>
      <x:c r="G118" t="str">
        <x:v>POD1</x:v>
      </x:c>
      <x:c r="H118" t="str">
        <x:v>Mean/SD</x:v>
      </x:c>
      <x:c r="I118" t="n">
        <x:v>55</x:v>
      </x:c>
      <x:c r="J118" t="n">
        <x:v>55</x:v>
      </x:c>
      <x:c r="K118" t="n">
        <x:v>55</x:v>
      </x:c>
      <x:c r="L118" t="n">
        <x:v>55</x:v>
      </x:c>
      <x:c r="M118" t="n">
        <x:v>5.6</x:v>
      </x:c>
      <x:c r="N118" t="n">
        <x:v>2</x:v>
      </x:c>
      <x:c r="O118"/>
      <x:c r="P118"/>
      <x:c r="Q118"/>
      <x:c r="R118"/>
      <x:c r="S118" t="n">
        <x:v>5.8</x:v>
      </x:c>
      <x:c r="T118" t="n">
        <x:v>1.9</x:v>
      </x:c>
      <x:c r="U118"/>
      <x:c r="V118"/>
      <x:c r="W118"/>
      <x:c r="X118"/>
      <x:c r="Y118" t="str">
        <x:v>VAS 0-10</x:v>
      </x:c>
      <x:c r="Z118" t="str">
        <x:v>0.655</x:v>
      </x:c>
      <x:c r="AA118" t="str">
        <x:v>Yes</x:v>
      </x:c>
      <x:c r="AB118" t="str">
        <x:v>No</x:v>
      </x:c>
      <x:c r="AC118" t="str">
        <x:f>IF(H118="Mean/SD","MD",IF(H118="Events/total","RR",""))</x:f>
        <x:v>MD</x:v>
      </x:c>
      <x:c r="AD118" t="n">
        <x:f>IF(H118="Mean/SD",M118-S118,IF(H118="Events/total",IFERROR((R118/K118)/(X118/L118),""),""))</x:f>
        <x:v>-0.20000000000000018</x:v>
      </x:c>
      <x:c r="AE118" t="str">
        <x:v>No</x:v>
      </x:c>
      <x:c r="AF118" t="str">
        <x:v>No</x:v>
      </x:c>
      <x:c r="AG118" t="str">
        <x:v>Eligible for POD1 pain analysis if POD1 timing meets protocol</x:v>
      </x:c>
      <x:c r="AH118" t="str">
        <x:v>Yes</x:v>
      </x:c>
      <x:c r="AI118" t="str">
        <x:v>POD1 is not an exact clock-defined 24-h point</x:v>
      </x:c>
      <x:c r="AJ118" t="str">
        <x:v>Pain outcome / POD1</x:v>
      </x:c>
      <x:c r="AK118" t="str">
        <x:v>https://drive.google.com/file/d/1R1zCiyfWvuSp99Hi2U_K1__8kgdi90gd/view?usp=drivesdk</x:v>
      </x:c>
      <x:c r="AL118" t="str">
        <x:v>SOURCE-VERIFIED / POD LABEL</x:v>
      </x:c>
    </x:row>
    <x:row r="119">
      <x:c r="A119" t="str">
        <x:v>Ng 2013</x:v>
      </x:c>
      <x:c r="B119" t="str">
        <x:v>NG13_EA_vs_SHAM_PETHCOUNT</x:v>
      </x:c>
      <x:c r="C119" t="str">
        <x:v>Electroacupuncture</x:v>
      </x:c>
      <x:c r="D119" t="str">
        <x:v>Sham acupuncture</x:v>
      </x:c>
      <x:c r="E119" t="str">
        <x:v>Opioid demand</x:v>
      </x:c>
      <x:c r="F119" t="str">
        <x:v>Number of postoperative pethidine injections</x:v>
      </x:c>
      <x:c r="G119" t="str">
        <x:v>Postoperative; exact window NR</x:v>
      </x:c>
      <x:c r="H119" t="str">
        <x:v>Mean/SD</x:v>
      </x:c>
      <x:c r="I119" t="n">
        <x:v>55</x:v>
      </x:c>
      <x:c r="J119" t="n">
        <x:v>55</x:v>
      </x:c>
      <x:c r="K119" t="n">
        <x:v>55</x:v>
      </x:c>
      <x:c r="L119" t="n">
        <x:v>55</x:v>
      </x:c>
      <x:c r="M119" t="n">
        <x:v>2.7</x:v>
      </x:c>
      <x:c r="N119" t="n">
        <x:v>2.3</x:v>
      </x:c>
      <x:c r="O119"/>
      <x:c r="P119"/>
      <x:c r="Q119"/>
      <x:c r="R119"/>
      <x:c r="S119" t="n">
        <x:v>5.2</x:v>
      </x:c>
      <x:c r="T119" t="n">
        <x:v>4.7</x:v>
      </x:c>
      <x:c r="U119"/>
      <x:c r="V119"/>
      <x:c r="W119"/>
      <x:c r="X119"/>
      <x:c r="Y119" t="str">
        <x:v>number of injections</x:v>
      </x:c>
      <x:c r="Z119" t="str">
        <x:v>NR</x:v>
      </x:c>
      <x:c r="AA119" t="str">
        <x:v>Yes</x:v>
      </x:c>
      <x:c r="AB119" t="str">
        <x:v>No</x:v>
      </x:c>
      <x:c r="AC119" t="str">
        <x:f>IF(H119="Mean/SD","MD",IF(H119="Events/total","RR",""))</x:f>
        <x:v>MD</x:v>
      </x:c>
      <x:c r="AD119" t="n">
        <x:f>IF(H119="Mean/SD",M119-S119,IF(H119="Events/total",IFERROR((R119/K119)/(X119/L119),""),""))</x:f>
        <x:v>-2.5</x:v>
      </x:c>
      <x:c r="AE119" t="str">
        <x:v>No</x:v>
      </x:c>
      <x:c r="AF119" t="str">
        <x:v>No</x:v>
      </x:c>
      <x:c r="AG119" t="str">
        <x:v>Eligible only as opioid-injection-count outcome after time-window clarification</x:v>
      </x:c>
      <x:c r="AH119" t="str">
        <x:v>Yes</x:v>
      </x:c>
      <x:c r="AI119" t="str">
        <x:v>Methods say 1 mg/kg q4h PRN, tables say 50-mg injections; exact observation window and route not clearly defined</x:v>
      </x:c>
      <x:c r="AJ119" t="str">
        <x:v>Analgesic requirement tables</x:v>
      </x:c>
      <x:c r="AK119" t="str">
        <x:v>https://drive.google.com/file/d/1R1zCiyfWvuSp99Hi2U_K1__8kgdi90gd/view?usp=drivesdk</x:v>
      </x:c>
      <x:c r="AL119" t="str">
        <x:v>SOURCE-VERIFIED / DOSE + WINDOW QC</x:v>
      </x:c>
    </x:row>
    <x:row r="120">
      <x:c r="A120" t="str">
        <x:v>Ng 2013</x:v>
      </x:c>
      <x:c r="B120" t="str">
        <x:v>NG13_EA_vs_SHAM_OPIOID24</x:v>
      </x:c>
      <x:c r="C120" t="str">
        <x:v>Electroacupuncture</x:v>
      </x:c>
      <x:c r="D120" t="str">
        <x:v>Sham acupuncture</x:v>
      </x:c>
      <x:c r="E120" t="str">
        <x:v>Opioid consumption</x:v>
      </x:c>
      <x:c r="F120" t="str">
        <x:v>Cumulative pethidine consumption</x:v>
      </x:c>
      <x:c r="G120" t="str">
        <x:v>0-24 h</x:v>
      </x:c>
      <x:c r="H120" t="str">
        <x:v>Not reported</x:v>
      </x:c>
      <x:c r="I120" t="n">
        <x:v>55</x:v>
      </x:c>
      <x:c r="J120" t="n">
        <x:v>55</x:v>
      </x:c>
      <x:c r="K120" t="n">
        <x:v>55</x:v>
      </x:c>
      <x:c r="L120" t="n">
        <x:v>55</x:v>
      </x:c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 t="str">
        <x:v>mg pethidine</x:v>
      </x:c>
      <x:c r="Z120" t="str"/>
      <x:c r="AA120" t="str">
        <x:v>No</x:v>
      </x:c>
      <x:c r="AB120" t="str">
        <x:v>No</x:v>
      </x:c>
      <x:c r="AC120" t="str">
        <x:f>IF(H120="Mean/SD","MD",IF(H120="Events/total","RR",""))</x:f>
      </x:c>
      <x:c r="AD120" t="str">
        <x:f>IF(H120="Mean/SD",M120-S120,IF(H120="Events/total",IFERROR((R120/K120)/(X120/L120),""),""))</x:f>
      </x:c>
      <x:c r="AE120" t="str">
        <x:v>No</x:v>
      </x:c>
      <x:c r="AF120" t="str">
        <x:v>No</x:v>
      </x:c>
      <x:c r="AG120" t="str">
        <x:v>Not eligible for strict continuous 24-h opioid meta-analysis without author data</x:v>
      </x:c>
      <x:c r="AH120" t="str">
        <x:v>Yes</x:v>
      </x:c>
      <x:c r="AI120" t="str">
        <x:v>Do not multiply injection counts by 50 mg and call it a 24-h dose; source time window/dosing statement is ambiguous</x:v>
      </x:c>
      <x:c r="AJ120" t="str">
        <x:v>Exact 24-h opioid endpoint absent</x:v>
      </x:c>
      <x:c r="AK120" t="str">
        <x:v>https://drive.google.com/file/d/1R1zCiyfWvuSp99Hi2U_K1__8kgdi90gd/view?usp=drivesdk</x:v>
      </x:c>
      <x:c r="AL120" t="str">
        <x:v>MISSING / AUTHOR DATA NEEDED</x:v>
      </x:c>
    </x:row>
    <x:row r="121">
      <x:c r="A121" t="str">
        <x:v>Ma 2026</x:v>
      </x:c>
      <x:c r="B121" t="str">
        <x:v>MA26_T_vs_S_PAIN24</x:v>
      </x:c>
      <x:c r="C121" t="str">
        <x:v>Group T: sleep disturbance + preop TEAS</x:v>
      </x:c>
      <x:c r="D121" t="str">
        <x:v>Group S: sleep disturbance, no TEAS</x:v>
      </x:c>
      <x:c r="E121" t="str">
        <x:v>Pain</x:v>
      </x:c>
      <x:c r="F121" t="str">
        <x:v>Resting NRS pain</x:v>
      </x:c>
      <x:c r="G121" t="str">
        <x:v>24 h</x:v>
      </x:c>
      <x:c r="H121" t="str">
        <x:v>Graph-only continuous data</x:v>
      </x:c>
      <x:c r="I121" t="n">
        <x:v>18</x:v>
      </x:c>
      <x:c r="J121" t="n">
        <x:v>17</x:v>
      </x:c>
      <x:c r="K121" t="n">
        <x:v>17</x:v>
      </x:c>
      <x:c r="L121" t="n">
        <x:v>16</x:v>
      </x:c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 t="str">
        <x:v>NRS 0-10</x:v>
      </x:c>
      <x:c r="Z121" t="str">
        <x:v>P&lt;0.05 T vs S</x:v>
      </x:c>
      <x:c r="AA121" t="str">
        <x:v>No</x:v>
      </x:c>
      <x:c r="AB121" t="str">
        <x:v>No</x:v>
      </x:c>
      <x:c r="AC121" t="str">
        <x:f>IF(H121="Mean/SD","MD",IF(H121="Events/total","RR",""))</x:f>
      </x:c>
      <x:c r="AD121" t="str">
        <x:f>IF(H121="Mean/SD",M121-S121,IF(H121="Events/total",IFERROR((R121/K121)/(X121/L121),""),""))</x:f>
      </x:c>
      <x:c r="AE121" t="str">
        <x:v>No</x:v>
      </x:c>
      <x:c r="AF121" t="str">
        <x:v>No</x:v>
      </x:c>
      <x:c r="AG121" t="str">
        <x:v>Not ready for continuous meta-analysis without formal graph digitization or author data</x:v>
      </x:c>
      <x:c r="AH121" t="str">
        <x:v>No</x:v>
      </x:c>
      <x:c r="AI121" t="str">
        <x:v>Partially randomized trial: only T vs S is randomized. Exact 24-h means/SDs are graph-only and must not be inferred from Antigravity candidate values</x:v>
      </x:c>
      <x:c r="AJ121" t="str">
        <x:v>Figure / 24-h postoperative NRS</x:v>
      </x:c>
      <x:c r="AK121" t="str">
        <x:v>https://drive.google.com/file/d/1tMEOwvRWIMeEmBmKfeHEt7YF10yxslUe/view?usp=drivesdk</x:v>
      </x:c>
      <x:c r="AL121" t="str">
        <x:v>FIGURE ONLY / DIGITIZATION NEEDED</x:v>
      </x:c>
    </x:row>
    <x:row r="122">
      <x:c r="A122" t="str">
        <x:v>Ma 2026</x:v>
      </x:c>
      <x:c r="B122" t="str">
        <x:v>MA26_T_vs_S_AISPOD1</x:v>
      </x:c>
      <x:c r="C122" t="str">
        <x:v>Group T: sleep disturbance + preop TEAS</x:v>
      </x:c>
      <x:c r="D122" t="str">
        <x:v>Group S: sleep disturbance, no TEAS</x:v>
      </x:c>
      <x:c r="E122" t="str">
        <x:v>Sleep quality</x:v>
      </x:c>
      <x:c r="F122" t="str">
        <x:v>Athens Insomnia Scale</x:v>
      </x:c>
      <x:c r="G122" t="str">
        <x:v>POD1</x:v>
      </x:c>
      <x:c r="H122" t="str">
        <x:v>Graph-only continuous data</x:v>
      </x:c>
      <x:c r="I122" t="n">
        <x:v>18</x:v>
      </x:c>
      <x:c r="J122" t="n">
        <x:v>17</x:v>
      </x:c>
      <x:c r="K122" t="n">
        <x:v>17</x:v>
      </x:c>
      <x:c r="L122" t="n">
        <x:v>16</x:v>
      </x:c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 t="str">
        <x:v>AIS points</x:v>
      </x:c>
      <x:c r="Z122" t="str">
        <x:v>P&lt;0.05 T vs S</x:v>
      </x:c>
      <x:c r="AA122" t="str">
        <x:v>No</x:v>
      </x:c>
      <x:c r="AB122" t="str">
        <x:v>No</x:v>
      </x:c>
      <x:c r="AC122" t="str">
        <x:f>IF(H122="Mean/SD","MD",IF(H122="Events/total","RR",""))</x:f>
      </x:c>
      <x:c r="AD122" t="str">
        <x:f>IF(H122="Mean/SD",M122-S122,IF(H122="Events/total",IFERROR((R122/K122)/(X122/L122),""),""))</x:f>
      </x:c>
      <x:c r="AE122" t="str">
        <x:v>No</x:v>
      </x:c>
      <x:c r="AF122" t="str">
        <x:v>No</x:v>
      </x:c>
      <x:c r="AG122" t="str">
        <x:v>Not ready for continuous meta-analysis without formal graph digitization or author data</x:v>
      </x:c>
      <x:c r="AH122" t="str">
        <x:v>No</x:v>
      </x:c>
      <x:c r="AI122" t="str">
        <x:v>Exact postoperative AIS means/SDs are graph-only; Group C is non-randomized and must not be used as a randomized comparator</x:v>
      </x:c>
      <x:c r="AJ122" t="str">
        <x:v>Figure 4 / POD1 AIS</x:v>
      </x:c>
      <x:c r="AK122" t="str">
        <x:v>https://drive.google.com/file/d/1tMEOwvRWIMeEmBmKfeHEt7YF10yxslUe/view?usp=drivesdk</x:v>
      </x:c>
      <x:c r="AL122" t="str">
        <x:v>FIGURE ONLY / DIGITIZATION NEEDED</x:v>
      </x:c>
    </x:row>
    <x:row r="123">
      <x:c r="A123" t="str">
        <x:v>Ma 2026</x:v>
      </x:c>
      <x:c r="B123" t="str">
        <x:v>MA26_T_vs_S_NAUSEA24</x:v>
      </x:c>
      <x:c r="C123" t="str">
        <x:v>Group T: sleep disturbance + preop TEAS</x:v>
      </x:c>
      <x:c r="D123" t="str">
        <x:v>Group S: sleep disturbance, no TEAS</x:v>
      </x:c>
      <x:c r="E123" t="str">
        <x:v>PONV</x:v>
      </x:c>
      <x:c r="F123" t="str">
        <x:v>Nausea</x:v>
      </x:c>
      <x:c r="G123" t="str">
        <x:v>24 h</x:v>
      </x:c>
      <x:c r="H123" t="str">
        <x:v>Events/total</x:v>
      </x:c>
      <x:c r="I123" t="n">
        <x:v>18</x:v>
      </x:c>
      <x:c r="J123" t="n">
        <x:v>17</x:v>
      </x:c>
      <x:c r="K123" t="n">
        <x:v>17</x:v>
      </x:c>
      <x:c r="L123" t="n">
        <x:v>16</x:v>
      </x:c>
      <x:c r="M123"/>
      <x:c r="N123"/>
      <x:c r="O123"/>
      <x:c r="P123"/>
      <x:c r="Q123"/>
      <x:c r="R123" t="n">
        <x:v>6</x:v>
      </x:c>
      <x:c r="S123"/>
      <x:c r="T123"/>
      <x:c r="U123"/>
      <x:c r="V123"/>
      <x:c r="W123"/>
      <x:c r="X123" t="n">
        <x:v>8</x:v>
      </x:c>
      <x:c r="Y123" t="str">
        <x:v>participants</x:v>
      </x:c>
      <x:c r="Z123" t="str">
        <x:v>Overall 3-group P=0.590; randomized T-vs-S pairwise NR</x:v>
      </x:c>
      <x:c r="AA123" t="str">
        <x:v>Yes</x:v>
      </x:c>
      <x:c r="AB123" t="str">
        <x:v>No</x:v>
      </x:c>
      <x:c r="AC123" t="str">
        <x:f>IF(H123="Mean/SD","MD",IF(H123="Events/total","RR",""))</x:f>
        <x:v>RR</x:v>
      </x:c>
      <x:c r="AD123" t="n">
        <x:f>IF(H123="Mean/SD",M123-S123,IF(H123="Events/total",IFERROR((R123/K123)/(X123/L123),""),""))</x:f>
        <x:v>0.7058823529411765</x:v>
      </x:c>
      <x:c r="AE123" t="str">
        <x:v>No</x:v>
      </x:c>
      <x:c r="AF123" t="str">
        <x:v>No</x:v>
      </x:c>
      <x:c r="AG123" t="str">
        <x:v>Eligible for dichotomous 24-h nausea analysis using randomized T vs S contrast</x:v>
      </x:c>
      <x:c r="AH123" t="str">
        <x:v>No</x:v>
      </x:c>
      <x:c r="AI123" t="str">
        <x:v>Overall P-value includes non-randomized Group C; do not treat it as the randomized pairwise P-value</x:v>
      </x:c>
      <x:c r="AJ123" t="str">
        <x:v>24-h PONV table</x:v>
      </x:c>
      <x:c r="AK123" t="str">
        <x:v>https://drive.google.com/file/d/1tMEOwvRWIMeEmBmKfeHEt7YF10yxslUe/view?usp=drivesdk</x:v>
      </x:c>
      <x:c r="AL123" t="str">
        <x:v>SOURCE-VERIFIED</x:v>
      </x:c>
    </x:row>
    <x:row r="124">
      <x:c r="A124" t="str">
        <x:v>Ma 2026</x:v>
      </x:c>
      <x:c r="B124" t="str">
        <x:v>MA26_T_vs_S_VOMIT24</x:v>
      </x:c>
      <x:c r="C124" t="str">
        <x:v>Group T: sleep disturbance + preop TEAS</x:v>
      </x:c>
      <x:c r="D124" t="str">
        <x:v>Group S: sleep disturbance, no TEAS</x:v>
      </x:c>
      <x:c r="E124" t="str">
        <x:v>PONV</x:v>
      </x:c>
      <x:c r="F124" t="str">
        <x:v>Vomiting</x:v>
      </x:c>
      <x:c r="G124" t="str">
        <x:v>24 h</x:v>
      </x:c>
      <x:c r="H124" t="str">
        <x:v>Events/total</x:v>
      </x:c>
      <x:c r="I124" t="n">
        <x:v>18</x:v>
      </x:c>
      <x:c r="J124" t="n">
        <x:v>17</x:v>
      </x:c>
      <x:c r="K124" t="n">
        <x:v>17</x:v>
      </x:c>
      <x:c r="L124" t="n">
        <x:v>16</x:v>
      </x:c>
      <x:c r="M124"/>
      <x:c r="N124"/>
      <x:c r="O124"/>
      <x:c r="P124"/>
      <x:c r="Q124"/>
      <x:c r="R124" t="n">
        <x:v>6</x:v>
      </x:c>
      <x:c r="S124"/>
      <x:c r="T124"/>
      <x:c r="U124"/>
      <x:c r="V124"/>
      <x:c r="W124"/>
      <x:c r="X124" t="n">
        <x:v>7</x:v>
      </x:c>
      <x:c r="Y124" t="str">
        <x:v>participants</x:v>
      </x:c>
      <x:c r="Z124" t="str">
        <x:v>Overall 3-group P=0.863; randomized T-vs-S pairwise NR</x:v>
      </x:c>
      <x:c r="AA124" t="str">
        <x:v>Yes</x:v>
      </x:c>
      <x:c r="AB124" t="str">
        <x:v>No</x:v>
      </x:c>
      <x:c r="AC124" t="str">
        <x:f>IF(H124="Mean/SD","MD",IF(H124="Events/total","RR",""))</x:f>
        <x:v>RR</x:v>
      </x:c>
      <x:c r="AD124" t="n">
        <x:f>IF(H124="Mean/SD",M124-S124,IF(H124="Events/total",IFERROR((R124/K124)/(X124/L124),""),""))</x:f>
        <x:v>0.8067226890756303</x:v>
      </x:c>
      <x:c r="AE124" t="str">
        <x:v>No</x:v>
      </x:c>
      <x:c r="AF124" t="str">
        <x:v>No</x:v>
      </x:c>
      <x:c r="AG124" t="str">
        <x:v>Eligible for dichotomous 24-h vomiting analysis using randomized T vs S contrast</x:v>
      </x:c>
      <x:c r="AH124" t="str">
        <x:v>No</x:v>
      </x:c>
      <x:c r="AI124" t="str">
        <x:v>Overall P-value includes non-randomized Group C</x:v>
      </x:c>
      <x:c r="AJ124" t="str">
        <x:v>24-h PONV table</x:v>
      </x:c>
      <x:c r="AK124" t="str">
        <x:v>https://drive.google.com/file/d/1tMEOwvRWIMeEmBmKfeHEt7YF10yxslUe/view?usp=drivesdk</x:v>
      </x:c>
      <x:c r="AL124" t="str">
        <x:v>SOURCE-VERIFIED</x:v>
      </x:c>
    </x:row>
    <x:row r="125">
      <x:c r="A125" t="str">
        <x:v>Ma 2026</x:v>
      </x:c>
      <x:c r="B125" t="str">
        <x:v>MA26_T_vs_S_OPIOID24</x:v>
      </x:c>
      <x:c r="C125" t="str">
        <x:v>Group T: sleep disturbance + preop TEAS</x:v>
      </x:c>
      <x:c r="D125" t="str">
        <x:v>Group S: sleep disturbance, no TEAS</x:v>
      </x:c>
      <x:c r="E125" t="str">
        <x:v>Opioid consumption</x:v>
      </x:c>
      <x:c r="F125" t="str">
        <x:v>Cumulative postoperative opioid consumption</x:v>
      </x:c>
      <x:c r="G125" t="str">
        <x:v>0-24 h</x:v>
      </x:c>
      <x:c r="H125" t="str">
        <x:v>Not reported</x:v>
      </x:c>
      <x:c r="I125" t="n">
        <x:v>18</x:v>
      </x:c>
      <x:c r="J125" t="n">
        <x:v>17</x:v>
      </x:c>
      <x:c r="K125" t="n">
        <x:v>17</x:v>
      </x:c>
      <x:c r="L125" t="n">
        <x:v>16</x:v>
      </x:c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 t="str">
        <x:v>mg/µg</x:v>
      </x:c>
      <x:c r="Z125" t="str"/>
      <x:c r="AA125" t="str">
        <x:v>No</x:v>
      </x:c>
      <x:c r="AB125" t="str">
        <x:v>No</x:v>
      </x:c>
      <x:c r="AC125" t="str">
        <x:f>IF(H125="Mean/SD","MD",IF(H125="Events/total","RR",""))</x:f>
      </x:c>
      <x:c r="AD125" t="str">
        <x:f>IF(H125="Mean/SD",M125-S125,IF(H125="Events/total",IFERROR((R125/K125)/(X125/L125),""),""))</x:f>
      </x:c>
      <x:c r="AE125" t="str">
        <x:v>No</x:v>
      </x:c>
      <x:c r="AF125" t="str">
        <x:v>No</x:v>
      </x:c>
      <x:c r="AG125" t="str">
        <x:v>Not eligible for continuous 24-h opioid meta-analysis</x:v>
      </x:c>
      <x:c r="AH125" t="str">
        <x:v>No</x:v>
      </x:c>
      <x:c r="AI125" t="str">
        <x:v>Routine postoperative analgesia was non-opioid flurbiprofen; whether any postoperative opioid was given is not reported</x:v>
      </x:c>
      <x:c r="AJ125" t="str">
        <x:v>Postoperative analgesia section</x:v>
      </x:c>
      <x:c r="AK125" t="str">
        <x:v>https://drive.google.com/file/d/1tMEOwvRWIMeEmBmKfeHEt7YF10yxslUe/view?usp=drivesdk</x:v>
      </x:c>
      <x:c r="AL125" t="str">
        <x:v>MISSING / POSTOP OPIOID USE NR</x:v>
      </x:c>
    </x:row>
    <x:row r="126">
      <x:c r="A126" t="str">
        <x:v>Lu 2021</x:v>
      </x:c>
      <x:c r="B126" t="str">
        <x:v>LU21_COMB_vs_SHAM_CHRONIC6M</x:v>
      </x:c>
      <x:c r="C126" t="str">
        <x:v>Combined PC6+CV17 TEAS</x:v>
      </x:c>
      <x:c r="D126" t="str">
        <x:v>Sham/no current</x:v>
      </x:c>
      <x:c r="E126" t="str">
        <x:v>Chronic pain</x:v>
      </x:c>
      <x:c r="F126" t="str">
        <x:v>Post-mastectomy chronic pain incidence</x:v>
      </x:c>
      <x:c r="G126" t="str">
        <x:v>6 months</x:v>
      </x:c>
      <x:c r="H126" t="str">
        <x:v>Events/total</x:v>
      </x:c>
      <x:c r="I126" t="n">
        <x:v>190</x:v>
      </x:c>
      <x:c r="J126" t="n">
        <x:v>188</x:v>
      </x:c>
      <x:c r="K126" t="n">
        <x:v>190</x:v>
      </x:c>
      <x:c r="L126" t="n">
        <x:v>188</x:v>
      </x:c>
      <x:c r="M126"/>
      <x:c r="N126"/>
      <x:c r="O126"/>
      <x:c r="P126"/>
      <x:c r="Q126"/>
      <x:c r="R126" t="n">
        <x:v>42</x:v>
      </x:c>
      <x:c r="S126"/>
      <x:c r="T126"/>
      <x:c r="U126"/>
      <x:c r="V126"/>
      <x:c r="W126"/>
      <x:c r="X126" t="n">
        <x:v>65</x:v>
      </x:c>
      <x:c r="Y126" t="str">
        <x:v>participants</x:v>
      </x:c>
      <x:c r="Z126" t="str">
        <x:v>Overall P=0.005; combined vs sham pairwise P varies by article section</x:v>
      </x:c>
      <x:c r="AA126" t="str">
        <x:v>Yes</x:v>
      </x:c>
      <x:c r="AB126" t="str">
        <x:v>No</x:v>
      </x:c>
      <x:c r="AC126" t="str">
        <x:f>IF(H126="Mean/SD","MD",IF(H126="Events/total","RR",""))</x:f>
        <x:v>RR</x:v>
      </x:c>
      <x:c r="AD126" t="n">
        <x:f>IF(H126="Mean/SD",M126-S126,IF(H126="Events/total",IFERROR((R126/K126)/(X126/L126),""),""))</x:f>
        <x:v>0.6393522267206477</x:v>
      </x:c>
      <x:c r="AE126" t="str">
        <x:v>No</x:v>
      </x:c>
      <x:c r="AF126" t="str">
        <x:v>No</x:v>
      </x:c>
      <x:c r="AG126" t="str">
        <x:v>Eligible for dichotomous chronic-pain analysis using raw event counts</x:v>
      </x:c>
      <x:c r="AH126" t="str">
        <x:v>Yes</x:v>
      </x:c>
      <x:c r="AI126" t="str">
        <x:v>Printed RR/P-values conflict across abstract, Results and Table 2; raw counts 42/190 vs 65/188 are the stable source facts</x:v>
      </x:c>
      <x:c r="AJ126" t="str">
        <x:v>Table 2 / primary 6-month chronic pain</x:v>
      </x:c>
      <x:c r="AK126" t="str">
        <x:v>https://drive.google.com/file/d/1MgD_OucfiyNEDdDe3osh8W01U1yYZs08/view?usp=drivesdk</x:v>
      </x:c>
      <x:c r="AL126" t="str">
        <x:v>SOURCE-VERIFIED / PUBLISHED EFFECT QC</x:v>
      </x:c>
    </x:row>
    <x:row r="127">
      <x:c r="A127" t="str">
        <x:v>Lu 2021</x:v>
      </x:c>
      <x:c r="B127" t="str">
        <x:v>LU21_SINGLE_vs_SHAM_CHRONIC6M</x:v>
      </x:c>
      <x:c r="C127" t="str">
        <x:v>Single PC6 TEAS</x:v>
      </x:c>
      <x:c r="D127" t="str">
        <x:v>Sham/no current</x:v>
      </x:c>
      <x:c r="E127" t="str">
        <x:v>Chronic pain</x:v>
      </x:c>
      <x:c r="F127" t="str">
        <x:v>Post-mastectomy chronic pain incidence</x:v>
      </x:c>
      <x:c r="G127" t="str">
        <x:v>6 months</x:v>
      </x:c>
      <x:c r="H127" t="str">
        <x:v>Events/total</x:v>
      </x:c>
      <x:c r="I127" t="n">
        <x:v>198</x:v>
      </x:c>
      <x:c r="J127" t="n">
        <x:v>188</x:v>
      </x:c>
      <x:c r="K127" t="n">
        <x:v>198</x:v>
      </x:c>
      <x:c r="L127" t="n">
        <x:v>188</x:v>
      </x:c>
      <x:c r="M127"/>
      <x:c r="N127"/>
      <x:c r="O127"/>
      <x:c r="P127"/>
      <x:c r="Q127"/>
      <x:c r="R127" t="n">
        <x:v>72</x:v>
      </x:c>
      <x:c r="S127"/>
      <x:c r="T127"/>
      <x:c r="U127"/>
      <x:c r="V127"/>
      <x:c r="W127"/>
      <x:c r="X127" t="n">
        <x:v>65</x:v>
      </x:c>
      <x:c r="Y127" t="str">
        <x:v>participants</x:v>
      </x:c>
      <x:c r="Z127" t="str">
        <x:v>Overall P=0.005; single vs sham pairwise P reported 0.71 in Table 2</x:v>
      </x:c>
      <x:c r="AA127" t="str">
        <x:v>Yes</x:v>
      </x:c>
      <x:c r="AB127" t="str">
        <x:v>No</x:v>
      </x:c>
      <x:c r="AC127" t="str">
        <x:f>IF(H127="Mean/SD","MD",IF(H127="Events/total","RR",""))</x:f>
        <x:v>RR</x:v>
      </x:c>
      <x:c r="AD127" t="n">
        <x:f>IF(H127="Mean/SD",M127-S127,IF(H127="Events/total",IFERROR((R127/K127)/(X127/L127),""),""))</x:f>
        <x:v>1.0517482517482517</x:v>
      </x:c>
      <x:c r="AE127" t="str">
        <x:v>No</x:v>
      </x:c>
      <x:c r="AF127" t="str">
        <x:v>No</x:v>
      </x:c>
      <x:c r="AG127" t="str">
        <x:v>Eligible only with explicit source-conflict sensitivity handling</x:v>
      </x:c>
      <x:c r="AH127" t="str">
        <x:v>Yes</x:v>
      </x:c>
      <x:c r="AI127" t="str">
        <x:v>Table 2 gives 72/198; Results prose gives 79/196. Preserve Table 2 here and flag conflict rather than silently reconcile</x:v>
      </x:c>
      <x:c r="AJ127" t="str">
        <x:v>Table 2 / primary 6-month chronic pain</x:v>
      </x:c>
      <x:c r="AK127" t="str">
        <x:v>https://drive.google.com/file/d/1MgD_OucfiyNEDdDe3osh8W01U1yYZs08/view?usp=drivesdk</x:v>
      </x:c>
      <x:c r="AL127" t="str">
        <x:v>SOURCE-VERIFIED / DENOMINATOR CONFLICT</x:v>
      </x:c>
    </x:row>
    <x:row r="128">
      <x:c r="A128" t="str">
        <x:v>Lu 2021</x:v>
      </x:c>
      <x:c r="B128" t="str">
        <x:v>LU21_COMB_vs_SHAM_REMI</x:v>
      </x:c>
      <x:c r="C128" t="str">
        <x:v>Combined PC6+CV17 TEAS</x:v>
      </x:c>
      <x:c r="D128" t="str">
        <x:v>Sham/no current</x:v>
      </x:c>
      <x:c r="E128" t="str">
        <x:v>Intraoperative opioid</x:v>
      </x:c>
      <x:c r="F128" t="str">
        <x:v>Total remifentanil</x:v>
      </x:c>
      <x:c r="G128" t="str">
        <x:v>Intraoperative</x:v>
      </x:c>
      <x:c r="H128" t="str">
        <x:v>Mean/SD</x:v>
      </x:c>
      <x:c r="I128" t="n">
        <x:v>190</x:v>
      </x:c>
      <x:c r="J128" t="n">
        <x:v>188</x:v>
      </x:c>
      <x:c r="K128" t="n">
        <x:v>190</x:v>
      </x:c>
      <x:c r="L128" t="n">
        <x:v>188</x:v>
      </x:c>
      <x:c r="M128" t="n">
        <x:v>1.2</x:v>
      </x:c>
      <x:c r="N128" t="n">
        <x:v>0.5</x:v>
      </x:c>
      <x:c r="O128"/>
      <x:c r="P128"/>
      <x:c r="Q128"/>
      <x:c r="R128"/>
      <x:c r="S128" t="n">
        <x:v>1.4</x:v>
      </x:c>
      <x:c r="T128" t="n">
        <x:v>0.7</x:v>
      </x:c>
      <x:c r="U128"/>
      <x:c r="V128"/>
      <x:c r="W128"/>
      <x:c r="X128"/>
      <x:c r="Y128" t="str">
        <x:v>mg remifentanil</x:v>
      </x:c>
      <x:c r="Z128" t="str">
        <x:v>P&lt;0.001 combined vs sham</x:v>
      </x:c>
      <x:c r="AA128" t="str">
        <x:v>Yes</x:v>
      </x:c>
      <x:c r="AB128" t="str">
        <x:v>No</x:v>
      </x:c>
      <x:c r="AC128" t="str">
        <x:f>IF(H128="Mean/SD","MD",IF(H128="Events/total","RR",""))</x:f>
        <x:v>MD</x:v>
      </x:c>
      <x:c r="AD128" t="n">
        <x:f>IF(H128="Mean/SD",M128-S128,IF(H128="Events/total",IFERROR((R128/K128)/(X128/L128),""),""))</x:f>
        <x:v>-0.19999999999999996</x:v>
      </x:c>
      <x:c r="AE128" t="str">
        <x:v>No</x:v>
      </x:c>
      <x:c r="AF128" t="str">
        <x:v>No</x:v>
      </x:c>
      <x:c r="AG128" t="str">
        <x:v>Eligible for intraoperative opioid-sparing analysis</x:v>
      </x:c>
      <x:c r="AH128" t="str">
        <x:v>Yes</x:v>
      </x:c>
      <x:c r="AI128" t="str">
        <x:v>Three-arm trial; sham is a shared comparator</x:v>
      </x:c>
      <x:c r="AJ128" t="str">
        <x:v>Table 3 / intraoperative remifentanil</x:v>
      </x:c>
      <x:c r="AK128" t="str">
        <x:v>https://drive.google.com/file/d/1MgD_OucfiyNEDdDe3osh8W01U1yYZs08/view?usp=drivesdk</x:v>
      </x:c>
      <x:c r="AL128" t="str">
        <x:v>SOURCE-VERIFIED</x:v>
      </x:c>
    </x:row>
    <x:row r="129">
      <x:c r="A129" t="str">
        <x:v>Lu 2021</x:v>
      </x:c>
      <x:c r="B129" t="str">
        <x:v>LU21_SINGLE_vs_SHAM_REMI</x:v>
      </x:c>
      <x:c r="C129" t="str">
        <x:v>Single PC6 TEAS</x:v>
      </x:c>
      <x:c r="D129" t="str">
        <x:v>Sham/no current</x:v>
      </x:c>
      <x:c r="E129" t="str">
        <x:v>Intraoperative opioid</x:v>
      </x:c>
      <x:c r="F129" t="str">
        <x:v>Total remifentanil</x:v>
      </x:c>
      <x:c r="G129" t="str">
        <x:v>Intraoperative</x:v>
      </x:c>
      <x:c r="H129" t="str">
        <x:v>Mean/SD</x:v>
      </x:c>
      <x:c r="I129" t="n">
        <x:v>198</x:v>
      </x:c>
      <x:c r="J129" t="n">
        <x:v>188</x:v>
      </x:c>
      <x:c r="K129" t="n">
        <x:v>198</x:v>
      </x:c>
      <x:c r="L129" t="n">
        <x:v>188</x:v>
      </x:c>
      <x:c r="M129" t="n">
        <x:v>1.3</x:v>
      </x:c>
      <x:c r="N129" t="n">
        <x:v>0.6</x:v>
      </x:c>
      <x:c r="O129"/>
      <x:c r="P129"/>
      <x:c r="Q129"/>
      <x:c r="R129"/>
      <x:c r="S129" t="n">
        <x:v>1.4</x:v>
      </x:c>
      <x:c r="T129" t="n">
        <x:v>0.7</x:v>
      </x:c>
      <x:c r="U129"/>
      <x:c r="V129"/>
      <x:c r="W129"/>
      <x:c r="X129"/>
      <x:c r="Y129" t="str">
        <x:v>mg remifentanil</x:v>
      </x:c>
      <x:c r="Z129" t="str">
        <x:v>P=0.04 single vs sham; not significant after Bonferroni alpha 0.0125</x:v>
      </x:c>
      <x:c r="AA129" t="str">
        <x:v>Yes</x:v>
      </x:c>
      <x:c r="AB129" t="str">
        <x:v>No</x:v>
      </x:c>
      <x:c r="AC129" t="str">
        <x:f>IF(H129="Mean/SD","MD",IF(H129="Events/total","RR",""))</x:f>
        <x:v>MD</x:v>
      </x:c>
      <x:c r="AD129" t="n">
        <x:f>IF(H129="Mean/SD",M129-S129,IF(H129="Events/total",IFERROR((R129/K129)/(X129/L129),""),""))</x:f>
        <x:v>-0.09999999999999987</x:v>
      </x:c>
      <x:c r="AE129" t="str">
        <x:v>No</x:v>
      </x:c>
      <x:c r="AF129" t="str">
        <x:v>No</x:v>
      </x:c>
      <x:c r="AG129" t="str">
        <x:v>Eligible for intraoperative opioid analysis with multiplicity-aware interpretation</x:v>
      </x:c>
      <x:c r="AH129" t="str">
        <x:v>Yes</x:v>
      </x:c>
      <x:c r="AI129" t="str">
        <x:v>Three-arm trial; do not describe P=0.04 as multiplicity-adjusted significant</x:v>
      </x:c>
      <x:c r="AJ129" t="str">
        <x:v>Table 3 / intraoperative remifentanil</x:v>
      </x:c>
      <x:c r="AK129" t="str">
        <x:v>https://drive.google.com/file/d/1MgD_OucfiyNEDdDe3osh8W01U1yYZs08/view?usp=drivesdk</x:v>
      </x:c>
      <x:c r="AL129" t="str">
        <x:v>SOURCE-VERIFIED</x:v>
      </x:c>
    </x:row>
    <x:row r="130">
      <x:c r="A130" t="str">
        <x:v>Lu 2021</x:v>
      </x:c>
      <x:c r="B130" t="str">
        <x:v>LU21_COMB_vs_SHAM_PONV24</x:v>
      </x:c>
      <x:c r="C130" t="str">
        <x:v>Combined PC6+CV17 TEAS</x:v>
      </x:c>
      <x:c r="D130" t="str">
        <x:v>Sham/no current</x:v>
      </x:c>
      <x:c r="E130" t="str">
        <x:v>PONV</x:v>
      </x:c>
      <x:c r="F130" t="str">
        <x:v>Any PONV</x:v>
      </x:c>
      <x:c r="G130" t="str">
        <x:v>24 h</x:v>
      </x:c>
      <x:c r="H130" t="str">
        <x:v>Events/total</x:v>
      </x:c>
      <x:c r="I130" t="n">
        <x:v>190</x:v>
      </x:c>
      <x:c r="J130" t="n">
        <x:v>188</x:v>
      </x:c>
      <x:c r="K130" t="n">
        <x:v>190</x:v>
      </x:c>
      <x:c r="L130" t="n">
        <x:v>188</x:v>
      </x:c>
      <x:c r="M130"/>
      <x:c r="N130"/>
      <x:c r="O130"/>
      <x:c r="P130"/>
      <x:c r="Q130"/>
      <x:c r="R130" t="n">
        <x:v>35</x:v>
      </x:c>
      <x:c r="S130"/>
      <x:c r="T130"/>
      <x:c r="U130"/>
      <x:c r="V130"/>
      <x:c r="W130"/>
      <x:c r="X130" t="n">
        <x:v>68</x:v>
      </x:c>
      <x:c r="Y130" t="str">
        <x:v>participants</x:v>
      </x:c>
      <x:c r="Z130" t="str">
        <x:v>Overall P=0.0001</x:v>
      </x:c>
      <x:c r="AA130" t="str">
        <x:v>Yes</x:v>
      </x:c>
      <x:c r="AB130" t="str">
        <x:v>No</x:v>
      </x:c>
      <x:c r="AC130" t="str">
        <x:f>IF(H130="Mean/SD","MD",IF(H130="Events/total","RR",""))</x:f>
        <x:v>RR</x:v>
      </x:c>
      <x:c r="AD130" t="n">
        <x:f>IF(H130="Mean/SD",M130-S130,IF(H130="Events/total",IFERROR((R130/K130)/(X130/L130),""),""))</x:f>
        <x:v>0.5092879256965943</x:v>
      </x:c>
      <x:c r="AE130" t="str">
        <x:v>No</x:v>
      </x:c>
      <x:c r="AF130" t="str">
        <x:v>No</x:v>
      </x:c>
      <x:c r="AG130" t="str">
        <x:v>Eligible for dichotomous 24-h PONV analysis</x:v>
      </x:c>
      <x:c r="AH130" t="str">
        <x:v>Yes</x:v>
      </x:c>
      <x:c r="AI130" t="str">
        <x:v>Use raw event counts; three-arm shared sham comparator</x:v>
      </x:c>
      <x:c r="AJ130" t="str">
        <x:v>24-h PONV table</x:v>
      </x:c>
      <x:c r="AK130" t="str">
        <x:v>https://drive.google.com/file/d/1MgD_OucfiyNEDdDe3osh8W01U1yYZs08/view?usp=drivesdk</x:v>
      </x:c>
      <x:c r="AL130" t="str">
        <x:v>SOURCE-VERIFIED</x:v>
      </x:c>
    </x:row>
    <x:row r="131">
      <x:c r="A131" t="str">
        <x:v>Lu 2021</x:v>
      </x:c>
      <x:c r="B131" t="str">
        <x:v>LU21_SINGLE_vs_SHAM_PONV24</x:v>
      </x:c>
      <x:c r="C131" t="str">
        <x:v>Single PC6 TEAS</x:v>
      </x:c>
      <x:c r="D131" t="str">
        <x:v>Sham/no current</x:v>
      </x:c>
      <x:c r="E131" t="str">
        <x:v>PONV</x:v>
      </x:c>
      <x:c r="F131" t="str">
        <x:v>Any PONV</x:v>
      </x:c>
      <x:c r="G131" t="str">
        <x:v>24 h</x:v>
      </x:c>
      <x:c r="H131" t="str">
        <x:v>Events/total</x:v>
      </x:c>
      <x:c r="I131" t="n">
        <x:v>198</x:v>
      </x:c>
      <x:c r="J131" t="n">
        <x:v>188</x:v>
      </x:c>
      <x:c r="K131" t="n">
        <x:v>198</x:v>
      </x:c>
      <x:c r="L131" t="n">
        <x:v>188</x:v>
      </x:c>
      <x:c r="M131"/>
      <x:c r="N131"/>
      <x:c r="O131"/>
      <x:c r="P131"/>
      <x:c r="Q131"/>
      <x:c r="R131" t="n">
        <x:v>59</x:v>
      </x:c>
      <x:c r="S131"/>
      <x:c r="T131"/>
      <x:c r="U131"/>
      <x:c r="V131"/>
      <x:c r="W131"/>
      <x:c r="X131" t="n">
        <x:v>68</x:v>
      </x:c>
      <x:c r="Y131" t="str">
        <x:v>participants</x:v>
      </x:c>
      <x:c r="Z131" t="str">
        <x:v>Overall P=0.0001</x:v>
      </x:c>
      <x:c r="AA131" t="str">
        <x:v>Yes</x:v>
      </x:c>
      <x:c r="AB131" t="str">
        <x:v>No</x:v>
      </x:c>
      <x:c r="AC131" t="str">
        <x:f>IF(H131="Mean/SD","MD",IF(H131="Events/total","RR",""))</x:f>
        <x:v>RR</x:v>
      </x:c>
      <x:c r="AD131" t="n">
        <x:f>IF(H131="Mean/SD",M131-S131,IF(H131="Events/total",IFERROR((R131/K131)/(X131/L131),""),""))</x:f>
        <x:v>0.8238265002970884</x:v>
      </x:c>
      <x:c r="AE131" t="str">
        <x:v>No</x:v>
      </x:c>
      <x:c r="AF131" t="str">
        <x:v>No</x:v>
      </x:c>
      <x:c r="AG131" t="str">
        <x:v>Eligible for dichotomous 24-h PONV analysis with multi-arm adjustment</x:v>
      </x:c>
      <x:c r="AH131" t="str">
        <x:v>Yes</x:v>
      </x:c>
      <x:c r="AI131" t="str">
        <x:v>Overall P is three-group; pairwise significance should not be inferred unless directly reported</x:v>
      </x:c>
      <x:c r="AJ131" t="str">
        <x:v>24-h PONV table</x:v>
      </x:c>
      <x:c r="AK131" t="str">
        <x:v>https://drive.google.com/file/d/1MgD_OucfiyNEDdDe3osh8W01U1yYZs08/view?usp=drivesdk</x:v>
      </x:c>
      <x:c r="AL131" t="str">
        <x:v>SOURCE-VERIFIED</x:v>
      </x:c>
    </x:row>
    <x:row r="132">
      <x:c r="A132" t="str">
        <x:v>Lu 2021</x:v>
      </x:c>
      <x:c r="B132" t="str">
        <x:v>LU21_POSTOP_OPIOID24</x:v>
      </x:c>
      <x:c r="C132" t="str">
        <x:v>TEAS arms</x:v>
      </x:c>
      <x:c r="D132" t="str">
        <x:v>Sham/no current</x:v>
      </x:c>
      <x:c r="E132" t="str">
        <x:v>Opioid consumption</x:v>
      </x:c>
      <x:c r="F132" t="str">
        <x:v>Cumulative postoperative sufentanil PCA consumption</x:v>
      </x:c>
      <x:c r="G132" t="str">
        <x:v>0-24 h</x:v>
      </x:c>
      <x:c r="H132" t="str">
        <x:v>Not reported</x:v>
      </x:c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 t="str">
        <x:v>µg sufentanil</x:v>
      </x:c>
      <x:c r="Z132" t="str"/>
      <x:c r="AA132" t="str">
        <x:v>No</x:v>
      </x:c>
      <x:c r="AB132" t="str">
        <x:v>No</x:v>
      </x:c>
      <x:c r="AC132" t="str">
        <x:f>IF(H132="Mean/SD","MD",IF(H132="Events/total","RR",""))</x:f>
      </x:c>
      <x:c r="AD132" t="str">
        <x:f>IF(H132="Mean/SD",M132-S132,IF(H132="Events/total",IFERROR((R132/K132)/(X132/L132),""),""))</x:f>
      </x:c>
      <x:c r="AE132" t="str">
        <x:v>No</x:v>
      </x:c>
      <x:c r="AF132" t="str">
        <x:v>No</x:v>
      </x:c>
      <x:c r="AG132" t="str">
        <x:v>Not eligible for continuous 24-h postoperative opioid meta-analysis</x:v>
      </x:c>
      <x:c r="AH132" t="str">
        <x:v>Yes</x:v>
      </x:c>
      <x:c r="AI132" t="str">
        <x:v>PCA opioid is sufentanil but prescription and cumulative 24-h consumption are not reported</x:v>
      </x:c>
      <x:c r="AJ132" t="str">
        <x:v>Postoperative PCA section</x:v>
      </x:c>
      <x:c r="AK132" t="str">
        <x:v>https://drive.google.com/file/d/1MgD_OucfiyNEDdDe3osh8W01U1yYZs08/view?usp=drivesdk</x:v>
      </x:c>
      <x:c r="AL132" t="str">
        <x:v>MISSING / AUTHOR DATA NEEDED</x:v>
      </x:c>
    </x:row>
    <x:row r="133">
      <x:c r="A133" t="str">
        <x:v>Lu 2022</x:v>
      </x:c>
      <x:c r="B133" t="str">
        <x:v>LU22_TEAS_vs_CTRL_DISCHARGE</x:v>
      </x:c>
      <x:c r="C133" t="str">
        <x:v>TEAS + ERAS</x:v>
      </x:c>
      <x:c r="D133" t="str">
        <x:v>No-current control + ERAS</x:v>
      </x:c>
      <x:c r="E133" t="str">
        <x:v>Recovery</x:v>
      </x:c>
      <x:c r="F133" t="str">
        <x:v>Time to meet discharge criteria</x:v>
      </x:c>
      <x:c r="G133" t="str">
        <x:v>Postoperative</x:v>
      </x:c>
      <x:c r="H133" t="str">
        <x:v>Mean/SD</x:v>
      </x:c>
      <x:c r="I133" t="n">
        <x:v>50</x:v>
      </x:c>
      <x:c r="J133" t="n">
        <x:v>50</x:v>
      </x:c>
      <x:c r="K133" t="n">
        <x:v>47</x:v>
      </x:c>
      <x:c r="L133" t="n">
        <x:v>47</x:v>
      </x:c>
      <x:c r="M133" t="n">
        <x:v>6</x:v>
      </x:c>
      <x:c r="N133" t="n">
        <x:v>1.8</x:v>
      </x:c>
      <x:c r="O133"/>
      <x:c r="P133"/>
      <x:c r="Q133"/>
      <x:c r="R133"/>
      <x:c r="S133" t="n">
        <x:v>7</x:v>
      </x:c>
      <x:c r="T133" t="n">
        <x:v>2.4</x:v>
      </x:c>
      <x:c r="U133"/>
      <x:c r="V133"/>
      <x:c r="W133"/>
      <x:c r="X133"/>
      <x:c r="Y133" t="str">
        <x:v>days</x:v>
      </x:c>
      <x:c r="Z133" t="str">
        <x:v>0.02</x:v>
      </x:c>
      <x:c r="AA133" t="str">
        <x:v>Yes</x:v>
      </x:c>
      <x:c r="AB133" t="str">
        <x:v>No</x:v>
      </x:c>
      <x:c r="AC133" t="str">
        <x:f>IF(H133="Mean/SD","MD",IF(H133="Events/total","RR",""))</x:f>
        <x:v>MD</x:v>
      </x:c>
      <x:c r="AD133" t="n">
        <x:f>IF(H133="Mean/SD",M133-S133,IF(H133="Events/total",IFERROR((R133/K133)/(X133/L133),""),""))</x:f>
        <x:v>-1</x:v>
      </x:c>
      <x:c r="AE133" t="str">
        <x:v>No</x:v>
      </x:c>
      <x:c r="AF133" t="str">
        <x:v>No</x:v>
      </x:c>
      <x:c r="AG133" t="str">
        <x:v>Eligible for recovery-time meta-analysis</x:v>
      </x:c>
      <x:c r="AH133" t="str">
        <x:v>No</x:v>
      </x:c>
      <x:c r="AI133" t="str">
        <x:v>Six randomized patients were excluded because they did not receive allocated intervention; open conversion is plausibly related to discharge time</x:v>
      </x:c>
      <x:c r="AJ133" t="str">
        <x:v>Primary outcome / time to discharge</x:v>
      </x:c>
      <x:c r="AK133" t="str">
        <x:v>https://drive.google.com/file/d/12Y86huNMuLC8cPH-L2vwlEd7r1X1Qela/view?usp=drivesdk</x:v>
      </x:c>
      <x:c r="AL133" t="str">
        <x:v>SOURCE-VERIFIED / ATTRITION QC</x:v>
      </x:c>
    </x:row>
    <x:row r="134">
      <x:c r="A134" t="str">
        <x:v>Lu 2022</x:v>
      </x:c>
      <x:c r="B134" t="str">
        <x:v>LU22_TEAS_vs_CTRL_FLATUS</x:v>
      </x:c>
      <x:c r="C134" t="str">
        <x:v>TEAS + ERAS</x:v>
      </x:c>
      <x:c r="D134" t="str">
        <x:v>No-current control + ERAS</x:v>
      </x:c>
      <x:c r="E134" t="str">
        <x:v>GI recovery</x:v>
      </x:c>
      <x:c r="F134" t="str">
        <x:v>Time to first flatus</x:v>
      </x:c>
      <x:c r="G134" t="str">
        <x:v>Postoperative</x:v>
      </x:c>
      <x:c r="H134" t="str">
        <x:v>Mean/SD</x:v>
      </x:c>
      <x:c r="I134" t="n">
        <x:v>50</x:v>
      </x:c>
      <x:c r="J134" t="n">
        <x:v>50</x:v>
      </x:c>
      <x:c r="K134" t="n">
        <x:v>47</x:v>
      </x:c>
      <x:c r="L134" t="n">
        <x:v>47</x:v>
      </x:c>
      <x:c r="M134" t="n">
        <x:v>34.5</x:v>
      </x:c>
      <x:c r="N134" t="n">
        <x:v>16.7</x:v>
      </x:c>
      <x:c r="O134"/>
      <x:c r="P134"/>
      <x:c r="Q134"/>
      <x:c r="R134"/>
      <x:c r="S134" t="n">
        <x:v>42.4</x:v>
      </x:c>
      <x:c r="T134" t="n">
        <x:v>22.9</x:v>
      </x:c>
      <x:c r="U134"/>
      <x:c r="V134"/>
      <x:c r="W134"/>
      <x:c r="X134"/>
      <x:c r="Y134" t="str">
        <x:v>hours</x:v>
      </x:c>
      <x:c r="Z134" t="str">
        <x:v>0.03</x:v>
      </x:c>
      <x:c r="AA134" t="str">
        <x:v>Yes</x:v>
      </x:c>
      <x:c r="AB134" t="str">
        <x:v>No</x:v>
      </x:c>
      <x:c r="AC134" t="str">
        <x:f>IF(H134="Mean/SD","MD",IF(H134="Events/total","RR",""))</x:f>
        <x:v>MD</x:v>
      </x:c>
      <x:c r="AD134" t="n">
        <x:f>IF(H134="Mean/SD",M134-S134,IF(H134="Events/total",IFERROR((R134/K134)/(X134/L134),""),""))</x:f>
        <x:v>-7.899999999999999</x:v>
      </x:c>
      <x:c r="AE134" t="str">
        <x:v>No</x:v>
      </x:c>
      <x:c r="AF134" t="str">
        <x:v>No</x:v>
      </x:c>
      <x:c r="AG134" t="str">
        <x:v>Eligible for GI-recovery meta-analysis</x:v>
      </x:c>
      <x:c r="AH134" t="str">
        <x:v>No</x:v>
      </x:c>
      <x:c r="AI134" t="str">
        <x:v>Same 6 post-randomization exclusions apply</x:v>
      </x:c>
      <x:c r="AJ134" t="str">
        <x:v>First flatus result</x:v>
      </x:c>
      <x:c r="AK134" t="str">
        <x:v>https://drive.google.com/file/d/12Y86huNMuLC8cPH-L2vwlEd7r1X1Qela/view?usp=drivesdk</x:v>
      </x:c>
      <x:c r="AL134" t="str">
        <x:v>SOURCE-VERIFIED / ATTRITION QC</x:v>
      </x:c>
    </x:row>
    <x:row r="135">
      <x:c r="A135" t="str">
        <x:v>Lu 2022</x:v>
      </x:c>
      <x:c r="B135" t="str">
        <x:v>LU22_TEAS_vs_CTRL_DEFEC</x:v>
      </x:c>
      <x:c r="C135" t="str">
        <x:v>TEAS + ERAS</x:v>
      </x:c>
      <x:c r="D135" t="str">
        <x:v>No-current control + ERAS</x:v>
      </x:c>
      <x:c r="E135" t="str">
        <x:v>GI recovery</x:v>
      </x:c>
      <x:c r="F135" t="str">
        <x:v>Time to first defecation</x:v>
      </x:c>
      <x:c r="G135" t="str">
        <x:v>Postoperative</x:v>
      </x:c>
      <x:c r="H135" t="str">
        <x:v>Mean/SD</x:v>
      </x:c>
      <x:c r="I135" t="n">
        <x:v>50</x:v>
      </x:c>
      <x:c r="J135" t="n">
        <x:v>50</x:v>
      </x:c>
      <x:c r="K135" t="n">
        <x:v>47</x:v>
      </x:c>
      <x:c r="L135" t="n">
        <x:v>47</x:v>
      </x:c>
      <x:c r="M135" t="n">
        <x:v>42</x:v>
      </x:c>
      <x:c r="N135" t="n">
        <x:v>25</x:v>
      </x:c>
      <x:c r="O135"/>
      <x:c r="P135"/>
      <x:c r="Q135"/>
      <x:c r="R135"/>
      <x:c r="S135" t="n">
        <x:v>55.4</x:v>
      </x:c>
      <x:c r="T135" t="n">
        <x:v>29.7</x:v>
      </x:c>
      <x:c r="U135"/>
      <x:c r="V135"/>
      <x:c r="W135"/>
      <x:c r="X135"/>
      <x:c r="Y135" t="str">
        <x:v>hours</x:v>
      </x:c>
      <x:c r="Z135" t="str">
        <x:v>0.03</x:v>
      </x:c>
      <x:c r="AA135" t="str">
        <x:v>Yes</x:v>
      </x:c>
      <x:c r="AB135" t="str">
        <x:v>No</x:v>
      </x:c>
      <x:c r="AC135" t="str">
        <x:f>IF(H135="Mean/SD","MD",IF(H135="Events/total","RR",""))</x:f>
        <x:v>MD</x:v>
      </x:c>
      <x:c r="AD135" t="n">
        <x:f>IF(H135="Mean/SD",M135-S135,IF(H135="Events/total",IFERROR((R135/K135)/(X135/L135),""),""))</x:f>
        <x:v>-13.399999999999999</x:v>
      </x:c>
      <x:c r="AE135" t="str">
        <x:v>No</x:v>
      </x:c>
      <x:c r="AF135" t="str">
        <x:v>No</x:v>
      </x:c>
      <x:c r="AG135" t="str">
        <x:v>Eligible for GI-recovery meta-analysis</x:v>
      </x:c>
      <x:c r="AH135" t="str">
        <x:v>No</x:v>
      </x:c>
      <x:c r="AI135" t="str">
        <x:v>Same 6 post-randomization exclusions apply</x:v>
      </x:c>
      <x:c r="AJ135" t="str">
        <x:v>First defecation result</x:v>
      </x:c>
      <x:c r="AK135" t="str">
        <x:v>https://drive.google.com/file/d/12Y86huNMuLC8cPH-L2vwlEd7r1X1Qela/view?usp=drivesdk</x:v>
      </x:c>
      <x:c r="AL135" t="str">
        <x:v>SOURCE-VERIFIED / ATTRITION QC</x:v>
      </x:c>
    </x:row>
    <x:row r="136">
      <x:c r="A136" t="str">
        <x:v>Lu 2022</x:v>
      </x:c>
      <x:c r="B136" t="str">
        <x:v>LU22_TEAS_vs_CTRL_PCAATTEMPT24</x:v>
      </x:c>
      <x:c r="C136" t="str">
        <x:v>TEAS + ERAS</x:v>
      </x:c>
      <x:c r="D136" t="str">
        <x:v>No-current control + ERAS</x:v>
      </x:c>
      <x:c r="E136" t="str">
        <x:v>Opioid demand</x:v>
      </x:c>
      <x:c r="F136" t="str">
        <x:v>PCA attempts</x:v>
      </x:c>
      <x:c r="G136" t="str">
        <x:v>24 h</x:v>
      </x:c>
      <x:c r="H136" t="str">
        <x:v>Median/IQR</x:v>
      </x:c>
      <x:c r="I136" t="n">
        <x:v>50</x:v>
      </x:c>
      <x:c r="J136" t="n">
        <x:v>50</x:v>
      </x:c>
      <x:c r="K136" t="n">
        <x:v>47</x:v>
      </x:c>
      <x:c r="L136" t="n">
        <x:v>47</x:v>
      </x:c>
      <x:c r="M136"/>
      <x:c r="N136"/>
      <x:c r="O136" t="n">
        <x:v>8</x:v>
      </x:c>
      <x:c r="P136" t="n">
        <x:v>3</x:v>
      </x:c>
      <x:c r="Q136" t="n">
        <x:v>18</x:v>
      </x:c>
      <x:c r="R136"/>
      <x:c r="S136"/>
      <x:c r="T136"/>
      <x:c r="U136" t="n">
        <x:v>16.5</x:v>
      </x:c>
      <x:c r="V136" t="n">
        <x:v>8</x:v>
      </x:c>
      <x:c r="W136" t="n">
        <x:v>38</x:v>
      </x:c>
      <x:c r="X136"/>
      <x:c r="Y136" t="str">
        <x:v>attempts</x:v>
      </x:c>
      <x:c r="Z136" t="str">
        <x:v>0.001</x:v>
      </x:c>
      <x:c r="AA136" t="str">
        <x:v>Yes</x:v>
      </x:c>
      <x:c r="AB136" t="str">
        <x:v>No</x:v>
      </x:c>
      <x:c r="AC136" t="str">
        <x:f>IF(H136="Mean/SD","MD",IF(H136="Events/total","RR",""))</x:f>
      </x:c>
      <x:c r="AD136" t="str">
        <x:f>IF(H136="Mean/SD",M136-S136,IF(H136="Events/total",IFERROR((R136/K136)/(X136/L136),""),""))</x:f>
      </x:c>
      <x:c r="AE136" t="str">
        <x:v>No</x:v>
      </x:c>
      <x:c r="AF136" t="str">
        <x:v>No</x:v>
      </x:c>
      <x:c r="AG136" t="str">
        <x:v>Eligible as 24-h PCA-demand proxy only</x:v>
      </x:c>
      <x:c r="AH136" t="str">
        <x:v>No</x:v>
      </x:c>
      <x:c r="AI136" t="str">
        <x:v>PCA drug, bolus dose, concentration, basal infusion and lockout are not reported</x:v>
      </x:c>
      <x:c r="AJ136" t="str">
        <x:v>PCA table / 24-h attempts</x:v>
      </x:c>
      <x:c r="AK136" t="str">
        <x:v>https://drive.google.com/file/d/12Y86huNMuLC8cPH-L2vwlEd7r1X1Qela/view?usp=drivesdk</x:v>
      </x:c>
      <x:c r="AL136" t="str">
        <x:v>SOURCE-VERIFIED / DOSE NOT RECONSTRUCTABLE</x:v>
      </x:c>
    </x:row>
    <x:row r="137">
      <x:c r="A137" t="str">
        <x:v>Lu 2022</x:v>
      </x:c>
      <x:c r="B137" t="str">
        <x:v>LU22_TEAS_vs_CTRL_PCADELIV24</x:v>
      </x:c>
      <x:c r="C137" t="str">
        <x:v>TEAS + ERAS</x:v>
      </x:c>
      <x:c r="D137" t="str">
        <x:v>No-current control + ERAS</x:v>
      </x:c>
      <x:c r="E137" t="str">
        <x:v>Opioid demand</x:v>
      </x:c>
      <x:c r="F137" t="str">
        <x:v>Successful PCA deliveries</x:v>
      </x:c>
      <x:c r="G137" t="str">
        <x:v>24 h</x:v>
      </x:c>
      <x:c r="H137" t="str">
        <x:v>Median/IQR</x:v>
      </x:c>
      <x:c r="I137" t="n">
        <x:v>50</x:v>
      </x:c>
      <x:c r="J137" t="n">
        <x:v>50</x:v>
      </x:c>
      <x:c r="K137" t="n">
        <x:v>47</x:v>
      </x:c>
      <x:c r="L137" t="n">
        <x:v>47</x:v>
      </x:c>
      <x:c r="M137"/>
      <x:c r="N137"/>
      <x:c r="O137" t="n">
        <x:v>5</x:v>
      </x:c>
      <x:c r="P137" t="n">
        <x:v>2</x:v>
      </x:c>
      <x:c r="Q137" t="n">
        <x:v>12</x:v>
      </x:c>
      <x:c r="R137"/>
      <x:c r="S137"/>
      <x:c r="T137"/>
      <x:c r="U137" t="n">
        <x:v>12</x:v>
      </x:c>
      <x:c r="V137" t="n">
        <x:v>6</x:v>
      </x:c>
      <x:c r="W137" t="n">
        <x:v>22</x:v>
      </x:c>
      <x:c r="X137"/>
      <x:c r="Y137" t="str">
        <x:v>deliveries</x:v>
      </x:c>
      <x:c r="Z137" t="str">
        <x:v>0.001</x:v>
      </x:c>
      <x:c r="AA137" t="str">
        <x:v>Yes</x:v>
      </x:c>
      <x:c r="AB137" t="str">
        <x:v>No</x:v>
      </x:c>
      <x:c r="AC137" t="str">
        <x:f>IF(H137="Mean/SD","MD",IF(H137="Events/total","RR",""))</x:f>
      </x:c>
      <x:c r="AD137" t="str">
        <x:f>IF(H137="Mean/SD",M137-S137,IF(H137="Events/total",IFERROR((R137/K137)/(X137/L137),""),""))</x:f>
      </x:c>
      <x:c r="AE137" t="str">
        <x:v>No</x:v>
      </x:c>
      <x:c r="AF137" t="str">
        <x:v>No</x:v>
      </x:c>
      <x:c r="AG137" t="str">
        <x:v>Eligible as 24-h PCA-delivery proxy only</x:v>
      </x:c>
      <x:c r="AH137" t="str">
        <x:v>No</x:v>
      </x:c>
      <x:c r="AI137" t="str">
        <x:v>Do not convert successful deliveries into opioid dose because the PCA prescription is absent</x:v>
      </x:c>
      <x:c r="AJ137" t="str">
        <x:v>PCA table / 24-h deliveries</x:v>
      </x:c>
      <x:c r="AK137" t="str">
        <x:v>https://drive.google.com/file/d/12Y86huNMuLC8cPH-L2vwlEd7r1X1Qela/view?usp=drivesdk</x:v>
      </x:c>
      <x:c r="AL137" t="str">
        <x:v>SOURCE-VERIFIED / DOSE NOT RECONSTRUCTABLE</x:v>
      </x:c>
    </x:row>
    <x:row r="138">
      <x:c r="A138" t="str">
        <x:v>Lu 2022</x:v>
      </x:c>
      <x:c r="B138" t="str">
        <x:v>LU22_TEAS_vs_CTRL_OPIOID24</x:v>
      </x:c>
      <x:c r="C138" t="str">
        <x:v>TEAS + ERAS</x:v>
      </x:c>
      <x:c r="D138" t="str">
        <x:v>No-current control + ERAS</x:v>
      </x:c>
      <x:c r="E138" t="str">
        <x:v>Opioid consumption</x:v>
      </x:c>
      <x:c r="F138" t="str">
        <x:v>Exact cumulative PCA opioid consumption</x:v>
      </x:c>
      <x:c r="G138" t="str">
        <x:v>0-24 h</x:v>
      </x:c>
      <x:c r="H138" t="str">
        <x:v>Not reported</x:v>
      </x:c>
      <x:c r="I138" t="n">
        <x:v>50</x:v>
      </x:c>
      <x:c r="J138" t="n">
        <x:v>50</x:v>
      </x:c>
      <x:c r="K138" t="n">
        <x:v>47</x:v>
      </x:c>
      <x:c r="L138" t="n">
        <x:v>47</x:v>
      </x:c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 t="str">
        <x:v>mg/µg</x:v>
      </x:c>
      <x:c r="Z138" t="str"/>
      <x:c r="AA138" t="str">
        <x:v>No</x:v>
      </x:c>
      <x:c r="AB138" t="str">
        <x:v>No</x:v>
      </x:c>
      <x:c r="AC138" t="str">
        <x:f>IF(H138="Mean/SD","MD",IF(H138="Events/total","RR",""))</x:f>
      </x:c>
      <x:c r="AD138" t="str">
        <x:f>IF(H138="Mean/SD",M138-S138,IF(H138="Events/total",IFERROR((R138/K138)/(X138/L138),""),""))</x:f>
      </x:c>
      <x:c r="AE138" t="str">
        <x:v>No</x:v>
      </x:c>
      <x:c r="AF138" t="str">
        <x:v>No</x:v>
      </x:c>
      <x:c r="AG138" t="str">
        <x:v>Not eligible for continuous 24-h opioid meta-analysis without supplementary/author data</x:v>
      </x:c>
      <x:c r="AH138" t="str">
        <x:v>No</x:v>
      </x:c>
      <x:c r="AI138" t="str">
        <x:v>The main article never identifies the PCA drug or dose</x:v>
      </x:c>
      <x:c r="AJ138" t="str">
        <x:v>Postoperative PCA section</x:v>
      </x:c>
      <x:c r="AK138" t="str">
        <x:v>https://drive.google.com/file/d/12Y86huNMuLC8cPH-L2vwlEd7r1X1Qela/view?usp=drivesdk</x:v>
      </x:c>
      <x:c r="AL138" t="str">
        <x:v>MISSING / PCA DRUG AND DOSE NR</x:v>
      </x:c>
    </x:row>
    <x:row r="139">
      <x:c r="A139" t="str">
        <x:v>Luo 2026</x:v>
      </x:c>
      <x:c r="B139" t="str">
        <x:v>LUO26_TEAS_vs_SHAM_NAUSEA48</x:v>
      </x:c>
      <x:c r="C139" t="str">
        <x:v>Intraoperative PC6 TEAS + standard antiemetics</x:v>
      </x:c>
      <x:c r="D139" t="str">
        <x:v>Sham/no current + standard antiemetics</x:v>
      </x:c>
      <x:c r="E139" t="str">
        <x:v>PONV</x:v>
      </x:c>
      <x:c r="F139" t="str">
        <x:v>Cumulative postoperative nausea</x:v>
      </x:c>
      <x:c r="G139" t="str">
        <x:v>0-48 h</x:v>
      </x:c>
      <x:c r="H139" t="str">
        <x:v>Events/total</x:v>
      </x:c>
      <x:c r="I139" t="n">
        <x:v>138</x:v>
      </x:c>
      <x:c r="J139" t="n">
        <x:v>139</x:v>
      </x:c>
      <x:c r="K139" t="n">
        <x:v>138</x:v>
      </x:c>
      <x:c r="L139" t="n">
        <x:v>139</x:v>
      </x:c>
      <x:c r="M139"/>
      <x:c r="N139"/>
      <x:c r="O139"/>
      <x:c r="P139"/>
      <x:c r="Q139"/>
      <x:c r="R139" t="n">
        <x:v>24</x:v>
      </x:c>
      <x:c r="S139"/>
      <x:c r="T139"/>
      <x:c r="U139"/>
      <x:c r="V139"/>
      <x:c r="W139"/>
      <x:c r="X139" t="n">
        <x:v>53</x:v>
      </x:c>
      <x:c r="Y139" t="str">
        <x:v>participants</x:v>
      </x:c>
      <x:c r="Z139" t="str">
        <x:v>&lt;0.01</x:v>
      </x:c>
      <x:c r="AA139" t="str">
        <x:v>Yes</x:v>
      </x:c>
      <x:c r="AB139" t="str">
        <x:v>No</x:v>
      </x:c>
      <x:c r="AC139" t="str">
        <x:f>IF(H139="Mean/SD","MD",IF(H139="Events/total","RR",""))</x:f>
        <x:v>RR</x:v>
      </x:c>
      <x:c r="AD139" t="n">
        <x:f>IF(H139="Mean/SD",M139-S139,IF(H139="Events/total",IFERROR((R139/K139)/(X139/L139),""),""))</x:f>
        <x:v>0.45611156685808035</x:v>
      </x:c>
      <x:c r="AE139" t="str">
        <x:v>No</x:v>
      </x:c>
      <x:c r="AF139" t="str">
        <x:v>No</x:v>
      </x:c>
      <x:c r="AG139" t="str">
        <x:v>Eligible for dichotomous 48-h nausea analysis</x:v>
      </x:c>
      <x:c r="AH139" t="str">
        <x:v>No</x:v>
      </x:c>
      <x:c r="AI139" t="str">
        <x:v>Participant blinding was empirically poor: 77.5% of TEAS and 66.2% of sham participants correctly guessed allocation</x:v>
      </x:c>
      <x:c r="AJ139" t="str">
        <x:v>Primary outcome / cumulative nausea</x:v>
      </x:c>
      <x:c r="AK139" t="str">
        <x:v>https://drive.google.com/file/d/1xxZle6mPpcnmHLblJbsy1kA4CyQHpvm2/view?usp=drivesdk</x:v>
      </x:c>
      <x:c r="AL139" t="str">
        <x:v>SOURCE-VERIFIED</x:v>
      </x:c>
    </x:row>
    <x:row r="140">
      <x:c r="A140" t="str">
        <x:v>Luo 2026</x:v>
      </x:c>
      <x:c r="B140" t="str">
        <x:v>LUO26_TEAS_vs_SHAM_VOMIT48</x:v>
      </x:c>
      <x:c r="C140" t="str">
        <x:v>Intraoperative PC6 TEAS + standard antiemetics</x:v>
      </x:c>
      <x:c r="D140" t="str">
        <x:v>Sham/no current + standard antiemetics</x:v>
      </x:c>
      <x:c r="E140" t="str">
        <x:v>PONV</x:v>
      </x:c>
      <x:c r="F140" t="str">
        <x:v>Cumulative postoperative vomiting</x:v>
      </x:c>
      <x:c r="G140" t="str">
        <x:v>0-48 h</x:v>
      </x:c>
      <x:c r="H140" t="str">
        <x:v>Events/total</x:v>
      </x:c>
      <x:c r="I140" t="n">
        <x:v>138</x:v>
      </x:c>
      <x:c r="J140" t="n">
        <x:v>139</x:v>
      </x:c>
      <x:c r="K140" t="n">
        <x:v>138</x:v>
      </x:c>
      <x:c r="L140" t="n">
        <x:v>139</x:v>
      </x:c>
      <x:c r="M140"/>
      <x:c r="N140"/>
      <x:c r="O140"/>
      <x:c r="P140"/>
      <x:c r="Q140"/>
      <x:c r="R140" t="n">
        <x:v>9</x:v>
      </x:c>
      <x:c r="S140"/>
      <x:c r="T140"/>
      <x:c r="U140"/>
      <x:c r="V140"/>
      <x:c r="W140"/>
      <x:c r="X140" t="n">
        <x:v>27</x:v>
      </x:c>
      <x:c r="Y140" t="str">
        <x:v>participants</x:v>
      </x:c>
      <x:c r="Z140" t="str">
        <x:v>&lt;0.01</x:v>
      </x:c>
      <x:c r="AA140" t="str">
        <x:v>Yes</x:v>
      </x:c>
      <x:c r="AB140" t="str">
        <x:v>No</x:v>
      </x:c>
      <x:c r="AC140" t="str">
        <x:f>IF(H140="Mean/SD","MD",IF(H140="Events/total","RR",""))</x:f>
        <x:v>RR</x:v>
      </x:c>
      <x:c r="AD140" t="n">
        <x:f>IF(H140="Mean/SD",M140-S140,IF(H140="Events/total",IFERROR((R140/K140)/(X140/L140),""),""))</x:f>
        <x:v>0.3357487922705314</x:v>
      </x:c>
      <x:c r="AE140" t="str">
        <x:v>No</x:v>
      </x:c>
      <x:c r="AF140" t="str">
        <x:v>No</x:v>
      </x:c>
      <x:c r="AG140" t="str">
        <x:v>Eligible for dichotomous 48-h vomiting analysis</x:v>
      </x:c>
      <x:c r="AH140" t="str">
        <x:v>No</x:v>
      </x:c>
      <x:c r="AI140" t="str">
        <x:v>Vomiting is more objective than nausea, but participant masking was incomplete</x:v>
      </x:c>
      <x:c r="AJ140" t="str">
        <x:v>Primary outcome / cumulative vomiting</x:v>
      </x:c>
      <x:c r="AK140" t="str">
        <x:v>https://drive.google.com/file/d/1xxZle6mPpcnmHLblJbsy1kA4CyQHpvm2/view?usp=drivesdk</x:v>
      </x:c>
      <x:c r="AL140" t="str">
        <x:v>SOURCE-VERIFIED</x:v>
      </x:c>
    </x:row>
    <x:row r="141">
      <x:c r="A141" t="str">
        <x:v>Luo 2026</x:v>
      </x:c>
      <x:c r="B141" t="str">
        <x:v>LUO26_TEAS_vs_SHAM_COMPLETE48</x:v>
      </x:c>
      <x:c r="C141" t="str">
        <x:v>Intraoperative PC6 TEAS + standard antiemetics</x:v>
      </x:c>
      <x:c r="D141" t="str">
        <x:v>Sham/no current + standard antiemetics</x:v>
      </x:c>
      <x:c r="E141" t="str">
        <x:v>PONV</x:v>
      </x:c>
      <x:c r="F141" t="str">
        <x:v>Complete response: no vomiting and no rescue antiemetic</x:v>
      </x:c>
      <x:c r="G141" t="str">
        <x:v>0-48 h</x:v>
      </x:c>
      <x:c r="H141" t="str">
        <x:v>Events/total</x:v>
      </x:c>
      <x:c r="I141" t="n">
        <x:v>138</x:v>
      </x:c>
      <x:c r="J141" t="n">
        <x:v>139</x:v>
      </x:c>
      <x:c r="K141" t="n">
        <x:v>138</x:v>
      </x:c>
      <x:c r="L141" t="n">
        <x:v>139</x:v>
      </x:c>
      <x:c r="M141"/>
      <x:c r="N141"/>
      <x:c r="O141"/>
      <x:c r="P141"/>
      <x:c r="Q141"/>
      <x:c r="R141" t="n">
        <x:v>112</x:v>
      </x:c>
      <x:c r="S141"/>
      <x:c r="T141"/>
      <x:c r="U141"/>
      <x:c r="V141"/>
      <x:c r="W141"/>
      <x:c r="X141" t="n">
        <x:v>83</x:v>
      </x:c>
      <x:c r="Y141" t="str">
        <x:v>participants</x:v>
      </x:c>
      <x:c r="Z141" t="str">
        <x:v>&lt;0.01</x:v>
      </x:c>
      <x:c r="AA141" t="str">
        <x:v>Yes</x:v>
      </x:c>
      <x:c r="AB141" t="str">
        <x:v>No</x:v>
      </x:c>
      <x:c r="AC141" t="str">
        <x:f>IF(H141="Mean/SD","MD",IF(H141="Events/total","RR",""))</x:f>
        <x:v>RR</x:v>
      </x:c>
      <x:c r="AD141" t="n">
        <x:f>IF(H141="Mean/SD",M141-S141,IF(H141="Events/total",IFERROR((R141/K141)/(X141/L141),""),""))</x:f>
        <x:v>1.3591758337698623</x:v>
      </x:c>
      <x:c r="AE141" t="str">
        <x:v>No</x:v>
      </x:c>
      <x:c r="AF141" t="str">
        <x:v>No</x:v>
      </x:c>
      <x:c r="AG141" t="str">
        <x:v>Eligible for dichotomous complete-response analysis</x:v>
      </x:c>
      <x:c r="AH141" t="str">
        <x:v>No</x:v>
      </x:c>
      <x:c r="AI141" t="str">
        <x:v>Abstract percentage differs slightly from table-derived 112/138; use raw counts</x:v>
      </x:c>
      <x:c r="AJ141" t="str">
        <x:v>Complete-response result</x:v>
      </x:c>
      <x:c r="AK141" t="str">
        <x:v>https://drive.google.com/file/d/1xxZle6mPpcnmHLblJbsy1kA4CyQHpvm2/view?usp=drivesdk</x:v>
      </x:c>
      <x:c r="AL141" t="str">
        <x:v>SOURCE-VERIFIED / ABSTRACT % QC</x:v>
      </x:c>
    </x:row>
    <x:row r="142">
      <x:c r="A142" t="str">
        <x:v>Luo 2026</x:v>
      </x:c>
      <x:c r="B142" t="str">
        <x:v>LUO26_TEAS_vs_SHAM_NRS24</x:v>
      </x:c>
      <x:c r="C142" t="str">
        <x:v>Intraoperative PC6 TEAS + standard antiemetics</x:v>
      </x:c>
      <x:c r="D142" t="str">
        <x:v>Sham/no current + standard antiemetics</x:v>
      </x:c>
      <x:c r="E142" t="str">
        <x:v>Pain</x:v>
      </x:c>
      <x:c r="F142" t="str">
        <x:v>Postoperative NRS pain</x:v>
      </x:c>
      <x:c r="G142" t="str">
        <x:v>24 h</x:v>
      </x:c>
      <x:c r="H142" t="str">
        <x:v>Mean/SD</x:v>
      </x:c>
      <x:c r="I142" t="n">
        <x:v>138</x:v>
      </x:c>
      <x:c r="J142" t="n">
        <x:v>139</x:v>
      </x:c>
      <x:c r="K142" t="n">
        <x:v>138</x:v>
      </x:c>
      <x:c r="L142" t="n">
        <x:v>139</x:v>
      </x:c>
      <x:c r="M142" t="n">
        <x:v>1.3</x:v>
      </x:c>
      <x:c r="N142" t="n">
        <x:v>0.92</x:v>
      </x:c>
      <x:c r="O142"/>
      <x:c r="P142"/>
      <x:c r="Q142"/>
      <x:c r="R142"/>
      <x:c r="S142" t="n">
        <x:v>1.65</x:v>
      </x:c>
      <x:c r="T142" t="n">
        <x:v>0.95</x:v>
      </x:c>
      <x:c r="U142"/>
      <x:c r="V142"/>
      <x:c r="W142"/>
      <x:c r="X142"/>
      <x:c r="Y142" t="str">
        <x:v>NRS 0-10</x:v>
      </x:c>
      <x:c r="Z142" t="str">
        <x:v>&lt;0.01</x:v>
      </x:c>
      <x:c r="AA142" t="str">
        <x:v>Yes</x:v>
      </x:c>
      <x:c r="AB142" t="str">
        <x:v>No</x:v>
      </x:c>
      <x:c r="AC142" t="str">
        <x:f>IF(H142="Mean/SD","MD",IF(H142="Events/total","RR",""))</x:f>
        <x:v>MD</x:v>
      </x:c>
      <x:c r="AD142" t="n">
        <x:f>IF(H142="Mean/SD",M142-S142,IF(H142="Events/total",IFERROR((R142/K142)/(X142/L142),""),""))</x:f>
        <x:v>-0.34999999999999987</x:v>
      </x:c>
      <x:c r="AE142" t="str">
        <x:v>No</x:v>
      </x:c>
      <x:c r="AF142" t="str">
        <x:v>No</x:v>
      </x:c>
      <x:c r="AG142" t="str">
        <x:v>Eligible for 24-h pain analysis</x:v>
      </x:c>
      <x:c r="AH142" t="str">
        <x:v>No</x:v>
      </x:c>
      <x:c r="AI142" t="str">
        <x:v>Rest-versus-movement condition is not reported; participant masking was incomplete</x:v>
      </x:c>
      <x:c r="AJ142" t="str">
        <x:v>Postoperative pain table / 24 h</x:v>
      </x:c>
      <x:c r="AK142" t="str">
        <x:v>https://drive.google.com/file/d/1xxZle6mPpcnmHLblJbsy1kA4CyQHpvm2/view?usp=drivesdk</x:v>
      </x:c>
      <x:c r="AL142" t="str">
        <x:v>SOURCE-VERIFIED</x:v>
      </x:c>
    </x:row>
    <x:row r="143">
      <x:c r="A143" t="str">
        <x:v>Luo 2026</x:v>
      </x:c>
      <x:c r="B143" t="str">
        <x:v>LUO26_TEAS_vs_SHAM_OPIOIDEQUIV</x:v>
      </x:c>
      <x:c r="C143" t="str">
        <x:v>Intraoperative PC6 TEAS + standard antiemetics</x:v>
      </x:c>
      <x:c r="D143" t="str">
        <x:v>Sham/no current + standard antiemetics</x:v>
      </x:c>
      <x:c r="E143" t="str">
        <x:v>Perioperative opioid</x:v>
      </x:c>
      <x:c r="F143" t="str">
        <x:v>Published 'sufentanil equivalents' metric</x:v>
      </x:c>
      <x:c r="G143" t="str">
        <x:v>Perioperative</x:v>
      </x:c>
      <x:c r="H143" t="str">
        <x:v>Mean/SD</x:v>
      </x:c>
      <x:c r="I143" t="n">
        <x:v>138</x:v>
      </x:c>
      <x:c r="J143" t="n">
        <x:v>139</x:v>
      </x:c>
      <x:c r="K143" t="n">
        <x:v>138</x:v>
      </x:c>
      <x:c r="L143" t="n">
        <x:v>139</x:v>
      </x:c>
      <x:c r="M143" t="n">
        <x:v>15.86</x:v>
      </x:c>
      <x:c r="N143" t="n">
        <x:v>5.11</x:v>
      </x:c>
      <x:c r="O143"/>
      <x:c r="P143"/>
      <x:c r="Q143"/>
      <x:c r="R143"/>
      <x:c r="S143" t="n">
        <x:v>15.18</x:v>
      </x:c>
      <x:c r="T143" t="n">
        <x:v>4.95</x:v>
      </x:c>
      <x:c r="U143"/>
      <x:c r="V143"/>
      <x:c r="W143"/>
      <x:c r="X143"/>
      <x:c r="Y143" t="str">
        <x:v>published as mg; definition/unit unresolved</x:v>
      </x:c>
      <x:c r="Z143" t="str">
        <x:v>0.27</x:v>
      </x:c>
      <x:c r="AA143" t="str">
        <x:v>Yes</x:v>
      </x:c>
      <x:c r="AB143" t="str">
        <x:v>No</x:v>
      </x:c>
      <x:c r="AC143" t="str">
        <x:f>IF(H143="Mean/SD","MD",IF(H143="Events/total","RR",""))</x:f>
        <x:v>MD</x:v>
      </x:c>
      <x:c r="AD143" t="n">
        <x:f>IF(H143="Mean/SD",M143-S143,IF(H143="Events/total",IFERROR((R143/K143)/(X143/L143),""),""))</x:f>
        <x:v>0.6799999999999997</x:v>
      </x:c>
      <x:c r="AE143" t="str">
        <x:v>No</x:v>
      </x:c>
      <x:c r="AF143" t="str">
        <x:v>No</x:v>
      </x:c>
      <x:c r="AG143" t="str">
        <x:v>Do not harmonize to MME or actual sufentanil mass until authors clarify conversion and unit</x:v>
      </x:c>
      <x:c r="AH143" t="str">
        <x:v>No</x:v>
      </x:c>
      <x:c r="AI143" t="str">
        <x:v>Source labels approximately 15-16 as 'sufentanil equivalents (mg)' without explaining conversion; preserve verbatim</x:v>
      </x:c>
      <x:c r="AJ143" t="str">
        <x:v>Table 1 / perioperative opioid metric</x:v>
      </x:c>
      <x:c r="AK143" t="str">
        <x:v>https://drive.google.com/file/d/1xxZle6mPpcnmHLblJbsy1kA4CyQHpvm2/view?usp=drivesdk</x:v>
      </x:c>
      <x:c r="AL143" t="str">
        <x:v>SOURCE-VERIFIED / UNIT UNRESOLVED</x:v>
      </x:c>
    </x:row>
    <x:row r="144">
      <x:c r="A144" t="str">
        <x:v>Luo 2026</x:v>
      </x:c>
      <x:c r="B144" t="str">
        <x:v>LUO26_TEAS_vs_SHAM_OPIOID24</x:v>
      </x:c>
      <x:c r="C144" t="str">
        <x:v>Intraoperative PC6 TEAS + standard antiemetics</x:v>
      </x:c>
      <x:c r="D144" t="str">
        <x:v>Sham/no current + standard antiemetics</x:v>
      </x:c>
      <x:c r="E144" t="str">
        <x:v>Opioid consumption</x:v>
      </x:c>
      <x:c r="F144" t="str">
        <x:v>Cumulative postoperative oxycodone consumption</x:v>
      </x:c>
      <x:c r="G144" t="str">
        <x:v>0-24 h</x:v>
      </x:c>
      <x:c r="H144" t="str">
        <x:v>Not reported</x:v>
      </x:c>
      <x:c r="I144" t="n">
        <x:v>138</x:v>
      </x:c>
      <x:c r="J144" t="n">
        <x:v>139</x:v>
      </x:c>
      <x:c r="K144" t="n">
        <x:v>138</x:v>
      </x:c>
      <x:c r="L144" t="n">
        <x:v>139</x:v>
      </x:c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 t="str">
        <x:v>mg oxycodone</x:v>
      </x:c>
      <x:c r="Z144" t="str"/>
      <x:c r="AA144" t="str">
        <x:v>No</x:v>
      </x:c>
      <x:c r="AB144" t="str">
        <x:v>No</x:v>
      </x:c>
      <x:c r="AC144" t="str">
        <x:f>IF(H144="Mean/SD","MD",IF(H144="Events/total","RR",""))</x:f>
      </x:c>
      <x:c r="AD144" t="str">
        <x:f>IF(H144="Mean/SD",M144-S144,IF(H144="Events/total",IFERROR((R144/K144)/(X144/L144),""),""))</x:f>
      </x:c>
      <x:c r="AE144" t="str">
        <x:v>No</x:v>
      </x:c>
      <x:c r="AF144" t="str">
        <x:v>No</x:v>
      </x:c>
      <x:c r="AG144" t="str">
        <x:v>Not eligible for continuous 24-h opioid/MME meta-analysis</x:v>
      </x:c>
      <x:c r="AH144" t="str">
        <x:v>No</x:v>
      </x:c>
      <x:c r="AI144" t="str">
        <x:v>Postoperative IV oxycodone is described, but schedule and group-specific cumulative 24-h consumption are not reported</x:v>
      </x:c>
      <x:c r="AJ144" t="str">
        <x:v>Postoperative analgesia / exact 24-h endpoint absent</x:v>
      </x:c>
      <x:c r="AK144" t="str">
        <x:v>https://drive.google.com/file/d/1xxZle6mPpcnmHLblJbsy1kA4CyQHpvm2/view?usp=drivesdk</x:v>
      </x:c>
      <x:c r="AL144" t="str">
        <x:v>MISSING / AUTHOR DATA NEEDED</x:v>
      </x:c>
    </x:row>
    <x:row r="145">
      <x:c r="A145" t="str">
        <x:v>Long 2025</x:v>
      </x:c>
      <x:c r="B145" t="str">
        <x:v>LONG25_TEAS_vs_CTRL_PND1</x:v>
      </x:c>
      <x:c r="C145" t="str">
        <x:v>Perioperative electrical acupoint stimulation</x:v>
      </x:c>
      <x:c r="D145" t="str">
        <x:v>Electrodes/no current</x:v>
      </x:c>
      <x:c r="E145" t="str">
        <x:v>Neurocognitive</x:v>
      </x:c>
      <x:c r="F145" t="str">
        <x:v>Perioperative neurocognitive disorder (PND)</x:v>
      </x:c>
      <x:c r="G145" t="str">
        <x:v>POD1</x:v>
      </x:c>
      <x:c r="H145" t="str">
        <x:v>Published event count + percentage; denominator inconsistent</x:v>
      </x:c>
      <x:c r="I145" t="n">
        <x:v>30</x:v>
      </x:c>
      <x:c r="J145" t="n">
        <x:v>30</x:v>
      </x:c>
      <x:c r="K145" t="n">
        <x:v>27</x:v>
      </x:c>
      <x:c r="L145" t="n">
        <x:v>26</x:v>
      </x:c>
      <x:c r="M145"/>
      <x:c r="N145"/>
      <x:c r="O145"/>
      <x:c r="P145"/>
      <x:c r="Q145"/>
      <x:c r="R145" t="n">
        <x:v>7</x:v>
      </x:c>
      <x:c r="S145"/>
      <x:c r="T145"/>
      <x:c r="U145"/>
      <x:c r="V145"/>
      <x:c r="W145"/>
      <x:c r="X145" t="n">
        <x:v>14</x:v>
      </x:c>
      <x:c r="Y145" t="str">
        <x:v>Active: 7 cases (25.0%); Control: 14 cases (56.0%)</x:v>
      </x:c>
      <x:c r="Z145" t="str">
        <x:v>NR</x:v>
      </x:c>
      <x:c r="AA145" t="str">
        <x:v>Yes</x:v>
      </x:c>
      <x:c r="AB145" t="str">
        <x:v>No</x:v>
      </x:c>
      <x:c r="AC145" t="str">
        <x:f>IF(H145="Mean/SD","MD",IF(H145="Events/total","RR",""))</x:f>
      </x:c>
      <x:c r="AD145" t="str">
        <x:f>IF(H145="Mean/SD",M145-S145,IF(H145="Events/total",IFERROR((R145/K145)/(X145/L145),""),""))</x:f>
      </x:c>
      <x:c r="AE145" t="str">
        <x:v>No</x:v>
      </x:c>
      <x:c r="AF145" t="str">
        <x:v>No</x:v>
      </x:c>
      <x:c r="AG145" t="str">
        <x:v>Not meta-analysis-ready until event denominators are clarified</x:v>
      </x:c>
      <x:c r="AH145" t="str">
        <x:v>No</x:v>
      </x:c>
      <x:c r="AI145" t="str">
        <x:v>Published percentages do not reconcile with final analyzed n=27 active/26 control; do not back-calculate denominators</x:v>
      </x:c>
      <x:c r="AJ145" t="str">
        <x:v>PND incidence table / POD1</x:v>
      </x:c>
      <x:c r="AK145" t="str">
        <x:v>https://drive.google.com/file/d/1LDqtQLq9-kZLP0Vv_G3iiK8QKjy4pRXP/view?usp=drivesdk</x:v>
      </x:c>
      <x:c r="AL145" t="str">
        <x:v>SOURCE-VERIFIED / DENOMINATOR INCONSISTENT</x:v>
      </x:c>
    </x:row>
    <x:row r="146">
      <x:c r="A146" t="str">
        <x:v>Long 2025</x:v>
      </x:c>
      <x:c r="B146" t="str">
        <x:v>LONG25_TEAS_vs_CTRL_PND3</x:v>
      </x:c>
      <x:c r="C146" t="str">
        <x:v>Perioperative electrical acupoint stimulation</x:v>
      </x:c>
      <x:c r="D146" t="str">
        <x:v>Electrodes/no current</x:v>
      </x:c>
      <x:c r="E146" t="str">
        <x:v>Neurocognitive</x:v>
      </x:c>
      <x:c r="F146" t="str">
        <x:v>Perioperative neurocognitive disorder (PND)</x:v>
      </x:c>
      <x:c r="G146" t="str">
        <x:v>POD3</x:v>
      </x:c>
      <x:c r="H146" t="str">
        <x:v>Published event count + percentage; denominator inconsistent</x:v>
      </x:c>
      <x:c r="I146" t="n">
        <x:v>30</x:v>
      </x:c>
      <x:c r="J146" t="n">
        <x:v>30</x:v>
      </x:c>
      <x:c r="K146" t="n">
        <x:v>27</x:v>
      </x:c>
      <x:c r="L146" t="n">
        <x:v>26</x:v>
      </x:c>
      <x:c r="M146"/>
      <x:c r="N146"/>
      <x:c r="O146"/>
      <x:c r="P146"/>
      <x:c r="Q146"/>
      <x:c r="R146" t="n">
        <x:v>4</x:v>
      </x:c>
      <x:c r="S146"/>
      <x:c r="T146"/>
      <x:c r="U146"/>
      <x:c r="V146"/>
      <x:c r="W146"/>
      <x:c r="X146" t="n">
        <x:v>12</x:v>
      </x:c>
      <x:c r="Y146" t="str">
        <x:v>Active: 4 cases (14.3%); Control: 12 cases (48.0%)</x:v>
      </x:c>
      <x:c r="Z146" t="str">
        <x:v>NR</x:v>
      </x:c>
      <x:c r="AA146" t="str">
        <x:v>Yes</x:v>
      </x:c>
      <x:c r="AB146" t="str">
        <x:v>No</x:v>
      </x:c>
      <x:c r="AC146" t="str">
        <x:f>IF(H146="Mean/SD","MD",IF(H146="Events/total","RR",""))</x:f>
      </x:c>
      <x:c r="AD146" t="str">
        <x:f>IF(H146="Mean/SD",M146-S146,IF(H146="Events/total",IFERROR((R146/K146)/(X146/L146),""),""))</x:f>
      </x:c>
      <x:c r="AE146" t="str">
        <x:v>No</x:v>
      </x:c>
      <x:c r="AF146" t="str">
        <x:v>No</x:v>
      </x:c>
      <x:c r="AG146" t="str">
        <x:v>Not meta-analysis-ready until event denominators are clarified</x:v>
      </x:c>
      <x:c r="AH146" t="str">
        <x:v>No</x:v>
      </x:c>
      <x:c r="AI146" t="str">
        <x:v>Published percentages do not reconcile with reported analyzed denominators</x:v>
      </x:c>
      <x:c r="AJ146" t="str">
        <x:v>PND incidence table / POD3</x:v>
      </x:c>
      <x:c r="AK146" t="str">
        <x:v>https://drive.google.com/file/d/1LDqtQLq9-kZLP0Vv_G3iiK8QKjy4pRXP/view?usp=drivesdk</x:v>
      </x:c>
      <x:c r="AL146" t="str">
        <x:v>SOURCE-VERIFIED / DENOMINATOR INCONSISTENT</x:v>
      </x:c>
    </x:row>
    <x:row r="147">
      <x:c r="A147" t="str">
        <x:v>Long 2025</x:v>
      </x:c>
      <x:c r="B147" t="str">
        <x:v>LONG25_TEAS_vs_CTRL_VAS24</x:v>
      </x:c>
      <x:c r="C147" t="str">
        <x:v>Perioperative electrical acupoint stimulation</x:v>
      </x:c>
      <x:c r="D147" t="str">
        <x:v>Electrodes/no current</x:v>
      </x:c>
      <x:c r="E147" t="str">
        <x:v>Pain</x:v>
      </x:c>
      <x:c r="F147" t="str">
        <x:v>VAS pain intensity</x:v>
      </x:c>
      <x:c r="G147" t="str">
        <x:v>24 h</x:v>
      </x:c>
      <x:c r="H147" t="str">
        <x:v>Mean/SD</x:v>
      </x:c>
      <x:c r="I147" t="n">
        <x:v>30</x:v>
      </x:c>
      <x:c r="J147" t="n">
        <x:v>30</x:v>
      </x:c>
      <x:c r="K147" t="n">
        <x:v>27</x:v>
      </x:c>
      <x:c r="L147" t="n">
        <x:v>26</x:v>
      </x:c>
      <x:c r="M147" t="n">
        <x:v>2.78</x:v>
      </x:c>
      <x:c r="N147" t="n">
        <x:v>0.97</x:v>
      </x:c>
      <x:c r="O147"/>
      <x:c r="P147"/>
      <x:c r="Q147"/>
      <x:c r="R147"/>
      <x:c r="S147" t="n">
        <x:v>3.96</x:v>
      </x:c>
      <x:c r="T147" t="n">
        <x:v>0.96</x:v>
      </x:c>
      <x:c r="U147"/>
      <x:c r="V147"/>
      <x:c r="W147"/>
      <x:c r="X147"/>
      <x:c r="Y147" t="str">
        <x:v>VAS 0-10</x:v>
      </x:c>
      <x:c r="Z147" t="str">
        <x:v>&lt;0.001</x:v>
      </x:c>
      <x:c r="AA147" t="str">
        <x:v>Yes</x:v>
      </x:c>
      <x:c r="AB147" t="str">
        <x:v>No</x:v>
      </x:c>
      <x:c r="AC147" t="str">
        <x:f>IF(H147="Mean/SD","MD",IF(H147="Events/total","RR",""))</x:f>
        <x:v>MD</x:v>
      </x:c>
      <x:c r="AD147" t="n">
        <x:f>IF(H147="Mean/SD",M147-S147,IF(H147="Events/total",IFERROR((R147/K147)/(X147/L147),""),""))</x:f>
        <x:v>-1.1800000000000002</x:v>
      </x:c>
      <x:c r="AE147" t="str">
        <x:v>No</x:v>
      </x:c>
      <x:c r="AF147" t="str">
        <x:v>No</x:v>
      </x:c>
      <x:c r="AG147" t="str">
        <x:v>Eligible for 24-h pain analysis using Table 7 value</x:v>
      </x:c>
      <x:c r="AH147" t="str">
        <x:v>No</x:v>
      </x:c>
      <x:c r="AI147" t="str">
        <x:v>Abstract/Results prose gives active 2.65 ± 0.94; Table 7/Figure 9 gives 2.78 ± 0.97. Master uses the directly tabulated Table 7 value and retains discrepancy</x:v>
      </x:c>
      <x:c r="AJ147" t="str">
        <x:v>Table 7 / Figure 9</x:v>
      </x:c>
      <x:c r="AK147" t="str">
        <x:v>https://drive.google.com/file/d/1LDqtQLq9-kZLP0Vv_G3iiK8QKjy4pRXP/view?usp=drivesdk</x:v>
      </x:c>
      <x:c r="AL147" t="str">
        <x:v>SOURCE-VERIFIED / SOURCE VALUE CONFLICT</x:v>
      </x:c>
    </x:row>
    <x:row r="148">
      <x:c r="A148" t="str">
        <x:v>Long 2025</x:v>
      </x:c>
      <x:c r="B148" t="str">
        <x:v>LONG25_TEAS_vs_CTRL_PCIA48VOL</x:v>
      </x:c>
      <x:c r="C148" t="str">
        <x:v>Perioperative electrical acupoint stimulation</x:v>
      </x:c>
      <x:c r="D148" t="str">
        <x:v>Electrodes/no current</x:v>
      </x:c>
      <x:c r="E148" t="str">
        <x:v>Opioid demand</x:v>
      </x:c>
      <x:c r="F148" t="str">
        <x:v>PCIA solution consumption</x:v>
      </x:c>
      <x:c r="G148" t="str">
        <x:v>48 h</x:v>
      </x:c>
      <x:c r="H148" t="str">
        <x:v>Mean/SD</x:v>
      </x:c>
      <x:c r="I148" t="n">
        <x:v>30</x:v>
      </x:c>
      <x:c r="J148" t="n">
        <x:v>30</x:v>
      </x:c>
      <x:c r="K148" t="n">
        <x:v>27</x:v>
      </x:c>
      <x:c r="L148" t="n">
        <x:v>26</x:v>
      </x:c>
      <x:c r="M148" t="n">
        <x:v>86.22</x:v>
      </x:c>
      <x:c r="N148" t="n">
        <x:v>4.27</x:v>
      </x:c>
      <x:c r="O148"/>
      <x:c r="P148"/>
      <x:c r="Q148"/>
      <x:c r="R148"/>
      <x:c r="S148" t="n">
        <x:v>89.23</x:v>
      </x:c>
      <x:c r="T148" t="n">
        <x:v>3.67</x:v>
      </x:c>
      <x:c r="U148"/>
      <x:c r="V148"/>
      <x:c r="W148"/>
      <x:c r="X148"/>
      <x:c r="Y148" t="str">
        <x:v>mL of weight-based sufentanil solution</x:v>
      </x:c>
      <x:c r="Z148" t="str">
        <x:v>0.008</x:v>
      </x:c>
      <x:c r="AA148" t="str">
        <x:v>Yes</x:v>
      </x:c>
      <x:c r="AB148" t="str">
        <x:v>No</x:v>
      </x:c>
      <x:c r="AC148" t="str">
        <x:f>IF(H148="Mean/SD","MD",IF(H148="Events/total","RR",""))</x:f>
        <x:v>MD</x:v>
      </x:c>
      <x:c r="AD148" t="n">
        <x:f>IF(H148="Mean/SD",M148-S148,IF(H148="Events/total",IFERROR((R148/K148)/(X148/L148),""),""))</x:f>
        <x:v>-3.010000000000005</x:v>
      </x:c>
      <x:c r="AE148" t="str">
        <x:v>No</x:v>
      </x:c>
      <x:c r="AF148" t="str">
        <x:v>No</x:v>
      </x:c>
      <x:c r="AG148" t="str">
        <x:v>Eligible only as 48-h pump-volume outcome, not as sufentanil mass</x:v>
      </x:c>
      <x:c r="AH148" t="str">
        <x:v>No</x:v>
      </x:c>
      <x:c r="AI148" t="str">
        <x:v>Reservoir contains 2 µg/kg sufentanil in 100 mL; group body weight is unavailable, so solution volume cannot be converted to group mean opioid mass</x:v>
      </x:c>
      <x:c r="AJ148" t="str">
        <x:v>Table 7 / Figure 9</x:v>
      </x:c>
      <x:c r="AK148" t="str">
        <x:v>https://drive.google.com/file/d/1LDqtQLq9-kZLP0Vv_G3iiK8QKjy4pRXP/view?usp=drivesdk</x:v>
      </x:c>
      <x:c r="AL148" t="str">
        <x:v>SOURCE-VERIFIED / DOSE NOT RECONSTRUCTABLE</x:v>
      </x:c>
    </x:row>
    <x:row r="149">
      <x:c r="A149" t="str">
        <x:v>Long 2025</x:v>
      </x:c>
      <x:c r="B149" t="str">
        <x:v>LONG25_TEAS_vs_CTRL_PCIAPRESS48</x:v>
      </x:c>
      <x:c r="C149" t="str">
        <x:v>Perioperative electrical acupoint stimulation</x:v>
      </x:c>
      <x:c r="D149" t="str">
        <x:v>Electrodes/no current</x:v>
      </x:c>
      <x:c r="E149" t="str">
        <x:v>Opioid demand</x:v>
      </x:c>
      <x:c r="F149" t="str">
        <x:v>PCIA compression count</x:v>
      </x:c>
      <x:c r="G149" t="str">
        <x:v>48 h</x:v>
      </x:c>
      <x:c r="H149" t="str">
        <x:v>Mean/SD</x:v>
      </x:c>
      <x:c r="I149" t="n">
        <x:v>30</x:v>
      </x:c>
      <x:c r="J149" t="n">
        <x:v>30</x:v>
      </x:c>
      <x:c r="K149" t="n">
        <x:v>27</x:v>
      </x:c>
      <x:c r="L149" t="n">
        <x:v>26</x:v>
      </x:c>
      <x:c r="M149" t="n">
        <x:v>7.11</x:v>
      </x:c>
      <x:c r="N149" t="n">
        <x:v>2.14</x:v>
      </x:c>
      <x:c r="O149"/>
      <x:c r="P149"/>
      <x:c r="Q149"/>
      <x:c r="R149"/>
      <x:c r="S149" t="n">
        <x:v>8.62</x:v>
      </x:c>
      <x:c r="T149" t="n">
        <x:v>1.84</x:v>
      </x:c>
      <x:c r="U149"/>
      <x:c r="V149"/>
      <x:c r="W149"/>
      <x:c r="X149"/>
      <x:c r="Y149" t="str">
        <x:v>presses</x:v>
      </x:c>
      <x:c r="Z149" t="str">
        <x:v>0.008</x:v>
      </x:c>
      <x:c r="AA149" t="str">
        <x:v>Yes</x:v>
      </x:c>
      <x:c r="AB149" t="str">
        <x:v>No</x:v>
      </x:c>
      <x:c r="AC149" t="str">
        <x:f>IF(H149="Mean/SD","MD",IF(H149="Events/total","RR",""))</x:f>
        <x:v>MD</x:v>
      </x:c>
      <x:c r="AD149" t="n">
        <x:f>IF(H149="Mean/SD",M149-S149,IF(H149="Events/total",IFERROR((R149/K149)/(X149/L149),""),""))</x:f>
        <x:v>-1.509999999999999</x:v>
      </x:c>
      <x:c r="AE149" t="str">
        <x:v>No</x:v>
      </x:c>
      <x:c r="AF149" t="str">
        <x:v>No</x:v>
      </x:c>
      <x:c r="AG149" t="str">
        <x:v>Eligible as 48-h PCA-demand outcome only</x:v>
      </x:c>
      <x:c r="AH149" t="str">
        <x:v>No</x:v>
      </x:c>
      <x:c r="AI149" t="str">
        <x:v>Do not translate compression count into delivered sufentanil mass</x:v>
      </x:c>
      <x:c r="AJ149" t="str">
        <x:v>Table 7 / Figure 9</x:v>
      </x:c>
      <x:c r="AK149" t="str">
        <x:v>https://drive.google.com/file/d/1LDqtQLq9-kZLP0Vv_G3iiK8QKjy4pRXP/view?usp=drivesdk</x:v>
      </x:c>
      <x:c r="AL149" t="str">
        <x:v>SOURCE-VERIFIED</x:v>
      </x:c>
    </x:row>
    <x:row r="150">
      <x:c r="A150" t="str">
        <x:v>Long 2025</x:v>
      </x:c>
      <x:c r="B150" t="str">
        <x:v>LONG25_TEAS_vs_CTRL_PONV</x:v>
      </x:c>
      <x:c r="C150" t="str">
        <x:v>Perioperative electrical acupoint stimulation</x:v>
      </x:c>
      <x:c r="D150" t="str">
        <x:v>Electrodes/no current</x:v>
      </x:c>
      <x:c r="E150" t="str">
        <x:v>PONV</x:v>
      </x:c>
      <x:c r="F150" t="str">
        <x:v>PONV incidence</x:v>
      </x:c>
      <x:c r="G150" t="str">
        <x:v>Postoperative</x:v>
      </x:c>
      <x:c r="H150" t="str">
        <x:v>Events/total</x:v>
      </x:c>
      <x:c r="I150" t="n">
        <x:v>30</x:v>
      </x:c>
      <x:c r="J150" t="n">
        <x:v>30</x:v>
      </x:c>
      <x:c r="K150" t="n">
        <x:v>27</x:v>
      </x:c>
      <x:c r="L150" t="n">
        <x:v>26</x:v>
      </x:c>
      <x:c r="M150"/>
      <x:c r="N150"/>
      <x:c r="O150"/>
      <x:c r="P150"/>
      <x:c r="Q150"/>
      <x:c r="R150" t="n">
        <x:v>1</x:v>
      </x:c>
      <x:c r="S150"/>
      <x:c r="T150"/>
      <x:c r="U150"/>
      <x:c r="V150"/>
      <x:c r="W150"/>
      <x:c r="X150" t="n">
        <x:v>8</x:v>
      </x:c>
      <x:c r="Y150" t="str">
        <x:v>participants</x:v>
      </x:c>
      <x:c r="Z150" t="str">
        <x:v>NR</x:v>
      </x:c>
      <x:c r="AA150" t="str">
        <x:v>Yes</x:v>
      </x:c>
      <x:c r="AB150" t="str">
        <x:v>No</x:v>
      </x:c>
      <x:c r="AC150" t="str">
        <x:f>IF(H150="Mean/SD","MD",IF(H150="Events/total","RR",""))</x:f>
        <x:v>RR</x:v>
      </x:c>
      <x:c r="AD150" t="n">
        <x:f>IF(H150="Mean/SD",M150-S150,IF(H150="Events/total",IFERROR((R150/K150)/(X150/L150),""),""))</x:f>
        <x:v>0.12037037037037036</x:v>
      </x:c>
      <x:c r="AE150" t="str">
        <x:v>No</x:v>
      </x:c>
      <x:c r="AF150" t="str">
        <x:v>No</x:v>
      </x:c>
      <x:c r="AG150" t="str">
        <x:v>Eligible for dichotomous PONV analysis using final analyzed denominators</x:v>
      </x:c>
      <x:c r="AH150" t="str">
        <x:v>No</x:v>
      </x:c>
      <x:c r="AI150" t="str">
        <x:v>Adverse-event percentages elsewhere are internally inconsistent; raw 1/27 vs 8/26 is retained</x:v>
      </x:c>
      <x:c r="AJ150" t="str">
        <x:v>Adverse events / PONV</x:v>
      </x:c>
      <x:c r="AK150" t="str">
        <x:v>https://drive.google.com/file/d/1LDqtQLq9-kZLP0Vv_G3iiK8QKjy4pRXP/view?usp=drivesdk</x:v>
      </x:c>
      <x:c r="AL150" t="str">
        <x:v>SOURCE-VERIFIED / PERCENTAGE QC</x:v>
      </x:c>
    </x:row>
    <x:row r="151">
      <x:c r="A151" t="str">
        <x:v>Long 2025</x:v>
      </x:c>
      <x:c r="B151" t="str">
        <x:v>LONG25_TEAS_vs_CTRL_OPIOID24</x:v>
      </x:c>
      <x:c r="C151" t="str">
        <x:v>Perioperative electrical acupoint stimulation</x:v>
      </x:c>
      <x:c r="D151" t="str">
        <x:v>Electrodes/no current</x:v>
      </x:c>
      <x:c r="E151" t="str">
        <x:v>Opioid consumption</x:v>
      </x:c>
      <x:c r="F151" t="str">
        <x:v>Exact cumulative postoperative sufentanil consumption</x:v>
      </x:c>
      <x:c r="G151" t="str">
        <x:v>0-24 h</x:v>
      </x:c>
      <x:c r="H151" t="str">
        <x:v>Not reported</x:v>
      </x:c>
      <x:c r="I151" t="n">
        <x:v>30</x:v>
      </x:c>
      <x:c r="J151" t="n">
        <x:v>30</x:v>
      </x:c>
      <x:c r="K151" t="n">
        <x:v>27</x:v>
      </x:c>
      <x:c r="L151" t="n">
        <x:v>26</x:v>
      </x:c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 t="str">
        <x:v>µg sufentanil</x:v>
      </x:c>
      <x:c r="Z151" t="str"/>
      <x:c r="AA151" t="str">
        <x:v>No</x:v>
      </x:c>
      <x:c r="AB151" t="str">
        <x:v>No</x:v>
      </x:c>
      <x:c r="AC151" t="str">
        <x:f>IF(H151="Mean/SD","MD",IF(H151="Events/total","RR",""))</x:f>
      </x:c>
      <x:c r="AD151" t="str">
        <x:f>IF(H151="Mean/SD",M151-S151,IF(H151="Events/total",IFERROR((R151/K151)/(X151/L151),""),""))</x:f>
      </x:c>
      <x:c r="AE151" t="str">
        <x:v>No</x:v>
      </x:c>
      <x:c r="AF151" t="str">
        <x:v>No</x:v>
      </x:c>
      <x:c r="AG151" t="str">
        <x:v>Not eligible for continuous 24-h opioid/MME meta-analysis</x:v>
      </x:c>
      <x:c r="AH151" t="str">
        <x:v>No</x:v>
      </x:c>
      <x:c r="AI151" t="str">
        <x:v>24-h PCIA volume/compressions are not reported; even 48-h volume cannot be converted exactly to sufentanil mass without body weight</x:v>
      </x:c>
      <x:c r="AJ151" t="str">
        <x:v>Exact 24-h opioid endpoint absent</x:v>
      </x:c>
      <x:c r="AK151" t="str">
        <x:v>https://drive.google.com/file/d/1LDqtQLq9-kZLP0Vv_G3iiK8QKjy4pRXP/view?usp=drivesdk</x:v>
      </x:c>
      <x:c r="AL151" t="str">
        <x:v>MISSING / AUTHOR DATA NEEDED</x:v>
      </x:c>
    </x:row>
    <x:row r="152">
      <x:c r="A152" t="str">
        <x:v>Li 2021</x:v>
      </x:c>
      <x:c r="B152" t="str">
        <x:v>LI21_TEAS_vs_SHAM_BOWEL</x:v>
      </x:c>
      <x:c r="C152" t="str">
        <x:v>Perioperative TEAS</x:v>
      </x:c>
      <x:c r="D152" t="str">
        <x:v>Sham-point/no current</x:v>
      </x:c>
      <x:c r="E152" t="str">
        <x:v>GI recovery</x:v>
      </x:c>
      <x:c r="F152" t="str">
        <x:v>Time to first bowel motion by auscultation</x:v>
      </x:c>
      <x:c r="G152" t="str">
        <x:v>Postoperative</x:v>
      </x:c>
      <x:c r="H152" t="str">
        <x:v>Median/IQR</x:v>
      </x:c>
      <x:c r="I152" t="n">
        <x:v>154</x:v>
      </x:c>
      <x:c r="J152" t="n">
        <x:v>152</x:v>
      </x:c>
      <x:c r="K152" t="n">
        <x:v>140</x:v>
      </x:c>
      <x:c r="L152" t="n">
        <x:v>140</x:v>
      </x:c>
      <x:c r="M152"/>
      <x:c r="N152"/>
      <x:c r="O152" t="n">
        <x:v>31</x:v>
      </x:c>
      <x:c r="P152" t="n">
        <x:v>18.8</x:v>
      </x:c>
      <x:c r="Q152" t="n">
        <x:v>45.3</x:v>
      </x:c>
      <x:c r="R152"/>
      <x:c r="S152"/>
      <x:c r="T152"/>
      <x:c r="U152" t="n">
        <x:v>42</x:v>
      </x:c>
      <x:c r="V152" t="n">
        <x:v>22.1</x:v>
      </x:c>
      <x:c r="W152" t="n">
        <x:v>52.4</x:v>
      </x:c>
      <x:c r="X152"/>
      <x:c r="Y152" t="str">
        <x:v>hours</x:v>
      </x:c>
      <x:c r="Z152" t="str">
        <x:v>&lt;0.01</x:v>
      </x:c>
      <x:c r="AA152" t="str">
        <x:v>Yes</x:v>
      </x:c>
      <x:c r="AB152" t="str">
        <x:v>No</x:v>
      </x:c>
      <x:c r="AC152" t="str">
        <x:f>IF(H152="Mean/SD","MD",IF(H152="Events/total","RR",""))</x:f>
      </x:c>
      <x:c r="AD152" t="str">
        <x:f>IF(H152="Mean/SD",M152-S152,IF(H152="Events/total",IFERROR((R152/K152)/(X152/L152),""),""))</x:f>
      </x:c>
      <x:c r="AE152" t="str">
        <x:v>No</x:v>
      </x:c>
      <x:c r="AF152" t="str">
        <x:v>No</x:v>
      </x:c>
      <x:c r="AG152" t="str">
        <x:v>Eligible for GI-recovery meta-analysis using median/IQR methods</x:v>
      </x:c>
      <x:c r="AH152" t="str">
        <x:v>No</x:v>
      </x:c>
      <x:c r="AI152" t="str">
        <x:v>26/306 randomized patients excluded in per-protocol analysis; exclusions include ICU transfer and operation cancellation</x:v>
      </x:c>
      <x:c r="AJ152" t="str">
        <x:v>Primary outcome / first bowel motion</x:v>
      </x:c>
      <x:c r="AK152" t="str">
        <x:v>https://drive.google.com/file/d/1NvcLlsb17N6EMhtHs_L_WBnf40wsrtRz/view?usp=drivesdk</x:v>
      </x:c>
      <x:c r="AL152" t="str">
        <x:v>SOURCE-VERIFIED / ATTRITION QC</x:v>
      </x:c>
    </x:row>
    <x:row r="153">
      <x:c r="A153" t="str">
        <x:v>Li 2021</x:v>
      </x:c>
      <x:c r="B153" t="str">
        <x:v>LI21_TEAS_vs_SHAM_FLATUS</x:v>
      </x:c>
      <x:c r="C153" t="str">
        <x:v>Perioperative TEAS</x:v>
      </x:c>
      <x:c r="D153" t="str">
        <x:v>Sham-point/no current</x:v>
      </x:c>
      <x:c r="E153" t="str">
        <x:v>GI recovery</x:v>
      </x:c>
      <x:c r="F153" t="str">
        <x:v>Time to first flatus</x:v>
      </x:c>
      <x:c r="G153" t="str">
        <x:v>Postoperative</x:v>
      </x:c>
      <x:c r="H153" t="str">
        <x:v>Median/IQR</x:v>
      </x:c>
      <x:c r="I153" t="n">
        <x:v>154</x:v>
      </x:c>
      <x:c r="J153" t="n">
        <x:v>152</x:v>
      </x:c>
      <x:c r="K153" t="n">
        <x:v>140</x:v>
      </x:c>
      <x:c r="L153" t="n">
        <x:v>140</x:v>
      </x:c>
      <x:c r="M153"/>
      <x:c r="N153"/>
      <x:c r="O153" t="n">
        <x:v>44</x:v>
      </x:c>
      <x:c r="P153" t="n">
        <x:v>26.5</x:v>
      </x:c>
      <x:c r="Q153" t="n">
        <x:v>63.9</x:v>
      </x:c>
      <x:c r="R153"/>
      <x:c r="S153"/>
      <x:c r="T153"/>
      <x:c r="U153" t="n">
        <x:v>64</x:v>
      </x:c>
      <x:c r="V153" t="n">
        <x:v>30</x:v>
      </x:c>
      <x:c r="W153" t="n">
        <x:v>70.6</x:v>
      </x:c>
      <x:c r="X153"/>
      <x:c r="Y153" t="str">
        <x:v>hours</x:v>
      </x:c>
      <x:c r="Z153" t="str">
        <x:v>&lt;0.01</x:v>
      </x:c>
      <x:c r="AA153" t="str">
        <x:v>Yes</x:v>
      </x:c>
      <x:c r="AB153" t="str">
        <x:v>No</x:v>
      </x:c>
      <x:c r="AC153" t="str">
        <x:f>IF(H153="Mean/SD","MD",IF(H153="Events/total","RR",""))</x:f>
      </x:c>
      <x:c r="AD153" t="str">
        <x:f>IF(H153="Mean/SD",M153-S153,IF(H153="Events/total",IFERROR((R153/K153)/(X153/L153),""),""))</x:f>
      </x:c>
      <x:c r="AE153" t="str">
        <x:v>No</x:v>
      </x:c>
      <x:c r="AF153" t="str">
        <x:v>No</x:v>
      </x:c>
      <x:c r="AG153" t="str">
        <x:v>Eligible for GI-recovery meta-analysis using median/IQR methods</x:v>
      </x:c>
      <x:c r="AH153" t="str">
        <x:v>No</x:v>
      </x:c>
      <x:c r="AI153" t="str">
        <x:v>Use PP analyzed denominators explicitly; do not fabricate mean/SD</x:v>
      </x:c>
      <x:c r="AJ153" t="str">
        <x:v>First-flatus result</x:v>
      </x:c>
      <x:c r="AK153" t="str">
        <x:v>https://drive.google.com/file/d/1NvcLlsb17N6EMhtHs_L_WBnf40wsrtRz/view?usp=drivesdk</x:v>
      </x:c>
      <x:c r="AL153" t="str">
        <x:v>SOURCE-VERIFIED / ATTRITION QC</x:v>
      </x:c>
    </x:row>
    <x:row r="154">
      <x:c r="A154" t="str">
        <x:v>Li 2021</x:v>
      </x:c>
      <x:c r="B154" t="str">
        <x:v>LI21_TEAS_vs_SHAM_PGD</x:v>
      </x:c>
      <x:c r="C154" t="str">
        <x:v>Perioperative TEAS</x:v>
      </x:c>
      <x:c r="D154" t="str">
        <x:v>Sham-point/no current</x:v>
      </x:c>
      <x:c r="E154" t="str">
        <x:v>GI recovery</x:v>
      </x:c>
      <x:c r="F154" t="str">
        <x:v>Postoperative gastrointestinal dysfunction: no bowel sounds &gt;48 h</x:v>
      </x:c>
      <x:c r="G154" t="str">
        <x:v>Postoperative</x:v>
      </x:c>
      <x:c r="H154" t="str">
        <x:v>Events/total</x:v>
      </x:c>
      <x:c r="I154" t="n">
        <x:v>154</x:v>
      </x:c>
      <x:c r="J154" t="n">
        <x:v>152</x:v>
      </x:c>
      <x:c r="K154" t="n">
        <x:v>140</x:v>
      </x:c>
      <x:c r="L154" t="n">
        <x:v>140</x:v>
      </x:c>
      <x:c r="M154"/>
      <x:c r="N154"/>
      <x:c r="O154"/>
      <x:c r="P154"/>
      <x:c r="Q154"/>
      <x:c r="R154" t="n">
        <x:v>26</x:v>
      </x:c>
      <x:c r="S154"/>
      <x:c r="T154"/>
      <x:c r="U154"/>
      <x:c r="V154"/>
      <x:c r="W154"/>
      <x:c r="X154" t="n">
        <x:v>44</x:v>
      </x:c>
      <x:c r="Y154" t="str">
        <x:v>participants</x:v>
      </x:c>
      <x:c r="Z154" t="str">
        <x:v>NR</x:v>
      </x:c>
      <x:c r="AA154" t="str">
        <x:v>Yes</x:v>
      </x:c>
      <x:c r="AB154" t="str">
        <x:v>No</x:v>
      </x:c>
      <x:c r="AC154" t="str">
        <x:f>IF(H154="Mean/SD","MD",IF(H154="Events/total","RR",""))</x:f>
        <x:v>RR</x:v>
      </x:c>
      <x:c r="AD154" t="n">
        <x:f>IF(H154="Mean/SD",M154-S154,IF(H154="Events/total",IFERROR((R154/K154)/(X154/L154),""),""))</x:f>
        <x:v>0.5909090909090909</x:v>
      </x:c>
      <x:c r="AE154" t="str">
        <x:v>No</x:v>
      </x:c>
      <x:c r="AF154" t="str">
        <x:v>No</x:v>
      </x:c>
      <x:c r="AG154" t="str">
        <x:v>Eligible for dichotomous PGD analysis</x:v>
      </x:c>
      <x:c r="AH154" t="str">
        <x:v>No</x:v>
      </x:c>
      <x:c r="AI154" t="str">
        <x:v>Study-specific PGD definition; majority of events were in colorectal stratum</x:v>
      </x:c>
      <x:c r="AJ154" t="str">
        <x:v>PGD incidence</x:v>
      </x:c>
      <x:c r="AK154" t="str">
        <x:v>https://drive.google.com/file/d/1NvcLlsb17N6EMhtHs_L_WBnf40wsrtRz/view?usp=drivesdk</x:v>
      </x:c>
      <x:c r="AL154" t="str">
        <x:v>SOURCE-VERIFIED</x:v>
      </x:c>
    </x:row>
    <x:row r="155">
      <x:c r="A155" t="str">
        <x:v>Li 2021</x:v>
      </x:c>
      <x:c r="B155" t="str">
        <x:v>LI21_TEAS_vs_SHAM_PAIN6</x:v>
      </x:c>
      <x:c r="C155" t="str">
        <x:v>Perioperative TEAS</x:v>
      </x:c>
      <x:c r="D155" t="str">
        <x:v>Sham-point/no current</x:v>
      </x:c>
      <x:c r="E155" t="str">
        <x:v>Pain</x:v>
      </x:c>
      <x:c r="F155" t="str">
        <x:v>VAS ≥4</x:v>
      </x:c>
      <x:c r="G155" t="str">
        <x:v>6 h</x:v>
      </x:c>
      <x:c r="H155" t="str">
        <x:v>Events/total</x:v>
      </x:c>
      <x:c r="I155" t="n">
        <x:v>154</x:v>
      </x:c>
      <x:c r="J155" t="n">
        <x:v>152</x:v>
      </x:c>
      <x:c r="K155" t="n">
        <x:v>140</x:v>
      </x:c>
      <x:c r="L155" t="n">
        <x:v>140</x:v>
      </x:c>
      <x:c r="M155"/>
      <x:c r="N155"/>
      <x:c r="O155"/>
      <x:c r="P155"/>
      <x:c r="Q155"/>
      <x:c r="R155" t="n">
        <x:v>30</x:v>
      </x:c>
      <x:c r="S155"/>
      <x:c r="T155"/>
      <x:c r="U155"/>
      <x:c r="V155"/>
      <x:c r="W155"/>
      <x:c r="X155" t="n">
        <x:v>50</x:v>
      </x:c>
      <x:c r="Y155" t="str">
        <x:v>participants</x:v>
      </x:c>
      <x:c r="Z155" t="str">
        <x:v>0.008</x:v>
      </x:c>
      <x:c r="AA155" t="str">
        <x:v>Yes</x:v>
      </x:c>
      <x:c r="AB155" t="str">
        <x:v>No</x:v>
      </x:c>
      <x:c r="AC155" t="str">
        <x:f>IF(H155="Mean/SD","MD",IF(H155="Events/total","RR",""))</x:f>
        <x:v>RR</x:v>
      </x:c>
      <x:c r="AD155" t="n">
        <x:f>IF(H155="Mean/SD",M155-S155,IF(H155="Events/total",IFERROR((R155/K155)/(X155/L155),""),""))</x:f>
        <x:v>0.6</x:v>
      </x:c>
      <x:c r="AE155" t="str">
        <x:v>No</x:v>
      </x:c>
      <x:c r="AF155" t="str">
        <x:v>No</x:v>
      </x:c>
      <x:c r="AG155" t="str">
        <x:v>Eligible for dichotomous 6-h significant-pain analysis</x:v>
      </x:c>
      <x:c r="AH155" t="str">
        <x:v>No</x:v>
      </x:c>
      <x:c r="AI155" t="str">
        <x:v>Pain is reported as binary VAS ≥4 rather than continuous score</x:v>
      </x:c>
      <x:c r="AJ155" t="str">
        <x:v>Postoperative pain table / 6 h</x:v>
      </x:c>
      <x:c r="AK155" t="str">
        <x:v>https://drive.google.com/file/d/1NvcLlsb17N6EMhtHs_L_WBnf40wsrtRz/view?usp=drivesdk</x:v>
      </x:c>
      <x:c r="AL155" t="str">
        <x:v>SOURCE-VERIFIED</x:v>
      </x:c>
    </x:row>
    <x:row r="156">
      <x:c r="A156" t="str">
        <x:v>Li 2021</x:v>
      </x:c>
      <x:c r="B156" t="str">
        <x:v>LI21_TEAS_vs_SHAM_OPIOID24</x:v>
      </x:c>
      <x:c r="C156" t="str">
        <x:v>Perioperative TEAS</x:v>
      </x:c>
      <x:c r="D156" t="str">
        <x:v>Sham-point/no current</x:v>
      </x:c>
      <x:c r="E156" t="str">
        <x:v>Opioid consumption</x:v>
      </x:c>
      <x:c r="F156" t="str">
        <x:v>Cumulative postoperative sufentanil consumption</x:v>
      </x:c>
      <x:c r="G156" t="str">
        <x:v>0-24 h</x:v>
      </x:c>
      <x:c r="H156" t="str">
        <x:v>Not reported</x:v>
      </x:c>
      <x:c r="I156" t="n">
        <x:v>154</x:v>
      </x:c>
      <x:c r="J156" t="n">
        <x:v>152</x:v>
      </x:c>
      <x:c r="K156" t="n">
        <x:v>140</x:v>
      </x:c>
      <x:c r="L156" t="n">
        <x:v>140</x:v>
      </x:c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 t="str">
        <x:v>published pump formulation says 250 mg sufentanil/250 mL</x:v>
      </x:c>
      <x:c r="Z156" t="str"/>
      <x:c r="AA156" t="str">
        <x:v>No</x:v>
      </x:c>
      <x:c r="AB156" t="str">
        <x:v>No</x:v>
      </x:c>
      <x:c r="AC156" t="str">
        <x:f>IF(H156="Mean/SD","MD",IF(H156="Events/total","RR",""))</x:f>
      </x:c>
      <x:c r="AD156" t="str">
        <x:f>IF(H156="Mean/SD",M156-S156,IF(H156="Events/total",IFERROR((R156/K156)/(X156/L156),""),""))</x:f>
      </x:c>
      <x:c r="AE156" t="str">
        <x:v>No</x:v>
      </x:c>
      <x:c r="AF156" t="str">
        <x:v>No</x:v>
      </x:c>
      <x:c r="AG156" t="str">
        <x:v>Not eligible for continuous 24-h opioid/MME meta-analysis</x:v>
      </x:c>
      <x:c r="AH156" t="str">
        <x:v>No</x:v>
      </x:c>
      <x:c r="AI156" t="str">
        <x:v>Printed pump unit is clinically implausible, programming is missing, and actual 24-h delivered dose is not reported; do not silently change mg to µg</x:v>
      </x:c>
      <x:c r="AJ156" t="str">
        <x:v>Postoperative analgesia pump / exact 24-h endpoint absent</x:v>
      </x:c>
      <x:c r="AK156" t="str">
        <x:v>https://drive.google.com/file/d/1NvcLlsb17N6EMhtHs_L_WBnf40wsrtRz/view?usp=drivesdk</x:v>
      </x:c>
      <x:c r="AL156" t="str">
        <x:v>MISSING / UNIT + DOSE UNRESOLVED</x:v>
      </x:c>
    </x:row>
    <x:row r="157">
      <x:c r="A157" t="str">
        <x:v>Liu 2026 (ESD)</x:v>
      </x:c>
      <x:c r="B157" t="str">
        <x:v>LIU26ESD_TEAS_vs_SHAM_MODPAIN24</x:v>
      </x:c>
      <x:c r="C157" t="str">
        <x:v>Perioperative TEAS</x:v>
      </x:c>
      <x:c r="D157" t="str">
        <x:v>Sham-point/no current</x:v>
      </x:c>
      <x:c r="E157" t="str">
        <x:v>Pain</x:v>
      </x:c>
      <x:c r="F157" t="str">
        <x:v>Moderate-to-severe pain (NRS ≥4)</x:v>
      </x:c>
      <x:c r="G157" t="str">
        <x:v>Within 24 h</x:v>
      </x:c>
      <x:c r="H157" t="str">
        <x:v>Events/total</x:v>
      </x:c>
      <x:c r="I157" t="n">
        <x:v>64</x:v>
      </x:c>
      <x:c r="J157" t="n">
        <x:v>65</x:v>
      </x:c>
      <x:c r="K157" t="n">
        <x:v>58</x:v>
      </x:c>
      <x:c r="L157" t="n">
        <x:v>62</x:v>
      </x:c>
      <x:c r="M157"/>
      <x:c r="N157"/>
      <x:c r="O157"/>
      <x:c r="P157"/>
      <x:c r="Q157"/>
      <x:c r="R157" t="n">
        <x:v>22</x:v>
      </x:c>
      <x:c r="S157"/>
      <x:c r="T157"/>
      <x:c r="U157"/>
      <x:c r="V157"/>
      <x:c r="W157"/>
      <x:c r="X157" t="n">
        <x:v>40</x:v>
      </x:c>
      <x:c r="Y157" t="str">
        <x:v>participants</x:v>
      </x:c>
      <x:c r="Z157" t="str">
        <x:v>0.004</x:v>
      </x:c>
      <x:c r="AA157" t="str">
        <x:v>Yes</x:v>
      </x:c>
      <x:c r="AB157" t="str">
        <x:v>No</x:v>
      </x:c>
      <x:c r="AC157" t="str">
        <x:f>IF(H157="Mean/SD","MD",IF(H157="Events/total","RR",""))</x:f>
        <x:v>RR</x:v>
      </x:c>
      <x:c r="AD157" t="n">
        <x:f>IF(H157="Mean/SD",M157-S157,IF(H157="Events/total",IFERROR((R157/K157)/(X157/L157),""),""))</x:f>
        <x:v>0.5879310344827586</x:v>
      </x:c>
      <x:c r="AE157" t="str">
        <x:v>No</x:v>
      </x:c>
      <x:c r="AF157" t="str">
        <x:v>No</x:v>
      </x:c>
      <x:c r="AG157" t="str">
        <x:v>Eligible for dichotomous 24-h moderate-to-severe pain analysis</x:v>
      </x:c>
      <x:c r="AH157" t="str">
        <x:v>No</x:v>
      </x:c>
      <x:c r="AI157" t="str">
        <x:v>9/129 randomized participants excluded after randomization, including postoperative bleeding and conversion to laparotomy; no ITT sensitivity analysis</x:v>
      </x:c>
      <x:c r="AJ157" t="str">
        <x:v>Primary outcome / NRS ≥4 within 24 h</x:v>
      </x:c>
      <x:c r="AK157" t="str">
        <x:v>https://drive.google.com/file/d/1Hp7pCBP8iXkGGYVhlFY0BHTeaaM7bhdY/view?usp=drivesdk</x:v>
      </x:c>
      <x:c r="AL157" t="str">
        <x:v>SOURCE-VERIFIED / ATTRITION QC</x:v>
      </x:c>
    </x:row>
    <x:row r="158">
      <x:c r="A158" t="str">
        <x:v>Liu 2026 (ESD)</x:v>
      </x:c>
      <x:c r="B158" t="str">
        <x:v>LIU26ESD_TEAS_vs_SHAM_NRS24</x:v>
      </x:c>
      <x:c r="C158" t="str">
        <x:v>Perioperative TEAS</x:v>
      </x:c>
      <x:c r="D158" t="str">
        <x:v>Sham-point/no current</x:v>
      </x:c>
      <x:c r="E158" t="str">
        <x:v>Pain</x:v>
      </x:c>
      <x:c r="F158" t="str">
        <x:v>NRS pain intensity</x:v>
      </x:c>
      <x:c r="G158" t="str">
        <x:v>24 h</x:v>
      </x:c>
      <x:c r="H158" t="str">
        <x:v>Mean/SD</x:v>
      </x:c>
      <x:c r="I158" t="n">
        <x:v>64</x:v>
      </x:c>
      <x:c r="J158" t="n">
        <x:v>65</x:v>
      </x:c>
      <x:c r="K158" t="n">
        <x:v>58</x:v>
      </x:c>
      <x:c r="L158" t="n">
        <x:v>62</x:v>
      </x:c>
      <x:c r="M158" t="n">
        <x:v>1.2</x:v>
      </x:c>
      <x:c r="N158" t="n">
        <x:v>1.3</x:v>
      </x:c>
      <x:c r="O158"/>
      <x:c r="P158"/>
      <x:c r="Q158"/>
      <x:c r="R158"/>
      <x:c r="S158" t="n">
        <x:v>2.8</x:v>
      </x:c>
      <x:c r="T158" t="n">
        <x:v>1.9</x:v>
      </x:c>
      <x:c r="U158"/>
      <x:c r="V158"/>
      <x:c r="W158"/>
      <x:c r="X158"/>
      <x:c r="Y158" t="str">
        <x:v>NRS 0-10</x:v>
      </x:c>
      <x:c r="Z158" t="str">
        <x:v>0.001</x:v>
      </x:c>
      <x:c r="AA158" t="str">
        <x:v>Yes</x:v>
      </x:c>
      <x:c r="AB158" t="str">
        <x:v>No</x:v>
      </x:c>
      <x:c r="AC158" t="str">
        <x:f>IF(H158="Mean/SD","MD",IF(H158="Events/total","RR",""))</x:f>
        <x:v>MD</x:v>
      </x:c>
      <x:c r="AD158" t="n">
        <x:f>IF(H158="Mean/SD",M158-S158,IF(H158="Events/total",IFERROR((R158/K158)/(X158/L158),""),""))</x:f>
        <x:v>-1.5999999999999999</x:v>
      </x:c>
      <x:c r="AE158" t="str">
        <x:v>No</x:v>
      </x:c>
      <x:c r="AF158" t="str">
        <x:v>No</x:v>
      </x:c>
      <x:c r="AG158" t="str">
        <x:v>Eligible for 24-h pain meta-analysis</x:v>
      </x:c>
      <x:c r="AH158" t="str">
        <x:v>No</x:v>
      </x:c>
      <x:c r="AI158" t="str">
        <x:v>Active TEAS at maximum tolerated intensity vs sham no current; sensory blinding success was not tested</x:v>
      </x:c>
      <x:c r="AJ158" t="str">
        <x:v>Serial NRS results / 24 h</x:v>
      </x:c>
      <x:c r="AK158" t="str">
        <x:v>https://drive.google.com/file/d/1Hp7pCBP8iXkGGYVhlFY0BHTeaaM7bhdY/view?usp=drivesdk</x:v>
      </x:c>
      <x:c r="AL158" t="str">
        <x:v>SOURCE-VERIFIED</x:v>
      </x:c>
    </x:row>
    <x:row r="159">
      <x:c r="A159" t="str">
        <x:v>Liu 2026 (ESD)</x:v>
      </x:c>
      <x:c r="B159" t="str">
        <x:v>LIU26ESD_TEAS_vs_SHAM_ANYMORPH</x:v>
      </x:c>
      <x:c r="C159" t="str">
        <x:v>Perioperative TEAS</x:v>
      </x:c>
      <x:c r="D159" t="str">
        <x:v>Sham-point/no current</x:v>
      </x:c>
      <x:c r="E159" t="str">
        <x:v>Rescue opioid use</x:v>
      </x:c>
      <x:c r="F159" t="str">
        <x:v>Any rescue IV morphine use</x:v>
      </x:c>
      <x:c r="G159" t="str">
        <x:v>Through 48 h</x:v>
      </x:c>
      <x:c r="H159" t="str">
        <x:v>Events/total</x:v>
      </x:c>
      <x:c r="I159" t="n">
        <x:v>64</x:v>
      </x:c>
      <x:c r="J159" t="n">
        <x:v>65</x:v>
      </x:c>
      <x:c r="K159" t="n">
        <x:v>58</x:v>
      </x:c>
      <x:c r="L159" t="n">
        <x:v>62</x:v>
      </x:c>
      <x:c r="M159"/>
      <x:c r="N159"/>
      <x:c r="O159"/>
      <x:c r="P159"/>
      <x:c r="Q159"/>
      <x:c r="R159" t="n">
        <x:v>19</x:v>
      </x:c>
      <x:c r="S159"/>
      <x:c r="T159"/>
      <x:c r="U159"/>
      <x:c r="V159"/>
      <x:c r="W159"/>
      <x:c r="X159" t="n">
        <x:v>40</x:v>
      </x:c>
      <x:c r="Y159" t="str">
        <x:v>participants</x:v>
      </x:c>
      <x:c r="Z159" t="str">
        <x:v>&lt;0.001</x:v>
      </x:c>
      <x:c r="AA159" t="str">
        <x:v>Yes</x:v>
      </x:c>
      <x:c r="AB159" t="str">
        <x:v>No</x:v>
      </x:c>
      <x:c r="AC159" t="str">
        <x:f>IF(H159="Mean/SD","MD",IF(H159="Events/total","RR",""))</x:f>
        <x:v>RR</x:v>
      </x:c>
      <x:c r="AD159" t="n">
        <x:f>IF(H159="Mean/SD",M159-S159,IF(H159="Events/total",IFERROR((R159/K159)/(X159/L159),""),""))</x:f>
        <x:v>0.5077586206896552</x:v>
      </x:c>
      <x:c r="AE159" t="str">
        <x:v>No</x:v>
      </x:c>
      <x:c r="AF159" t="str">
        <x:v>No</x:v>
      </x:c>
      <x:c r="AG159" t="str">
        <x:v>Eligible for binary rescue-opioid-use analysis</x:v>
      </x:c>
      <x:c r="AH159" t="str">
        <x:v>No</x:v>
      </x:c>
      <x:c r="AI159" t="str">
        <x:v>Morphine was 1 mg IV per administration, but number of administrations and cumulative dose per patient are not reported</x:v>
      </x:c>
      <x:c r="AJ159" t="str">
        <x:v>Postoperative rescue analgesia</x:v>
      </x:c>
      <x:c r="AK159" t="str">
        <x:v>https://drive.google.com/file/d/1Hp7pCBP8iXkGGYVhlFY0BHTeaaM7bhdY/view?usp=drivesdk</x:v>
      </x:c>
      <x:c r="AL159" t="str">
        <x:v>SOURCE-VERIFIED</x:v>
      </x:c>
    </x:row>
    <x:row r="160">
      <x:c r="A160" t="str">
        <x:v>Liu 2026 (ESD)</x:v>
      </x:c>
      <x:c r="B160" t="str">
        <x:v>LIU26ESD_TEAS_vs_SHAM_PONV</x:v>
      </x:c>
      <x:c r="C160" t="str">
        <x:v>Perioperative TEAS</x:v>
      </x:c>
      <x:c r="D160" t="str">
        <x:v>Sham-point/no current</x:v>
      </x:c>
      <x:c r="E160" t="str">
        <x:v>PONV</x:v>
      </x:c>
      <x:c r="F160" t="str">
        <x:v>PONV incidence</x:v>
      </x:c>
      <x:c r="G160" t="str">
        <x:v>Postoperative follow-up</x:v>
      </x:c>
      <x:c r="H160" t="str">
        <x:v>Events/total</x:v>
      </x:c>
      <x:c r="I160" t="n">
        <x:v>64</x:v>
      </x:c>
      <x:c r="J160" t="n">
        <x:v>65</x:v>
      </x:c>
      <x:c r="K160" t="n">
        <x:v>58</x:v>
      </x:c>
      <x:c r="L160" t="n">
        <x:v>62</x:v>
      </x:c>
      <x:c r="M160"/>
      <x:c r="N160"/>
      <x:c r="O160"/>
      <x:c r="P160"/>
      <x:c r="Q160"/>
      <x:c r="R160" t="n">
        <x:v>4</x:v>
      </x:c>
      <x:c r="S160"/>
      <x:c r="T160"/>
      <x:c r="U160"/>
      <x:c r="V160"/>
      <x:c r="W160"/>
      <x:c r="X160" t="n">
        <x:v>14</x:v>
      </x:c>
      <x:c r="Y160" t="str">
        <x:v>participants</x:v>
      </x:c>
      <x:c r="Z160" t="str">
        <x:v>Published P/RR internally inconsistent</x:v>
      </x:c>
      <x:c r="AA160" t="str">
        <x:v>Yes</x:v>
      </x:c>
      <x:c r="AB160" t="str">
        <x:v>No</x:v>
      </x:c>
      <x:c r="AC160" t="str">
        <x:f>IF(H160="Mean/SD","MD",IF(H160="Events/total","RR",""))</x:f>
        <x:v>RR</x:v>
      </x:c>
      <x:c r="AD160" t="n">
        <x:f>IF(H160="Mean/SD",M160-S160,IF(H160="Events/total",IFERROR((R160/K160)/(X160/L160),""),""))</x:f>
        <x:v>0.3054187192118227</x:v>
      </x:c>
      <x:c r="AE160" t="str">
        <x:v>No</x:v>
      </x:c>
      <x:c r="AF160" t="str">
        <x:v>No</x:v>
      </x:c>
      <x:c r="AG160" t="str">
        <x:v>Eligible using raw event counts with source-statistic QC</x:v>
      </x:c>
      <x:c r="AH160" t="str">
        <x:v>No</x:v>
      </x:c>
      <x:c r="AI160" t="str">
        <x:v>Published RR/P-value for PONV are internally inconsistent; use raw 4/58 vs 14/62</x:v>
      </x:c>
      <x:c r="AJ160" t="str">
        <x:v>Postoperative complication table</x:v>
      </x:c>
      <x:c r="AK160" t="str">
        <x:v>https://drive.google.com/file/d/1Hp7pCBP8iXkGGYVhlFY0BHTeaaM7bhdY/view?usp=drivesdk</x:v>
      </x:c>
      <x:c r="AL160" t="str">
        <x:v>SOURCE-VERIFIED / PUBLISHED EFFECT QC</x:v>
      </x:c>
    </x:row>
    <x:row r="161">
      <x:c r="A161" t="str">
        <x:v>Liu 2026 (ESD)</x:v>
      </x:c>
      <x:c r="B161" t="str">
        <x:v>LIU26ESD_TEAS_vs_SHAM_MORPH24</x:v>
      </x:c>
      <x:c r="C161" t="str">
        <x:v>Perioperative TEAS</x:v>
      </x:c>
      <x:c r="D161" t="str">
        <x:v>Sham-point/no current</x:v>
      </x:c>
      <x:c r="E161" t="str">
        <x:v>Opioid consumption</x:v>
      </x:c>
      <x:c r="F161" t="str">
        <x:v>Cumulative postoperative morphine consumption</x:v>
      </x:c>
      <x:c r="G161" t="str">
        <x:v>0-24 h</x:v>
      </x:c>
      <x:c r="H161" t="str">
        <x:v>Not reported</x:v>
      </x:c>
      <x:c r="I161" t="n">
        <x:v>64</x:v>
      </x:c>
      <x:c r="J161" t="n">
        <x:v>65</x:v>
      </x:c>
      <x:c r="K161" t="n">
        <x:v>58</x:v>
      </x:c>
      <x:c r="L161" t="n">
        <x:v>62</x:v>
      </x:c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 t="str">
        <x:v>mg IV morphine</x:v>
      </x:c>
      <x:c r="Z161" t="str"/>
      <x:c r="AA161" t="str">
        <x:v>No</x:v>
      </x:c>
      <x:c r="AB161" t="str">
        <x:v>No</x:v>
      </x:c>
      <x:c r="AC161" t="str">
        <x:f>IF(H161="Mean/SD","MD",IF(H161="Events/total","RR",""))</x:f>
      </x:c>
      <x:c r="AD161" t="str">
        <x:f>IF(H161="Mean/SD",M161-S161,IF(H161="Events/total",IFERROR((R161/K161)/(X161/L161),""),""))</x:f>
      </x:c>
      <x:c r="AE161" t="str">
        <x:v>No</x:v>
      </x:c>
      <x:c r="AF161" t="str">
        <x:v>No</x:v>
      </x:c>
      <x:c r="AG161" t="str">
        <x:v>Not eligible for continuous 24-h morphine/MME meta-analysis without author data</x:v>
      </x:c>
      <x:c r="AH161" t="str">
        <x:v>No</x:v>
      </x:c>
      <x:c r="AI161" t="str">
        <x:v>Binary morphine use is reported, but administration counts and cumulative dose are not</x:v>
      </x:c>
      <x:c r="AJ161" t="str">
        <x:v>Exact 24-h opioid dose absent</x:v>
      </x:c>
      <x:c r="AK161" t="str">
        <x:v>https://drive.google.com/file/d/1Hp7pCBP8iXkGGYVhlFY0BHTeaaM7bhdY/view?usp=drivesdk</x:v>
      </x:c>
      <x:c r="AL161" t="str">
        <x:v>MISSING / AUTHOR DATA NEEDED</x:v>
      </x:c>
    </x:row>
    <x:row r="162">
      <x:c r="A162" t="str">
        <x:v>Liu 2021</x:v>
      </x:c>
      <x:c r="B162" t="str">
        <x:v>LIU21_TEAS_vs_CTRL_POCD1</x:v>
      </x:c>
      <x:c r="C162" t="str">
        <x:v>Perioperative TEAS</x:v>
      </x:c>
      <x:c r="D162" t="str">
        <x:v>Electrodes/no current</x:v>
      </x:c>
      <x:c r="E162" t="str">
        <x:v>Neurocognitive</x:v>
      </x:c>
      <x:c r="F162" t="str">
        <x:v>Postoperative cognitive decline (MMSE Z-score ≤ -2)</x:v>
      </x:c>
      <x:c r="G162" t="str">
        <x:v>POD1</x:v>
      </x:c>
      <x:c r="H162" t="str">
        <x:v>Events/total</x:v>
      </x:c>
      <x:c r="I162" t="n">
        <x:v>50</x:v>
      </x:c>
      <x:c r="J162" t="n">
        <x:v>50</x:v>
      </x:c>
      <x:c r="K162" t="n">
        <x:v>50</x:v>
      </x:c>
      <x:c r="L162" t="n">
        <x:v>50</x:v>
      </x:c>
      <x:c r="M162"/>
      <x:c r="N162"/>
      <x:c r="O162"/>
      <x:c r="P162"/>
      <x:c r="Q162"/>
      <x:c r="R162" t="n">
        <x:v>5</x:v>
      </x:c>
      <x:c r="S162"/>
      <x:c r="T162"/>
      <x:c r="U162"/>
      <x:c r="V162"/>
      <x:c r="W162"/>
      <x:c r="X162" t="n">
        <x:v>11</x:v>
      </x:c>
      <x:c r="Y162" t="str">
        <x:v>participants</x:v>
      </x:c>
      <x:c r="Z162" t="str">
        <x:v>0.102</x:v>
      </x:c>
      <x:c r="AA162" t="str">
        <x:v>Yes</x:v>
      </x:c>
      <x:c r="AB162" t="str">
        <x:v>No</x:v>
      </x:c>
      <x:c r="AC162" t="str">
        <x:f>IF(H162="Mean/SD","MD",IF(H162="Events/total","RR",""))</x:f>
        <x:v>RR</x:v>
      </x:c>
      <x:c r="AD162" t="n">
        <x:f>IF(H162="Mean/SD",M162-S162,IF(H162="Events/total",IFERROR((R162/K162)/(X162/L162),""),""))</x:f>
        <x:v>0.4545454545454546</x:v>
      </x:c>
      <x:c r="AE162" t="str">
        <x:v>No</x:v>
      </x:c>
      <x:c r="AF162" t="str">
        <x:v>No</x:v>
      </x:c>
      <x:c r="AG162" t="str">
        <x:v>Eligible for dichotomous POD1 POCD analysis</x:v>
      </x:c>
      <x:c r="AH162" t="str">
        <x:v>No</x:v>
      </x:c>
      <x:c r="AI162" t="str">
        <x:v>Control prose prints 11 cases as 25%, but 11/50 = 22%; preserve count as authoritative</x:v>
      </x:c>
      <x:c r="AJ162" t="str">
        <x:v>POCD incidence table / POD1</x:v>
      </x:c>
      <x:c r="AK162" t="str">
        <x:v>https://drive.google.com/file/d/1TA4BstaUWY3EdQbDNEvvGxF35ekGanrm/view?usp=drivesdk</x:v>
      </x:c>
      <x:c r="AL162" t="str">
        <x:v>SOURCE-VERIFIED / PERCENTAGE QC</x:v>
      </x:c>
    </x:row>
    <x:row r="163">
      <x:c r="A163" t="str">
        <x:v>Liu 2021</x:v>
      </x:c>
      <x:c r="B163" t="str">
        <x:v>LIU21_TEAS_vs_CTRL_VASREST24</x:v>
      </x:c>
      <x:c r="C163" t="str">
        <x:v>Perioperative TEAS</x:v>
      </x:c>
      <x:c r="D163" t="str">
        <x:v>Electrodes/no current</x:v>
      </x:c>
      <x:c r="E163" t="str">
        <x:v>Pain</x:v>
      </x:c>
      <x:c r="F163" t="str">
        <x:v>VAS at rest</x:v>
      </x:c>
      <x:c r="G163" t="str">
        <x:v>24 h</x:v>
      </x:c>
      <x:c r="H163" t="str">
        <x:v>Mean/SD</x:v>
      </x:c>
      <x:c r="I163" t="n">
        <x:v>50</x:v>
      </x:c>
      <x:c r="J163" t="n">
        <x:v>50</x:v>
      </x:c>
      <x:c r="K163" t="n">
        <x:v>50</x:v>
      </x:c>
      <x:c r="L163" t="n">
        <x:v>50</x:v>
      </x:c>
      <x:c r="M163" t="n">
        <x:v>2.52</x:v>
      </x:c>
      <x:c r="N163" t="n">
        <x:v>0.505</x:v>
      </x:c>
      <x:c r="O163"/>
      <x:c r="P163"/>
      <x:c r="Q163"/>
      <x:c r="R163"/>
      <x:c r="S163" t="n">
        <x:v>2.66</x:v>
      </x:c>
      <x:c r="T163" t="n">
        <x:v>0.626</x:v>
      </x:c>
      <x:c r="U163"/>
      <x:c r="V163"/>
      <x:c r="W163"/>
      <x:c r="X163"/>
      <x:c r="Y163" t="str">
        <x:v>VAS</x:v>
      </x:c>
      <x:c r="Z163" t="str">
        <x:v>0.221</x:v>
      </x:c>
      <x:c r="AA163" t="str">
        <x:v>Yes</x:v>
      </x:c>
      <x:c r="AB163" t="str">
        <x:v>No</x:v>
      </x:c>
      <x:c r="AC163" t="str">
        <x:f>IF(H163="Mean/SD","MD",IF(H163="Events/total","RR",""))</x:f>
        <x:v>MD</x:v>
      </x:c>
      <x:c r="AD163" t="n">
        <x:f>IF(H163="Mean/SD",M163-S163,IF(H163="Events/total",IFERROR((R163/K163)/(X163/L163),""),""))</x:f>
        <x:v>-0.14000000000000012</x:v>
      </x:c>
      <x:c r="AE163" t="str">
        <x:v>No</x:v>
      </x:c>
      <x:c r="AF163" t="str">
        <x:v>No</x:v>
      </x:c>
      <x:c r="AG163" t="str">
        <x:v>Eligible for 24-h rest-pain analysis</x:v>
      </x:c>
      <x:c r="AH163" t="str">
        <x:v>No</x:v>
      </x:c>
      <x:c r="AI163" t="str">
        <x:v>Participant blinding is unclear because active stimulation was maximum tolerated and control received no current</x:v>
      </x:c>
      <x:c r="AJ163" t="str">
        <x:v>Table 2 / 24-h rest VAS</x:v>
      </x:c>
      <x:c r="AK163" t="str">
        <x:v>https://drive.google.com/file/d/1TA4BstaUWY3EdQbDNEvvGxF35ekGanrm/view?usp=drivesdk</x:v>
      </x:c>
      <x:c r="AL163" t="str">
        <x:v>SOURCE-VERIFIED</x:v>
      </x:c>
    </x:row>
    <x:row r="164">
      <x:c r="A164" t="str">
        <x:v>Liu 2021</x:v>
      </x:c>
      <x:c r="B164" t="str">
        <x:v>LIU21_TEAS_vs_CTRL_VASCOUGH24</x:v>
      </x:c>
      <x:c r="C164" t="str">
        <x:v>Perioperative TEAS</x:v>
      </x:c>
      <x:c r="D164" t="str">
        <x:v>Electrodes/no current</x:v>
      </x:c>
      <x:c r="E164" t="str">
        <x:v>Pain</x:v>
      </x:c>
      <x:c r="F164" t="str">
        <x:v>VAS with coughing</x:v>
      </x:c>
      <x:c r="G164" t="str">
        <x:v>24 h</x:v>
      </x:c>
      <x:c r="H164" t="str">
        <x:v>Mean/SD</x:v>
      </x:c>
      <x:c r="I164" t="n">
        <x:v>50</x:v>
      </x:c>
      <x:c r="J164" t="n">
        <x:v>50</x:v>
      </x:c>
      <x:c r="K164" t="n">
        <x:v>50</x:v>
      </x:c>
      <x:c r="L164" t="n">
        <x:v>50</x:v>
      </x:c>
      <x:c r="M164" t="n">
        <x:v>3.2</x:v>
      </x:c>
      <x:c r="N164" t="n">
        <x:v>0.571</x:v>
      </x:c>
      <x:c r="O164"/>
      <x:c r="P164"/>
      <x:c r="Q164"/>
      <x:c r="R164"/>
      <x:c r="S164" t="n">
        <x:v>3.16</x:v>
      </x:c>
      <x:c r="T164" t="n">
        <x:v>0.681</x:v>
      </x:c>
      <x:c r="U164"/>
      <x:c r="V164"/>
      <x:c r="W164"/>
      <x:c r="X164"/>
      <x:c r="Y164" t="str">
        <x:v>VAS</x:v>
      </x:c>
      <x:c r="Z164" t="str">
        <x:v>0.751</x:v>
      </x:c>
      <x:c r="AA164" t="str">
        <x:v>Yes</x:v>
      </x:c>
      <x:c r="AB164" t="str">
        <x:v>No</x:v>
      </x:c>
      <x:c r="AC164" t="str">
        <x:f>IF(H164="Mean/SD","MD",IF(H164="Events/total","RR",""))</x:f>
        <x:v>MD</x:v>
      </x:c>
      <x:c r="AD164" t="n">
        <x:f>IF(H164="Mean/SD",M164-S164,IF(H164="Events/total",IFERROR((R164/K164)/(X164/L164),""),""))</x:f>
        <x:v>0.040000000000000036</x:v>
      </x:c>
      <x:c r="AE164" t="str">
        <x:v>No</x:v>
      </x:c>
      <x:c r="AF164" t="str">
        <x:v>No</x:v>
      </x:c>
      <x:c r="AG164" t="str">
        <x:v>Eligible for 24-h movement/evoked-pain analysis</x:v>
      </x:c>
      <x:c r="AH164" t="str">
        <x:v>No</x:v>
      </x:c>
      <x:c r="AI164" t="str">
        <x:v>No evidence of analgesic benefit at 24 h</x:v>
      </x:c>
      <x:c r="AJ164" t="str">
        <x:v>Table 2 / 24-h coughing VAS</x:v>
      </x:c>
      <x:c r="AK164" t="str">
        <x:v>https://drive.google.com/file/d/1TA4BstaUWY3EdQbDNEvvGxF35ekGanrm/view?usp=drivesdk</x:v>
      </x:c>
      <x:c r="AL164" t="str">
        <x:v>SOURCE-VERIFIED</x:v>
      </x:c>
    </x:row>
    <x:row r="165">
      <x:c r="A165" t="str">
        <x:v>Liu 2021</x:v>
      </x:c>
      <x:c r="B165" t="str">
        <x:v>LIU21_TEAS_vs_CTRL_PCAPRESS24</x:v>
      </x:c>
      <x:c r="C165" t="str">
        <x:v>Perioperative TEAS</x:v>
      </x:c>
      <x:c r="D165" t="str">
        <x:v>Electrodes/no current</x:v>
      </x:c>
      <x:c r="E165" t="str">
        <x:v>Opioid demand</x:v>
      </x:c>
      <x:c r="F165" t="str">
        <x:v>PCA pump compressions</x:v>
      </x:c>
      <x:c r="G165" t="str">
        <x:v>0-24 h</x:v>
      </x:c>
      <x:c r="H165" t="str">
        <x:v>Mean/SD</x:v>
      </x:c>
      <x:c r="I165" t="n">
        <x:v>50</x:v>
      </x:c>
      <x:c r="J165" t="n">
        <x:v>50</x:v>
      </x:c>
      <x:c r="K165" t="n">
        <x:v>50</x:v>
      </x:c>
      <x:c r="L165" t="n">
        <x:v>50</x:v>
      </x:c>
      <x:c r="M165" t="n">
        <x:v>17.62</x:v>
      </x:c>
      <x:c r="N165" t="n">
        <x:v>2.687</x:v>
      </x:c>
      <x:c r="O165"/>
      <x:c r="P165"/>
      <x:c r="Q165"/>
      <x:c r="R165"/>
      <x:c r="S165" t="n">
        <x:v>17.38</x:v>
      </x:c>
      <x:c r="T165" t="n">
        <x:v>3.801</x:v>
      </x:c>
      <x:c r="U165"/>
      <x:c r="V165"/>
      <x:c r="W165"/>
      <x:c r="X165"/>
      <x:c r="Y165" t="str">
        <x:v>presses</x:v>
      </x:c>
      <x:c r="Z165" t="str">
        <x:v>0.716</x:v>
      </x:c>
      <x:c r="AA165" t="str">
        <x:v>Yes</x:v>
      </x:c>
      <x:c r="AB165" t="str">
        <x:v>No</x:v>
      </x:c>
      <x:c r="AC165" t="str">
        <x:f>IF(H165="Mean/SD","MD",IF(H165="Events/total","RR",""))</x:f>
        <x:v>MD</x:v>
      </x:c>
      <x:c r="AD165" t="n">
        <x:f>IF(H165="Mean/SD",M165-S165,IF(H165="Events/total",IFERROR((R165/K165)/(X165/L165),""),""))</x:f>
        <x:v>0.240000000000002</x:v>
      </x:c>
      <x:c r="AE165" t="str">
        <x:v>No</x:v>
      </x:c>
      <x:c r="AF165" t="str">
        <x:v>No</x:v>
      </x:c>
      <x:c r="AG165" t="str">
        <x:v>Eligible as 24-h PCA-demand outcome only</x:v>
      </x:c>
      <x:c r="AH165" t="str">
        <x:v>No</x:v>
      </x:c>
      <x:c r="AI165" t="str">
        <x:v>Compressions may represent demands rather than successful boluses; do not convert to sufentanil mass</x:v>
      </x:c>
      <x:c r="AJ165" t="str">
        <x:v>24-h PCA compression result</x:v>
      </x:c>
      <x:c r="AK165" t="str">
        <x:v>https://drive.google.com/file/d/1TA4BstaUWY3EdQbDNEvvGxF35ekGanrm/view?usp=drivesdk</x:v>
      </x:c>
      <x:c r="AL165" t="str">
        <x:v>SOURCE-VERIFIED / DOSE NOT RECONSTRUCTABLE</x:v>
      </x:c>
    </x:row>
    <x:row r="166">
      <x:c r="A166" t="str">
        <x:v>Liu 2021</x:v>
      </x:c>
      <x:c r="B166" t="str">
        <x:v>LIU21_TEAS_vs_CTRL_OPIOID24</x:v>
      </x:c>
      <x:c r="C166" t="str">
        <x:v>Perioperative TEAS</x:v>
      </x:c>
      <x:c r="D166" t="str">
        <x:v>Electrodes/no current</x:v>
      </x:c>
      <x:c r="E166" t="str">
        <x:v>Opioid consumption</x:v>
      </x:c>
      <x:c r="F166" t="str">
        <x:v>Cumulative postoperative sufentanil consumption</x:v>
      </x:c>
      <x:c r="G166" t="str">
        <x:v>0-24 h</x:v>
      </x:c>
      <x:c r="H166" t="str">
        <x:v>Not calculable</x:v>
      </x:c>
      <x:c r="I166" t="n">
        <x:v>50</x:v>
      </x:c>
      <x:c r="J166" t="n">
        <x:v>50</x:v>
      </x:c>
      <x:c r="K166" t="n">
        <x:v>50</x:v>
      </x:c>
      <x:c r="L166" t="n">
        <x:v>50</x:v>
      </x:c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 t="str">
        <x:v>published formulation 0.15 µg/kg in 100 mL</x:v>
      </x:c>
      <x:c r="Z166" t="str"/>
      <x:c r="AA166" t="str">
        <x:v>No</x:v>
      </x:c>
      <x:c r="AB166" t="str">
        <x:v>No</x:v>
      </x:c>
      <x:c r="AC166" t="str">
        <x:f>IF(H166="Mean/SD","MD",IF(H166="Events/total","RR",""))</x:f>
      </x:c>
      <x:c r="AD166" t="str">
        <x:f>IF(H166="Mean/SD",M166-S166,IF(H166="Events/total",IFERROR((R166/K166)/(X166/L166),""),""))</x:f>
      </x:c>
      <x:c r="AE166" t="str">
        <x:v>No</x:v>
      </x:c>
      <x:c r="AF166" t="str">
        <x:v>No</x:v>
      </x:c>
      <x:c r="AG166" t="str">
        <x:v>Not eligible for continuous 24-h opioid/MME meta-analysis</x:v>
      </x:c>
      <x:c r="AH166" t="str">
        <x:v>No</x:v>
      </x:c>
      <x:c r="AI166" t="str">
        <x:v>Published PCA formulation is ambiguous/implausibly low, successful delivered boluses are not reported, and actual cumulative sufentanil is unavailable</x:v>
      </x:c>
      <x:c r="AJ166" t="str">
        <x:v>Postoperative PCIA section</x:v>
      </x:c>
      <x:c r="AK166" t="str">
        <x:v>https://drive.google.com/file/d/1TA4BstaUWY3EdQbDNEvvGxF35ekGanrm/view?usp=drivesdk</x:v>
      </x:c>
      <x:c r="AL166" t="str">
        <x:v>MISSING / FORMULATION + DELIVERY UNRESOLVED</x:v>
      </x:c>
    </x:row>
    <x:row r="167">
      <x:c r="A167" t="str">
        <x:v>Liu 2026 (burn)</x:v>
      </x:c>
      <x:c r="B167" t="str">
        <x:v>LIU26BURN_TEAS_vs_SHAM_REMI</x:v>
      </x:c>
      <x:c r="C167" t="str">
        <x:v>Pre-induction TEAS</x:v>
      </x:c>
      <x:c r="D167" t="str">
        <x:v>Placebo/sham TEAS</x:v>
      </x:c>
      <x:c r="E167" t="str">
        <x:v>Intraoperative opioid</x:v>
      </x:c>
      <x:c r="F167" t="str">
        <x:v>Remifentanil consumption</x:v>
      </x:c>
      <x:c r="G167" t="str">
        <x:v>Intraoperative</x:v>
      </x:c>
      <x:c r="H167" t="str">
        <x:v>Median/IQR</x:v>
      </x:c>
      <x:c r="I167" t="n">
        <x:v>44</x:v>
      </x:c>
      <x:c r="J167" t="n">
        <x:v>44</x:v>
      </x:c>
      <x:c r="K167" t="n">
        <x:v>43</x:v>
      </x:c>
      <x:c r="L167" t="n">
        <x:v>43</x:v>
      </x:c>
      <x:c r="M167"/>
      <x:c r="N167"/>
      <x:c r="O167" t="n">
        <x:v>0.7</x:v>
      </x:c>
      <x:c r="P167" t="n">
        <x:v>0.5</x:v>
      </x:c>
      <x:c r="Q167" t="n">
        <x:v>1.1</x:v>
      </x:c>
      <x:c r="R167"/>
      <x:c r="S167"/>
      <x:c r="T167"/>
      <x:c r="U167" t="n">
        <x:v>0.9</x:v>
      </x:c>
      <x:c r="V167" t="n">
        <x:v>0.65</x:v>
      </x:c>
      <x:c r="W167" t="n">
        <x:v>1.25</x:v>
      </x:c>
      <x:c r="X167"/>
      <x:c r="Y167" t="str">
        <x:v>mg remifentanil</x:v>
      </x:c>
      <x:c r="Z167" t="str">
        <x:v>0.039</x:v>
      </x:c>
      <x:c r="AA167" t="str">
        <x:v>Yes</x:v>
      </x:c>
      <x:c r="AB167" t="str">
        <x:v>No</x:v>
      </x:c>
      <x:c r="AC167" t="str">
        <x:f>IF(H167="Mean/SD","MD",IF(H167="Events/total","RR",""))</x:f>
      </x:c>
      <x:c r="AD167" t="str">
        <x:f>IF(H167="Mean/SD",M167-S167,IF(H167="Events/total",IFERROR((R167/K167)/(X167/L167),""),""))</x:f>
      </x:c>
      <x:c r="AE167" t="str">
        <x:v>No</x:v>
      </x:c>
      <x:c r="AF167" t="str">
        <x:v>No</x:v>
      </x:c>
      <x:c r="AG167" t="str">
        <x:v>Eligible for intraoperative opioid-sparing analysis using median/IQR methods</x:v>
      </x:c>
      <x:c r="AH167" t="str">
        <x:v>No</x:v>
      </x:c>
      <x:c r="AI167" t="str">
        <x:v>Abstract gives TEAS 0.65 (0.45-1.00) and control 0.90 (0.67-1.23); master uses Results/Figure 4 values and retains source discrepancy</x:v>
      </x:c>
      <x:c r="AJ167" t="str">
        <x:v>Results / Figure 4</x:v>
      </x:c>
      <x:c r="AK167" t="str">
        <x:v>https://drive.google.com/file/d/1mvekGtHD2JAKCRbIXrvLw1Nz7hbQ1dZ3/view?usp=drivesdk</x:v>
      </x:c>
      <x:c r="AL167" t="str">
        <x:v>SOURCE-VERIFIED / ABSTRACT VALUE QC</x:v>
      </x:c>
    </x:row>
    <x:row r="168">
      <x:c r="A168" t="str">
        <x:v>Liu 2026 (burn)</x:v>
      </x:c>
      <x:c r="B168" t="str">
        <x:v>LIU26BURN_TEAS_vs_SHAM_PONV24</x:v>
      </x:c>
      <x:c r="C168" t="str">
        <x:v>Pre-induction TEAS</x:v>
      </x:c>
      <x:c r="D168" t="str">
        <x:v>Placebo/sham TEAS</x:v>
      </x:c>
      <x:c r="E168" t="str">
        <x:v>PONV</x:v>
      </x:c>
      <x:c r="F168" t="str">
        <x:v>Nausea-vomiting</x:v>
      </x:c>
      <x:c r="G168" t="str">
        <x:v>Through POD1 / approximately 24 h</x:v>
      </x:c>
      <x:c r="H168" t="str">
        <x:v>Events/total</x:v>
      </x:c>
      <x:c r="I168" t="n">
        <x:v>44</x:v>
      </x:c>
      <x:c r="J168" t="n">
        <x:v>44</x:v>
      </x:c>
      <x:c r="K168" t="n">
        <x:v>43</x:v>
      </x:c>
      <x:c r="L168" t="n">
        <x:v>43</x:v>
      </x:c>
      <x:c r="M168"/>
      <x:c r="N168"/>
      <x:c r="O168"/>
      <x:c r="P168"/>
      <x:c r="Q168"/>
      <x:c r="R168" t="n">
        <x:v>7</x:v>
      </x:c>
      <x:c r="S168"/>
      <x:c r="T168"/>
      <x:c r="U168"/>
      <x:c r="V168"/>
      <x:c r="W168"/>
      <x:c r="X168" t="n">
        <x:v>16</x:v>
      </x:c>
      <x:c r="Y168" t="str">
        <x:v>participants</x:v>
      </x:c>
      <x:c r="Z168" t="str">
        <x:v>Published P=0.011 vs 0.028 conflict</x:v>
      </x:c>
      <x:c r="AA168" t="str">
        <x:v>Yes</x:v>
      </x:c>
      <x:c r="AB168" t="str">
        <x:v>No</x:v>
      </x:c>
      <x:c r="AC168" t="str">
        <x:f>IF(H168="Mean/SD","MD",IF(H168="Events/total","RR",""))</x:f>
        <x:v>RR</x:v>
      </x:c>
      <x:c r="AD168" t="n">
        <x:f>IF(H168="Mean/SD",M168-S168,IF(H168="Events/total",IFERROR((R168/K168)/(X168/L168),""),""))</x:f>
        <x:v>0.43750000000000006</x:v>
      </x:c>
      <x:c r="AE168" t="str">
        <x:v>No</x:v>
      </x:c>
      <x:c r="AF168" t="str">
        <x:v>No</x:v>
      </x:c>
      <x:c r="AG168" t="str">
        <x:v>Eligible using raw 7/43 vs 16/43 event counts with P-value QC</x:v>
      </x:c>
      <x:c r="AH168" t="str">
        <x:v>No</x:v>
      </x:c>
      <x:c r="AI168" t="str">
        <x:v>Two different P-values are printed for the same result</x:v>
      </x:c>
      <x:c r="AJ168" t="str">
        <x:v>Secondary postoperative outcomes</x:v>
      </x:c>
      <x:c r="AK168" t="str">
        <x:v>https://drive.google.com/file/d/1mvekGtHD2JAKCRbIXrvLw1Nz7hbQ1dZ3/view?usp=drivesdk</x:v>
      </x:c>
      <x:c r="AL168" t="str">
        <x:v>SOURCE-VERIFIED / P-VALUE CONFLICT</x:v>
      </x:c>
    </x:row>
    <x:row r="169">
      <x:c r="A169" t="str">
        <x:v>Liu 2026 (burn)</x:v>
      </x:c>
      <x:c r="B169" t="str">
        <x:v>LIU26BURN_TEAS_vs_SHAM_RESCUE</x:v>
      </x:c>
      <x:c r="C169" t="str">
        <x:v>Pre-induction TEAS</x:v>
      </x:c>
      <x:c r="D169" t="str">
        <x:v>Placebo/sham TEAS</x:v>
      </x:c>
      <x:c r="E169" t="str">
        <x:v>Rescue opioid use</x:v>
      </x:c>
      <x:c r="F169" t="str">
        <x:v>Any rescue dezocine use</x:v>
      </x:c>
      <x:c r="G169" t="str">
        <x:v>Through POD1</x:v>
      </x:c>
      <x:c r="H169" t="str">
        <x:v>Events/total</x:v>
      </x:c>
      <x:c r="I169" t="n">
        <x:v>44</x:v>
      </x:c>
      <x:c r="J169" t="n">
        <x:v>44</x:v>
      </x:c>
      <x:c r="K169" t="n">
        <x:v>43</x:v>
      </x:c>
      <x:c r="L169" t="n">
        <x:v>43</x:v>
      </x:c>
      <x:c r="M169"/>
      <x:c r="N169"/>
      <x:c r="O169"/>
      <x:c r="P169"/>
      <x:c r="Q169"/>
      <x:c r="R169" t="n">
        <x:v>3</x:v>
      </x:c>
      <x:c r="S169"/>
      <x:c r="T169"/>
      <x:c r="U169"/>
      <x:c r="V169"/>
      <x:c r="W169"/>
      <x:c r="X169" t="n">
        <x:v>8</x:v>
      </x:c>
      <x:c r="Y169" t="str">
        <x:v>participants</x:v>
      </x:c>
      <x:c r="Z169" t="str">
        <x:v>Table P=0.106; prose P=0.430</x:v>
      </x:c>
      <x:c r="AA169" t="str">
        <x:v>Yes</x:v>
      </x:c>
      <x:c r="AB169" t="str">
        <x:v>No</x:v>
      </x:c>
      <x:c r="AC169" t="str">
        <x:f>IF(H169="Mean/SD","MD",IF(H169="Events/total","RR",""))</x:f>
        <x:v>RR</x:v>
      </x:c>
      <x:c r="AD169" t="n">
        <x:f>IF(H169="Mean/SD",M169-S169,IF(H169="Events/total",IFERROR((R169/K169)/(X169/L169),""),""))</x:f>
        <x:v>0.375</x:v>
      </x:c>
      <x:c r="AE169" t="str">
        <x:v>No</x:v>
      </x:c>
      <x:c r="AF169" t="str">
        <x:v>No</x:v>
      </x:c>
      <x:c r="AG169" t="str">
        <x:v>Eligible for binary rescue-opioid-use analysis with source-statistic QC</x:v>
      </x:c>
      <x:c r="AH169" t="str">
        <x:v>No</x:v>
      </x:c>
      <x:c r="AI169" t="str">
        <x:v>All rescue users received one 5-mg IM dezocine dose; no repeat rescue doses were required</x:v>
      </x:c>
      <x:c r="AJ169" t="str">
        <x:v>Rescue analgesia</x:v>
      </x:c>
      <x:c r="AK169" t="str">
        <x:v>https://drive.google.com/file/d/1mvekGtHD2JAKCRbIXrvLw1Nz7hbQ1dZ3/view?usp=drivesdk</x:v>
      </x:c>
      <x:c r="AL169" t="str">
        <x:v>SOURCE-VERIFIED / P-VALUE CONFLICT</x:v>
      </x:c>
    </x:row>
    <x:row r="170">
      <x:c r="A170" t="str">
        <x:v>Liu 2026 (burn)</x:v>
      </x:c>
      <x:c r="B170" t="str">
        <x:v>LIU26BURN_TEAS_vs_SHAM_FVAS24</x:v>
      </x:c>
      <x:c r="C170" t="str">
        <x:v>Pre-induction TEAS</x:v>
      </x:c>
      <x:c r="D170" t="str">
        <x:v>Placebo/sham TEAS</x:v>
      </x:c>
      <x:c r="E170" t="str">
        <x:v>Pain</x:v>
      </x:c>
      <x:c r="F170" t="str">
        <x:v>Resting F-VAS pain</x:v>
      </x:c>
      <x:c r="G170" t="str">
        <x:v>24 h</x:v>
      </x:c>
      <x:c r="H170" t="str">
        <x:v>Graph-only continuous data</x:v>
      </x:c>
      <x:c r="I170" t="n">
        <x:v>44</x:v>
      </x:c>
      <x:c r="J170" t="n">
        <x:v>44</x:v>
      </x:c>
      <x:c r="K170" t="n">
        <x:v>43</x:v>
      </x:c>
      <x:c r="L170" t="n">
        <x:v>43</x:v>
      </x:c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 t="str">
        <x:v>F-VAS 0-100 mm</x:v>
      </x:c>
      <x:c r="Z170" t="str">
        <x:v>0.039</x:v>
      </x:c>
      <x:c r="AA170" t="str">
        <x:v>No</x:v>
      </x:c>
      <x:c r="AB170" t="str">
        <x:v>No</x:v>
      </x:c>
      <x:c r="AC170" t="str">
        <x:f>IF(H170="Mean/SD","MD",IF(H170="Events/total","RR",""))</x:f>
      </x:c>
      <x:c r="AD170" t="str">
        <x:f>IF(H170="Mean/SD",M170-S170,IF(H170="Events/total",IFERROR((R170/K170)/(X170/L170),""),""))</x:f>
      </x:c>
      <x:c r="AE170" t="str">
        <x:v>No</x:v>
      </x:c>
      <x:c r="AF170" t="str">
        <x:v>No</x:v>
      </x:c>
      <x:c r="AG170" t="str">
        <x:v>Not ready for continuous pain meta-analysis without formal graph digitization or author data</x:v>
      </x:c>
      <x:c r="AH170" t="str">
        <x:v>No</x:v>
      </x:c>
      <x:c r="AI170" t="str">
        <x:v>Exact means/SDs are figure-only; do not infer numeric values from bar heights</x:v>
      </x:c>
      <x:c r="AJ170" t="str">
        <x:v>Figure 5 / F3 24 h</x:v>
      </x:c>
      <x:c r="AK170" t="str">
        <x:v>https://drive.google.com/file/d/1mvekGtHD2JAKCRbIXrvLw1Nz7hbQ1dZ3/view?usp=drivesdk</x:v>
      </x:c>
      <x:c r="AL170" t="str">
        <x:v>FIGURE ONLY / DIGITIZATION NEEDED</x:v>
      </x:c>
    </x:row>
    <x:row r="171">
      <x:c r="A171" t="str">
        <x:v>Liu 2026 (burn)</x:v>
      </x:c>
      <x:c r="B171" t="str">
        <x:v>LIU26BURN_TEAS_vs_SHAM_OPIOID24</x:v>
      </x:c>
      <x:c r="C171" t="str">
        <x:v>Pre-induction TEAS</x:v>
      </x:c>
      <x:c r="D171" t="str">
        <x:v>Placebo/sham TEAS</x:v>
      </x:c>
      <x:c r="E171" t="str">
        <x:v>Opioid consumption</x:v>
      </x:c>
      <x:c r="F171" t="str">
        <x:v>Complete postoperative opioid/MME exposure</x:v>
      </x:c>
      <x:c r="G171" t="str">
        <x:v>0-24 h</x:v>
      </x:c>
      <x:c r="H171" t="str">
        <x:v>Not calculable</x:v>
      </x:c>
      <x:c r="I171" t="n">
        <x:v>44</x:v>
      </x:c>
      <x:c r="J171" t="n">
        <x:v>44</x:v>
      </x:c>
      <x:c r="K171" t="n">
        <x:v>43</x:v>
      </x:c>
      <x:c r="L171" t="n">
        <x:v>43</x:v>
      </x:c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 t="str">
        <x:v>sufentanil + butorphanol PCIA; rescue dezocine</x:v>
      </x:c>
      <x:c r="Z171" t="str"/>
      <x:c r="AA171" t="str">
        <x:v>No</x:v>
      </x:c>
      <x:c r="AB171" t="str">
        <x:v>No</x:v>
      </x:c>
      <x:c r="AC171" t="str">
        <x:f>IF(H171="Mean/SD","MD",IF(H171="Events/total","RR",""))</x:f>
      </x:c>
      <x:c r="AD171" t="str">
        <x:f>IF(H171="Mean/SD",M171-S171,IF(H171="Events/total",IFERROR((R171/K171)/(X171/L171),""),""))</x:f>
      </x:c>
      <x:c r="AE171" t="str">
        <x:v>No</x:v>
      </x:c>
      <x:c r="AF171" t="str">
        <x:v>No</x:v>
      </x:c>
      <x:c r="AG171" t="str">
        <x:v>Not eligible for continuous 24-h opioid/MME meta-analysis</x:v>
      </x:c>
      <x:c r="AH171" t="str">
        <x:v>No</x:v>
      </x:c>
      <x:c r="AI171" t="str">
        <x:v>PCIA composition is known but bolus volume, basal rate, delivered-volume and successful-delivery counts are not; two opioids are present in the pump</x:v>
      </x:c>
      <x:c r="AJ171" t="str">
        <x:v>Postoperative PCIA section</x:v>
      </x:c>
      <x:c r="AK171" t="str">
        <x:v>https://drive.google.com/file/d/1mvekGtHD2JAKCRbIXrvLw1Nz7hbQ1dZ3/view?usp=drivesdk</x:v>
      </x:c>
      <x:c r="AL171" t="str">
        <x:v>MISSING / COMBINED OPIOID EXPOSURE NOT CALCULABLE</x:v>
      </x:c>
    </x:row>
    <x:row r="172">
      <x:c r="A172" s="18" t="str">
        <x:v>Liu 2025</x:v>
      </x:c>
      <x:c r="B172" s="18" t="str">
        <x:v>LIU25_EA_vs_CTRL_SVT24</x:v>
      </x:c>
      <x:c r="C172" s="18" t="str">
        <x:v>Perioperative electroacupuncture</x:v>
      </x:c>
      <x:c r="D172" s="18" t="str">
        <x:v>Control/sham procedure</x:v>
      </x:c>
      <x:c r="E172" s="18" t="str">
        <x:v>Cardiac rhythm</x:v>
      </x:c>
      <x:c r="F172" s="18" t="str">
        <x:v>New-onset supraventricular tachycardia (SVT)</x:v>
      </x:c>
      <x:c r="G172" s="18" t="str">
        <x:v>First 24 h</x:v>
      </x:c>
      <x:c r="H172" s="18" t="str">
        <x:v>Events/total</x:v>
      </x:c>
      <x:c r="I172" s="18" t="n">
        <x:v>40</x:v>
      </x:c>
      <x:c r="J172" s="18" t="n">
        <x:v>40</x:v>
      </x:c>
      <x:c r="K172" s="18" t="n">
        <x:v>38</x:v>
      </x:c>
      <x:c r="L172" s="18" t="n">
        <x:v>39</x:v>
      </x:c>
      <x:c r="M172" s="18"/>
      <x:c r="N172" s="18"/>
      <x:c r="O172" s="18"/>
      <x:c r="P172" s="18"/>
      <x:c r="Q172" s="18"/>
      <x:c r="R172" s="18" t="n">
        <x:v>4</x:v>
      </x:c>
      <x:c r="S172" s="18"/>
      <x:c r="T172" s="18"/>
      <x:c r="U172" s="18"/>
      <x:c r="V172" s="18"/>
      <x:c r="W172" s="18"/>
      <x:c r="X172" s="18" t="n">
        <x:v>13</x:v>
      </x:c>
      <x:c r="Y172" s="18" t="str">
        <x:v>participants</x:v>
      </x:c>
      <x:c r="Z172" s="18" t="str">
        <x:v>0.02</x:v>
      </x:c>
      <x:c r="AA172" s="18" t="str">
        <x:v>Yes</x:v>
      </x:c>
      <x:c r="AB172" s="18" t="str">
        <x:v>No</x:v>
      </x:c>
      <x:c r="AC172" s="18" t="str">
        <x:f>IF(H172="Mean/SD","MD",IF(H172="Events/total","RR",""))</x:f>
        <x:v>RR</x:v>
      </x:c>
      <x:c r="AD172" s="18" t="n">
        <x:f>IF(H172="Mean/SD",M172-S172,IF(H172="Events/total",IFERROR((R172/K172)/(X172/L172),""),""))</x:f>
        <x:v>0.3157894736842105</x:v>
      </x:c>
      <x:c r="AE172" s="18" t="str">
        <x:v>No</x:v>
      </x:c>
      <x:c r="AF172" s="18" t="str">
        <x:v>No</x:v>
      </x:c>
      <x:c r="AG172" s="18" t="str">
        <x:v>Eligible for dichotomous 24-h SVT analysis</x:v>
      </x:c>
      <x:c r="AH172" s="18" t="str">
        <x:v>No</x:v>
      </x:c>
      <x:c r="AI172" s="18" t="str">
        <x:v>Three randomized participants discontinued after randomization; preserve analyzed denominators 38 and 39</x:v>
      </x:c>
      <x:c r="AJ172" s="18" t="str">
        <x:v>Primary outcome / first-24-h SVT</x:v>
      </x:c>
      <x:c r="AK172" s="18" t="str">
        <x:v>https://drive.google.com/file/d/1SHBSKFaeE4G3PXTGVMm7TR8L0H9EgtsD/view?usp=drivesdk</x:v>
      </x:c>
      <x:c r="AL172" s="18" t="str">
        <x:v>SOURCE-VERIFIED / ATTRITION QC</x:v>
      </x:c>
    </x:row>
    <x:row r="173">
      <x:c r="A173" s="18" t="str">
        <x:v>Liu 2025</x:v>
      </x:c>
      <x:c r="B173" s="18" t="str">
        <x:v>LIU25_EA_vs_CTRL_TSTN1</x:v>
      </x:c>
      <x:c r="C173" s="18" t="str">
        <x:v>Perioperative electroacupuncture</x:v>
      </x:c>
      <x:c r="D173" s="18" t="str">
        <x:v>Control/sham procedure</x:v>
      </x:c>
      <x:c r="E173" s="18" t="str">
        <x:v>Sleep quality</x:v>
      </x:c>
      <x:c r="F173" s="18" t="str">
        <x:v>Total sleep time measured by ambulatory sleep recorder</x:v>
      </x:c>
      <x:c r="G173" s="18" t="str">
        <x:v>First postoperative night</x:v>
      </x:c>
      <x:c r="H173" s="18" t="str">
        <x:v>Median/IQR</x:v>
      </x:c>
      <x:c r="I173" s="18" t="n">
        <x:v>40</x:v>
      </x:c>
      <x:c r="J173" s="18" t="n">
        <x:v>40</x:v>
      </x:c>
      <x:c r="K173" s="18" t="n">
        <x:v>38</x:v>
      </x:c>
      <x:c r="L173" s="18" t="n">
        <x:v>39</x:v>
      </x:c>
      <x:c r="M173" s="18"/>
      <x:c r="N173" s="18"/>
      <x:c r="O173" s="18" t="n">
        <x:v>209.5</x:v>
      </x:c>
      <x:c r="P173" s="18" t="n">
        <x:v>73.8</x:v>
      </x:c>
      <x:c r="Q173" s="18" t="n">
        <x:v>261.5</x:v>
      </x:c>
      <x:c r="R173" s="18"/>
      <x:c r="S173" s="18"/>
      <x:c r="T173" s="18"/>
      <x:c r="U173" s="18" t="n">
        <x:v>119</x:v>
      </x:c>
      <x:c r="V173" s="18" t="n">
        <x:v>48</x:v>
      </x:c>
      <x:c r="W173" s="18" t="n">
        <x:v>193</x:v>
      </x:c>
      <x:c r="X173" s="18"/>
      <x:c r="Y173" s="18" t="str">
        <x:v>minutes</x:v>
      </x:c>
      <x:c r="Z173" s="18" t="str">
        <x:v>0.02</x:v>
      </x:c>
      <x:c r="AA173" s="18" t="str">
        <x:v>Yes</x:v>
      </x:c>
      <x:c r="AB173" s="18" t="str">
        <x:v>No</x:v>
      </x:c>
      <x:c r="AC173" s="18" t="str">
        <x:f>IF(H173="Mean/SD","MD",IF(H173="Events/total","RR",""))</x:f>
      </x:c>
      <x:c r="AD173" s="18" t="str">
        <x:f>IF(H173="Mean/SD",M173-S173,IF(H173="Events/total",IFERROR((R173/K173)/(X173/L173),""),""))</x:f>
      </x:c>
      <x:c r="AE173" s="18" t="str">
        <x:v>No</x:v>
      </x:c>
      <x:c r="AF173" s="18" t="str">
        <x:v>No</x:v>
      </x:c>
      <x:c r="AG173" s="18" t="str">
        <x:v>Eligible for objective postoperative sleep-duration analysis using median/IQR methods</x:v>
      </x:c>
      <x:c r="AH173" s="18" t="str">
        <x:v>No</x:v>
      </x:c>
      <x:c r="AI173" s="18" t="str">
        <x:v>Objective sleep-recorder endpoint; control electrical-current status is not completely clear in the publication</x:v>
      </x:c>
      <x:c r="AJ173" s="18" t="str">
        <x:v>Objective sleep monitoring / first night</x:v>
      </x:c>
      <x:c r="AK173" s="18" t="str">
        <x:v>https://drive.google.com/file/d/1SHBSKFaeE4G3PXTGVMm7TR8L0H9EgtsD/view?usp=drivesdk</x:v>
      </x:c>
      <x:c r="AL173" s="18" t="str">
        <x:v>SOURCE-VERIFIED</x:v>
      </x:c>
    </x:row>
    <x:row r="174">
      <x:c r="A174" s="18" t="str">
        <x:v>Liu 2025</x:v>
      </x:c>
      <x:c r="B174" s="18" t="str">
        <x:v>LIU25_EA_vs_CTRL_PAIN24</x:v>
      </x:c>
      <x:c r="C174" s="18" t="str">
        <x:v>Perioperative electroacupuncture</x:v>
      </x:c>
      <x:c r="D174" s="18" t="str">
        <x:v>Control/sham procedure</x:v>
      </x:c>
      <x:c r="E174" s="18" t="str">
        <x:v>Pain</x:v>
      </x:c>
      <x:c r="F174" s="18" t="str">
        <x:v>VAS pain intensity</x:v>
      </x:c>
      <x:c r="G174" s="18" t="str">
        <x:v>24 h</x:v>
      </x:c>
      <x:c r="H174" s="18" t="str">
        <x:v>Graph-only continuous data</x:v>
      </x:c>
      <x:c r="I174" s="18" t="n">
        <x:v>40</x:v>
      </x:c>
      <x:c r="J174" s="18" t="n">
        <x:v>40</x:v>
      </x:c>
      <x:c r="K174" s="18" t="n">
        <x:v>38</x:v>
      </x:c>
      <x:c r="L174" s="18" t="n">
        <x:v>39</x:v>
      </x:c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 t="str">
        <x:v>VAS 0-10</x:v>
      </x:c>
      <x:c r="Z174" s="18" t="str">
        <x:v>Between-group difference not significant</x:v>
      </x:c>
      <x:c r="AA174" s="18" t="str">
        <x:v>No</x:v>
      </x:c>
      <x:c r="AB174" s="18" t="str">
        <x:v>No</x:v>
      </x:c>
      <x:c r="AC174" s="18" t="str">
        <x:f>IF(H174="Mean/SD","MD",IF(H174="Events/total","RR",""))</x:f>
      </x:c>
      <x:c r="AD174" s="18" t="str">
        <x:f>IF(H174="Mean/SD",M174-S174,IF(H174="Events/total",IFERROR((R174/K174)/(X174/L174),""),""))</x:f>
      </x:c>
      <x:c r="AE174" s="18" t="str">
        <x:v>No</x:v>
      </x:c>
      <x:c r="AF174" s="18" t="str">
        <x:v>No</x:v>
      </x:c>
      <x:c r="AG174" s="18" t="str">
        <x:v>Not ready for continuous 24-h pain pooling without formal digitization or author data</x:v>
      </x:c>
      <x:c r="AH174" s="18" t="str">
        <x:v>No</x:v>
      </x:c>
      <x:c r="AI174" s="18" t="str">
        <x:v>Figure shows approximately 2/10 in both groups, but exact means/SDs are not numerically reported</x:v>
      </x:c>
      <x:c r="AJ174" s="18" t="str">
        <x:v>Figure 2 / 24-h pain</x:v>
      </x:c>
      <x:c r="AK174" s="18" t="str">
        <x:v>https://drive.google.com/file/d/1SHBSKFaeE4G3PXTGVMm7TR8L0H9EgtsD/view?usp=drivesdk</x:v>
      </x:c>
      <x:c r="AL174" s="18" t="str">
        <x:v>FIGURE ONLY / DIGITIZATION NEEDED</x:v>
      </x:c>
    </x:row>
    <x:row r="175">
      <x:c r="A175" s="18" t="str">
        <x:v>Liu 2025</x:v>
      </x:c>
      <x:c r="B175" s="18" t="str">
        <x:v>LIU25_EA_vs_CTRL_OPIOID24</x:v>
      </x:c>
      <x:c r="C175" s="18" t="str">
        <x:v>Perioperative electroacupuncture</x:v>
      </x:c>
      <x:c r="D175" s="18" t="str">
        <x:v>Control/sham procedure</x:v>
      </x:c>
      <x:c r="E175" s="18" t="str">
        <x:v>Opioid consumption</x:v>
      </x:c>
      <x:c r="F175" s="18" t="str">
        <x:v>Exact cumulative postoperative opioid consumption</x:v>
      </x:c>
      <x:c r="G175" s="18" t="str">
        <x:v>0-24 h</x:v>
      </x:c>
      <x:c r="H175" s="18" t="str">
        <x:v>Not reported</x:v>
      </x:c>
      <x:c r="I175" s="18" t="n">
        <x:v>40</x:v>
      </x:c>
      <x:c r="J175" s="18" t="n">
        <x:v>40</x:v>
      </x:c>
      <x:c r="K175" s="18" t="n">
        <x:v>38</x:v>
      </x:c>
      <x:c r="L175" s="18" t="n">
        <x:v>39</x:v>
      </x:c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 t="str">
        <x:v>mg/µg</x:v>
      </x:c>
      <x:c r="Z175" s="18" t="str"/>
      <x:c r="AA175" s="18" t="str">
        <x:v>No</x:v>
      </x:c>
      <x:c r="AB175" s="18" t="str">
        <x:v>No</x:v>
      </x:c>
      <x:c r="AC175" s="18" t="str">
        <x:f>IF(H175="Mean/SD","MD",IF(H175="Events/total","RR",""))</x:f>
      </x:c>
      <x:c r="AD175" s="18" t="str">
        <x:f>IF(H175="Mean/SD",M175-S175,IF(H175="Events/total",IFERROR((R175/K175)/(X175/L175),""),""))</x:f>
      </x:c>
      <x:c r="AE175" s="18" t="str">
        <x:v>No</x:v>
      </x:c>
      <x:c r="AF175" s="18" t="str">
        <x:v>No</x:v>
      </x:c>
      <x:c r="AG175" s="18" t="str">
        <x:v>Not eligible for continuous 24-h opioid/MME meta-analysis</x:v>
      </x:c>
      <x:c r="AH175" s="18" t="str">
        <x:v>No</x:v>
      </x:c>
      <x:c r="AI175" s="18" t="str">
        <x:v>No source-grounded exact 0-24-h postoperative opioid total is available in the reconciled extraction</x:v>
      </x:c>
      <x:c r="AJ175" s="18" t="str">
        <x:v>Exact 24-h opioid endpoint absent</x:v>
      </x:c>
      <x:c r="AK175" s="18" t="str">
        <x:v>https://drive.google.com/file/d/1SHBSKFaeE4G3PXTGVMm7TR8L0H9EgtsD/view?usp=drivesdk</x:v>
      </x:c>
      <x:c r="AL175" s="18" t="str">
        <x:v>MISSING / NOT REPORTED</x:v>
      </x:c>
    </x:row>
    <x:row r="176">
      <x:c r="A176" s="18" t="str">
        <x:v>Li 2022</x:v>
      </x:c>
      <x:c r="B176" s="18" t="str">
        <x:v>LI22_EA_vs_SHAM_NRS24</x:v>
      </x:c>
      <x:c r="C176" s="18" t="str">
        <x:v>Preoperative electroacupuncture</x:v>
      </x:c>
      <x:c r="D176" s="18" t="str">
        <x:v>Sham electroacupuncture</x:v>
      </x:c>
      <x:c r="E176" s="18" t="str">
        <x:v>Pain</x:v>
      </x:c>
      <x:c r="F176" s="18" t="str">
        <x:v>Postoperative NRS pain</x:v>
      </x:c>
      <x:c r="G176" s="18" t="str">
        <x:v>24 h</x:v>
      </x:c>
      <x:c r="H176" s="18" t="str">
        <x:v>Median/IQR</x:v>
      </x:c>
      <x:c r="I176" s="18" t="n">
        <x:v>40</x:v>
      </x:c>
      <x:c r="J176" s="18" t="n">
        <x:v>40</x:v>
      </x:c>
      <x:c r="K176" s="18" t="n">
        <x:v>39</x:v>
      </x:c>
      <x:c r="L176" s="18" t="n">
        <x:v>40</x:v>
      </x:c>
      <x:c r="M176" s="18"/>
      <x:c r="N176" s="18"/>
      <x:c r="O176" s="18" t="n">
        <x:v>1.5</x:v>
      </x:c>
      <x:c r="P176" s="18" t="n">
        <x:v>1</x:v>
      </x:c>
      <x:c r="Q176" s="18" t="n">
        <x:v>3</x:v>
      </x:c>
      <x:c r="R176" s="18"/>
      <x:c r="S176" s="18"/>
      <x:c r="T176" s="18"/>
      <x:c r="U176" s="18" t="n">
        <x:v>1.6</x:v>
      </x:c>
      <x:c r="V176" s="18" t="n">
        <x:v>1</x:v>
      </x:c>
      <x:c r="W176" s="18" t="n">
        <x:v>3</x:v>
      </x:c>
      <x:c r="X176" s="18"/>
      <x:c r="Y176" s="18" t="str">
        <x:v>NRS 0-10</x:v>
      </x:c>
      <x:c r="Z176" s="18" t="str">
        <x:v>0.223</x:v>
      </x:c>
      <x:c r="AA176" s="18" t="str">
        <x:v>Yes</x:v>
      </x:c>
      <x:c r="AB176" s="18" t="str">
        <x:v>No</x:v>
      </x:c>
      <x:c r="AC176" s="18" t="str">
        <x:f>IF(H176="Mean/SD","MD",IF(H176="Events/total","RR",""))</x:f>
      </x:c>
      <x:c r="AD176" s="18" t="str">
        <x:f>IF(H176="Mean/SD",M176-S176,IF(H176="Events/total",IFERROR((R176/K176)/(X176/L176),""),""))</x:f>
      </x:c>
      <x:c r="AE176" s="18" t="str">
        <x:v>No</x:v>
      </x:c>
      <x:c r="AF176" s="18" t="str">
        <x:v>No</x:v>
      </x:c>
      <x:c r="AG176" s="18" t="str">
        <x:v>Eligible for 24-h pain analysis using median/IQR methods</x:v>
      </x:c>
      <x:c r="AH176" s="18" t="str">
        <x:v>No</x:v>
      </x:c>
      <x:c r="AI176" s="18" t="str">
        <x:v>One randomized participant was not included in the final EA analysis; the 24-h pain difference is not significant</x:v>
      </x:c>
      <x:c r="AJ176" s="18" t="str">
        <x:v>24-h postoperative NRS</x:v>
      </x:c>
      <x:c r="AK176" s="18" t="str">
        <x:v>https://drive.google.com/file/d/1rQTrwnCvj72poJrGGvYjpxSZXvUhSD0u/view?usp=drivesdk</x:v>
      </x:c>
      <x:c r="AL176" s="18" t="str">
        <x:v>SOURCE-VERIFIED / ATTRITION QC</x:v>
      </x:c>
    </x:row>
    <x:row r="177">
      <x:c r="A177" s="18" t="str">
        <x:v>Li 2022</x:v>
      </x:c>
      <x:c r="B177" s="18" t="str">
        <x:v>LI22_EA_vs_SHAM_MPT24</x:v>
      </x:c>
      <x:c r="C177" s="18" t="str">
        <x:v>Preoperative electroacupuncture</x:v>
      </x:c>
      <x:c r="D177" s="18" t="str">
        <x:v>Sham electroacupuncture</x:v>
      </x:c>
      <x:c r="E177" s="18" t="str">
        <x:v>Experimental pain</x:v>
      </x:c>
      <x:c r="F177" s="18" t="str">
        <x:v>Mechanical pain threshold around surgical incision</x:v>
      </x:c>
      <x:c r="G177" s="18" t="str">
        <x:v>24 h</x:v>
      </x:c>
      <x:c r="H177" s="18" t="str">
        <x:v>Source-reported direction; exact value not promoted</x:v>
      </x:c>
      <x:c r="I177" s="18" t="n">
        <x:v>40</x:v>
      </x:c>
      <x:c r="J177" s="18" t="n">
        <x:v>40</x:v>
      </x:c>
      <x:c r="K177" s="18" t="n">
        <x:v>39</x:v>
      </x:c>
      <x:c r="L177" s="18" t="n">
        <x:v>40</x:v>
      </x:c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 t="str">
        <x:v>mechanical threshold</x:v>
      </x:c>
      <x:c r="Z177" s="18" t="str">
        <x:v>No significant between-group difference at 24 h</x:v>
      </x:c>
      <x:c r="AA177" s="18" t="str">
        <x:v>Yes</x:v>
      </x:c>
      <x:c r="AB177" s="18" t="str">
        <x:v>No</x:v>
      </x:c>
      <x:c r="AC177" s="18" t="str">
        <x:f>IF(H177="Mean/SD","MD",IF(H177="Events/total","RR",""))</x:f>
      </x:c>
      <x:c r="AD177" s="18" t="str">
        <x:f>IF(H177="Mean/SD",M177-S177,IF(H177="Events/total",IFERROR((R177/K177)/(X177/L177),""),""))</x:f>
      </x:c>
      <x:c r="AE177" s="18" t="str">
        <x:v>No</x:v>
      </x:c>
      <x:c r="AF177" s="18" t="str">
        <x:v>No</x:v>
      </x:c>
      <x:c r="AG177" s="18" t="str">
        <x:v>Do not use as a continuous meta-analysis value without the exact source table/figure numbers</x:v>
      </x:c>
      <x:c r="AH177" s="18" t="str">
        <x:v>No</x:v>
      </x:c>
      <x:c r="AI177" s="18" t="str">
        <x:v>EA advantage was reported at 30 min and 6 h, not at 24 or 48 h; the earlier stored RoB fabricated a significant 24-h result</x:v>
      </x:c>
      <x:c r="AJ177" s="18" t="str">
        <x:v>Mechanical-threshold longitudinal result</x:v>
      </x:c>
      <x:c r="AK177" s="18" t="str">
        <x:v>https://drive.google.com/file/d/1rQTrwnCvj72poJrGGvYjpxSZXvUhSD0u/view?usp=drivesdk</x:v>
      </x:c>
      <x:c r="AL177" s="18" t="str">
        <x:v>SOURCE-VERIFIED / NO 24H BENEFIT</x:v>
      </x:c>
    </x:row>
    <x:row r="178">
      <x:c r="A178" s="18" t="str">
        <x:v>Li 2022</x:v>
      </x:c>
      <x:c r="B178" s="18" t="str">
        <x:v>LI22_EA_vs_SHAM_OPIOID24</x:v>
      </x:c>
      <x:c r="C178" s="18" t="str">
        <x:v>Preoperative electroacupuncture</x:v>
      </x:c>
      <x:c r="D178" s="18" t="str">
        <x:v>Sham electroacupuncture</x:v>
      </x:c>
      <x:c r="E178" s="18" t="str">
        <x:v>Opioid consumption</x:v>
      </x:c>
      <x:c r="F178" s="18" t="str">
        <x:v>Exact cumulative postoperative opioid consumption</x:v>
      </x:c>
      <x:c r="G178" s="18" t="str">
        <x:v>0-24 h</x:v>
      </x:c>
      <x:c r="H178" s="18" t="str">
        <x:v>Not reported</x:v>
      </x:c>
      <x:c r="I178" s="18" t="n">
        <x:v>40</x:v>
      </x:c>
      <x:c r="J178" s="18" t="n">
        <x:v>40</x:v>
      </x:c>
      <x:c r="K178" s="18" t="n">
        <x:v>39</x:v>
      </x:c>
      <x:c r="L178" s="18" t="n">
        <x:v>40</x:v>
      </x:c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 t="str">
        <x:v>mg/µg</x:v>
      </x:c>
      <x:c r="Z178" s="18" t="str"/>
      <x:c r="AA178" s="18" t="str">
        <x:v>No</x:v>
      </x:c>
      <x:c r="AB178" s="18" t="str">
        <x:v>No</x:v>
      </x:c>
      <x:c r="AC178" s="18" t="str">
        <x:f>IF(H178="Mean/SD","MD",IF(H178="Events/total","RR",""))</x:f>
      </x:c>
      <x:c r="AD178" s="18" t="str">
        <x:f>IF(H178="Mean/SD",M178-S178,IF(H178="Events/total",IFERROR((R178/K178)/(X178/L178),""),""))</x:f>
      </x:c>
      <x:c r="AE178" s="18" t="str">
        <x:v>No</x:v>
      </x:c>
      <x:c r="AF178" s="18" t="str">
        <x:v>No</x:v>
      </x:c>
      <x:c r="AG178" s="18" t="str">
        <x:v>Not eligible for continuous 24-h opioid/MME meta-analysis</x:v>
      </x:c>
      <x:c r="AH178" s="18" t="str">
        <x:v>No</x:v>
      </x:c>
      <x:c r="AI178" s="18" t="str">
        <x:v>The prior derivative's 24-h sufentanil result was fabricated; no source-grounded exact 24-h postoperative opioid total is available</x:v>
      </x:c>
      <x:c r="AJ178" s="18" t="str">
        <x:v>Exact 24-h opioid endpoint absent</x:v>
      </x:c>
      <x:c r="AK178" s="18" t="str">
        <x:v>https://drive.google.com/file/d/1rQTrwnCvj72poJrGGvYjpxSZXvUhSD0u/view?usp=drivesdk</x:v>
      </x:c>
      <x:c r="AL178" s="18" t="str">
        <x:v>MISSING / NOT REPORTED</x:v>
      </x:c>
    </x:row>
    <x:row r="179">
      <x:c r="A179" s="18" t="str">
        <x:v>Liang 2021</x:v>
      </x:c>
      <x:c r="B179" s="18" t="str">
        <x:v>LIANG21_TEAS_vs_CTRL_CRBD_END</x:v>
      </x:c>
      <x:c r="C179" s="18" t="str">
        <x:v>Preoperative TEAS</x:v>
      </x:c>
      <x:c r="D179" s="18" t="str">
        <x:v>Control/no stimulation</x:v>
      </x:c>
      <x:c r="E179" s="18" t="str">
        <x:v>Catheter-related bladder discomfort</x:v>
      </x:c>
      <x:c r="F179" s="18" t="str">
        <x:v>CRBD incidence</x:v>
      </x:c>
      <x:c r="G179" s="18" t="str">
        <x:v>End of surgery</x:v>
      </x:c>
      <x:c r="H179" s="18" t="str">
        <x:v>Events/total</x:v>
      </x:c>
      <x:c r="I179" s="18" t="n">
        <x:v>38</x:v>
      </x:c>
      <x:c r="J179" s="18" t="n">
        <x:v>37</x:v>
      </x:c>
      <x:c r="K179" s="18" t="n">
        <x:v>35</x:v>
      </x:c>
      <x:c r="L179" s="18" t="n">
        <x:v>35</x:v>
      </x:c>
      <x:c r="M179" s="18"/>
      <x:c r="N179" s="18"/>
      <x:c r="O179" s="18"/>
      <x:c r="P179" s="18"/>
      <x:c r="Q179" s="18"/>
      <x:c r="R179" s="18" t="n">
        <x:v>9</x:v>
      </x:c>
      <x:c r="S179" s="18"/>
      <x:c r="T179" s="18"/>
      <x:c r="U179" s="18"/>
      <x:c r="V179" s="18"/>
      <x:c r="W179" s="18"/>
      <x:c r="X179" s="18" t="n">
        <x:v>28</x:v>
      </x:c>
      <x:c r="Y179" s="18" t="str">
        <x:v>participants</x:v>
      </x:c>
      <x:c r="Z179" s="18" t="str">
        <x:v>NR</x:v>
      </x:c>
      <x:c r="AA179" s="18" t="str">
        <x:v>Yes</x:v>
      </x:c>
      <x:c r="AB179" s="18" t="str">
        <x:v>No</x:v>
      </x:c>
      <x:c r="AC179" s="18" t="str">
        <x:f>IF(H179="Mean/SD","MD",IF(H179="Events/total","RR",""))</x:f>
        <x:v>RR</x:v>
      </x:c>
      <x:c r="AD179" s="18" t="n">
        <x:f>IF(H179="Mean/SD",M179-S179,IF(H179="Events/total",IFERROR((R179/K179)/(X179/L179),""),""))</x:f>
        <x:v>0.3214285714285714</x:v>
      </x:c>
      <x:c r="AE179" s="18" t="str">
        <x:v>No</x:v>
      </x:c>
      <x:c r="AF179" s="18" t="str">
        <x:v>No</x:v>
      </x:c>
      <x:c r="AG179" s="18" t="str">
        <x:v>Eligible for CRBD analysis at the matching timepoint</x:v>
      </x:c>
      <x:c r="AH179" s="18" t="str">
        <x:v>No</x:v>
      </x:c>
      <x:c r="AI179" s="18" t="str">
        <x:v>75 randomized but only 70 analyzed; preserve 35/35 outcome denominators. The stored 6-h CRBD endpoint does not exist in the source</x:v>
      </x:c>
      <x:c r="AJ179" s="18" t="str">
        <x:v>CRBD incidence table</x:v>
      </x:c>
      <x:c r="AK179" s="18" t="str">
        <x:v>https://drive.google.com/file/d/1guriAcqNbJNXpfd_UjYwevULLVSeiHXS/view?usp=drivesdk</x:v>
      </x:c>
      <x:c r="AL179" s="18" t="str">
        <x:v>SOURCE-VERIFIED / ATTRITION QC</x:v>
      </x:c>
    </x:row>
    <x:row r="180">
      <x:c r="A180" s="18" t="str">
        <x:v>Liang 2021</x:v>
      </x:c>
      <x:c r="B180" s="18" t="str">
        <x:v>LIANG21_TEAS_vs_CTRL_CRBD_PACU</x:v>
      </x:c>
      <x:c r="C180" s="18" t="str">
        <x:v>Preoperative TEAS</x:v>
      </x:c>
      <x:c r="D180" s="18" t="str">
        <x:v>Control/no stimulation</x:v>
      </x:c>
      <x:c r="E180" s="18" t="str">
        <x:v>Catheter-related bladder discomfort</x:v>
      </x:c>
      <x:c r="F180" s="18" t="str">
        <x:v>CRBD incidence</x:v>
      </x:c>
      <x:c r="G180" s="18" t="str">
        <x:v>PACU discharge</x:v>
      </x:c>
      <x:c r="H180" s="18" t="str">
        <x:v>Events/total</x:v>
      </x:c>
      <x:c r="I180" s="18" t="n">
        <x:v>38</x:v>
      </x:c>
      <x:c r="J180" s="18" t="n">
        <x:v>37</x:v>
      </x:c>
      <x:c r="K180" s="18" t="n">
        <x:v>35</x:v>
      </x:c>
      <x:c r="L180" s="18" t="n">
        <x:v>35</x:v>
      </x:c>
      <x:c r="M180" s="18"/>
      <x:c r="N180" s="18"/>
      <x:c r="O180" s="18"/>
      <x:c r="P180" s="18"/>
      <x:c r="Q180" s="18"/>
      <x:c r="R180" s="18" t="n">
        <x:v>20</x:v>
      </x:c>
      <x:c r="S180" s="18"/>
      <x:c r="T180" s="18"/>
      <x:c r="U180" s="18"/>
      <x:c r="V180" s="18"/>
      <x:c r="W180" s="18"/>
      <x:c r="X180" s="18" t="n">
        <x:v>28</x:v>
      </x:c>
      <x:c r="Y180" s="18" t="str">
        <x:v>participants</x:v>
      </x:c>
      <x:c r="Z180" s="18" t="str">
        <x:v>NR</x:v>
      </x:c>
      <x:c r="AA180" s="18" t="str">
        <x:v>Yes</x:v>
      </x:c>
      <x:c r="AB180" s="18" t="str">
        <x:v>No</x:v>
      </x:c>
      <x:c r="AC180" s="18" t="str">
        <x:f>IF(H180="Mean/SD","MD",IF(H180="Events/total","RR",""))</x:f>
        <x:v>RR</x:v>
      </x:c>
      <x:c r="AD180" s="18" t="n">
        <x:f>IF(H180="Mean/SD",M180-S180,IF(H180="Events/total",IFERROR((R180/K180)/(X180/L180),""),""))</x:f>
        <x:v>0.7142857142857142</x:v>
      </x:c>
      <x:c r="AE180" s="18" t="str">
        <x:v>No</x:v>
      </x:c>
      <x:c r="AF180" s="18" t="str">
        <x:v>No</x:v>
      </x:c>
      <x:c r="AG180" s="18" t="str">
        <x:v>Eligible for CRBD analysis at the matching timepoint</x:v>
      </x:c>
      <x:c r="AH180" s="18" t="str">
        <x:v>No</x:v>
      </x:c>
      <x:c r="AI180" s="18" t="str">
        <x:v>75 randomized but only 70 analyzed; preserve 35/35 outcome denominators. The stored 6-h CRBD endpoint does not exist in the source</x:v>
      </x:c>
      <x:c r="AJ180" s="18" t="str">
        <x:v>CRBD incidence table</x:v>
      </x:c>
      <x:c r="AK180" s="18" t="str">
        <x:v>https://drive.google.com/file/d/1guriAcqNbJNXpfd_UjYwevULLVSeiHXS/view?usp=drivesdk</x:v>
      </x:c>
      <x:c r="AL180" s="18" t="str">
        <x:v>SOURCE-VERIFIED / ATTRITION QC</x:v>
      </x:c>
    </x:row>
    <x:row r="181">
      <x:c r="A181" s="18" t="str">
        <x:v>Liang 2021</x:v>
      </x:c>
      <x:c r="B181" s="18" t="str">
        <x:v>LIANG21_TEAS_vs_CTRL_CRBD24</x:v>
      </x:c>
      <x:c r="C181" s="18" t="str">
        <x:v>Preoperative TEAS</x:v>
      </x:c>
      <x:c r="D181" s="18" t="str">
        <x:v>Control/no stimulation</x:v>
      </x:c>
      <x:c r="E181" s="18" t="str">
        <x:v>Catheter-related bladder discomfort</x:v>
      </x:c>
      <x:c r="F181" s="18" t="str">
        <x:v>CRBD incidence</x:v>
      </x:c>
      <x:c r="G181" s="18" t="str">
        <x:v>24 h</x:v>
      </x:c>
      <x:c r="H181" s="18" t="str">
        <x:v>Events/total</x:v>
      </x:c>
      <x:c r="I181" s="18" t="n">
        <x:v>38</x:v>
      </x:c>
      <x:c r="J181" s="18" t="n">
        <x:v>37</x:v>
      </x:c>
      <x:c r="K181" s="18" t="n">
        <x:v>35</x:v>
      </x:c>
      <x:c r="L181" s="18" t="n">
        <x:v>35</x:v>
      </x:c>
      <x:c r="M181" s="18"/>
      <x:c r="N181" s="18"/>
      <x:c r="O181" s="18"/>
      <x:c r="P181" s="18"/>
      <x:c r="Q181" s="18"/>
      <x:c r="R181" s="18" t="n">
        <x:v>7</x:v>
      </x:c>
      <x:c r="S181" s="18"/>
      <x:c r="T181" s="18"/>
      <x:c r="U181" s="18"/>
      <x:c r="V181" s="18"/>
      <x:c r="W181" s="18"/>
      <x:c r="X181" s="18" t="n">
        <x:v>31</x:v>
      </x:c>
      <x:c r="Y181" s="18" t="str">
        <x:v>participants</x:v>
      </x:c>
      <x:c r="Z181" s="18" t="str">
        <x:v>&lt;0.05</x:v>
      </x:c>
      <x:c r="AA181" s="18" t="str">
        <x:v>Yes</x:v>
      </x:c>
      <x:c r="AB181" s="18" t="str">
        <x:v>No</x:v>
      </x:c>
      <x:c r="AC181" s="18" t="str">
        <x:f>IF(H181="Mean/SD","MD",IF(H181="Events/total","RR",""))</x:f>
        <x:v>RR</x:v>
      </x:c>
      <x:c r="AD181" s="18" t="n">
        <x:f>IF(H181="Mean/SD",M181-S181,IF(H181="Events/total",IFERROR((R181/K181)/(X181/L181),""),""))</x:f>
        <x:v>0.22580645161290325</x:v>
      </x:c>
      <x:c r="AE181" s="18" t="str">
        <x:v>No</x:v>
      </x:c>
      <x:c r="AF181" s="18" t="str">
        <x:v>No</x:v>
      </x:c>
      <x:c r="AG181" s="18" t="str">
        <x:v>Eligible for CRBD analysis at the matching timepoint</x:v>
      </x:c>
      <x:c r="AH181" s="18" t="str">
        <x:v>No</x:v>
      </x:c>
      <x:c r="AI181" s="18" t="str">
        <x:v>75 randomized but only 70 analyzed; preserve 35/35 outcome denominators. The stored 6-h CRBD endpoint does not exist in the source</x:v>
      </x:c>
      <x:c r="AJ181" s="18" t="str">
        <x:v>CRBD incidence table</x:v>
      </x:c>
      <x:c r="AK181" s="18" t="str">
        <x:v>https://drive.google.com/file/d/1guriAcqNbJNXpfd_UjYwevULLVSeiHXS/view?usp=drivesdk</x:v>
      </x:c>
      <x:c r="AL181" s="18" t="str">
        <x:v>SOURCE-VERIFIED / ATTRITION QC</x:v>
      </x:c>
    </x:row>
    <x:row r="182">
      <x:c r="A182" s="18" t="str">
        <x:v>Liang 2021</x:v>
      </x:c>
      <x:c r="B182" s="18" t="str">
        <x:v>LIANG21_TEAS_vs_CTRL_CRBD48</x:v>
      </x:c>
      <x:c r="C182" s="18" t="str">
        <x:v>Preoperative TEAS</x:v>
      </x:c>
      <x:c r="D182" s="18" t="str">
        <x:v>Control/no stimulation</x:v>
      </x:c>
      <x:c r="E182" s="18" t="str">
        <x:v>Catheter-related bladder discomfort</x:v>
      </x:c>
      <x:c r="F182" s="18" t="str">
        <x:v>CRBD incidence</x:v>
      </x:c>
      <x:c r="G182" s="18" t="str">
        <x:v>48 h</x:v>
      </x:c>
      <x:c r="H182" s="18" t="str">
        <x:v>Events/total</x:v>
      </x:c>
      <x:c r="I182" s="18" t="n">
        <x:v>38</x:v>
      </x:c>
      <x:c r="J182" s="18" t="n">
        <x:v>37</x:v>
      </x:c>
      <x:c r="K182" s="18" t="n">
        <x:v>35</x:v>
      </x:c>
      <x:c r="L182" s="18" t="n">
        <x:v>35</x:v>
      </x:c>
      <x:c r="M182" s="18"/>
      <x:c r="N182" s="18"/>
      <x:c r="O182" s="18"/>
      <x:c r="P182" s="18"/>
      <x:c r="Q182" s="18"/>
      <x:c r="R182" s="18" t="n">
        <x:v>4</x:v>
      </x:c>
      <x:c r="S182" s="18"/>
      <x:c r="T182" s="18"/>
      <x:c r="U182" s="18"/>
      <x:c r="V182" s="18"/>
      <x:c r="W182" s="18"/>
      <x:c r="X182" s="18" t="n">
        <x:v>19</x:v>
      </x:c>
      <x:c r="Y182" s="18" t="str">
        <x:v>participants</x:v>
      </x:c>
      <x:c r="Z182" s="18" t="str">
        <x:v>&lt;0.05</x:v>
      </x:c>
      <x:c r="AA182" s="18" t="str">
        <x:v>Yes</x:v>
      </x:c>
      <x:c r="AB182" s="18" t="str">
        <x:v>No</x:v>
      </x:c>
      <x:c r="AC182" s="18" t="str">
        <x:f>IF(H182="Mean/SD","MD",IF(H182="Events/total","RR",""))</x:f>
        <x:v>RR</x:v>
      </x:c>
      <x:c r="AD182" s="18" t="n">
        <x:f>IF(H182="Mean/SD",M182-S182,IF(H182="Events/total",IFERROR((R182/K182)/(X182/L182),""),""))</x:f>
        <x:v>0.2105263157894737</x:v>
      </x:c>
      <x:c r="AE182" s="18" t="str">
        <x:v>No</x:v>
      </x:c>
      <x:c r="AF182" s="18" t="str">
        <x:v>No</x:v>
      </x:c>
      <x:c r="AG182" s="18" t="str">
        <x:v>Eligible for CRBD analysis at the matching timepoint</x:v>
      </x:c>
      <x:c r="AH182" s="18" t="str">
        <x:v>No</x:v>
      </x:c>
      <x:c r="AI182" s="18" t="str">
        <x:v>75 randomized but only 70 analyzed; preserve 35/35 outcome denominators. The stored 6-h CRBD endpoint does not exist in the source</x:v>
      </x:c>
      <x:c r="AJ182" s="18" t="str">
        <x:v>CRBD incidence table</x:v>
      </x:c>
      <x:c r="AK182" s="18" t="str">
        <x:v>https://drive.google.com/file/d/1guriAcqNbJNXpfd_UjYwevULLVSeiHXS/view?usp=drivesdk</x:v>
      </x:c>
      <x:c r="AL182" s="18" t="str">
        <x:v>SOURCE-VERIFIED / ATTRITION QC</x:v>
      </x:c>
    </x:row>
    <x:row r="183">
      <x:c r="A183" s="18" t="str">
        <x:v>Liang 2021</x:v>
      </x:c>
      <x:c r="B183" s="18" t="str">
        <x:v>LIANG21_TEAS_vs_CTRL_OPIOID24</x:v>
      </x:c>
      <x:c r="C183" s="18" t="str">
        <x:v>Preoperative TEAS</x:v>
      </x:c>
      <x:c r="D183" s="18" t="str">
        <x:v>Control/no stimulation</x:v>
      </x:c>
      <x:c r="E183" s="18" t="str">
        <x:v>Opioid consumption</x:v>
      </x:c>
      <x:c r="F183" s="18" t="str">
        <x:v>Exact cumulative postoperative opioid consumption</x:v>
      </x:c>
      <x:c r="G183" s="18" t="str">
        <x:v>0-24 h</x:v>
      </x:c>
      <x:c r="H183" s="18" t="str">
        <x:v>Not reported</x:v>
      </x:c>
      <x:c r="I183" s="18" t="n">
        <x:v>38</x:v>
      </x:c>
      <x:c r="J183" s="18" t="n">
        <x:v>37</x:v>
      </x:c>
      <x:c r="K183" s="18" t="n">
        <x:v>35</x:v>
      </x:c>
      <x:c r="L183" s="18" t="n">
        <x:v>35</x:v>
      </x:c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 t="str">
        <x:v>mg/µg</x:v>
      </x:c>
      <x:c r="Z183" s="18" t="str"/>
      <x:c r="AA183" s="18" t="str">
        <x:v>No</x:v>
      </x:c>
      <x:c r="AB183" s="18" t="str">
        <x:v>No</x:v>
      </x:c>
      <x:c r="AC183" s="18" t="str">
        <x:f>IF(H183="Mean/SD","MD",IF(H183="Events/total","RR",""))</x:f>
      </x:c>
      <x:c r="AD183" s="18" t="str">
        <x:f>IF(H183="Mean/SD",M183-S183,IF(H183="Events/total",IFERROR((R183/K183)/(X183/L183),""),""))</x:f>
      </x:c>
      <x:c r="AE183" s="18" t="str">
        <x:v>No</x:v>
      </x:c>
      <x:c r="AF183" s="18" t="str">
        <x:v>No</x:v>
      </x:c>
      <x:c r="AG183" s="18" t="str">
        <x:v>Not eligible for continuous 24-h opioid/MME meta-analysis</x:v>
      </x:c>
      <x:c r="AH183" s="18" t="str">
        <x:v>No</x:v>
      </x:c>
      <x:c r="AI183" s="18" t="str">
        <x:v>The source trial focuses on CRBD; no source-grounded exact cumulative 24-h opioid endpoint is available</x:v>
      </x:c>
      <x:c r="AJ183" s="18" t="str">
        <x:v>Exact 24-h opioid endpoint absent</x:v>
      </x:c>
      <x:c r="AK183" s="18" t="str">
        <x:v>https://drive.google.com/file/d/1guriAcqNbJNXpfd_UjYwevULLVSeiHXS/view?usp=drivesdk</x:v>
      </x:c>
      <x:c r="AL183" s="18" t="str">
        <x:v>MISSING / NOT REPORTED</x:v>
      </x:c>
    </x:row>
    <x:row r="184">
      <x:c r="A184" s="18" t="str">
        <x:v>Lee 2011</x:v>
      </x:c>
      <x:c r="B184" s="18" t="str">
        <x:v>LEE11_LOW_vs_SHAM_MORPH24</x:v>
      </x:c>
      <x:c r="C184" s="18" t="str">
        <x:v>Low-frequency dense-sparse SSP</x:v>
      </x:c>
      <x:c r="D184" s="18" t="str">
        <x:v>Sham SSP</x:v>
      </x:c>
      <x:c r="E184" s="18" t="str">
        <x:v>Opioid consumption</x:v>
      </x:c>
      <x:c r="F184" s="18" t="str">
        <x:v>Cumulative IV PCA morphine delivered</x:v>
      </x:c>
      <x:c r="G184" s="18" t="str">
        <x:v>First 24 postoperative hours</x:v>
      </x:c>
      <x:c r="H184" s="18" t="str">
        <x:v>Mean/SD</x:v>
      </x:c>
      <x:c r="I184" s="18" t="n">
        <x:v>12</x:v>
      </x:c>
      <x:c r="J184" s="18" t="n">
        <x:v>12</x:v>
      </x:c>
      <x:c r="K184" s="18" t="n">
        <x:v>10</x:v>
      </x:c>
      <x:c r="L184" s="18" t="n">
        <x:v>12</x:v>
      </x:c>
      <x:c r="M184" s="18" t="n">
        <x:v>29.29</x:v>
      </x:c>
      <x:c r="N184" s="18" t="n">
        <x:v>8.89</x:v>
      </x:c>
      <x:c r="O184" s="18"/>
      <x:c r="P184" s="18"/>
      <x:c r="Q184" s="18"/>
      <x:c r="R184" s="18"/>
      <x:c r="S184" s="18" t="n">
        <x:v>34.2</x:v>
      </x:c>
      <x:c r="T184" s="18" t="n">
        <x:v>6.4</x:v>
      </x:c>
      <x:c r="U184" s="18"/>
      <x:c r="V184" s="18"/>
      <x:c r="W184" s="18"/>
      <x:c r="X184" s="18"/>
      <x:c r="Y184" s="18" t="str">
        <x:v>mg IV morphine</x:v>
      </x:c>
      <x:c r="Z184" s="18" t="str">
        <x:v>Pairwise significance not clearly reported</x:v>
      </x:c>
      <x:c r="AA184" s="18" t="str">
        <x:v>Yes</x:v>
      </x:c>
      <x:c r="AB184" s="18" t="str">
        <x:v>No</x:v>
      </x:c>
      <x:c r="AC184" s="18" t="str">
        <x:f>IF(H184="Mean/SD","MD",IF(H184="Events/total","RR",""))</x:f>
        <x:v>MD</x:v>
      </x:c>
      <x:c r="AD184" s="18" t="n">
        <x:f>IF(H184="Mean/SD",M184-S184,IF(H184="Events/total",IFERROR((R184/K184)/(X184/L184),""),""))</x:f>
        <x:v>-4.910000000000004</x:v>
      </x:c>
      <x:c r="AE184" s="18" t="str">
        <x:v>Yes</x:v>
      </x:c>
      <x:c r="AF184" s="18" t="str">
        <x:v>Yes</x:v>
      </x:c>
      <x:c r="AG184" s="18" t="str">
        <x:v>Eligible for 24-h opioid analysis; shared sham comparator requires multi-arm handling</x:v>
      </x:c>
      <x:c r="AH184" s="18" t="str">
        <x:v>Yes</x:v>
      </x:c>
      <x:c r="AI184" s="18" t="str">
        <x:v>Two of 12 low-frequency participants discontinued because they could not complete VAS; publication analyzed 47/49 with no ITT</x:v>
      </x:c>
      <x:c r="AJ184" s="18" t="str">
        <x:v>Table 8 / total morphine delivered</x:v>
      </x:c>
      <x:c r="AK184" s="18" t="str">
        <x:v>https://drive.google.com/file/d/1kQDSBtx3OpFOsim5oUMwhpfHOqaMy8Q9/view?usp=drivesdk</x:v>
      </x:c>
      <x:c r="AL184" s="18" t="str">
        <x:v>SOURCE-VERIFIED / MULTI-ARM + ATTRITION QC</x:v>
      </x:c>
    </x:row>
    <x:row r="185">
      <x:c r="A185" s="18" t="str">
        <x:v>Lee 2011</x:v>
      </x:c>
      <x:c r="B185" s="18" t="str">
        <x:v>LEE11_HIGH_vs_SHAM_MORPH24</x:v>
      </x:c>
      <x:c r="C185" s="18" t="str">
        <x:v>100-Hz SSP</x:v>
      </x:c>
      <x:c r="D185" s="18" t="str">
        <x:v>Sham SSP</x:v>
      </x:c>
      <x:c r="E185" s="18" t="str">
        <x:v>Opioid consumption</x:v>
      </x:c>
      <x:c r="F185" s="18" t="str">
        <x:v>Cumulative IV PCA morphine delivered</x:v>
      </x:c>
      <x:c r="G185" s="18" t="str">
        <x:v>First 24 postoperative hours</x:v>
      </x:c>
      <x:c r="H185" s="18" t="str">
        <x:v>Mean/SD</x:v>
      </x:c>
      <x:c r="I185" s="18" t="n">
        <x:v>12</x:v>
      </x:c>
      <x:c r="J185" s="18" t="n">
        <x:v>12</x:v>
      </x:c>
      <x:c r="K185" s="18" t="n">
        <x:v>12</x:v>
      </x:c>
      <x:c r="L185" s="18" t="n">
        <x:v>12</x:v>
      </x:c>
      <x:c r="M185" s="18" t="n">
        <x:v>31.14</x:v>
      </x:c>
      <x:c r="N185" s="18" t="n">
        <x:v>8.15</x:v>
      </x:c>
      <x:c r="O185" s="18"/>
      <x:c r="P185" s="18"/>
      <x:c r="Q185" s="18"/>
      <x:c r="R185" s="18"/>
      <x:c r="S185" s="18" t="n">
        <x:v>34.2</x:v>
      </x:c>
      <x:c r="T185" s="18" t="n">
        <x:v>6.4</x:v>
      </x:c>
      <x:c r="U185" s="18"/>
      <x:c r="V185" s="18"/>
      <x:c r="W185" s="18"/>
      <x:c r="X185" s="18"/>
      <x:c r="Y185" s="18" t="str">
        <x:v>mg IV morphine</x:v>
      </x:c>
      <x:c r="Z185" s="18" t="str">
        <x:v>Pairwise significance not clearly reported</x:v>
      </x:c>
      <x:c r="AA185" s="18" t="str">
        <x:v>Yes</x:v>
      </x:c>
      <x:c r="AB185" s="18" t="str">
        <x:v>No</x:v>
      </x:c>
      <x:c r="AC185" s="18" t="str">
        <x:f>IF(H185="Mean/SD","MD",IF(H185="Events/total","RR",""))</x:f>
        <x:v>MD</x:v>
      </x:c>
      <x:c r="AD185" s="18" t="n">
        <x:f>IF(H185="Mean/SD",M185-S185,IF(H185="Events/total",IFERROR((R185/K185)/(X185/L185),""),""))</x:f>
        <x:v>-3.0600000000000023</x:v>
      </x:c>
      <x:c r="AE185" s="18" t="str">
        <x:v>Yes</x:v>
      </x:c>
      <x:c r="AF185" s="18" t="str">
        <x:v>Yes</x:v>
      </x:c>
      <x:c r="AG185" s="18" t="str">
        <x:v>Eligible for 24-h opioid analysis; shared sham comparator requires multi-arm handling</x:v>
      </x:c>
      <x:c r="AH185" s="18" t="str">
        <x:v>Yes</x:v>
      </x:c>
      <x:c r="AI185" s="18" t="str">
        <x:v>Four-arm RCT; do not reconstruct total dose by summing interval means</x:v>
      </x:c>
      <x:c r="AJ185" s="18" t="str">
        <x:v>Table 8 / total morphine delivered</x:v>
      </x:c>
      <x:c r="AK185" s="18" t="str">
        <x:v>https://drive.google.com/file/d/1kQDSBtx3OpFOsim5oUMwhpfHOqaMy8Q9/view?usp=drivesdk</x:v>
      </x:c>
      <x:c r="AL185" s="18" t="str">
        <x:v>SOURCE-VERIFIED</x:v>
      </x:c>
    </x:row>
    <x:row r="186">
      <x:c r="A186" s="18" t="str">
        <x:v>Lee 2011</x:v>
      </x:c>
      <x:c r="B186" s="18" t="str">
        <x:v>LEE11_LOW_vs_CONTROL_MORPH24</x:v>
      </x:c>
      <x:c r="C186" s="18" t="str">
        <x:v>Low-frequency dense-sparse SSP</x:v>
      </x:c>
      <x:c r="D186" s="18" t="str">
        <x:v>Untreated control</x:v>
      </x:c>
      <x:c r="E186" s="18" t="str">
        <x:v>Opioid consumption</x:v>
      </x:c>
      <x:c r="F186" s="18" t="str">
        <x:v>Cumulative IV PCA morphine delivered</x:v>
      </x:c>
      <x:c r="G186" s="18" t="str">
        <x:v>First 24 postoperative hours</x:v>
      </x:c>
      <x:c r="H186" s="18" t="str">
        <x:v>Mean/SD</x:v>
      </x:c>
      <x:c r="I186" s="18" t="n">
        <x:v>12</x:v>
      </x:c>
      <x:c r="J186" s="18" t="n">
        <x:v>13</x:v>
      </x:c>
      <x:c r="K186" s="18" t="n">
        <x:v>10</x:v>
      </x:c>
      <x:c r="L186" s="18" t="n">
        <x:v>13</x:v>
      </x:c>
      <x:c r="M186" s="18" t="n">
        <x:v>29.29</x:v>
      </x:c>
      <x:c r="N186" s="18" t="n">
        <x:v>8.89</x:v>
      </x:c>
      <x:c r="O186" s="18"/>
      <x:c r="P186" s="18"/>
      <x:c r="Q186" s="18"/>
      <x:c r="R186" s="18"/>
      <x:c r="S186" s="18" t="n">
        <x:v>38.63</x:v>
      </x:c>
      <x:c r="T186" s="18" t="n">
        <x:v>11.08</x:v>
      </x:c>
      <x:c r="U186" s="18"/>
      <x:c r="V186" s="18"/>
      <x:c r="W186" s="18"/>
      <x:c r="X186" s="18"/>
      <x:c r="Y186" s="18" t="str">
        <x:v>mg IV morphine</x:v>
      </x:c>
      <x:c r="Z186" s="18" t="str">
        <x:v>Authors report significant post-hoc difference</x:v>
      </x:c>
      <x:c r="AA186" s="18" t="str">
        <x:v>Yes</x:v>
      </x:c>
      <x:c r="AB186" s="18" t="str">
        <x:v>No</x:v>
      </x:c>
      <x:c r="AC186" s="18" t="str">
        <x:f>IF(H186="Mean/SD","MD",IF(H186="Events/total","RR",""))</x:f>
        <x:v>MD</x:v>
      </x:c>
      <x:c r="AD186" s="18" t="n">
        <x:f>IF(H186="Mean/SD",M186-S186,IF(H186="Events/total",IFERROR((R186/K186)/(X186/L186),""),""))</x:f>
        <x:v>-9.340000000000003</x:v>
      </x:c>
      <x:c r="AE186" s="18" t="str">
        <x:v>Yes</x:v>
      </x:c>
      <x:c r="AF186" s="18" t="str">
        <x:v>Yes</x:v>
      </x:c>
      <x:c r="AG186" s="18" t="str">
        <x:v>Eligible for active-vs-usual-care 24-h opioid analysis</x:v>
      </x:c>
      <x:c r="AH186" s="18" t="str">
        <x:v>Yes</x:v>
      </x:c>
      <x:c r="AI186" s="18" t="str">
        <x:v>This is not the sham-controlled contrast; keep separate from active-vs-sham synthesis</x:v>
      </x:c>
      <x:c r="AJ186" s="18" t="str">
        <x:v>Table 8 / total morphine delivered</x:v>
      </x:c>
      <x:c r="AK186" s="18" t="str">
        <x:v>https://drive.google.com/file/d/1kQDSBtx3OpFOsim5oUMwhpfHOqaMy8Q9/view?usp=drivesdk</x:v>
      </x:c>
      <x:c r="AL186" s="18" t="str">
        <x:v>SOURCE-VERIFIED</x:v>
      </x:c>
    </x:row>
    <x:row r="187">
      <x:c r="A187" s="18" t="str">
        <x:v>Lee 2011</x:v>
      </x:c>
      <x:c r="B187" s="18" t="str">
        <x:v>LEE11_LOW_vs_SHAM_VAS24</x:v>
      </x:c>
      <x:c r="C187" s="18" t="str">
        <x:v>Low-frequency dense-sparse SSP</x:v>
      </x:c>
      <x:c r="D187" s="18" t="str">
        <x:v>Sham SSP</x:v>
      </x:c>
      <x:c r="E187" s="18" t="str">
        <x:v>Pain</x:v>
      </x:c>
      <x:c r="F187" s="18" t="str">
        <x:v>VAS pain intensity</x:v>
      </x:c>
      <x:c r="G187" s="18" t="str">
        <x:v>24 h</x:v>
      </x:c>
      <x:c r="H187" s="18" t="str">
        <x:v>Mean/SD</x:v>
      </x:c>
      <x:c r="I187" s="18" t="n">
        <x:v>12</x:v>
      </x:c>
      <x:c r="J187" s="18" t="n">
        <x:v>12</x:v>
      </x:c>
      <x:c r="K187" s="18" t="n">
        <x:v>10</x:v>
      </x:c>
      <x:c r="L187" s="18" t="n">
        <x:v>12</x:v>
      </x:c>
      <x:c r="M187" s="18" t="n">
        <x:v>1.21</x:v>
      </x:c>
      <x:c r="N187" s="18" t="n">
        <x:v>1.31</x:v>
      </x:c>
      <x:c r="O187" s="18"/>
      <x:c r="P187" s="18"/>
      <x:c r="Q187" s="18"/>
      <x:c r="R187" s="18"/>
      <x:c r="S187" s="18" t="n">
        <x:v>2.54</x:v>
      </x:c>
      <x:c r="T187" s="18" t="n">
        <x:v>0.86</x:v>
      </x:c>
      <x:c r="U187" s="18"/>
      <x:c r="V187" s="18"/>
      <x:c r="W187" s="18"/>
      <x:c r="X187" s="18"/>
      <x:c r="Y187" s="18" t="str">
        <x:v>VAS 0-10</x:v>
      </x:c>
      <x:c r="Z187" s="18" t="str">
        <x:v>Group 4 significantly different from Groups 1-3</x:v>
      </x:c>
      <x:c r="AA187" s="18" t="str">
        <x:v>Yes</x:v>
      </x:c>
      <x:c r="AB187" s="18" t="str">
        <x:v>No</x:v>
      </x:c>
      <x:c r="AC187" s="18" t="str">
        <x:f>IF(H187="Mean/SD","MD",IF(H187="Events/total","RR",""))</x:f>
        <x:v>MD</x:v>
      </x:c>
      <x:c r="AD187" s="18" t="n">
        <x:f>IF(H187="Mean/SD",M187-S187,IF(H187="Events/total",IFERROR((R187/K187)/(X187/L187),""),""))</x:f>
        <x:v>-1.33</x:v>
      </x:c>
      <x:c r="AE187" s="18" t="str">
        <x:v>No</x:v>
      </x:c>
      <x:c r="AF187" s="18" t="str">
        <x:v>No</x:v>
      </x:c>
      <x:c r="AG187" s="18" t="str">
        <x:v>Eligible for 24-h pain analysis with shared-control adjustment</x:v>
      </x:c>
      <x:c r="AH187" s="18" t="str">
        <x:v>Yes</x:v>
      </x:c>
      <x:c r="AI187" s="18" t="str">
        <x:v>Rest vs movement not reported; two low-frequency participants excluded because unable to complete VAS</x:v>
      </x:c>
      <x:c r="AJ187" s="18" t="str">
        <x:v>24-h VAS table</x:v>
      </x:c>
      <x:c r="AK187" s="18" t="str">
        <x:v>https://drive.google.com/file/d/1kQDSBtx3OpFOsim5oUMwhpfHOqaMy8Q9/view?usp=drivesdk</x:v>
      </x:c>
      <x:c r="AL187" s="18" t="str">
        <x:v>SOURCE-VERIFIED / ATTRITION QC</x:v>
      </x:c>
    </x:row>
    <x:row r="188">
      <x:c r="A188" s="18" t="str">
        <x:v>Jin 2023</x:v>
      </x:c>
      <x:c r="B188" s="18" t="str">
        <x:v>JIN23_2HZ_vs_SHAM_NAPC48</x:v>
      </x:c>
      <x:c r="C188" s="18" t="str">
        <x:v>2-Hz postoperative EA</x:v>
      </x:c>
      <x:c r="D188" s="18" t="str">
        <x:v>Sham nonpenetrating EA/no current</x:v>
      </x:c>
      <x:c r="E188" s="18" t="str">
        <x:v>Opioid demand</x:v>
      </x:c>
      <x:c r="F188" s="18" t="str">
        <x:v>Cumulative analgesic pump compressions</x:v>
      </x:c>
      <x:c r="G188" s="18" t="str">
        <x:v>48 h</x:v>
      </x:c>
      <x:c r="H188" s="18" t="str">
        <x:v>Median/IQR</x:v>
      </x:c>
      <x:c r="I188" s="18" t="n">
        <x:v>58</x:v>
      </x:c>
      <x:c r="J188" s="18" t="n">
        <x:v>58</x:v>
      </x:c>
      <x:c r="K188" s="18" t="n">
        <x:v>53</x:v>
      </x:c>
      <x:c r="L188" s="18" t="n">
        <x:v>52</x:v>
      </x:c>
      <x:c r="M188" s="18"/>
      <x:c r="N188" s="18"/>
      <x:c r="O188" s="18" t="n">
        <x:v>1</x:v>
      </x:c>
      <x:c r="P188" s="18" t="n">
        <x:v>0</x:v>
      </x:c>
      <x:c r="Q188" s="18" t="n">
        <x:v>3</x:v>
      </x:c>
      <x:c r="R188" s="18"/>
      <x:c r="S188" s="18"/>
      <x:c r="T188" s="18"/>
      <x:c r="U188" s="18" t="n">
        <x:v>9</x:v>
      </x:c>
      <x:c r="V188" s="18" t="n">
        <x:v>4.3</x:v>
      </x:c>
      <x:c r="W188" s="18" t="n">
        <x:v>12</x:v>
      </x:c>
      <x:c r="X188" s="18"/>
      <x:c r="Y188" s="18" t="str">
        <x:v>pump compressions</x:v>
      </x:c>
      <x:c r="Z188" s="18" t="str">
        <x:v>&lt;0.001 vs sham</x:v>
      </x:c>
      <x:c r="AA188" s="18" t="str">
        <x:v>Yes</x:v>
      </x:c>
      <x:c r="AB188" s="18" t="str">
        <x:v>No</x:v>
      </x:c>
      <x:c r="AC188" s="18" t="str">
        <x:f>IF(H188="Mean/SD","MD",IF(H188="Events/total","RR",""))</x:f>
      </x:c>
      <x:c r="AD188" s="18" t="str">
        <x:f>IF(H188="Mean/SD",M188-S188,IF(H188="Events/total",IFERROR((R188/K188)/(X188/L188),""),""))</x:f>
      </x:c>
      <x:c r="AE188" s="18" t="str">
        <x:v>No</x:v>
      </x:c>
      <x:c r="AF188" s="18" t="str">
        <x:v>No</x:v>
      </x:c>
      <x:c r="AG188" s="18" t="str">
        <x:v>Eligible for 48-h PCA-demand analysis; shared sham comparator requires multi-arm handling</x:v>
      </x:c>
      <x:c r="AH188" s="18" t="str">
        <x:v>Yes</x:v>
      </x:c>
      <x:c r="AI188" s="18" t="str">
        <x:v>174 randomized but outcome tables use only 158 completers; dropout reasons include 'unsatisfactory effects' despite ITT terminology</x:v>
      </x:c>
      <x:c r="AJ188" s="18" t="str">
        <x:v>Primary outcome / Table 3</x:v>
      </x:c>
      <x:c r="AK188" s="18" t="str">
        <x:v>https://drive.google.com/file/d/1fkNAFra0gZ9jkWkzp_S0TWy-5zVrXCtj/view?usp=drivesdk</x:v>
      </x:c>
      <x:c r="AL188" s="18" t="str">
        <x:v>SOURCE-VERIFIED / COMPLETE-CASE + MULTI-ARM QC</x:v>
      </x:c>
    </x:row>
    <x:row r="189">
      <x:c r="A189" s="18" t="str">
        <x:v>Jin 2023</x:v>
      </x:c>
      <x:c r="B189" s="18" t="str">
        <x:v>JIN23_20100_vs_SHAM_NAPC48</x:v>
      </x:c>
      <x:c r="C189" s="18" t="str">
        <x:v>20/100-Hz postoperative EA</x:v>
      </x:c>
      <x:c r="D189" s="18" t="str">
        <x:v>Sham nonpenetrating EA/no current</x:v>
      </x:c>
      <x:c r="E189" s="18" t="str">
        <x:v>Opioid demand</x:v>
      </x:c>
      <x:c r="F189" s="18" t="str">
        <x:v>Cumulative analgesic pump compressions</x:v>
      </x:c>
      <x:c r="G189" s="18" t="str">
        <x:v>48 h</x:v>
      </x:c>
      <x:c r="H189" s="18" t="str">
        <x:v>Median/IQR</x:v>
      </x:c>
      <x:c r="I189" s="18" t="n">
        <x:v>58</x:v>
      </x:c>
      <x:c r="J189" s="18" t="n">
        <x:v>58</x:v>
      </x:c>
      <x:c r="K189" s="18" t="n">
        <x:v>53</x:v>
      </x:c>
      <x:c r="L189" s="18" t="n">
        <x:v>52</x:v>
      </x:c>
      <x:c r="M189" s="18"/>
      <x:c r="N189" s="18"/>
      <x:c r="O189" s="18" t="n">
        <x:v>1</x:v>
      </x:c>
      <x:c r="P189" s="18" t="n">
        <x:v>0</x:v>
      </x:c>
      <x:c r="Q189" s="18" t="n">
        <x:v>4.5</x:v>
      </x:c>
      <x:c r="R189" s="18"/>
      <x:c r="S189" s="18"/>
      <x:c r="T189" s="18"/>
      <x:c r="U189" s="18" t="n">
        <x:v>9</x:v>
      </x:c>
      <x:c r="V189" s="18" t="n">
        <x:v>4.3</x:v>
      </x:c>
      <x:c r="W189" s="18" t="n">
        <x:v>12</x:v>
      </x:c>
      <x:c r="X189" s="18"/>
      <x:c r="Y189" s="18" t="str">
        <x:v>pump compressions</x:v>
      </x:c>
      <x:c r="Z189" s="18" t="str">
        <x:v>&lt;0.001 vs sham</x:v>
      </x:c>
      <x:c r="AA189" s="18" t="str">
        <x:v>Yes</x:v>
      </x:c>
      <x:c r="AB189" s="18" t="str">
        <x:v>No</x:v>
      </x:c>
      <x:c r="AC189" s="18" t="str">
        <x:f>IF(H189="Mean/SD","MD",IF(H189="Events/total","RR",""))</x:f>
      </x:c>
      <x:c r="AD189" s="18" t="str">
        <x:f>IF(H189="Mean/SD",M189-S189,IF(H189="Events/total",IFERROR((R189/K189)/(X189/L189),""),""))</x:f>
      </x:c>
      <x:c r="AE189" s="18" t="str">
        <x:v>No</x:v>
      </x:c>
      <x:c r="AF189" s="18" t="str">
        <x:v>No</x:v>
      </x:c>
      <x:c r="AG189" s="18" t="str">
        <x:v>Eligible for 48-h PCA-demand analysis; shared sham comparator requires multi-arm handling</x:v>
      </x:c>
      <x:c r="AH189" s="18" t="str">
        <x:v>Yes</x:v>
      </x:c>
      <x:c r="AI189" s="18" t="str">
        <x:v>174 randomized but outcome tables use only 158 completers; dropout reasons include 'unsatisfactory effects' despite ITT terminology</x:v>
      </x:c>
      <x:c r="AJ189" s="18" t="str">
        <x:v>Primary outcome / Table 3</x:v>
      </x:c>
      <x:c r="AK189" s="18" t="str">
        <x:v>https://drive.google.com/file/d/1fkNAFra0gZ9jkWkzp_S0TWy-5zVrXCtj/view?usp=drivesdk</x:v>
      </x:c>
      <x:c r="AL189" s="18" t="str">
        <x:v>SOURCE-VERIFIED / COMPLETE-CASE + MULTI-ARM QC</x:v>
      </x:c>
    </x:row>
    <x:row r="190">
      <x:c r="A190" s="18" t="str">
        <x:v>Jin 2023</x:v>
      </x:c>
      <x:c r="B190" s="18" t="str">
        <x:v>JIN23_2HZ_vs_SHAM_VOL24</x:v>
      </x:c>
      <x:c r="C190" s="18" t="str">
        <x:v>2-Hz postoperative EA</x:v>
      </x:c>
      <x:c r="D190" s="18" t="str">
        <x:v>Sham nonpenetrating EA/no current</x:v>
      </x:c>
      <x:c r="E190" s="18" t="str">
        <x:v>Opioid consumption</x:v>
      </x:c>
      <x:c r="F190" s="18" t="str">
        <x:v>Published 'fentanyl consumption' / PCIA solution volume</x:v>
      </x:c>
      <x:c r="G190" s="18" t="str">
        <x:v>24 h</x:v>
      </x:c>
      <x:c r="H190" s="18" t="str">
        <x:v>Mean/SD</x:v>
      </x:c>
      <x:c r="I190" s="18" t="n">
        <x:v>58</x:v>
      </x:c>
      <x:c r="J190" s="18" t="n">
        <x:v>58</x:v>
      </x:c>
      <x:c r="K190" s="18" t="n">
        <x:v>53</x:v>
      </x:c>
      <x:c r="L190" s="18" t="n">
        <x:v>52</x:v>
      </x:c>
      <x:c r="M190" s="18" t="n">
        <x:v>39.31</x:v>
      </x:c>
      <x:c r="N190" s="18" t="n">
        <x:v>15.58</x:v>
      </x:c>
      <x:c r="O190" s="18"/>
      <x:c r="P190" s="18"/>
      <x:c r="Q190" s="18"/>
      <x:c r="R190" s="18"/>
      <x:c r="S190" s="18" t="n">
        <x:v>56.54</x:v>
      </x:c>
      <x:c r="T190" s="18" t="n">
        <x:v>12.5</x:v>
      </x:c>
      <x:c r="U190" s="18"/>
      <x:c r="V190" s="18"/>
      <x:c r="W190" s="18"/>
      <x:c r="X190" s="18"/>
      <x:c r="Y190" s="18" t="str">
        <x:v>mL PCIA solution</x:v>
      </x:c>
      <x:c r="Z190" s="18" t="str">
        <x:v>&lt;0.001 overall; pairwise P&lt;0.001 (2 Hz) / 0.001 (20/100 Hz)</x:v>
      </x:c>
      <x:c r="AA190" s="18" t="str">
        <x:v>Yes</x:v>
      </x:c>
      <x:c r="AB190" s="18" t="str">
        <x:v>No</x:v>
      </x:c>
      <x:c r="AC190" s="18" t="str">
        <x:f>IF(H190="Mean/SD","MD",IF(H190="Events/total","RR",""))</x:f>
        <x:v>MD</x:v>
      </x:c>
      <x:c r="AD190" s="18" t="n">
        <x:f>IF(H190="Mean/SD",M190-S190,IF(H190="Events/total",IFERROR((R190/K190)/(X190/L190),""),""))</x:f>
        <x:v>-17.229999999999997</x:v>
      </x:c>
      <x:c r="AE190" s="18" t="str">
        <x:v>Yes</x:v>
      </x:c>
      <x:c r="AF190" s="18" t="str">
        <x:v>No</x:v>
      </x:c>
      <x:c r="AG190" s="18" t="str">
        <x:v>Raw 24-h solution-volume endpoint is usable; not eligible as fentanyl mass/MME until concentration is obtained</x:v>
      </x:c>
      <x:c r="AH190" s="18" t="str">
        <x:v>Yes</x:v>
      </x:c>
      <x:c r="AI190" s="18" t="str">
        <x:v>Main article does not report fentanyl concentration. Do not convert mL to µg/mg/MME. 2-Hz vs 20/100-Hz inferential statistics conflict between table and prose</x:v>
      </x:c>
      <x:c r="AJ190" s="18" t="str">
        <x:v>Table 3 / 24-h 'fentanyl consumption'</x:v>
      </x:c>
      <x:c r="AK190" s="18" t="str">
        <x:v>https://drive.google.com/file/d/1fkNAFra0gZ9jkWkzp_S0TWy-5zVrXCtj/view?usp=drivesdk</x:v>
      </x:c>
      <x:c r="AL190" s="18" t="str">
        <x:v>SOURCE-VERIFIED / CONCENTRATION + MULTIPLICITY QC</x:v>
      </x:c>
    </x:row>
    <x:row r="191">
      <x:c r="A191" s="18" t="str">
        <x:v>Jin 2023</x:v>
      </x:c>
      <x:c r="B191" s="18" t="str">
        <x:v>JIN23_20100_vs_SHAM_VOL24</x:v>
      </x:c>
      <x:c r="C191" s="18" t="str">
        <x:v>20/100-Hz postoperative EA</x:v>
      </x:c>
      <x:c r="D191" s="18" t="str">
        <x:v>Sham nonpenetrating EA/no current</x:v>
      </x:c>
      <x:c r="E191" s="18" t="str">
        <x:v>Opioid consumption</x:v>
      </x:c>
      <x:c r="F191" s="18" t="str">
        <x:v>Published 'fentanyl consumption' / PCIA solution volume</x:v>
      </x:c>
      <x:c r="G191" s="18" t="str">
        <x:v>24 h</x:v>
      </x:c>
      <x:c r="H191" s="18" t="str">
        <x:v>Mean/SD</x:v>
      </x:c>
      <x:c r="I191" s="18" t="n">
        <x:v>58</x:v>
      </x:c>
      <x:c r="J191" s="18" t="n">
        <x:v>58</x:v>
      </x:c>
      <x:c r="K191" s="18" t="n">
        <x:v>53</x:v>
      </x:c>
      <x:c r="L191" s="18" t="n">
        <x:v>52</x:v>
      </x:c>
      <x:c r="M191" s="18" t="n">
        <x:v>45.72</x:v>
      </x:c>
      <x:c r="N191" s="18" t="n">
        <x:v>16.92</x:v>
      </x:c>
      <x:c r="O191" s="18"/>
      <x:c r="P191" s="18"/>
      <x:c r="Q191" s="18"/>
      <x:c r="R191" s="18"/>
      <x:c r="S191" s="18" t="n">
        <x:v>56.54</x:v>
      </x:c>
      <x:c r="T191" s="18" t="n">
        <x:v>12.5</x:v>
      </x:c>
      <x:c r="U191" s="18"/>
      <x:c r="V191" s="18"/>
      <x:c r="W191" s="18"/>
      <x:c r="X191" s="18"/>
      <x:c r="Y191" s="18" t="str">
        <x:v>mL PCIA solution</x:v>
      </x:c>
      <x:c r="Z191" s="18" t="str">
        <x:v>&lt;0.001 overall; pairwise P&lt;0.001 (2 Hz) / 0.001 (20/100 Hz)</x:v>
      </x:c>
      <x:c r="AA191" s="18" t="str">
        <x:v>Yes</x:v>
      </x:c>
      <x:c r="AB191" s="18" t="str">
        <x:v>No</x:v>
      </x:c>
      <x:c r="AC191" s="18" t="str">
        <x:f>IF(H191="Mean/SD","MD",IF(H191="Events/total","RR",""))</x:f>
        <x:v>MD</x:v>
      </x:c>
      <x:c r="AD191" s="18" t="n">
        <x:f>IF(H191="Mean/SD",M191-S191,IF(H191="Events/total",IFERROR((R191/K191)/(X191/L191),""),""))</x:f>
        <x:v>-10.82</x:v>
      </x:c>
      <x:c r="AE191" s="18" t="str">
        <x:v>Yes</x:v>
      </x:c>
      <x:c r="AF191" s="18" t="str">
        <x:v>No</x:v>
      </x:c>
      <x:c r="AG191" s="18" t="str">
        <x:v>Raw 24-h solution-volume endpoint is usable; not eligible as fentanyl mass/MME until concentration is obtained</x:v>
      </x:c>
      <x:c r="AH191" s="18" t="str">
        <x:v>Yes</x:v>
      </x:c>
      <x:c r="AI191" s="18" t="str">
        <x:v>Main article does not report fentanyl concentration. Do not convert mL to µg/mg/MME. 2-Hz vs 20/100-Hz inferential statistics conflict between table and prose</x:v>
      </x:c>
      <x:c r="AJ191" s="18" t="str">
        <x:v>Table 3 / 24-h 'fentanyl consumption'</x:v>
      </x:c>
      <x:c r="AK191" s="18" t="str">
        <x:v>https://drive.google.com/file/d/1fkNAFra0gZ9jkWkzp_S0TWy-5zVrXCtj/view?usp=drivesdk</x:v>
      </x:c>
      <x:c r="AL191" s="18" t="str">
        <x:v>SOURCE-VERIFIED / CONCENTRATION + MULTIPLICITY QC</x:v>
      </x:c>
    </x:row>
    <x:row r="192">
      <x:c r="A192" s="18" t="str">
        <x:v>Jin 2023</x:v>
      </x:c>
      <x:c r="B192" s="18" t="str">
        <x:v>JIN23_OPIOID24_MASS</x:v>
      </x:c>
      <x:c r="C192" s="18" t="str">
        <x:v>Active EA arms</x:v>
      </x:c>
      <x:c r="D192" s="18" t="str">
        <x:v>Sham nonpenetrating EA/no current</x:v>
      </x:c>
      <x:c r="E192" s="18" t="str">
        <x:v>Opioid consumption</x:v>
      </x:c>
      <x:c r="F192" s="18" t="str">
        <x:v>Exact cumulative fentanyl mass / MME</x:v>
      </x:c>
      <x:c r="G192" s="18" t="str">
        <x:v>0-24 h</x:v>
      </x:c>
      <x:c r="H192" s="18" t="str">
        <x:v>Not calculable</x:v>
      </x:c>
      <x:c r="I192" s="18" t="n">
        <x:v>58</x:v>
      </x:c>
      <x:c r="J192" s="18" t="n">
        <x:v>58</x:v>
      </x:c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 t="str">
        <x:v>µg fentanyl / MME</x:v>
      </x:c>
      <x:c r="Z192" s="18" t="str"/>
      <x:c r="AA192" s="18" t="str">
        <x:v>No</x:v>
      </x:c>
      <x:c r="AB192" s="18" t="str">
        <x:v>No</x:v>
      </x:c>
      <x:c r="AC192" s="18" t="str">
        <x:f>IF(H192="Mean/SD","MD",IF(H192="Events/total","RR",""))</x:f>
      </x:c>
      <x:c r="AD192" s="18" t="str">
        <x:f>IF(H192="Mean/SD",M192-S192,IF(H192="Events/total",IFERROR((R192/K192)/(X192/L192),""),""))</x:f>
      </x:c>
      <x:c r="AE192" s="18" t="str">
        <x:v>Yes</x:v>
      </x:c>
      <x:c r="AF192" s="18" t="str">
        <x:v>No</x:v>
      </x:c>
      <x:c r="AG192" s="18" t="str">
        <x:v>Not eligible for mass-based 24-h opioid/MME meta-analysis until PCIA concentration is recovered</x:v>
      </x:c>
      <x:c r="AH192" s="18" t="str">
        <x:v>Yes</x:v>
      </x:c>
      <x:c r="AI192" s="18" t="str">
        <x:v>Only mL of solution are reported in the main article</x:v>
      </x:c>
      <x:c r="AJ192" s="18" t="str">
        <x:v>PCIA formulation absent from main article</x:v>
      </x:c>
      <x:c r="AK192" s="18" t="str">
        <x:v>https://drive.google.com/file/d/1fkNAFra0gZ9jkWkzp_S0TWy-5zVrXCtj/view?usp=drivesdk</x:v>
      </x:c>
      <x:c r="AL192" s="18" t="str">
        <x:v>MISSING / SUPPLEMENT NEEDED</x:v>
      </x:c>
    </x:row>
    <x:row r="193">
      <x:c r="A193" s="18" t="str">
        <x:v>Jiang 2026</x:v>
      </x:c>
      <x:c r="B193" s="18" t="str">
        <x:v>JIANG26_TEAS_vs_SHAM_FLATUS_PP</x:v>
      </x:c>
      <x:c r="C193" s="18" t="str">
        <x:v>Perioperative TEAS</x:v>
      </x:c>
      <x:c r="D193" s="18" t="str">
        <x:v>Sham/no current</x:v>
      </x:c>
      <x:c r="E193" s="18" t="str">
        <x:v>GI recovery</x:v>
      </x:c>
      <x:c r="F193" s="18" t="str">
        <x:v>Time to first flatus</x:v>
      </x:c>
      <x:c r="G193" s="18" t="str">
        <x:v>Postoperative</x:v>
      </x:c>
      <x:c r="H193" s="18" t="str">
        <x:v>Median/IQR</x:v>
      </x:c>
      <x:c r="I193" s="18" t="n">
        <x:v>308</x:v>
      </x:c>
      <x:c r="J193" s="18" t="n">
        <x:v>306</x:v>
      </x:c>
      <x:c r="K193" s="18" t="n">
        <x:v>294</x:v>
      </x:c>
      <x:c r="L193" s="18" t="n">
        <x:v>293</x:v>
      </x:c>
      <x:c r="M193" s="18"/>
      <x:c r="N193" s="18"/>
      <x:c r="O193" s="18" t="n">
        <x:v>21.5</x:v>
      </x:c>
      <x:c r="P193" s="18" t="n">
        <x:v>19</x:v>
      </x:c>
      <x:c r="Q193" s="18" t="n">
        <x:v>23.5</x:v>
      </x:c>
      <x:c r="R193" s="18"/>
      <x:c r="S193" s="18"/>
      <x:c r="T193" s="18"/>
      <x:c r="U193" s="18" t="n">
        <x:v>23.5</x:v>
      </x:c>
      <x:c r="V193" s="18" t="n">
        <x:v>21</x:v>
      </x:c>
      <x:c r="W193" s="18" t="n">
        <x:v>26</x:v>
      </x:c>
      <x:c r="X193" s="18"/>
      <x:c r="Y193" s="18" t="str">
        <x:v>hours</x:v>
      </x:c>
      <x:c r="Z193" s="18" t="str">
        <x:v>&lt;0.001</x:v>
      </x:c>
      <x:c r="AA193" s="18" t="str">
        <x:v>Yes</x:v>
      </x:c>
      <x:c r="AB193" s="18" t="str">
        <x:v>No</x:v>
      </x:c>
      <x:c r="AC193" s="18" t="str">
        <x:f>IF(H193="Mean/SD","MD",IF(H193="Events/total","RR",""))</x:f>
      </x:c>
      <x:c r="AD193" s="18" t="str">
        <x:f>IF(H193="Mean/SD",M193-S193,IF(H193="Events/total",IFERROR((R193/K193)/(X193/L193),""),""))</x:f>
      </x:c>
      <x:c r="AE193" s="18" t="str">
        <x:v>No</x:v>
      </x:c>
      <x:c r="AF193" s="18" t="str">
        <x:v>No</x:v>
      </x:c>
      <x:c r="AG193" s="18" t="str">
        <x:v>Eligible for GI-recovery analysis as per-protocol result; prefer modified-ITT sensitivity where appropriate</x:v>
      </x:c>
      <x:c r="AH193" s="18" t="str">
        <x:v>No</x:v>
      </x:c>
      <x:c r="AI193" s="18" t="str">
        <x:v>614 randomized but only 587 in PP. Sex/ASA baseline counts contain internal denominator errors</x:v>
      </x:c>
      <x:c r="AJ193" s="18" t="str">
        <x:v>Primary outcome / PP analysis</x:v>
      </x:c>
      <x:c r="AK193" s="18" t="str">
        <x:v>https://drive.google.com/file/d/1nujlP9A_IMWUfd3HdCD2rOxTc9-I8v92/view?usp=drivesdk</x:v>
      </x:c>
      <x:c r="AL193" s="18" t="str">
        <x:v>SOURCE-VERIFIED / PP ATTRITION QC</x:v>
      </x:c>
    </x:row>
    <x:row r="194">
      <x:c r="A194" s="18" t="str">
        <x:v>Jiang 2026</x:v>
      </x:c>
      <x:c r="B194" s="18" t="str">
        <x:v>JIANG26_TEAS_vs_SHAM_FLATUS_MITT</x:v>
      </x:c>
      <x:c r="C194" s="18" t="str">
        <x:v>Perioperative TEAS</x:v>
      </x:c>
      <x:c r="D194" s="18" t="str">
        <x:v>Sham/no current</x:v>
      </x:c>
      <x:c r="E194" s="18" t="str">
        <x:v>GI recovery</x:v>
      </x:c>
      <x:c r="F194" s="18" t="str">
        <x:v>Time to first flatus</x:v>
      </x:c>
      <x:c r="G194" s="18" t="str">
        <x:v>Modified-ITT-type analysis among intervention recipients</x:v>
      </x:c>
      <x:c r="H194" s="18" t="str">
        <x:v>Median/IQR</x:v>
      </x:c>
      <x:c r="I194" s="18" t="n">
        <x:v>308</x:v>
      </x:c>
      <x:c r="J194" s="18" t="n">
        <x:v>306</x:v>
      </x:c>
      <x:c r="K194" s="18" t="n">
        <x:v>296</x:v>
      </x:c>
      <x:c r="L194" s="18" t="n">
        <x:v>297</x:v>
      </x:c>
      <x:c r="M194" s="18"/>
      <x:c r="N194" s="18"/>
      <x:c r="O194" s="18" t="n">
        <x:v>21.3</x:v>
      </x:c>
      <x:c r="P194" s="18" t="n">
        <x:v>19</x:v>
      </x:c>
      <x:c r="Q194" s="18" t="n">
        <x:v>23.5</x:v>
      </x:c>
      <x:c r="R194" s="18"/>
      <x:c r="S194" s="18"/>
      <x:c r="T194" s="18"/>
      <x:c r="U194" s="18" t="n">
        <x:v>23.4</x:v>
      </x:c>
      <x:c r="V194" s="18" t="n">
        <x:v>21</x:v>
      </x:c>
      <x:c r="W194" s="18" t="n">
        <x:v>26</x:v>
      </x:c>
      <x:c r="X194" s="18"/>
      <x:c r="Y194" s="18" t="str">
        <x:v>hours</x:v>
      </x:c>
      <x:c r="Z194" s="18" t="str">
        <x:v>&lt;0.001</x:v>
      </x:c>
      <x:c r="AA194" s="18" t="str">
        <x:v>Yes</x:v>
      </x:c>
      <x:c r="AB194" s="18" t="str">
        <x:v>No</x:v>
      </x:c>
      <x:c r="AC194" s="18" t="str">
        <x:f>IF(H194="Mean/SD","MD",IF(H194="Events/total","RR",""))</x:f>
      </x:c>
      <x:c r="AD194" s="18" t="str">
        <x:f>IF(H194="Mean/SD",M194-S194,IF(H194="Events/total",IFERROR((R194/K194)/(X194/L194),""),""))</x:f>
      </x:c>
      <x:c r="AE194" s="18" t="str">
        <x:v>No</x:v>
      </x:c>
      <x:c r="AF194" s="18" t="str">
        <x:v>No</x:v>
      </x:c>
      <x:c r="AG194" s="18" t="str">
        <x:v>Preferred sensitivity result for first flatus, but still excludes 21 randomized non-recipients</x:v>
      </x:c>
      <x:c r="AH194" s="18" t="str">
        <x:v>No</x:v>
      </x:c>
      <x:c r="AI194" s="18" t="str">
        <x:v>Authors call this ITT, but it includes 593 who received allocated intervention, not all 614 randomized; 6 post-treatment missing values were conservatively imputed</x:v>
      </x:c>
      <x:c r="AJ194" s="18" t="str">
        <x:v>Primary outcome / reported ITT analysis</x:v>
      </x:c>
      <x:c r="AK194" s="18" t="str">
        <x:v>https://drive.google.com/file/d/1nujlP9A_IMWUfd3HdCD2rOxTc9-I8v92/view?usp=drivesdk</x:v>
      </x:c>
      <x:c r="AL194" s="18" t="str">
        <x:v>SOURCE-VERIFIED / MODIFIED-ITT QC</x:v>
      </x:c>
    </x:row>
    <x:row r="195">
      <x:c r="A195" s="18" t="str">
        <x:v>Jiang 2026</x:v>
      </x:c>
      <x:c r="B195" s="18" t="str">
        <x:v>JIANG26_TEAS_vs_SHAM_PONV24</x:v>
      </x:c>
      <x:c r="C195" s="18" t="str">
        <x:v>Perioperative TEAS</x:v>
      </x:c>
      <x:c r="D195" s="18" t="str">
        <x:v>Sham/no current</x:v>
      </x:c>
      <x:c r="E195" s="18" t="str">
        <x:v>PONV</x:v>
      </x:c>
      <x:c r="F195" s="18" t="str">
        <x:v>PONV incidence</x:v>
      </x:c>
      <x:c r="G195" s="18" t="str">
        <x:v>Within 24 h</x:v>
      </x:c>
      <x:c r="H195" s="18" t="str">
        <x:v>Events/total</x:v>
      </x:c>
      <x:c r="I195" s="18" t="n">
        <x:v>308</x:v>
      </x:c>
      <x:c r="J195" s="18" t="n">
        <x:v>306</x:v>
      </x:c>
      <x:c r="K195" s="18" t="n">
        <x:v>294</x:v>
      </x:c>
      <x:c r="L195" s="18" t="n">
        <x:v>293</x:v>
      </x:c>
      <x:c r="M195" s="18"/>
      <x:c r="N195" s="18"/>
      <x:c r="O195" s="18"/>
      <x:c r="P195" s="18"/>
      <x:c r="Q195" s="18"/>
      <x:c r="R195" s="18" t="n">
        <x:v>44</x:v>
      </x:c>
      <x:c r="S195" s="18"/>
      <x:c r="T195" s="18"/>
      <x:c r="U195" s="18"/>
      <x:c r="V195" s="18"/>
      <x:c r="W195" s="18"/>
      <x:c r="X195" s="18" t="n">
        <x:v>67</x:v>
      </x:c>
      <x:c r="Y195" s="18" t="str">
        <x:v>participants</x:v>
      </x:c>
      <x:c r="Z195" s="18" t="str">
        <x:v>0.015</x:v>
      </x:c>
      <x:c r="AA195" s="18" t="str">
        <x:v>Yes</x:v>
      </x:c>
      <x:c r="AB195" s="18" t="str">
        <x:v>No</x:v>
      </x:c>
      <x:c r="AC195" s="18" t="str">
        <x:f>IF(H195="Mean/SD","MD",IF(H195="Events/total","RR",""))</x:f>
        <x:v>RR</x:v>
      </x:c>
      <x:c r="AD195" s="18" t="n">
        <x:f>IF(H195="Mean/SD",M195-S195,IF(H195="Events/total",IFERROR((R195/K195)/(X195/L195),""),""))</x:f>
        <x:v>0.6544826885978272</x:v>
      </x:c>
      <x:c r="AE195" s="18" t="str">
        <x:v>No</x:v>
      </x:c>
      <x:c r="AF195" s="18" t="str">
        <x:v>No</x:v>
      </x:c>
      <x:c r="AG195" s="18" t="str">
        <x:v>Eligible for dichotomous 24-h PONV analysis using PP denominators</x:v>
      </x:c>
      <x:c r="AH195" s="18" t="str">
        <x:v>No</x:v>
      </x:c>
      <x:c r="AI195" s="18" t="str">
        <x:v>Use 44/294 vs 67/293; do not relabel 587 as randomized/ITT</x:v>
      </x:c>
      <x:c r="AJ195" s="18" t="str">
        <x:v>24-h PONV result</x:v>
      </x:c>
      <x:c r="AK195" s="18" t="str">
        <x:v>https://drive.google.com/file/d/1nujlP9A_IMWUfd3HdCD2rOxTc9-I8v92/view?usp=drivesdk</x:v>
      </x:c>
      <x:c r="AL195" s="18" t="str">
        <x:v>SOURCE-VERIFIED / PP ATTRITION QC</x:v>
      </x:c>
    </x:row>
    <x:row r="196">
      <x:c r="A196" s="18" t="str">
        <x:v>Jiang 2026</x:v>
      </x:c>
      <x:c r="B196" s="18" t="str">
        <x:v>JIANG26_TEAS_vs_SHAM_INTRAOP_REMI</x:v>
      </x:c>
      <x:c r="C196" s="18" t="str">
        <x:v>Perioperative TEAS</x:v>
      </x:c>
      <x:c r="D196" s="18" t="str">
        <x:v>Sham/no current</x:v>
      </x:c>
      <x:c r="E196" s="18" t="str">
        <x:v>Intraoperative opioid</x:v>
      </x:c>
      <x:c r="F196" s="18" t="str">
        <x:v>Remifentanil consumption</x:v>
      </x:c>
      <x:c r="G196" s="18" t="str">
        <x:v>Intraoperative</x:v>
      </x:c>
      <x:c r="H196" s="18" t="str">
        <x:v>Median/IQR</x:v>
      </x:c>
      <x:c r="I196" s="18" t="n">
        <x:v>308</x:v>
      </x:c>
      <x:c r="J196" s="18" t="n">
        <x:v>306</x:v>
      </x:c>
      <x:c r="K196" s="18" t="n">
        <x:v>294</x:v>
      </x:c>
      <x:c r="L196" s="18" t="n">
        <x:v>293</x:v>
      </x:c>
      <x:c r="M196" s="18"/>
      <x:c r="N196" s="18"/>
      <x:c r="O196" s="18" t="n">
        <x:v>841.4</x:v>
      </x:c>
      <x:c r="P196" s="18" t="n">
        <x:v>593.85</x:v>
      </x:c>
      <x:c r="Q196" s="18" t="n">
        <x:v>1278</x:v>
      </x:c>
      <x:c r="R196" s="18"/>
      <x:c r="S196" s="18"/>
      <x:c r="T196" s="18"/>
      <x:c r="U196" s="18" t="n">
        <x:v>795.2</x:v>
      </x:c>
      <x:c r="V196" s="18" t="n">
        <x:v>584</x:v>
      </x:c>
      <x:c r="W196" s="18" t="n">
        <x:v>1228.2</x:v>
      </x:c>
      <x:c r="X196" s="18"/>
      <x:c r="Y196" s="18" t="str">
        <x:v>µg remifentanil</x:v>
      </x:c>
      <x:c r="Z196" s="18" t="str">
        <x:v>0.284</x:v>
      </x:c>
      <x:c r="AA196" s="18" t="str">
        <x:v>Yes</x:v>
      </x:c>
      <x:c r="AB196" s="18" t="str">
        <x:v>No</x:v>
      </x:c>
      <x:c r="AC196" s="18" t="str">
        <x:f>IF(H196="Mean/SD","MD",IF(H196="Events/total","RR",""))</x:f>
      </x:c>
      <x:c r="AD196" s="18" t="str">
        <x:f>IF(H196="Mean/SD",M196-S196,IF(H196="Events/total",IFERROR((R196/K196)/(X196/L196),""),""))</x:f>
      </x:c>
      <x:c r="AE196" s="18" t="str">
        <x:v>No</x:v>
      </x:c>
      <x:c r="AF196" s="18" t="str">
        <x:v>No</x:v>
      </x:c>
      <x:c r="AG196" s="18" t="str">
        <x:v>Eligible for intraoperative opioid analysis; no opioid-sparing signal</x:v>
      </x:c>
      <x:c r="AH196" s="18" t="str">
        <x:v>No</x:v>
      </x:c>
      <x:c r="AI196" s="18" t="str">
        <x:v>Direct source result; not a postoperative endpoint</x:v>
      </x:c>
      <x:c r="AJ196" s="18" t="str">
        <x:v>Perioperative characteristics table</x:v>
      </x:c>
      <x:c r="AK196" s="18" t="str">
        <x:v>https://drive.google.com/file/d/1nujlP9A_IMWUfd3HdCD2rOxTc9-I8v92/view?usp=drivesdk</x:v>
      </x:c>
      <x:c r="AL196" s="18" t="str">
        <x:v>SOURCE-VERIFIED</x:v>
      </x:c>
    </x:row>
    <x:row r="197">
      <x:c r="A197" s="18" t="str">
        <x:v>Jiang 2026</x:v>
      </x:c>
      <x:c r="B197" s="18" t="str">
        <x:v>JIANG26_TEAS_vs_SHAM_OPIOID24</x:v>
      </x:c>
      <x:c r="C197" s="18" t="str">
        <x:v>Perioperative TEAS</x:v>
      </x:c>
      <x:c r="D197" s="18" t="str">
        <x:v>Sham/no current</x:v>
      </x:c>
      <x:c r="E197" s="18" t="str">
        <x:v>Opioid consumption</x:v>
      </x:c>
      <x:c r="F197" s="18" t="str">
        <x:v>Exact cumulative postoperative opioid consumption</x:v>
      </x:c>
      <x:c r="G197" s="18" t="str">
        <x:v>0-24 h</x:v>
      </x:c>
      <x:c r="H197" s="18" t="str">
        <x:v>Not reported</x:v>
      </x:c>
      <x:c r="I197" s="18" t="n">
        <x:v>308</x:v>
      </x:c>
      <x:c r="J197" s="18" t="n">
        <x:v>306</x:v>
      </x:c>
      <x:c r="K197" s="18" t="n">
        <x:v>294</x:v>
      </x:c>
      <x:c r="L197" s="18" t="n">
        <x:v>293</x:v>
      </x:c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 t="str">
        <x:v>mg/µg</x:v>
      </x:c>
      <x:c r="Z197" s="18" t="str"/>
      <x:c r="AA197" s="18" t="str">
        <x:v>No</x:v>
      </x:c>
      <x:c r="AB197" s="18" t="str">
        <x:v>No</x:v>
      </x:c>
      <x:c r="AC197" s="18" t="str">
        <x:f>IF(H197="Mean/SD","MD",IF(H197="Events/total","RR",""))</x:f>
      </x:c>
      <x:c r="AD197" s="18" t="str">
        <x:f>IF(H197="Mean/SD",M197-S197,IF(H197="Events/total",IFERROR((R197/K197)/(X197/L197),""),""))</x:f>
      </x:c>
      <x:c r="AE197" s="18" t="str">
        <x:v>No</x:v>
      </x:c>
      <x:c r="AF197" s="18" t="str">
        <x:v>No</x:v>
      </x:c>
      <x:c r="AG197" s="18" t="str">
        <x:v>Not eligible for continuous 24-h opioid/MME meta-analysis from main publication</x:v>
      </x:c>
      <x:c r="AH197" s="18" t="str">
        <x:v>No</x:v>
      </x:c>
      <x:c r="AI197" s="18" t="str">
        <x:v>PCIA use is reported but exact group-specific postoperative dose is not</x:v>
      </x:c>
      <x:c r="AJ197" s="18" t="str">
        <x:v>Postoperative analgesia section</x:v>
      </x:c>
      <x:c r="AK197" s="18" t="str">
        <x:v>https://drive.google.com/file/d/1nujlP9A_IMWUfd3HdCD2rOxTc9-I8v92/view?usp=drivesdk</x:v>
      </x:c>
      <x:c r="AL197" s="18" t="str">
        <x:v>MISSING / NOT REPORTED</x:v>
      </x:c>
    </x:row>
    <x:row r="198">
      <x:c r="A198" s="18" t="str">
        <x:v>Huang 2025</x:v>
      </x:c>
      <x:c r="B198" s="18" t="str">
        <x:v>HUANG25_EA_vs_UC_FLATUS</x:v>
      </x:c>
      <x:c r="C198" s="18" t="str">
        <x:v>Postoperative EA + ERAS</x:v>
      </x:c>
      <x:c r="D198" s="18" t="str">
        <x:v>ERAS/standard care</x:v>
      </x:c>
      <x:c r="E198" s="18" t="str">
        <x:v>GI recovery</x:v>
      </x:c>
      <x:c r="F198" s="18" t="str">
        <x:v>Time to first flatus</x:v>
      </x:c>
      <x:c r="G198" s="18" t="str">
        <x:v>Postoperative</x:v>
      </x:c>
      <x:c r="H198" s="18" t="str">
        <x:v>Mean/SD</x:v>
      </x:c>
      <x:c r="I198" s="18" t="n">
        <x:v>51</x:v>
      </x:c>
      <x:c r="J198" s="18" t="n">
        <x:v>50</x:v>
      </x:c>
      <x:c r="K198" s="18" t="n">
        <x:v>43</x:v>
      </x:c>
      <x:c r="L198" s="18" t="n">
        <x:v>45</x:v>
      </x:c>
      <x:c r="M198" s="18" t="n">
        <x:v>36.4</x:v>
      </x:c>
      <x:c r="N198" s="18" t="n">
        <x:v>8</x:v>
      </x:c>
      <x:c r="O198" s="18"/>
      <x:c r="P198" s="18"/>
      <x:c r="Q198" s="18"/>
      <x:c r="R198" s="18"/>
      <x:c r="S198" s="18" t="n">
        <x:v>42.2</x:v>
      </x:c>
      <x:c r="T198" s="18" t="n">
        <x:v>8.5</x:v>
      </x:c>
      <x:c r="U198" s="18"/>
      <x:c r="V198" s="18"/>
      <x:c r="W198" s="18"/>
      <x:c r="X198" s="18"/>
      <x:c r="Y198" s="18" t="str">
        <x:v>hours</x:v>
      </x:c>
      <x:c r="Z198" s="18" t="str">
        <x:v>&lt;0.001</x:v>
      </x:c>
      <x:c r="AA198" s="18" t="str">
        <x:v>Yes</x:v>
      </x:c>
      <x:c r="AB198" s="18" t="str">
        <x:v>No</x:v>
      </x:c>
      <x:c r="AC198" s="18" t="str">
        <x:f>IF(H198="Mean/SD","MD",IF(H198="Events/total","RR",""))</x:f>
        <x:v>MD</x:v>
      </x:c>
      <x:c r="AD198" s="18" t="n">
        <x:f>IF(H198="Mean/SD",M198-S198,IF(H198="Events/total",IFERROR((R198/K198)/(X198/L198),""),""))</x:f>
        <x:v>-5.800000000000004</x:v>
      </x:c>
      <x:c r="AE198" s="18" t="str">
        <x:v>No</x:v>
      </x:c>
      <x:c r="AF198" s="18" t="str">
        <x:v>No</x:v>
      </x:c>
      <x:c r="AG198" s="18" t="str">
        <x:v>Eligible for GI-recovery meta-analysis</x:v>
      </x:c>
      <x:c r="AH198" s="18" t="str">
        <x:v>No</x:v>
      </x:c>
      <x:c r="AI198" s="18" t="str">
        <x:v>13/101 randomized participants excluded after randomization; no sham procedure and patient blinding is not credible for penetrating postoperative EA</x:v>
      </x:c>
      <x:c r="AJ198" s="18" t="str">
        <x:v>Co-primary outcome / first flatus</x:v>
      </x:c>
      <x:c r="AK198" s="18" t="str">
        <x:v>https://drive.google.com/file/d/1VnJCbIPz8Uy1kXYCTKk7l9Zqj-rTECrY/view?usp=drivesdk</x:v>
      </x:c>
      <x:c r="AL198" s="18" t="str">
        <x:v>SOURCE-VERIFIED / ATTRITION + BLINDING QC</x:v>
      </x:c>
    </x:row>
    <x:row r="199">
      <x:c r="A199" s="18" t="str">
        <x:v>Huang 2025</x:v>
      </x:c>
      <x:c r="B199" s="18" t="str">
        <x:v>HUANG25_EA_vs_UC_DEFEC</x:v>
      </x:c>
      <x:c r="C199" s="18" t="str">
        <x:v>Postoperative EA + ERAS</x:v>
      </x:c>
      <x:c r="D199" s="18" t="str">
        <x:v>ERAS/standard care</x:v>
      </x:c>
      <x:c r="E199" s="18" t="str">
        <x:v>GI recovery</x:v>
      </x:c>
      <x:c r="F199" s="18" t="str">
        <x:v>Time to first defecation</x:v>
      </x:c>
      <x:c r="G199" s="18" t="str">
        <x:v>Postoperative</x:v>
      </x:c>
      <x:c r="H199" s="18" t="str">
        <x:v>Mean/SD</x:v>
      </x:c>
      <x:c r="I199" s="18" t="n">
        <x:v>51</x:v>
      </x:c>
      <x:c r="J199" s="18" t="n">
        <x:v>50</x:v>
      </x:c>
      <x:c r="K199" s="18" t="n">
        <x:v>43</x:v>
      </x:c>
      <x:c r="L199" s="18" t="n">
        <x:v>45</x:v>
      </x:c>
      <x:c r="M199" s="18" t="n">
        <x:v>46</x:v>
      </x:c>
      <x:c r="N199" s="18" t="n">
        <x:v>8</x:v>
      </x:c>
      <x:c r="O199" s="18"/>
      <x:c r="P199" s="18"/>
      <x:c r="Q199" s="18"/>
      <x:c r="R199" s="18"/>
      <x:c r="S199" s="18" t="n">
        <x:v>51.3</x:v>
      </x:c>
      <x:c r="T199" s="18" t="n">
        <x:v>9.4</x:v>
      </x:c>
      <x:c r="U199" s="18"/>
      <x:c r="V199" s="18"/>
      <x:c r="W199" s="18"/>
      <x:c r="X199" s="18"/>
      <x:c r="Y199" s="18" t="str">
        <x:v>hours</x:v>
      </x:c>
      <x:c r="Z199" s="18" t="str">
        <x:v>0.010</x:v>
      </x:c>
      <x:c r="AA199" s="18" t="str">
        <x:v>Yes</x:v>
      </x:c>
      <x:c r="AB199" s="18" t="str">
        <x:v>No</x:v>
      </x:c>
      <x:c r="AC199" s="18" t="str">
        <x:f>IF(H199="Mean/SD","MD",IF(H199="Events/total","RR",""))</x:f>
        <x:v>MD</x:v>
      </x:c>
      <x:c r="AD199" s="18" t="n">
        <x:f>IF(H199="Mean/SD",M199-S199,IF(H199="Events/total",IFERROR((R199/K199)/(X199/L199),""),""))</x:f>
        <x:v>-5.299999999999997</x:v>
      </x:c>
      <x:c r="AE199" s="18" t="str">
        <x:v>No</x:v>
      </x:c>
      <x:c r="AF199" s="18" t="str">
        <x:v>No</x:v>
      </x:c>
      <x:c r="AG199" s="18" t="str">
        <x:v>Eligible for GI-recovery meta-analysis</x:v>
      </x:c>
      <x:c r="AH199" s="18" t="str">
        <x:v>No</x:v>
      </x:c>
      <x:c r="AI199" s="18" t="str">
        <x:v>Same post-randomization exclusion and no-sham concerns apply</x:v>
      </x:c>
      <x:c r="AJ199" s="18" t="str">
        <x:v>Co-primary outcome / first defecation</x:v>
      </x:c>
      <x:c r="AK199" s="18" t="str">
        <x:v>https://drive.google.com/file/d/1VnJCbIPz8Uy1kXYCTKk7l9Zqj-rTECrY/view?usp=drivesdk</x:v>
      </x:c>
      <x:c r="AL199" s="18" t="str">
        <x:v>SOURCE-VERIFIED / ATTRITION + BLINDING QC</x:v>
      </x:c>
    </x:row>
    <x:row r="200">
      <x:c r="A200" s="18" t="str">
        <x:v>Huang 2025</x:v>
      </x:c>
      <x:c r="B200" s="18" t="str">
        <x:v>HUANG25_EA_vs_UC_OPIOID24</x:v>
      </x:c>
      <x:c r="C200" s="18" t="str">
        <x:v>Postoperative EA + ERAS</x:v>
      </x:c>
      <x:c r="D200" s="18" t="str">
        <x:v>ERAS/standard care</x:v>
      </x:c>
      <x:c r="E200" s="18" t="str">
        <x:v>Opioid consumption</x:v>
      </x:c>
      <x:c r="F200" s="18" t="str">
        <x:v>Exact cumulative postoperative opioid consumption</x:v>
      </x:c>
      <x:c r="G200" s="18" t="str">
        <x:v>0-24 h</x:v>
      </x:c>
      <x:c r="H200" s="18" t="str">
        <x:v>Not reported</x:v>
      </x:c>
      <x:c r="I200" s="18" t="n">
        <x:v>51</x:v>
      </x:c>
      <x:c r="J200" s="18" t="n">
        <x:v>50</x:v>
      </x:c>
      <x:c r="K200" s="18" t="n">
        <x:v>43</x:v>
      </x:c>
      <x:c r="L200" s="18" t="n">
        <x:v>45</x:v>
      </x:c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 t="str">
        <x:v>mg/µg</x:v>
      </x:c>
      <x:c r="Z200" s="18" t="str"/>
      <x:c r="AA200" s="18" t="str">
        <x:v>No</x:v>
      </x:c>
      <x:c r="AB200" s="18" t="str">
        <x:v>No</x:v>
      </x:c>
      <x:c r="AC200" s="18" t="str">
        <x:f>IF(H200="Mean/SD","MD",IF(H200="Events/total","RR",""))</x:f>
      </x:c>
      <x:c r="AD200" s="18" t="str">
        <x:f>IF(H200="Mean/SD",M200-S200,IF(H200="Events/total",IFERROR((R200/K200)/(X200/L200),""),""))</x:f>
      </x:c>
      <x:c r="AE200" s="18" t="str">
        <x:v>No</x:v>
      </x:c>
      <x:c r="AF200" s="18" t="str">
        <x:v>No</x:v>
      </x:c>
      <x:c r="AG200" s="18" t="str">
        <x:v>Not eligible for continuous 24-h opioid/MME meta-analysis</x:v>
      </x:c>
      <x:c r="AH200" s="18" t="str">
        <x:v>No</x:v>
      </x:c>
      <x:c r="AI200" s="18" t="str">
        <x:v>PCA drug/composition and consumption are not reported; rescue analgesia was ketorolac, a non-opioid NSAID</x:v>
      </x:c>
      <x:c r="AJ200" s="18" t="str">
        <x:v>Postoperative analgesia section</x:v>
      </x:c>
      <x:c r="AK200" s="18" t="str">
        <x:v>https://drive.google.com/file/d/1VnJCbIPz8Uy1kXYCTKk7l9Zqj-rTECrY/view?usp=drivesdk</x:v>
      </x:c>
      <x:c r="AL200" s="18" t="str">
        <x:v>MISSING / PCA DRUG AND DOSE NR</x:v>
      </x:c>
    </x:row>
    <x:row r="201">
      <x:c r="A201" s="18" t="str">
        <x:v>Huang 2024</x:v>
      </x:c>
      <x:c r="B201" s="18" t="str">
        <x:v>HUANG24_CONTRA_vs_SHAM_VASD1</x:v>
      </x:c>
      <x:c r="C201" s="18" t="str">
        <x:v>Contralateral EA</x:v>
      </x:c>
      <x:c r="D201" s="18" t="str">
        <x:v>Bilateral sham EA</x:v>
      </x:c>
      <x:c r="E201" s="18" t="str">
        <x:v>Pain</x:v>
      </x:c>
      <x:c r="F201" s="18" t="str">
        <x:v>VAS during walking/knee movement</x:v>
      </x:c>
      <x:c r="G201" s="18" t="str">
        <x:v>POD1</x:v>
      </x:c>
      <x:c r="H201" s="18" t="str">
        <x:v>Mean/SD</x:v>
      </x:c>
      <x:c r="I201" s="18" t="n">
        <x:v>38</x:v>
      </x:c>
      <x:c r="J201" s="18" t="n">
        <x:v>38</x:v>
      </x:c>
      <x:c r="K201" s="18" t="n">
        <x:v>38</x:v>
      </x:c>
      <x:c r="L201" s="18" t="n">
        <x:v>38</x:v>
      </x:c>
      <x:c r="M201" s="18" t="n">
        <x:v>53.16</x:v>
      </x:c>
      <x:c r="N201" s="18" t="n">
        <x:v>9.99</x:v>
      </x:c>
      <x:c r="O201" s="18"/>
      <x:c r="P201" s="18"/>
      <x:c r="Q201" s="18"/>
      <x:c r="R201" s="18"/>
      <x:c r="S201" s="18" t="n">
        <x:v>56.71</x:v>
      </x:c>
      <x:c r="T201" s="18" t="n">
        <x:v>9.84</x:v>
      </x:c>
      <x:c r="U201" s="18"/>
      <x:c r="V201" s="18"/>
      <x:c r="W201" s="18"/>
      <x:c r="X201" s="18"/>
      <x:c r="Y201" s="18" t="str">
        <x:v>VAS 0-100</x:v>
      </x:c>
      <x:c r="Z201" s="18" t="str">
        <x:v>Adjusted pairwise not significant on Day 1</x:v>
      </x:c>
      <x:c r="AA201" s="18" t="str">
        <x:v>Yes</x:v>
      </x:c>
      <x:c r="AB201" s="18" t="str">
        <x:v>No</x:v>
      </x:c>
      <x:c r="AC201" s="18" t="str">
        <x:f>IF(H201="Mean/SD","MD",IF(H201="Events/total","RR",""))</x:f>
        <x:v>MD</x:v>
      </x:c>
      <x:c r="AD201" s="18" t="n">
        <x:f>IF(H201="Mean/SD",M201-S201,IF(H201="Events/total",IFERROR((R201/K201)/(X201/L201),""),""))</x:f>
        <x:v>-3.5500000000000043</x:v>
      </x:c>
      <x:c r="AE201" s="18" t="str">
        <x:v>No</x:v>
      </x:c>
      <x:c r="AF201" s="18" t="str">
        <x:v>No</x:v>
      </x:c>
      <x:c r="AG201" s="18" t="str">
        <x:v>Eligible for POD1 movement-pain analysis with shared sham adjustment</x:v>
      </x:c>
      <x:c r="AH201" s="18" t="str">
        <x:v>Yes</x:v>
      </x:c>
      <x:c r="AI201" s="18" t="str">
        <x:v>Three-arm trial; 6 did not complete allocated intervention but authors state ITT and follow-up was obtained for all 114</x:v>
      </x:c>
      <x:c r="AJ201" s="18" t="str">
        <x:v>Primary serial VAS / Day 1</x:v>
      </x:c>
      <x:c r="AK201" s="18" t="str">
        <x:v>https://drive.google.com/file/d/1z-76QoxqmtMRV32wOpem7jAyDnuD6fb8/view?usp=drivesdk</x:v>
      </x:c>
      <x:c r="AL201" s="18" t="str">
        <x:v>SOURCE-VERIFIED / MULTI-ARM QC</x:v>
      </x:c>
    </x:row>
    <x:row r="202">
      <x:c r="A202" s="18" t="str">
        <x:v>Huang 2024</x:v>
      </x:c>
      <x:c r="B202" s="18" t="str">
        <x:v>HUANG24_IPSI_vs_SHAM_VASD1</x:v>
      </x:c>
      <x:c r="C202" s="18" t="str">
        <x:v>Ipsilateral EA</x:v>
      </x:c>
      <x:c r="D202" s="18" t="str">
        <x:v>Bilateral sham EA</x:v>
      </x:c>
      <x:c r="E202" s="18" t="str">
        <x:v>Pain</x:v>
      </x:c>
      <x:c r="F202" s="18" t="str">
        <x:v>VAS during walking/knee movement</x:v>
      </x:c>
      <x:c r="G202" s="18" t="str">
        <x:v>POD1</x:v>
      </x:c>
      <x:c r="H202" s="18" t="str">
        <x:v>Mean/SD</x:v>
      </x:c>
      <x:c r="I202" s="18" t="n">
        <x:v>38</x:v>
      </x:c>
      <x:c r="J202" s="18" t="n">
        <x:v>38</x:v>
      </x:c>
      <x:c r="K202" s="18" t="n">
        <x:v>38</x:v>
      </x:c>
      <x:c r="L202" s="18" t="n">
        <x:v>38</x:v>
      </x:c>
      <x:c r="M202" s="18" t="n">
        <x:v>53.5</x:v>
      </x:c>
      <x:c r="N202" s="18" t="n">
        <x:v>10.79</x:v>
      </x:c>
      <x:c r="O202" s="18"/>
      <x:c r="P202" s="18"/>
      <x:c r="Q202" s="18"/>
      <x:c r="R202" s="18"/>
      <x:c r="S202" s="18" t="n">
        <x:v>56.71</x:v>
      </x:c>
      <x:c r="T202" s="18" t="n">
        <x:v>9.84</x:v>
      </x:c>
      <x:c r="U202" s="18"/>
      <x:c r="V202" s="18"/>
      <x:c r="W202" s="18"/>
      <x:c r="X202" s="18"/>
      <x:c r="Y202" s="18" t="str">
        <x:v>VAS 0-100</x:v>
      </x:c>
      <x:c r="Z202" s="18" t="str">
        <x:v>Adjusted pairwise not significant on Day 1</x:v>
      </x:c>
      <x:c r="AA202" s="18" t="str">
        <x:v>Yes</x:v>
      </x:c>
      <x:c r="AB202" s="18" t="str">
        <x:v>No</x:v>
      </x:c>
      <x:c r="AC202" s="18" t="str">
        <x:f>IF(H202="Mean/SD","MD",IF(H202="Events/total","RR",""))</x:f>
        <x:v>MD</x:v>
      </x:c>
      <x:c r="AD202" s="18" t="n">
        <x:f>IF(H202="Mean/SD",M202-S202,IF(H202="Events/total",IFERROR((R202/K202)/(X202/L202),""),""))</x:f>
        <x:v>-3.210000000000001</x:v>
      </x:c>
      <x:c r="AE202" s="18" t="str">
        <x:v>No</x:v>
      </x:c>
      <x:c r="AF202" s="18" t="str">
        <x:v>No</x:v>
      </x:c>
      <x:c r="AG202" s="18" t="str">
        <x:v>Eligible for POD1 movement-pain analysis with shared sham adjustment</x:v>
      </x:c>
      <x:c r="AH202" s="18" t="str">
        <x:v>Yes</x:v>
      </x:c>
      <x:c r="AI202" s="18" t="str">
        <x:v>Three-arm trial; 6 did not complete allocated intervention but authors state ITT and follow-up was obtained for all 114</x:v>
      </x:c>
      <x:c r="AJ202" s="18" t="str">
        <x:v>Primary serial VAS / Day 1</x:v>
      </x:c>
      <x:c r="AK202" s="18" t="str">
        <x:v>https://drive.google.com/file/d/1z-76QoxqmtMRV32wOpem7jAyDnuD6fb8/view?usp=drivesdk</x:v>
      </x:c>
      <x:c r="AL202" s="18" t="str">
        <x:v>SOURCE-VERIFIED / MULTI-ARM QC</x:v>
      </x:c>
    </x:row>
    <x:row r="203">
      <x:c r="A203" s="18" t="str">
        <x:v>Huang 2024</x:v>
      </x:c>
      <x:c r="B203" s="18" t="str">
        <x:v>HUANG24_CONTRA_vs_SHAM_PCA_D2</x:v>
      </x:c>
      <x:c r="C203" s="18" t="str">
        <x:v>Contralateral EA</x:v>
      </x:c>
      <x:c r="D203" s="18" t="str">
        <x:v>Bilateral sham EA</x:v>
      </x:c>
      <x:c r="E203" s="18" t="str">
        <x:v>Opioid demand</x:v>
      </x:c>
      <x:c r="F203" s="18" t="str">
        <x:v>Additional PCA dose/release</x:v>
      </x:c>
      <x:c r="G203" s="18" t="str">
        <x:v>POD2; 24 h after first EA session, not necessarily 24 h after surgery</x:v>
      </x:c>
      <x:c r="H203" s="18" t="str">
        <x:v>Median/IQR</x:v>
      </x:c>
      <x:c r="I203" s="18" t="n">
        <x:v>38</x:v>
      </x:c>
      <x:c r="J203" s="18" t="n">
        <x:v>38</x:v>
      </x:c>
      <x:c r="K203" s="18" t="n">
        <x:v>38</x:v>
      </x:c>
      <x:c r="L203" s="18" t="n">
        <x:v>38</x:v>
      </x:c>
      <x:c r="M203" s="18"/>
      <x:c r="N203" s="18"/>
      <x:c r="O203" s="18" t="n">
        <x:v>0</x:v>
      </x:c>
      <x:c r="P203" s="18" t="n">
        <x:v>0</x:v>
      </x:c>
      <x:c r="Q203" s="18" t="n">
        <x:v>2</x:v>
      </x:c>
      <x:c r="R203" s="18"/>
      <x:c r="S203" s="18"/>
      <x:c r="T203" s="18"/>
      <x:c r="U203" s="18" t="n">
        <x:v>2</x:v>
      </x:c>
      <x:c r="V203" s="18" t="n">
        <x:v>2</x:v>
      </x:c>
      <x:c r="W203" s="18" t="n">
        <x:v>4</x:v>
      </x:c>
      <x:c r="X203" s="18"/>
      <x:c r="Y203" s="18" t="str">
        <x:v>source unit not reported</x:v>
      </x:c>
      <x:c r="Z203" s="18" t="str">
        <x:v>P&lt;0.001</x:v>
      </x:c>
      <x:c r="AA203" s="18" t="str">
        <x:v>Yes</x:v>
      </x:c>
      <x:c r="AB203" s="18" t="str">
        <x:v>No</x:v>
      </x:c>
      <x:c r="AC203" s="18" t="str">
        <x:f>IF(H203="Mean/SD","MD",IF(H203="Events/total","RR",""))</x:f>
      </x:c>
      <x:c r="AD203" s="18" t="str">
        <x:f>IF(H203="Mean/SD",M203-S203,IF(H203="Events/total",IFERROR((R203/K203)/(X203/L203),""),""))</x:f>
      </x:c>
      <x:c r="AE203" s="18" t="str">
        <x:v>No</x:v>
      </x:c>
      <x:c r="AF203" s="18" t="str">
        <x:v>No</x:v>
      </x:c>
      <x:c r="AG203" s="18" t="str">
        <x:v>Eligible only as supplemental PCA-use proxy; not as opioid mass/MME</x:v>
      </x:c>
      <x:c r="AH203" s="18" t="str">
        <x:v>Yes</x:v>
      </x:c>
      <x:c r="AI203" s="18" t="str">
        <x:v>PCA drug, dose per release and outcome unit are not reported; timing is 24 h after first EA rather than explicitly 24 h after surgery</x:v>
      </x:c>
      <x:c r="AJ203" s="18" t="str">
        <x:v>Primary PCA outcome / POD2</x:v>
      </x:c>
      <x:c r="AK203" s="18" t="str">
        <x:v>https://drive.google.com/file/d/1z-76QoxqmtMRV32wOpem7jAyDnuD6fb8/view?usp=drivesdk</x:v>
      </x:c>
      <x:c r="AL203" s="18" t="str">
        <x:v>SOURCE-VERIFIED / UNIT + TIMEPOINT QC</x:v>
      </x:c>
    </x:row>
    <x:row r="204">
      <x:c r="A204" s="18" t="str">
        <x:v>Huang 2024</x:v>
      </x:c>
      <x:c r="B204" s="18" t="str">
        <x:v>HUANG24_OPIOID24</x:v>
      </x:c>
      <x:c r="C204" s="18" t="str">
        <x:v>True-EA arms</x:v>
      </x:c>
      <x:c r="D204" s="18" t="str">
        <x:v>Bilateral sham EA</x:v>
      </x:c>
      <x:c r="E204" s="18" t="str">
        <x:v>Opioid consumption</x:v>
      </x:c>
      <x:c r="F204" s="18" t="str">
        <x:v>Exact cumulative postoperative opioid dose</x:v>
      </x:c>
      <x:c r="G204" s="18" t="str">
        <x:v>0-24 h</x:v>
      </x:c>
      <x:c r="H204" s="18" t="str">
        <x:v>Not calculable</x:v>
      </x:c>
      <x:c r="I204" s="18" t="n">
        <x:v>38</x:v>
      </x:c>
      <x:c r="J204" s="18" t="n">
        <x:v>38</x:v>
      </x:c>
      <x:c r="K204" s="18" t="n">
        <x:v>38</x:v>
      </x:c>
      <x:c r="L204" s="18" t="n">
        <x:v>38</x:v>
      </x:c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 t="str">
        <x:v>MME</x:v>
      </x:c>
      <x:c r="Z204" s="18" t="str"/>
      <x:c r="AA204" s="18" t="str">
        <x:v>No</x:v>
      </x:c>
      <x:c r="AB204" s="18" t="str">
        <x:v>No</x:v>
      </x:c>
      <x:c r="AC204" s="18" t="str">
        <x:f>IF(H204="Mean/SD","MD",IF(H204="Events/total","RR",""))</x:f>
      </x:c>
      <x:c r="AD204" s="18" t="str">
        <x:f>IF(H204="Mean/SD",M204-S204,IF(H204="Events/total",IFERROR((R204/K204)/(X204/L204),""),""))</x:f>
      </x:c>
      <x:c r="AE204" s="18" t="str">
        <x:v>No</x:v>
      </x:c>
      <x:c r="AF204" s="18" t="str">
        <x:v>No</x:v>
      </x:c>
      <x:c r="AG204" s="18" t="str">
        <x:v>Not eligible for continuous 24-h opioid/MME meta-analysis</x:v>
      </x:c>
      <x:c r="AH204" s="18" t="str">
        <x:v>Yes</x:v>
      </x:c>
      <x:c r="AI204" s="18" t="str">
        <x:v>PCA drug identity/composition, bolus dose and exact 24-h-after-surgery exposure are unavailable</x:v>
      </x:c>
      <x:c r="AJ204" s="18" t="str">
        <x:v>PCA regimen incomplete</x:v>
      </x:c>
      <x:c r="AK204" s="18" t="str">
        <x:v>https://drive.google.com/file/d/1z-76QoxqmtMRV32wOpem7jAyDnuD6fb8/view?usp=drivesdk</x:v>
      </x:c>
      <x:c r="AL204" s="18" t="str">
        <x:v>MISSING / AUTHOR OR SUPPLEMENT DATA NEEDED</x:v>
      </x:c>
    </x:row>
    <x:row r="205">
      <x:c r="A205" s="18" t="str">
        <x:v>Hou 2023</x:v>
      </x:c>
      <x:c r="B205" s="18" t="str">
        <x:v>HOU23_TEAS_vs_SHAM_PONV</x:v>
      </x:c>
      <x:c r="C205" s="18" t="str">
        <x:v>Perioperative TEAS</x:v>
      </x:c>
      <x:c r="D205" s="18" t="str">
        <x:v>Sham/no-current TEAS</x:v>
      </x:c>
      <x:c r="E205" s="18" t="str">
        <x:v>PONV</x:v>
      </x:c>
      <x:c r="F205" s="18" t="str">
        <x:v>PONV incidence</x:v>
      </x:c>
      <x:c r="G205" s="18" t="str">
        <x:v>Postoperative / reported review window</x:v>
      </x:c>
      <x:c r="H205" s="18" t="str">
        <x:v>Events/total</x:v>
      </x:c>
      <x:c r="I205" s="18" t="n">
        <x:v>37</x:v>
      </x:c>
      <x:c r="J205" s="18" t="n">
        <x:v>37</x:v>
      </x:c>
      <x:c r="K205" s="18" t="n">
        <x:v>36</x:v>
      </x:c>
      <x:c r="L205" s="18" t="n">
        <x:v>36</x:v>
      </x:c>
      <x:c r="M205" s="18"/>
      <x:c r="N205" s="18"/>
      <x:c r="O205" s="18"/>
      <x:c r="P205" s="18"/>
      <x:c r="Q205" s="18"/>
      <x:c r="R205" s="18" t="n">
        <x:v>4</x:v>
      </x:c>
      <x:c r="S205" s="18"/>
      <x:c r="T205" s="18"/>
      <x:c r="U205" s="18"/>
      <x:c r="V205" s="18"/>
      <x:c r="W205" s="18"/>
      <x:c r="X205" s="18" t="n">
        <x:v>12</x:v>
      </x:c>
      <x:c r="Y205" s="18" t="str">
        <x:v>participants</x:v>
      </x:c>
      <x:c r="Z205" s="18" t="str">
        <x:v>0.023</x:v>
      </x:c>
      <x:c r="AA205" s="18" t="str">
        <x:v>Yes</x:v>
      </x:c>
      <x:c r="AB205" s="18" t="str">
        <x:v>No</x:v>
      </x:c>
      <x:c r="AC205" s="18" t="str">
        <x:f>IF(H205="Mean/SD","MD",IF(H205="Events/total","RR",""))</x:f>
        <x:v>RR</x:v>
      </x:c>
      <x:c r="AD205" s="18" t="n">
        <x:f>IF(H205="Mean/SD",M205-S205,IF(H205="Events/total",IFERROR((R205/K205)/(X205/L205),""),""))</x:f>
        <x:v>0.3333333333333333</x:v>
      </x:c>
      <x:c r="AE205" s="18" t="str">
        <x:v>No</x:v>
      </x:c>
      <x:c r="AF205" s="18" t="str">
        <x:v>No</x:v>
      </x:c>
      <x:c r="AG205" s="18" t="str">
        <x:v>Eligible for dichotomous PONV analysis</x:v>
      </x:c>
      <x:c r="AH205" s="18" t="str">
        <x:v>No</x:v>
      </x:c>
      <x:c r="AI205" s="18" t="str">
        <x:v>Two withdrawals (one/group) for personal reasons; no blinding-success test despite active 6-15 mA vibration vs no current</x:v>
      </x:c>
      <x:c r="AJ205" s="18" t="str">
        <x:v>PONV result</x:v>
      </x:c>
      <x:c r="AK205" s="18" t="str">
        <x:v>https://drive.google.com/file/d/161WdTRehgwvDHvQ8OkRf8U9TbUmVQgaR/view?usp=drivesdk</x:v>
      </x:c>
      <x:c r="AL205" s="18" t="str">
        <x:v>SOURCE-VERIFIED</x:v>
      </x:c>
    </x:row>
    <x:row r="206">
      <x:c r="A206" s="18" t="str">
        <x:v>Hou 2023</x:v>
      </x:c>
      <x:c r="B206" s="18" t="str">
        <x:v>HOU23_TEAS_vs_SHAM_PAIN_D2</x:v>
      </x:c>
      <x:c r="C206" s="18" t="str">
        <x:v>Perioperative TEAS</x:v>
      </x:c>
      <x:c r="D206" s="18" t="str">
        <x:v>Sham/no-current TEAS</x:v>
      </x:c>
      <x:c r="E206" s="18" t="str">
        <x:v>Pain</x:v>
      </x:c>
      <x:c r="F206" s="18" t="str">
        <x:v>VAS-P pain</x:v>
      </x:c>
      <x:c r="G206" s="18" t="str">
        <x:v>D2 = one day after surgery, not exact clock-time 24 h</x:v>
      </x:c>
      <x:c r="H206" s="18" t="str">
        <x:v>Median/IQR</x:v>
      </x:c>
      <x:c r="I206" s="18" t="n">
        <x:v>37</x:v>
      </x:c>
      <x:c r="J206" s="18" t="n">
        <x:v>37</x:v>
      </x:c>
      <x:c r="K206" s="18" t="n">
        <x:v>36</x:v>
      </x:c>
      <x:c r="L206" s="18" t="n">
        <x:v>36</x:v>
      </x:c>
      <x:c r="M206" s="18"/>
      <x:c r="N206" s="18"/>
      <x:c r="O206" s="18" t="n">
        <x:v>30</x:v>
      </x:c>
      <x:c r="P206" s="18" t="n">
        <x:v>30</x:v>
      </x:c>
      <x:c r="Q206" s="18" t="n">
        <x:v>47.5</x:v>
      </x:c>
      <x:c r="R206" s="18"/>
      <x:c r="S206" s="18"/>
      <x:c r="T206" s="18"/>
      <x:c r="U206" s="18" t="n">
        <x:v>55</x:v>
      </x:c>
      <x:c r="V206" s="18" t="n">
        <x:v>40</x:v>
      </x:c>
      <x:c r="W206" s="18" t="n">
        <x:v>60</x:v>
      </x:c>
      <x:c r="X206" s="18"/>
      <x:c r="Y206" s="18" t="str">
        <x:v>VAS 0-100 mm</x:v>
      </x:c>
      <x:c r="Z206" s="18" t="str">
        <x:v>0.001</x:v>
      </x:c>
      <x:c r="AA206" s="18" t="str">
        <x:v>Yes</x:v>
      </x:c>
      <x:c r="AB206" s="18" t="str">
        <x:v>No</x:v>
      </x:c>
      <x:c r="AC206" s="18" t="str">
        <x:f>IF(H206="Mean/SD","MD",IF(H206="Events/total","RR",""))</x:f>
      </x:c>
      <x:c r="AD206" s="18" t="str">
        <x:f>IF(H206="Mean/SD",M206-S206,IF(H206="Events/total",IFERROR((R206/K206)/(X206/L206),""),""))</x:f>
      </x:c>
      <x:c r="AE206" s="18" t="str">
        <x:v>No</x:v>
      </x:c>
      <x:c r="AF206" s="18" t="str">
        <x:v>No</x:v>
      </x:c>
      <x:c r="AG206" s="18" t="str">
        <x:v>Eligible for POD1/day-after-surgery pain analysis, not strict clock-time 24-h pooling without protocol allowance</x:v>
      </x:c>
      <x:c r="AH206" s="18" t="str">
        <x:v>No</x:v>
      </x:c>
      <x:c r="AI206" s="18" t="str">
        <x:v>D2 is author-defined as one day after surgery; do not silently label it exact 24 h</x:v>
      </x:c>
      <x:c r="AJ206" s="18" t="str">
        <x:v>Postoperative pain / D2</x:v>
      </x:c>
      <x:c r="AK206" s="18" t="str">
        <x:v>https://drive.google.com/file/d/161WdTRehgwvDHvQ8OkRf8U9TbUmVQgaR/view?usp=drivesdk</x:v>
      </x:c>
      <x:c r="AL206" s="18" t="str">
        <x:v>SOURCE-VERIFIED / TIMEPOINT QC</x:v>
      </x:c>
    </x:row>
    <x:row r="207">
      <x:c r="A207" s="18" t="str">
        <x:v>Hou 2023</x:v>
      </x:c>
      <x:c r="B207" s="18" t="str">
        <x:v>HOU23_TEAS_vs_SHAM_RESCUE</x:v>
      </x:c>
      <x:c r="C207" s="18" t="str">
        <x:v>Perioperative TEAS</x:v>
      </x:c>
      <x:c r="D207" s="18" t="str">
        <x:v>Sham/no-current TEAS</x:v>
      </x:c>
      <x:c r="E207" s="18" t="str">
        <x:v>Rescue analgesia</x:v>
      </x:c>
      <x:c r="F207" s="18" t="str">
        <x:v>Any rescue flurbiprofen use</x:v>
      </x:c>
      <x:c r="G207" s="18" t="str">
        <x:v>Postoperative</x:v>
      </x:c>
      <x:c r="H207" s="18" t="str">
        <x:v>Events/total</x:v>
      </x:c>
      <x:c r="I207" s="18" t="n">
        <x:v>37</x:v>
      </x:c>
      <x:c r="J207" s="18" t="n">
        <x:v>37</x:v>
      </x:c>
      <x:c r="K207" s="18" t="n">
        <x:v>36</x:v>
      </x:c>
      <x:c r="L207" s="18" t="n">
        <x:v>36</x:v>
      </x:c>
      <x:c r="M207" s="18"/>
      <x:c r="N207" s="18"/>
      <x:c r="O207" s="18"/>
      <x:c r="P207" s="18"/>
      <x:c r="Q207" s="18"/>
      <x:c r="R207" s="18" t="n">
        <x:v>15</x:v>
      </x:c>
      <x:c r="S207" s="18"/>
      <x:c r="T207" s="18"/>
      <x:c r="U207" s="18"/>
      <x:c r="V207" s="18"/>
      <x:c r="W207" s="18"/>
      <x:c r="X207" s="18" t="n">
        <x:v>28</x:v>
      </x:c>
      <x:c r="Y207" s="18" t="str">
        <x:v>participants</x:v>
      </x:c>
      <x:c r="Z207" s="18" t="str">
        <x:v>0.002</x:v>
      </x:c>
      <x:c r="AA207" s="18" t="str">
        <x:v>Yes</x:v>
      </x:c>
      <x:c r="AB207" s="18" t="str">
        <x:v>No</x:v>
      </x:c>
      <x:c r="AC207" s="18" t="str">
        <x:f>IF(H207="Mean/SD","MD",IF(H207="Events/total","RR",""))</x:f>
        <x:v>RR</x:v>
      </x:c>
      <x:c r="AD207" s="18" t="n">
        <x:f>IF(H207="Mean/SD",M207-S207,IF(H207="Events/total",IFERROR((R207/K207)/(X207/L207),""),""))</x:f>
        <x:v>0.5357142857142857</x:v>
      </x:c>
      <x:c r="AE207" s="18" t="str">
        <x:v>No</x:v>
      </x:c>
      <x:c r="AF207" s="18" t="str">
        <x:v>No</x:v>
      </x:c>
      <x:c r="AG207" s="18" t="str">
        <x:v>Eligible for non-opioid rescue-analgesia analysis only</x:v>
      </x:c>
      <x:c r="AH207" s="18" t="str">
        <x:v>No</x:v>
      </x:c>
      <x:c r="AI207" s="18" t="str">
        <x:v>Flurbiprofen is an NSAID, not an opioid</x:v>
      </x:c>
      <x:c r="AJ207" s="18" t="str">
        <x:v>Rescue analgesia</x:v>
      </x:c>
      <x:c r="AK207" s="18" t="str">
        <x:v>https://drive.google.com/file/d/161WdTRehgwvDHvQ8OkRf8U9TbUmVQgaR/view?usp=drivesdk</x:v>
      </x:c>
      <x:c r="AL207" s="18" t="str">
        <x:v>SOURCE-VERIFIED</x:v>
      </x:c>
    </x:row>
    <x:row r="208">
      <x:c r="A208" s="18" t="str">
        <x:v>Hou 2023</x:v>
      </x:c>
      <x:c r="B208" s="18" t="str">
        <x:v>HOU23_TEAS_vs_SHAM_OPIOID24</x:v>
      </x:c>
      <x:c r="C208" s="18" t="str">
        <x:v>Perioperative TEAS</x:v>
      </x:c>
      <x:c r="D208" s="18" t="str">
        <x:v>Sham/no-current TEAS</x:v>
      </x:c>
      <x:c r="E208" s="18" t="str">
        <x:v>Opioid consumption</x:v>
      </x:c>
      <x:c r="F208" s="18" t="str">
        <x:v>Actual total postoperative sufentanil consumption</x:v>
      </x:c>
      <x:c r="G208" s="18" t="str">
        <x:v>0-24 h</x:v>
      </x:c>
      <x:c r="H208" s="18" t="str">
        <x:v>Not reported</x:v>
      </x:c>
      <x:c r="I208" s="18" t="n">
        <x:v>37</x:v>
      </x:c>
      <x:c r="J208" s="18" t="n">
        <x:v>37</x:v>
      </x:c>
      <x:c r="K208" s="18" t="n">
        <x:v>36</x:v>
      </x:c>
      <x:c r="L208" s="18" t="n">
        <x:v>36</x:v>
      </x:c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 t="str">
        <x:v>µg sufentanil</x:v>
      </x:c>
      <x:c r="Z208" s="18" t="str"/>
      <x:c r="AA208" s="18" t="str">
        <x:v>No</x:v>
      </x:c>
      <x:c r="AB208" s="18" t="str">
        <x:v>No</x:v>
      </x:c>
      <x:c r="AC208" s="18" t="str">
        <x:f>IF(H208="Mean/SD","MD",IF(H208="Events/total","RR",""))</x:f>
      </x:c>
      <x:c r="AD208" s="18" t="str">
        <x:f>IF(H208="Mean/SD",M208-S208,IF(H208="Events/total",IFERROR((R208/K208)/(X208/L208),""),""))</x:f>
      </x:c>
      <x:c r="AE208" s="18" t="str">
        <x:v>Yes</x:v>
      </x:c>
      <x:c r="AF208" s="18" t="str">
        <x:v>No</x:v>
      </x:c>
      <x:c r="AG208" s="18" t="str">
        <x:v>Not eligible for continuous 24-h opioid/MME meta-analysis</x:v>
      </x:c>
      <x:c r="AH208" s="18" t="str">
        <x:v>No</x:v>
      </x:c>
      <x:c r="AI208" s="18" t="str">
        <x:v>PCIA concentration and basal/bolus settings are known, but actual bolus use/total delivered sufentanil are not reported; fixed basal exposure is not total consumption</x:v>
      </x:c>
      <x:c r="AJ208" s="18" t="str">
        <x:v>PCIA regimen / consumption absent</x:v>
      </x:c>
      <x:c r="AK208" s="18" t="str">
        <x:v>https://drive.google.com/file/d/161WdTRehgwvDHvQ8OkRf8U9TbUmVQgaR/view?usp=drivesdk</x:v>
      </x:c>
      <x:c r="AL208" s="18" t="str">
        <x:v>MISSING / ACTUAL TOTAL NOT REPORTED</x:v>
      </x:c>
    </x:row>
    <x:row r="209">
      <x:c r="A209" s="18" t="str">
        <x:v>Huang 2017</x:v>
      </x:c>
      <x:c r="B209" s="18" t="str">
        <x:v>HUANG17_2100_vs_CTRL_REMI</x:v>
      </x:c>
      <x:c r="C209" s="18" t="str">
        <x:v>2/100-Hz TEAS</x:v>
      </x:c>
      <x:c r="D209" s="18" t="str">
        <x:v>Placebo TEAS/no current</x:v>
      </x:c>
      <x:c r="E209" s="18" t="str">
        <x:v>Intraoperative opioid</x:v>
      </x:c>
      <x:c r="F209" s="18" t="str">
        <x:v>Total opioid as remifentanil-equivalent rate</x:v>
      </x:c>
      <x:c r="G209" s="18" t="str">
        <x:v>Intraoperative</x:v>
      </x:c>
      <x:c r="H209" s="18" t="str">
        <x:v>Mean/SD</x:v>
      </x:c>
      <x:c r="I209" s="18" t="n">
        <x:v>20</x:v>
      </x:c>
      <x:c r="J209" s="18" t="n">
        <x:v>20</x:v>
      </x:c>
      <x:c r="K209" s="18" t="n">
        <x:v>20</x:v>
      </x:c>
      <x:c r="L209" s="18" t="n">
        <x:v>20</x:v>
      </x:c>
      <x:c r="M209" s="18" t="n">
        <x:v>0.1128</x:v>
      </x:c>
      <x:c r="N209" s="18" t="n">
        <x:v>0.034</x:v>
      </x:c>
      <x:c r="O209" s="18"/>
      <x:c r="P209" s="18"/>
      <x:c r="Q209" s="18"/>
      <x:c r="R209" s="18"/>
      <x:c r="S209" s="18" t="n">
        <x:v>0.1617</x:v>
      </x:c>
      <x:c r="T209" s="18" t="n">
        <x:v>0.037</x:v>
      </x:c>
      <x:c r="U209" s="18"/>
      <x:c r="V209" s="18"/>
      <x:c r="W209" s="18"/>
      <x:c r="X209" s="18"/>
      <x:c r="Y209" s="18" t="str">
        <x:v>µg/kg/min remifentanil-equivalent</x:v>
      </x:c>
      <x:c r="Z209" s="18" t="str">
        <x:v>2/100 vs control P≤0.001</x:v>
      </x:c>
      <x:c r="AA209" s="18" t="str">
        <x:v>Yes</x:v>
      </x:c>
      <x:c r="AB209" s="18" t="str">
        <x:v>No</x:v>
      </x:c>
      <x:c r="AC209" s="18" t="str">
        <x:f>IF(H209="Mean/SD","MD",IF(H209="Events/total","RR",""))</x:f>
        <x:v>MD</x:v>
      </x:c>
      <x:c r="AD209" s="18" t="n">
        <x:f>IF(H209="Mean/SD",M209-S209,IF(H209="Events/total",IFERROR((R209/K209)/(X209/L209),""),""))</x:f>
        <x:v>-0.04890000000000001</x:v>
      </x:c>
      <x:c r="AE209" s="18" t="str">
        <x:v>No</x:v>
      </x:c>
      <x:c r="AF209" s="18" t="str">
        <x:v>No</x:v>
      </x:c>
      <x:c r="AG209" s="18" t="str">
        <x:v>Eligible for intraoperative opioid analysis; shared control requires multi-arm handling</x:v>
      </x:c>
      <x:c r="AH209" s="18" t="str">
        <x:v>Yes</x:v>
      </x:c>
      <x:c r="AI209" s="18" t="str">
        <x:v>Four-arm frequency trial; preserve each active frequency separately</x:v>
      </x:c>
      <x:c r="AJ209" s="18" t="str">
        <x:v>Table 2 / intraoperative anesthetic consumption</x:v>
      </x:c>
      <x:c r="AK209" s="18" t="str">
        <x:v>https://drive.google.com/file/d/1RJGi1PYvw75qVW9UK8CBtJPH4G035ASs/view?usp=drivesdk</x:v>
      </x:c>
      <x:c r="AL209" s="18" t="str">
        <x:v>SOURCE-VERIFIED</x:v>
      </x:c>
    </x:row>
    <x:row r="210">
      <x:c r="A210" s="18" t="str">
        <x:v>Huang 2017</x:v>
      </x:c>
      <x:c r="B210" s="18" t="str">
        <x:v>HUANG17_2HZ_vs_CTRL_REMI</x:v>
      </x:c>
      <x:c r="C210" s="18" t="str">
        <x:v>2-Hz TEAS</x:v>
      </x:c>
      <x:c r="D210" s="18" t="str">
        <x:v>Placebo TEAS/no current</x:v>
      </x:c>
      <x:c r="E210" s="18" t="str">
        <x:v>Intraoperative opioid</x:v>
      </x:c>
      <x:c r="F210" s="18" t="str">
        <x:v>Total opioid as remifentanil-equivalent rate</x:v>
      </x:c>
      <x:c r="G210" s="18" t="str">
        <x:v>Intraoperative</x:v>
      </x:c>
      <x:c r="H210" s="18" t="str">
        <x:v>Mean/SD</x:v>
      </x:c>
      <x:c r="I210" s="18" t="n">
        <x:v>20</x:v>
      </x:c>
      <x:c r="J210" s="18" t="n">
        <x:v>20</x:v>
      </x:c>
      <x:c r="K210" s="18" t="n">
        <x:v>20</x:v>
      </x:c>
      <x:c r="L210" s="18" t="n">
        <x:v>20</x:v>
      </x:c>
      <x:c r="M210" s="18" t="n">
        <x:v>0.1718</x:v>
      </x:c>
      <x:c r="N210" s="18" t="n">
        <x:v>0.066</x:v>
      </x:c>
      <x:c r="O210" s="18"/>
      <x:c r="P210" s="18"/>
      <x:c r="Q210" s="18"/>
      <x:c r="R210" s="18"/>
      <x:c r="S210" s="18" t="n">
        <x:v>0.1617</x:v>
      </x:c>
      <x:c r="T210" s="18" t="n">
        <x:v>0.037</x:v>
      </x:c>
      <x:c r="U210" s="18"/>
      <x:c r="V210" s="18"/>
      <x:c r="W210" s="18"/>
      <x:c r="X210" s="18"/>
      <x:c r="Y210" s="18" t="str">
        <x:v>µg/kg/min remifentanil-equivalent</x:v>
      </x:c>
      <x:c r="Z210" s="18" t="str">
        <x:v>NR pairwise vs control</x:v>
      </x:c>
      <x:c r="AA210" s="18" t="str">
        <x:v>Yes</x:v>
      </x:c>
      <x:c r="AB210" s="18" t="str">
        <x:v>No</x:v>
      </x:c>
      <x:c r="AC210" s="18" t="str">
        <x:f>IF(H210="Mean/SD","MD",IF(H210="Events/total","RR",""))</x:f>
        <x:v>MD</x:v>
      </x:c>
      <x:c r="AD210" s="18" t="n">
        <x:f>IF(H210="Mean/SD",M210-S210,IF(H210="Events/total",IFERROR((R210/K210)/(X210/L210),""),""))</x:f>
        <x:v>0.010099999999999998</x:v>
      </x:c>
      <x:c r="AE210" s="18" t="str">
        <x:v>No</x:v>
      </x:c>
      <x:c r="AF210" s="18" t="str">
        <x:v>No</x:v>
      </x:c>
      <x:c r="AG210" s="18" t="str">
        <x:v>Eligible for intraoperative opioid analysis; shared control requires multi-arm handling</x:v>
      </x:c>
      <x:c r="AH210" s="18" t="str">
        <x:v>Yes</x:v>
      </x:c>
      <x:c r="AI210" s="18" t="str">
        <x:v>Four-arm frequency trial; preserve each active frequency separately</x:v>
      </x:c>
      <x:c r="AJ210" s="18" t="str">
        <x:v>Table 2 / intraoperative anesthetic consumption</x:v>
      </x:c>
      <x:c r="AK210" s="18" t="str">
        <x:v>https://drive.google.com/file/d/1RJGi1PYvw75qVW9UK8CBtJPH4G035ASs/view?usp=drivesdk</x:v>
      </x:c>
      <x:c r="AL210" s="18" t="str">
        <x:v>SOURCE-VERIFIED</x:v>
      </x:c>
    </x:row>
    <x:row r="211">
      <x:c r="A211" s="18" t="str">
        <x:v>Huang 2017</x:v>
      </x:c>
      <x:c r="B211" s="18" t="str">
        <x:v>HUANG17_100HZ_vs_CTRL_REMI</x:v>
      </x:c>
      <x:c r="C211" s="18" t="str">
        <x:v>100-Hz TEAS</x:v>
      </x:c>
      <x:c r="D211" s="18" t="str">
        <x:v>Placebo TEAS/no current</x:v>
      </x:c>
      <x:c r="E211" s="18" t="str">
        <x:v>Intraoperative opioid</x:v>
      </x:c>
      <x:c r="F211" s="18" t="str">
        <x:v>Total opioid as remifentanil-equivalent rate</x:v>
      </x:c>
      <x:c r="G211" s="18" t="str">
        <x:v>Intraoperative</x:v>
      </x:c>
      <x:c r="H211" s="18" t="str">
        <x:v>Mean/SD</x:v>
      </x:c>
      <x:c r="I211" s="18" t="n">
        <x:v>20</x:v>
      </x:c>
      <x:c r="J211" s="18" t="n">
        <x:v>20</x:v>
      </x:c>
      <x:c r="K211" s="18" t="n">
        <x:v>20</x:v>
      </x:c>
      <x:c r="L211" s="18" t="n">
        <x:v>20</x:v>
      </x:c>
      <x:c r="M211" s="18" t="n">
        <x:v>0.1451</x:v>
      </x:c>
      <x:c r="N211" s="18" t="n">
        <x:v>0.036</x:v>
      </x:c>
      <x:c r="O211" s="18"/>
      <x:c r="P211" s="18"/>
      <x:c r="Q211" s="18"/>
      <x:c r="R211" s="18"/>
      <x:c r="S211" s="18" t="n">
        <x:v>0.1617</x:v>
      </x:c>
      <x:c r="T211" s="18" t="n">
        <x:v>0.037</x:v>
      </x:c>
      <x:c r="U211" s="18"/>
      <x:c r="V211" s="18"/>
      <x:c r="W211" s="18"/>
      <x:c r="X211" s="18"/>
      <x:c r="Y211" s="18" t="str">
        <x:v>µg/kg/min remifentanil-equivalent</x:v>
      </x:c>
      <x:c r="Z211" s="18" t="str">
        <x:v>NR pairwise vs control</x:v>
      </x:c>
      <x:c r="AA211" s="18" t="str">
        <x:v>Yes</x:v>
      </x:c>
      <x:c r="AB211" s="18" t="str">
        <x:v>No</x:v>
      </x:c>
      <x:c r="AC211" s="18" t="str">
        <x:f>IF(H211="Mean/SD","MD",IF(H211="Events/total","RR",""))</x:f>
        <x:v>MD</x:v>
      </x:c>
      <x:c r="AD211" s="18" t="n">
        <x:f>IF(H211="Mean/SD",M211-S211,IF(H211="Events/total",IFERROR((R211/K211)/(X211/L211),""),""))</x:f>
        <x:v>-0.016600000000000004</x:v>
      </x:c>
      <x:c r="AE211" s="18" t="str">
        <x:v>No</x:v>
      </x:c>
      <x:c r="AF211" s="18" t="str">
        <x:v>No</x:v>
      </x:c>
      <x:c r="AG211" s="18" t="str">
        <x:v>Eligible for intraoperative opioid analysis; shared control requires multi-arm handling</x:v>
      </x:c>
      <x:c r="AH211" s="18" t="str">
        <x:v>Yes</x:v>
      </x:c>
      <x:c r="AI211" s="18" t="str">
        <x:v>Four-arm frequency trial; preserve each active frequency separately</x:v>
      </x:c>
      <x:c r="AJ211" s="18" t="str">
        <x:v>Table 2 / intraoperative anesthetic consumption</x:v>
      </x:c>
      <x:c r="AK211" s="18" t="str">
        <x:v>https://drive.google.com/file/d/1RJGi1PYvw75qVW9UK8CBtJPH4G035ASs/view?usp=drivesdk</x:v>
      </x:c>
      <x:c r="AL211" s="18" t="str">
        <x:v>SOURCE-VERIFIED</x:v>
      </x:c>
    </x:row>
    <x:row r="212">
      <x:c r="A212" s="18" t="str">
        <x:v>Huang 2017</x:v>
      </x:c>
      <x:c r="B212" s="18" t="str">
        <x:v>HUANG17_POSTOP_SUF_AGG</x:v>
      </x:c>
      <x:c r="C212" s="18" t="str">
        <x:v>2/100-Hz TEAS</x:v>
      </x:c>
      <x:c r="D212" s="18" t="str">
        <x:v>Placebo TEAS/no current</x:v>
      </x:c>
      <x:c r="E212" s="18" t="str">
        <x:v>Opioid consumption</x:v>
      </x:c>
      <x:c r="F212" s="18" t="str">
        <x:v>Published postoperative sufentanil aggregate</x:v>
      </x:c>
      <x:c r="G212" s="18" t="str">
        <x:v>Observation window unclear</x:v>
      </x:c>
      <x:c r="H212" s="18" t="str">
        <x:v>Mean/SD</x:v>
      </x:c>
      <x:c r="I212" s="18" t="n">
        <x:v>20</x:v>
      </x:c>
      <x:c r="J212" s="18" t="n">
        <x:v>20</x:v>
      </x:c>
      <x:c r="K212" s="18" t="n">
        <x:v>20</x:v>
      </x:c>
      <x:c r="L212" s="18" t="n">
        <x:v>20</x:v>
      </x:c>
      <x:c r="M212" s="18" t="n">
        <x:v>1.67</x:v>
      </x:c>
      <x:c r="N212" s="18" t="n">
        <x:v>0.59</x:v>
      </x:c>
      <x:c r="O212" s="18"/>
      <x:c r="P212" s="18"/>
      <x:c r="Q212" s="18"/>
      <x:c r="R212" s="18"/>
      <x:c r="S212" s="18" t="n">
        <x:v>1.32</x:v>
      </x:c>
      <x:c r="T212" s="18" t="n">
        <x:v>0.48</x:v>
      </x:c>
      <x:c r="U212" s="18"/>
      <x:c r="V212" s="18"/>
      <x:c r="W212" s="18"/>
      <x:c r="X212" s="18"/>
      <x:c r="Y212" s="18" t="str">
        <x:v>µg/kg sufentanil</x:v>
      </x:c>
      <x:c r="Z212" s="18" t="str">
        <x:v>NS</x:v>
      </x:c>
      <x:c r="AA212" s="18" t="str">
        <x:v>Yes</x:v>
      </x:c>
      <x:c r="AB212" s="18" t="str">
        <x:v>No</x:v>
      </x:c>
      <x:c r="AC212" s="18" t="str">
        <x:f>IF(H212="Mean/SD","MD",IF(H212="Events/total","RR",""))</x:f>
        <x:v>MD</x:v>
      </x:c>
      <x:c r="AD212" s="18" t="n">
        <x:f>IF(H212="Mean/SD",M212-S212,IF(H212="Events/total",IFERROR((R212/K212)/(X212/L212),""),""))</x:f>
        <x:v>0.34999999999999987</x:v>
      </x:c>
      <x:c r="AE212" s="18" t="str">
        <x:v>No</x:v>
      </x:c>
      <x:c r="AF212" s="18" t="str">
        <x:v>No</x:v>
      </x:c>
      <x:c r="AG212" s="18" t="str">
        <x:v>Not eligible for strict 24-h opioid analysis because the aggregate time window is undefined</x:v>
      </x:c>
      <x:c r="AH212" s="18" t="str">
        <x:v>Yes</x:v>
      </x:c>
      <x:c r="AI212" s="18" t="str">
        <x:v>Methods mention 6/12/24/48-h assessments but Table 5 gives only one aggregate dose per group</x:v>
      </x:c>
      <x:c r="AJ212" s="18" t="str">
        <x:v>Table 5 / postoperative analgesic consumption</x:v>
      </x:c>
      <x:c r="AK212" s="18" t="str">
        <x:v>https://drive.google.com/file/d/1RJGi1PYvw75qVW9UK8CBtJPH4G035ASs/view?usp=drivesdk</x:v>
      </x:c>
      <x:c r="AL212" s="18" t="str">
        <x:v>SOURCE-VERIFIED / WINDOW UNRESOLVED</x:v>
      </x:c>
    </x:row>
    <x:row r="213">
      <x:c r="A213" s="18" t="str">
        <x:v>Huang 2017</x:v>
      </x:c>
      <x:c r="B213" s="18" t="str">
        <x:v>HUANG17_OPIOID24</x:v>
      </x:c>
      <x:c r="C213" s="18" t="str">
        <x:v>Active TEAS frequency arms</x:v>
      </x:c>
      <x:c r="D213" s="18" t="str">
        <x:v>Placebo TEAS/no current</x:v>
      </x:c>
      <x:c r="E213" s="18" t="str">
        <x:v>Opioid consumption</x:v>
      </x:c>
      <x:c r="F213" s="18" t="str">
        <x:v>Exact cumulative postoperative sufentanil consumption</x:v>
      </x:c>
      <x:c r="G213" s="18" t="str">
        <x:v>0-24 h</x:v>
      </x:c>
      <x:c r="H213" s="18" t="str">
        <x:v>Not reported</x:v>
      </x:c>
      <x:c r="I213" s="18" t="n">
        <x:v>20</x:v>
      </x:c>
      <x:c r="J213" s="18" t="n">
        <x:v>20</x:v>
      </x:c>
      <x:c r="K213" s="18" t="n">
        <x:v>20</x:v>
      </x:c>
      <x:c r="L213" s="18" t="n">
        <x:v>20</x:v>
      </x:c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 t="str">
        <x:v>µg/kg sufentanil</x:v>
      </x:c>
      <x:c r="Z213" s="18" t="str"/>
      <x:c r="AA213" s="18" t="str">
        <x:v>No</x:v>
      </x:c>
      <x:c r="AB213" s="18" t="str">
        <x:v>No</x:v>
      </x:c>
      <x:c r="AC213" s="18" t="str">
        <x:f>IF(H213="Mean/SD","MD",IF(H213="Events/total","RR",""))</x:f>
      </x:c>
      <x:c r="AD213" s="18" t="str">
        <x:f>IF(H213="Mean/SD",M213-S213,IF(H213="Events/total",IFERROR((R213/K213)/(X213/L213),""),""))</x:f>
      </x:c>
      <x:c r="AE213" s="18" t="str">
        <x:v>No</x:v>
      </x:c>
      <x:c r="AF213" s="18" t="str">
        <x:v>No</x:v>
      </x:c>
      <x:c r="AG213" s="18" t="str">
        <x:v>Not eligible for continuous 24-h opioid/MME meta-analysis</x:v>
      </x:c>
      <x:c r="AH213" s="18" t="str">
        <x:v>Yes</x:v>
      </x:c>
      <x:c r="AI213" s="18" t="str">
        <x:v>Exact 24-h group values and PCA demand/delivery counts are not published</x:v>
      </x:c>
      <x:c r="AJ213" s="18" t="str">
        <x:v>Exact 24-h postoperative endpoint absent</x:v>
      </x:c>
      <x:c r="AK213" s="18" t="str">
        <x:v>https://drive.google.com/file/d/1RJGi1PYvw75qVW9UK8CBtJPH4G035ASs/view?usp=drivesdk</x:v>
      </x:c>
      <x:c r="AL213" s="18" t="str">
        <x:v>MISSING / AUTHOR DATA NEEDED</x:v>
      </x:c>
    </x:row>
    <x:row r="214">
      <x:c r="A214" s="18" t="str">
        <x:v>He 2026 (hepatectomy/JIS)</x:v>
      </x:c>
      <x:c r="B214" s="18" t="str">
        <x:v>HEJIS26_TEAS_vs_CTRL_MME24</x:v>
      </x:c>
      <x:c r="C214" s="18" t="str">
        <x:v>Intraoperative PC6 TEAS</x:v>
      </x:c>
      <x:c r="D214" s="18" t="str">
        <x:v>No-current PC6 control</x:v>
      </x:c>
      <x:c r="E214" s="18" t="str">
        <x:v>Opioid consumption</x:v>
      </x:c>
      <x:c r="F214" s="18" t="str">
        <x:v>Total postoperative opioid consumption in morphine equivalents</x:v>
      </x:c>
      <x:c r="G214" s="18" t="str">
        <x:v>0-24 h</x:v>
      </x:c>
      <x:c r="H214" s="18" t="str">
        <x:v>Mean/SD</x:v>
      </x:c>
      <x:c r="I214" s="18" t="n">
        <x:v>81</x:v>
      </x:c>
      <x:c r="J214" s="18" t="n">
        <x:v>80</x:v>
      </x:c>
      <x:c r="K214" s="18" t="n">
        <x:v>80</x:v>
      </x:c>
      <x:c r="L214" s="18" t="n">
        <x:v>79</x:v>
      </x:c>
      <x:c r="M214" s="18" t="n">
        <x:v>20</x:v>
      </x:c>
      <x:c r="N214" s="18" t="n">
        <x:v>2.5</x:v>
      </x:c>
      <x:c r="O214" s="18"/>
      <x:c r="P214" s="18"/>
      <x:c r="Q214" s="18"/>
      <x:c r="R214" s="18"/>
      <x:c r="S214" s="18" t="n">
        <x:v>20.6</x:v>
      </x:c>
      <x:c r="T214" s="18" t="n">
        <x:v>4.5</x:v>
      </x:c>
      <x:c r="U214" s="18"/>
      <x:c r="V214" s="18"/>
      <x:c r="W214" s="18"/>
      <x:c r="X214" s="18"/>
      <x:c r="Y214" s="18" t="str">
        <x:v>mg MME</x:v>
      </x:c>
      <x:c r="Z214" s="18" t="str">
        <x:v>0.30</x:v>
      </x:c>
      <x:c r="AA214" s="18" t="str">
        <x:v>Yes</x:v>
      </x:c>
      <x:c r="AB214" s="18" t="str">
        <x:v>No</x:v>
      </x:c>
      <x:c r="AC214" s="18" t="str">
        <x:f>IF(H214="Mean/SD","MD",IF(H214="Events/total","RR",""))</x:f>
        <x:v>MD</x:v>
      </x:c>
      <x:c r="AD214" s="18" t="n">
        <x:f>IF(H214="Mean/SD",M214-S214,IF(H214="Events/total",IFERROR((R214/K214)/(X214/L214),""),""))</x:f>
        <x:v>-0.6000000000000014</x:v>
      </x:c>
      <x:c r="AE214" s="18" t="str">
        <x:v>Yes</x:v>
      </x:c>
      <x:c r="AF214" s="18" t="str">
        <x:v>Yes</x:v>
      </x:c>
      <x:c r="AG214" s="18" t="str">
        <x:v>Primary continuous 24-h opioid endpoint</x:v>
      </x:c>
      <x:c r="AH214" s="18" t="str">
        <x:v>No</x:v>
      </x:c>
      <x:c r="AI214" s="18" t="str">
        <x:v>Supplemental eTable 1 directly reports MME; mITT excludes one canceled surgery and one consent withdrawal after randomization</x:v>
      </x:c>
      <x:c r="AJ214" s="18" t="str">
        <x:v>Supplemental Material 2, eTable 1</x:v>
      </x:c>
      <x:c r="AK214" s="18" t="str">
        <x:v>https://drive.google.com/file/d/1VgOxIOrGe7ZVevkKEVP7G-0V1DXPU0Gf/view?usp=drivesdk</x:v>
      </x:c>
      <x:c r="AL214" s="18" t="str">
        <x:v>SOURCE-VERIFIED</x:v>
      </x:c>
    </x:row>
    <x:row r="215">
      <x:c r="A215" s="18" t="str">
        <x:v>He 2026 (hepatectomy/JIS)</x:v>
      </x:c>
      <x:c r="B215" s="18" t="str">
        <x:v>HEJIS26_TEAS_vs_CTRL_PONV24</x:v>
      </x:c>
      <x:c r="C215" s="18" t="str">
        <x:v>Intraoperative PC6 TEAS</x:v>
      </x:c>
      <x:c r="D215" s="18" t="str">
        <x:v>No-current PC6 control</x:v>
      </x:c>
      <x:c r="E215" s="18" t="str">
        <x:v>PONV</x:v>
      </x:c>
      <x:c r="F215" s="18" t="str">
        <x:v>PONV incidence</x:v>
      </x:c>
      <x:c r="G215" s="18" t="str">
        <x:v>0-24 h</x:v>
      </x:c>
      <x:c r="H215" s="18" t="str">
        <x:v>Events/total</x:v>
      </x:c>
      <x:c r="I215" s="18" t="n">
        <x:v>81</x:v>
      </x:c>
      <x:c r="J215" s="18" t="n">
        <x:v>80</x:v>
      </x:c>
      <x:c r="K215" s="18" t="n">
        <x:v>80</x:v>
      </x:c>
      <x:c r="L215" s="18" t="n">
        <x:v>79</x:v>
      </x:c>
      <x:c r="M215" s="18"/>
      <x:c r="N215" s="18"/>
      <x:c r="O215" s="18"/>
      <x:c r="P215" s="18"/>
      <x:c r="Q215" s="18"/>
      <x:c r="R215" s="18" t="n">
        <x:v>19</x:v>
      </x:c>
      <x:c r="S215" s="18"/>
      <x:c r="T215" s="18"/>
      <x:c r="U215" s="18"/>
      <x:c r="V215" s="18"/>
      <x:c r="W215" s="18"/>
      <x:c r="X215" s="18" t="n">
        <x:v>21</x:v>
      </x:c>
      <x:c r="Y215" s="18" t="str">
        <x:v>participants</x:v>
      </x:c>
      <x:c r="Z215" s="18" t="str">
        <x:v>0.68</x:v>
      </x:c>
      <x:c r="AA215" s="18" t="str">
        <x:v>Yes</x:v>
      </x:c>
      <x:c r="AB215" s="18" t="str">
        <x:v>No</x:v>
      </x:c>
      <x:c r="AC215" s="18" t="str">
        <x:f>IF(H215="Mean/SD","MD",IF(H215="Events/total","RR",""))</x:f>
        <x:v>RR</x:v>
      </x:c>
      <x:c r="AD215" s="18" t="n">
        <x:f>IF(H215="Mean/SD",M215-S215,IF(H215="Events/total",IFERROR((R215/K215)/(X215/L215),""),""))</x:f>
        <x:v>0.893452380952381</x:v>
      </x:c>
      <x:c r="AE215" s="18" t="str">
        <x:v>No</x:v>
      </x:c>
      <x:c r="AF215" s="18" t="str">
        <x:v>No</x:v>
      </x:c>
      <x:c r="AG215" s="18" t="str">
        <x:v>Eligible for dichotomous 24-h PONV analysis</x:v>
      </x:c>
      <x:c r="AH215" s="18" t="str">
        <x:v>No</x:v>
      </x:c>
      <x:c r="AI215" s="18" t="str">
        <x:v>Primary trial outcome; no meaningful between-group difference</x:v>
      </x:c>
      <x:c r="AJ215" s="18" t="str">
        <x:v>Primary PONV outcome / mITT</x:v>
      </x:c>
      <x:c r="AK215" s="18" t="str">
        <x:v>https://drive.google.com/file/d/1VgOxIOrGe7ZVevkKEVP7G-0V1DXPU0Gf/view?usp=drivesdk</x:v>
      </x:c>
      <x:c r="AL215" s="18" t="str">
        <x:v>SOURCE-VERIFIED</x:v>
      </x:c>
    </x:row>
    <x:row r="216">
      <x:c r="A216" s="18" t="str">
        <x:v>He 2026 (hepatectomy/JIS)</x:v>
      </x:c>
      <x:c r="B216" s="18" t="str">
        <x:v>HEJIS26_TEAS_vs_CTRL_PCAATT24</x:v>
      </x:c>
      <x:c r="C216" s="18" t="str">
        <x:v>Intraoperative PC6 TEAS</x:v>
      </x:c>
      <x:c r="D216" s="18" t="str">
        <x:v>No-current PC6 control</x:v>
      </x:c>
      <x:c r="E216" s="18" t="str">
        <x:v>Opioid demand</x:v>
      </x:c>
      <x:c r="F216" s="18" t="str">
        <x:v>PCA attempts</x:v>
      </x:c>
      <x:c r="G216" s="18" t="str">
        <x:v>24 h</x:v>
      </x:c>
      <x:c r="H216" s="18" t="str">
        <x:v>Mean/SD</x:v>
      </x:c>
      <x:c r="I216" s="18" t="n">
        <x:v>81</x:v>
      </x:c>
      <x:c r="J216" s="18" t="n">
        <x:v>80</x:v>
      </x:c>
      <x:c r="K216" s="18" t="n">
        <x:v>80</x:v>
      </x:c>
      <x:c r="L216" s="18" t="n">
        <x:v>79</x:v>
      </x:c>
      <x:c r="M216" s="18" t="n">
        <x:v>2.7</x:v>
      </x:c>
      <x:c r="N216" s="18" t="n">
        <x:v>3.3</x:v>
      </x:c>
      <x:c r="O216" s="18"/>
      <x:c r="P216" s="18"/>
      <x:c r="Q216" s="18"/>
      <x:c r="R216" s="18"/>
      <x:c r="S216" s="18" t="n">
        <x:v>3.5</x:v>
      </x:c>
      <x:c r="T216" s="18" t="n">
        <x:v>6.1</x:v>
      </x:c>
      <x:c r="U216" s="18"/>
      <x:c r="V216" s="18"/>
      <x:c r="W216" s="18"/>
      <x:c r="X216" s="18"/>
      <x:c r="Y216" s="18" t="str">
        <x:v>attempts</x:v>
      </x:c>
      <x:c r="Z216" s="18" t="str">
        <x:v>0.02</x:v>
      </x:c>
      <x:c r="AA216" s="18" t="str">
        <x:v>Yes</x:v>
      </x:c>
      <x:c r="AB216" s="18" t="str">
        <x:v>No</x:v>
      </x:c>
      <x:c r="AC216" s="18" t="str">
        <x:f>IF(H216="Mean/SD","MD",IF(H216="Events/total","RR",""))</x:f>
        <x:v>MD</x:v>
      </x:c>
      <x:c r="AD216" s="18" t="n">
        <x:f>IF(H216="Mean/SD",M216-S216,IF(H216="Events/total",IFERROR((R216/K216)/(X216/L216),""),""))</x:f>
        <x:v>-0.7999999999999998</x:v>
      </x:c>
      <x:c r="AE216" s="18" t="str">
        <x:v>No</x:v>
      </x:c>
      <x:c r="AF216" s="18" t="str">
        <x:v>No</x:v>
      </x:c>
      <x:c r="AG216" s="18" t="str">
        <x:v>Eligible as 24-h PCA-demand outcome</x:v>
      </x:c>
      <x:c r="AH216" s="18" t="str">
        <x:v>No</x:v>
      </x:c>
      <x:c r="AI216" s="18" t="str">
        <x:v>Fewer attempts despite no difference in total MME</x:v>
      </x:c>
      <x:c r="AJ216" s="18" t="str">
        <x:v>Supplemental/secondary outcome</x:v>
      </x:c>
      <x:c r="AK216" s="18" t="str">
        <x:v>https://drive.google.com/file/d/1VgOxIOrGe7ZVevkKEVP7G-0V1DXPU0Gf/view?usp=drivesdk</x:v>
      </x:c>
      <x:c r="AL216" s="18" t="str">
        <x:v>SOURCE-VERIFIED</x:v>
      </x:c>
    </x:row>
    <x:row r="217">
      <x:c r="A217" s="18" t="str">
        <x:v>He 2026 (breast/WJCO)</x:v>
      </x:c>
      <x:c r="B217" s="18" t="str">
        <x:v>HEBREAST26_EA_vs_SHAM_MODMOV24</x:v>
      </x:c>
      <x:c r="C217" s="18" t="str">
        <x:v>Perioperative EA + flurbiprofen</x:v>
      </x:c>
      <x:c r="D217" s="18" t="str">
        <x:v>Sham acupuncture + flurbiprofen</x:v>
      </x:c>
      <x:c r="E217" s="18" t="str">
        <x:v>Pain</x:v>
      </x:c>
      <x:c r="F217" s="18" t="str">
        <x:v>Moderate-to-severe movement-evoked pain (VAS &gt;4)</x:v>
      </x:c>
      <x:c r="G217" s="18" t="str">
        <x:v>24 h</x:v>
      </x:c>
      <x:c r="H217" s="18" t="str">
        <x:v>Events/total</x:v>
      </x:c>
      <x:c r="I217" s="18" t="n">
        <x:v>65</x:v>
      </x:c>
      <x:c r="J217" s="18" t="n">
        <x:v>65</x:v>
      </x:c>
      <x:c r="K217" s="18" t="n">
        <x:v>65</x:v>
      </x:c>
      <x:c r="L217" s="18" t="n">
        <x:v>65</x:v>
      </x:c>
      <x:c r="M217" s="18"/>
      <x:c r="N217" s="18"/>
      <x:c r="O217" s="18"/>
      <x:c r="P217" s="18"/>
      <x:c r="Q217" s="18"/>
      <x:c r="R217" s="18" t="n">
        <x:v>32</x:v>
      </x:c>
      <x:c r="S217" s="18"/>
      <x:c r="T217" s="18"/>
      <x:c r="U217" s="18"/>
      <x:c r="V217" s="18"/>
      <x:c r="W217" s="18"/>
      <x:c r="X217" s="18" t="n">
        <x:v>42</x:v>
      </x:c>
      <x:c r="Y217" s="18" t="str">
        <x:v>participants</x:v>
      </x:c>
      <x:c r="Z217" s="18" t="str">
        <x:v>&lt;0.05</x:v>
      </x:c>
      <x:c r="AA217" s="18" t="str">
        <x:v>Yes</x:v>
      </x:c>
      <x:c r="AB217" s="18" t="str">
        <x:v>No</x:v>
      </x:c>
      <x:c r="AC217" s="18" t="str">
        <x:f>IF(H217="Mean/SD","MD",IF(H217="Events/total","RR",""))</x:f>
        <x:v>RR</x:v>
      </x:c>
      <x:c r="AD217" s="18" t="n">
        <x:f>IF(H217="Mean/SD",M217-S217,IF(H217="Events/total",IFERROR((R217/K217)/(X217/L217),""),""))</x:f>
        <x:v>0.7619047619047619</x:v>
      </x:c>
      <x:c r="AE217" s="18" t="str">
        <x:v>No</x:v>
      </x:c>
      <x:c r="AF217" s="18" t="str">
        <x:v>No</x:v>
      </x:c>
      <x:c r="AG217" s="18" t="str">
        <x:v>Eligible for dichotomous 24-h movement-pain analysis</x:v>
      </x:c>
      <x:c r="AH217" s="18" t="str">
        <x:v>No</x:v>
      </x:c>
      <x:c r="AI217" s="18" t="str">
        <x:v>All 130 analyzed; participant masking intended with shallow sham puncture, but sensory differences were possible</x:v>
      </x:c>
      <x:c r="AJ217" s="18" t="str">
        <x:v>Primary outcome / 24-h movement pain</x:v>
      </x:c>
      <x:c r="AK217" s="18" t="str">
        <x:v>https://drive.google.com/file/d/1D6Js5nTN2AwL5-BB-NIJVoCKVtcbcczH/view?usp=drivesdk</x:v>
      </x:c>
      <x:c r="AL217" s="18" t="str">
        <x:v>SOURCE-VERIFIED</x:v>
      </x:c>
    </x:row>
    <x:row r="218">
      <x:c r="A218" s="18" t="str">
        <x:v>He 2026 (breast/WJCO)</x:v>
      </x:c>
      <x:c r="B218" s="18" t="str">
        <x:v>HEBREAST26_EA_vs_SHAM_VASMOV24</x:v>
      </x:c>
      <x:c r="C218" s="18" t="str">
        <x:v>Perioperative EA + flurbiprofen</x:v>
      </x:c>
      <x:c r="D218" s="18" t="str">
        <x:v>Sham acupuncture + flurbiprofen</x:v>
      </x:c>
      <x:c r="E218" s="18" t="str">
        <x:v>Pain</x:v>
      </x:c>
      <x:c r="F218" s="18" t="str">
        <x:v>Movement VAS</x:v>
      </x:c>
      <x:c r="G218" s="18" t="str">
        <x:v>24 h</x:v>
      </x:c>
      <x:c r="H218" s="18" t="str">
        <x:v>Mean/SD</x:v>
      </x:c>
      <x:c r="I218" s="18" t="n">
        <x:v>65</x:v>
      </x:c>
      <x:c r="J218" s="18" t="n">
        <x:v>65</x:v>
      </x:c>
      <x:c r="K218" s="18" t="n">
        <x:v>65</x:v>
      </x:c>
      <x:c r="L218" s="18" t="n">
        <x:v>65</x:v>
      </x:c>
      <x:c r="M218" s="18" t="n">
        <x:v>2.862</x:v>
      </x:c>
      <x:c r="N218" s="18" t="n">
        <x:v>0.233</x:v>
      </x:c>
      <x:c r="O218" s="18"/>
      <x:c r="P218" s="18"/>
      <x:c r="Q218" s="18"/>
      <x:c r="R218" s="18"/>
      <x:c r="S218" s="18" t="n">
        <x:v>3.954</x:v>
      </x:c>
      <x:c r="T218" s="18" t="n">
        <x:v>0.233</x:v>
      </x:c>
      <x:c r="U218" s="18"/>
      <x:c r="V218" s="18"/>
      <x:c r="W218" s="18"/>
      <x:c r="X218" s="18"/>
      <x:c r="Y218" s="18" t="str">
        <x:v>VAS</x:v>
      </x:c>
      <x:c r="Z218" s="18" t="str">
        <x:v>&lt;0.01</x:v>
      </x:c>
      <x:c r="AA218" s="18" t="str">
        <x:v>Yes</x:v>
      </x:c>
      <x:c r="AB218" s="18" t="str">
        <x:v>No</x:v>
      </x:c>
      <x:c r="AC218" s="18" t="str">
        <x:f>IF(H218="Mean/SD","MD",IF(H218="Events/total","RR",""))</x:f>
        <x:v>MD</x:v>
      </x:c>
      <x:c r="AD218" s="18" t="n">
        <x:f>IF(H218="Mean/SD",M218-S218,IF(H218="Events/total",IFERROR((R218/K218)/(X218/L218),""),""))</x:f>
        <x:v>-1.092</x:v>
      </x:c>
      <x:c r="AE218" s="18" t="str">
        <x:v>No</x:v>
      </x:c>
      <x:c r="AF218" s="18" t="str">
        <x:v>No</x:v>
      </x:c>
      <x:c r="AG218" s="18" t="str">
        <x:v>Eligible for 24-h movement-pain meta-analysis</x:v>
      </x:c>
      <x:c r="AH218" s="18" t="str">
        <x:v>No</x:v>
      </x:c>
      <x:c r="AI218" s="18" t="str">
        <x:v>Article labels values mean±SD, but identical very small dispersions across arms/timepoints warrant source-verification caution</x:v>
      </x:c>
      <x:c r="AJ218" s="18" t="str">
        <x:v>Postoperative VAS table</x:v>
      </x:c>
      <x:c r="AK218" s="18" t="str">
        <x:v>https://drive.google.com/file/d/1D6Js5nTN2AwL5-BB-NIJVoCKVtcbcczH/view?usp=drivesdk</x:v>
      </x:c>
      <x:c r="AL218" s="18" t="str">
        <x:v>SOURCE-VERIFIED / DISPERSION QC</x:v>
      </x:c>
    </x:row>
    <x:row r="219">
      <x:c r="A219" s="18" t="str">
        <x:v>He 2026 (breast/WJCO)</x:v>
      </x:c>
      <x:c r="B219" s="18" t="str">
        <x:v>HEBREAST26_EA_vs_SHAM_VASREST24</x:v>
      </x:c>
      <x:c r="C219" s="18" t="str">
        <x:v>Perioperative EA + flurbiprofen</x:v>
      </x:c>
      <x:c r="D219" s="18" t="str">
        <x:v>Sham acupuncture + flurbiprofen</x:v>
      </x:c>
      <x:c r="E219" s="18" t="str">
        <x:v>Pain</x:v>
      </x:c>
      <x:c r="F219" s="18" t="str">
        <x:v>Resting VAS</x:v>
      </x:c>
      <x:c r="G219" s="18" t="str">
        <x:v>24 h</x:v>
      </x:c>
      <x:c r="H219" s="18" t="str">
        <x:v>Mean/SD</x:v>
      </x:c>
      <x:c r="I219" s="18" t="n">
        <x:v>65</x:v>
      </x:c>
      <x:c r="J219" s="18" t="n">
        <x:v>65</x:v>
      </x:c>
      <x:c r="K219" s="18" t="n">
        <x:v>65</x:v>
      </x:c>
      <x:c r="L219" s="18" t="n">
        <x:v>65</x:v>
      </x:c>
      <x:c r="M219" s="18" t="n">
        <x:v>1.789</x:v>
      </x:c>
      <x:c r="N219" s="18" t="n">
        <x:v>0.174</x:v>
      </x:c>
      <x:c r="O219" s="18"/>
      <x:c r="P219" s="18"/>
      <x:c r="Q219" s="18"/>
      <x:c r="R219" s="18"/>
      <x:c r="S219" s="18" t="n">
        <x:v>2.692</x:v>
      </x:c>
      <x:c r="T219" s="18" t="n">
        <x:v>0.174</x:v>
      </x:c>
      <x:c r="U219" s="18"/>
      <x:c r="V219" s="18"/>
      <x:c r="W219" s="18"/>
      <x:c r="X219" s="18"/>
      <x:c r="Y219" s="18" t="str">
        <x:v>VAS</x:v>
      </x:c>
      <x:c r="Z219" s="18" t="str">
        <x:v>&lt;0.01</x:v>
      </x:c>
      <x:c r="AA219" s="18" t="str">
        <x:v>Yes</x:v>
      </x:c>
      <x:c r="AB219" s="18" t="str">
        <x:v>No</x:v>
      </x:c>
      <x:c r="AC219" s="18" t="str">
        <x:f>IF(H219="Mean/SD","MD",IF(H219="Events/total","RR",""))</x:f>
        <x:v>MD</x:v>
      </x:c>
      <x:c r="AD219" s="18" t="n">
        <x:f>IF(H219="Mean/SD",M219-S219,IF(H219="Events/total",IFERROR((R219/K219)/(X219/L219),""),""))</x:f>
        <x:v>-0.9030000000000002</x:v>
      </x:c>
      <x:c r="AE219" s="18" t="str">
        <x:v>No</x:v>
      </x:c>
      <x:c r="AF219" s="18" t="str">
        <x:v>No</x:v>
      </x:c>
      <x:c r="AG219" s="18" t="str">
        <x:v>Eligible for 24-h rest-pain meta-analysis</x:v>
      </x:c>
      <x:c r="AH219" s="18" t="str">
        <x:v>No</x:v>
      </x:c>
      <x:c r="AI219" s="18" t="str">
        <x:v>Same dispersion-format caution as movement VAS</x:v>
      </x:c>
      <x:c r="AJ219" s="18" t="str">
        <x:v>Postoperative VAS table</x:v>
      </x:c>
      <x:c r="AK219" s="18" t="str">
        <x:v>https://drive.google.com/file/d/1D6Js5nTN2AwL5-BB-NIJVoCKVtcbcczH/view?usp=drivesdk</x:v>
      </x:c>
      <x:c r="AL219" s="18" t="str">
        <x:v>SOURCE-VERIFIED / DISPERSION QC</x:v>
      </x:c>
    </x:row>
    <x:row r="220">
      <x:c r="A220" s="18" t="str">
        <x:v>He 2026 (breast/WJCO)</x:v>
      </x:c>
      <x:c r="B220" s="18" t="str">
        <x:v>HEBREAST26_OPIOID24</x:v>
      </x:c>
      <x:c r="C220" s="18" t="str">
        <x:v>Perioperative EA + flurbiprofen</x:v>
      </x:c>
      <x:c r="D220" s="18" t="str">
        <x:v>Sham acupuncture + flurbiprofen</x:v>
      </x:c>
      <x:c r="E220" s="18" t="str">
        <x:v>Opioid consumption</x:v>
      </x:c>
      <x:c r="F220" s="18" t="str">
        <x:v>Cumulative rescue morphine consumption</x:v>
      </x:c>
      <x:c r="G220" s="18" t="str">
        <x:v>0-24 h</x:v>
      </x:c>
      <x:c r="H220" s="18" t="str">
        <x:v>Not reported</x:v>
      </x:c>
      <x:c r="I220" s="18" t="n">
        <x:v>65</x:v>
      </x:c>
      <x:c r="J220" s="18" t="n">
        <x:v>65</x:v>
      </x:c>
      <x:c r="K220" s="18" t="n">
        <x:v>65</x:v>
      </x:c>
      <x:c r="L220" s="18" t="n">
        <x:v>65</x:v>
      </x:c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 t="str">
        <x:v>mg IV morphine</x:v>
      </x:c>
      <x:c r="Z220" s="18" t="str"/>
      <x:c r="AA220" s="18" t="str">
        <x:v>No</x:v>
      </x:c>
      <x:c r="AB220" s="18" t="str">
        <x:v>No</x:v>
      </x:c>
      <x:c r="AC220" s="18" t="str">
        <x:f>IF(H220="Mean/SD","MD",IF(H220="Events/total","RR",""))</x:f>
      </x:c>
      <x:c r="AD220" s="18" t="str">
        <x:f>IF(H220="Mean/SD",M220-S220,IF(H220="Events/total",IFERROR((R220/K220)/(X220/L220),""),""))</x:f>
      </x:c>
      <x:c r="AE220" s="18" t="str">
        <x:v>No</x:v>
      </x:c>
      <x:c r="AF220" s="18" t="str">
        <x:v>No</x:v>
      </x:c>
      <x:c r="AG220" s="18" t="str">
        <x:v>Not eligible for continuous 24-h opioid/MME meta-analysis</x:v>
      </x:c>
      <x:c r="AH220" s="18" t="str">
        <x:v>No</x:v>
      </x:c>
      <x:c r="AI220" s="18" t="str">
        <x:v>Rescue morphine 1-3 mg IV was allowed, but authors explicitly state rescue opioid consumption was not recorded or compared</x:v>
      </x:c>
      <x:c r="AJ220" s="18" t="str">
        <x:v>Postoperative analgesia limitation</x:v>
      </x:c>
      <x:c r="AK220" s="18" t="str">
        <x:v>https://drive.google.com/file/d/1D6Js5nTN2AwL5-BB-NIJVoCKVtcbcczH/view?usp=drivesdk</x:v>
      </x:c>
      <x:c r="AL220" s="18" t="str">
        <x:v>MISSING / NOT RECORDED</x:v>
      </x:c>
    </x:row>
    <x:row r="221">
      <x:c r="A221" s="18" t="str">
        <x:v>Gu 2019</x:v>
      </x:c>
      <x:c r="B221" s="18" t="str">
        <x:v>GU19_LTEAS_vs_CTEAS_VAS24</x:v>
      </x:c>
      <x:c r="C221" s="18" t="str">
        <x:v>Long-duration TEAS</x:v>
      </x:c>
      <x:c r="D221" s="18" t="str">
        <x:v>Sham/no-current TEAS</x:v>
      </x:c>
      <x:c r="E221" s="18" t="str">
        <x:v>Pain</x:v>
      </x:c>
      <x:c r="F221" s="18" t="str">
        <x:v>VAS pain intensity</x:v>
      </x:c>
      <x:c r="G221" s="18" t="str">
        <x:v>24 h</x:v>
      </x:c>
      <x:c r="H221" s="18" t="str">
        <x:v>Mean/SD</x:v>
      </x:c>
      <x:c r="I221" s="18" t="n">
        <x:v>60</x:v>
      </x:c>
      <x:c r="J221" s="18" t="n">
        <x:v>60</x:v>
      </x:c>
      <x:c r="K221" s="18" t="n">
        <x:v>58</x:v>
      </x:c>
      <x:c r="L221" s="18" t="n">
        <x:v>59</x:v>
      </x:c>
      <x:c r="M221" s="18" t="n">
        <x:v>1.98</x:v>
      </x:c>
      <x:c r="N221" s="18" t="n">
        <x:v>0.39</x:v>
      </x:c>
      <x:c r="O221" s="18"/>
      <x:c r="P221" s="18"/>
      <x:c r="Q221" s="18"/>
      <x:c r="R221" s="18"/>
      <x:c r="S221" s="18" t="n">
        <x:v>2.72</x:v>
      </x:c>
      <x:c r="T221" s="18" t="n">
        <x:v>0.73</x:v>
      </x:c>
      <x:c r="U221" s="18"/>
      <x:c r="V221" s="18"/>
      <x:c r="W221" s="18"/>
      <x:c r="X221" s="18"/>
      <x:c r="Y221" s="18" t="str">
        <x:v>VAS 0-10</x:v>
      </x:c>
      <x:c r="Z221" s="18" t="str">
        <x:v>&lt;0.05</x:v>
      </x:c>
      <x:c r="AA221" s="18" t="str">
        <x:v>Yes</x:v>
      </x:c>
      <x:c r="AB221" s="18" t="str">
        <x:v>No</x:v>
      </x:c>
      <x:c r="AC221" s="18" t="str">
        <x:f>IF(H221="Mean/SD","MD",IF(H221="Events/total","RR",""))</x:f>
        <x:v>MD</x:v>
      </x:c>
      <x:c r="AD221" s="18" t="n">
        <x:f>IF(H221="Mean/SD",M221-S221,IF(H221="Events/total",IFERROR((R221/K221)/(X221/L221),""),""))</x:f>
        <x:v>-0.7400000000000002</x:v>
      </x:c>
      <x:c r="AE221" s="18" t="str">
        <x:v>No</x:v>
      </x:c>
      <x:c r="AF221" s="18" t="str">
        <x:v>No</x:v>
      </x:c>
      <x:c r="AG221" s="18" t="str">
        <x:v>Eligible for 24-h pain analysis</x:v>
      </x:c>
      <x:c r="AH221" s="18" t="str">
        <x:v>No</x:v>
      </x:c>
      <x:c r="AI221" s="18" t="str">
        <x:v>Three randomized patients excluded; active 5-30 mA stimulation vs sham no current with no blinding-success assessment</x:v>
      </x:c>
      <x:c r="AJ221" s="18" t="str">
        <x:v>Figure 3 / 24-h VAS</x:v>
      </x:c>
      <x:c r="AK221" s="18" t="str">
        <x:v>https://drive.google.com/file/d/1ipQFXfERgAVmgNKMpLkvaaecYJVSTDiw/view?usp=drivesdk</x:v>
      </x:c>
      <x:c r="AL221" s="18" t="str">
        <x:v>SOURCE-VERIFIED / ATTRITION + BLINDING QC</x:v>
      </x:c>
    </x:row>
    <x:row r="222">
      <x:c r="A222" s="18" t="str">
        <x:v>Gu 2019</x:v>
      </x:c>
      <x:c r="B222" s="18" t="str">
        <x:v>GU19_LTEAS_vs_CTEAS_BOWEL</x:v>
      </x:c>
      <x:c r="C222" s="18" t="str">
        <x:v>Long-duration TEAS</x:v>
      </x:c>
      <x:c r="D222" s="18" t="str">
        <x:v>Sham/no-current TEAS</x:v>
      </x:c>
      <x:c r="E222" s="18" t="str">
        <x:v>GI recovery</x:v>
      </x:c>
      <x:c r="F222" s="18" t="str">
        <x:v>Time to first bowel sounds</x:v>
      </x:c>
      <x:c r="G222" s="18" t="str">
        <x:v>Postoperative</x:v>
      </x:c>
      <x:c r="H222" s="18" t="str">
        <x:v>Mean/SD</x:v>
      </x:c>
      <x:c r="I222" s="18" t="n">
        <x:v>60</x:v>
      </x:c>
      <x:c r="J222" s="18" t="n">
        <x:v>60</x:v>
      </x:c>
      <x:c r="K222" s="18" t="n">
        <x:v>58</x:v>
      </x:c>
      <x:c r="L222" s="18" t="n">
        <x:v>59</x:v>
      </x:c>
      <x:c r="M222" s="18" t="n">
        <x:v>19.69</x:v>
      </x:c>
      <x:c r="N222" s="18" t="n">
        <x:v>7.61</x:v>
      </x:c>
      <x:c r="O222" s="18"/>
      <x:c r="P222" s="18"/>
      <x:c r="Q222" s="18"/>
      <x:c r="R222" s="18"/>
      <x:c r="S222" s="18" t="n">
        <x:v>26.58</x:v>
      </x:c>
      <x:c r="T222" s="18" t="n">
        <x:v>7.43</x:v>
      </x:c>
      <x:c r="U222" s="18"/>
      <x:c r="V222" s="18"/>
      <x:c r="W222" s="18"/>
      <x:c r="X222" s="18"/>
      <x:c r="Y222" s="18" t="str">
        <x:v>hours</x:v>
      </x:c>
      <x:c r="Z222" s="18" t="str">
        <x:v>0.01</x:v>
      </x:c>
      <x:c r="AA222" s="18" t="str">
        <x:v>Yes</x:v>
      </x:c>
      <x:c r="AB222" s="18" t="str">
        <x:v>No</x:v>
      </x:c>
      <x:c r="AC222" s="18" t="str">
        <x:f>IF(H222="Mean/SD","MD",IF(H222="Events/total","RR",""))</x:f>
        <x:v>MD</x:v>
      </x:c>
      <x:c r="AD222" s="18" t="n">
        <x:f>IF(H222="Mean/SD",M222-S222,IF(H222="Events/total",IFERROR((R222/K222)/(X222/L222),""),""))</x:f>
        <x:v>-6.889999999999997</x:v>
      </x:c>
      <x:c r="AE222" s="18" t="str">
        <x:v>No</x:v>
      </x:c>
      <x:c r="AF222" s="18" t="str">
        <x:v>No</x:v>
      </x:c>
      <x:c r="AG222" s="18" t="str">
        <x:v>Eligible for GI-recovery analysis</x:v>
      </x:c>
      <x:c r="AH222" s="18" t="str">
        <x:v>No</x:v>
      </x:c>
      <x:c r="AI222" s="18" t="str">
        <x:v>First flatus/defecation were patient self-recorded; bowel sounds were nurse-assessed</x:v>
      </x:c>
      <x:c r="AJ222" s="18" t="str">
        <x:v>GI recovery table</x:v>
      </x:c>
      <x:c r="AK222" s="18" t="str">
        <x:v>https://drive.google.com/file/d/1ipQFXfERgAVmgNKMpLkvaaecYJVSTDiw/view?usp=drivesdk</x:v>
      </x:c>
      <x:c r="AL222" s="18" t="str">
        <x:v>SOURCE-VERIFIED / ATTRITION QC</x:v>
      </x:c>
    </x:row>
    <x:row r="223">
      <x:c r="A223" s="18" t="str">
        <x:v>Gu 2019</x:v>
      </x:c>
      <x:c r="B223" s="18" t="str">
        <x:v>GU19_LTEAS_vs_CTEAS_FLATUS</x:v>
      </x:c>
      <x:c r="C223" s="18" t="str">
        <x:v>Long-duration TEAS</x:v>
      </x:c>
      <x:c r="D223" s="18" t="str">
        <x:v>Sham/no-current TEAS</x:v>
      </x:c>
      <x:c r="E223" s="18" t="str">
        <x:v>GI recovery</x:v>
      </x:c>
      <x:c r="F223" s="18" t="str">
        <x:v>Time to first flatus</x:v>
      </x:c>
      <x:c r="G223" s="18" t="str">
        <x:v>Postoperative</x:v>
      </x:c>
      <x:c r="H223" s="18" t="str">
        <x:v>Mean/SD</x:v>
      </x:c>
      <x:c r="I223" s="18" t="n">
        <x:v>60</x:v>
      </x:c>
      <x:c r="J223" s="18" t="n">
        <x:v>60</x:v>
      </x:c>
      <x:c r="K223" s="18" t="n">
        <x:v>58</x:v>
      </x:c>
      <x:c r="L223" s="18" t="n">
        <x:v>59</x:v>
      </x:c>
      <x:c r="M223" s="18" t="n">
        <x:v>36.58</x:v>
      </x:c>
      <x:c r="N223" s="18" t="n">
        <x:v>10.75</x:v>
      </x:c>
      <x:c r="O223" s="18"/>
      <x:c r="P223" s="18"/>
      <x:c r="Q223" s="18"/>
      <x:c r="R223" s="18"/>
      <x:c r="S223" s="18" t="n">
        <x:v>43.56</x:v>
      </x:c>
      <x:c r="T223" s="18" t="n">
        <x:v>9.57</x:v>
      </x:c>
      <x:c r="U223" s="18"/>
      <x:c r="V223" s="18"/>
      <x:c r="W223" s="18"/>
      <x:c r="X223" s="18"/>
      <x:c r="Y223" s="18" t="str">
        <x:v>hours</x:v>
      </x:c>
      <x:c r="Z223" s="18" t="str">
        <x:v>0.03</x:v>
      </x:c>
      <x:c r="AA223" s="18" t="str">
        <x:v>Yes</x:v>
      </x:c>
      <x:c r="AB223" s="18" t="str">
        <x:v>No</x:v>
      </x:c>
      <x:c r="AC223" s="18" t="str">
        <x:f>IF(H223="Mean/SD","MD",IF(H223="Events/total","RR",""))</x:f>
        <x:v>MD</x:v>
      </x:c>
      <x:c r="AD223" s="18" t="n">
        <x:f>IF(H223="Mean/SD",M223-S223,IF(H223="Events/total",IFERROR((R223/K223)/(X223/L223),""),""))</x:f>
        <x:v>-6.980000000000004</x:v>
      </x:c>
      <x:c r="AE223" s="18" t="str">
        <x:v>No</x:v>
      </x:c>
      <x:c r="AF223" s="18" t="str">
        <x:v>No</x:v>
      </x:c>
      <x:c r="AG223" s="18" t="str">
        <x:v>Eligible for GI-recovery analysis</x:v>
      </x:c>
      <x:c r="AH223" s="18" t="str">
        <x:v>No</x:v>
      </x:c>
      <x:c r="AI223" s="18" t="str">
        <x:v>First flatus/defecation were patient self-recorded; bowel sounds were nurse-assessed</x:v>
      </x:c>
      <x:c r="AJ223" s="18" t="str">
        <x:v>GI recovery table</x:v>
      </x:c>
      <x:c r="AK223" s="18" t="str">
        <x:v>https://drive.google.com/file/d/1ipQFXfERgAVmgNKMpLkvaaecYJVSTDiw/view?usp=drivesdk</x:v>
      </x:c>
      <x:c r="AL223" s="18" t="str">
        <x:v>SOURCE-VERIFIED / ATTRITION QC</x:v>
      </x:c>
    </x:row>
    <x:row r="224">
      <x:c r="A224" s="18" t="str">
        <x:v>Gu 2019</x:v>
      </x:c>
      <x:c r="B224" s="18" t="str">
        <x:v>GU19_LTEAS_vs_CTEAS_DEFEC</x:v>
      </x:c>
      <x:c r="C224" s="18" t="str">
        <x:v>Long-duration TEAS</x:v>
      </x:c>
      <x:c r="D224" s="18" t="str">
        <x:v>Sham/no-current TEAS</x:v>
      </x:c>
      <x:c r="E224" s="18" t="str">
        <x:v>GI recovery</x:v>
      </x:c>
      <x:c r="F224" s="18" t="str">
        <x:v>Time to first defecation</x:v>
      </x:c>
      <x:c r="G224" s="18" t="str">
        <x:v>Postoperative</x:v>
      </x:c>
      <x:c r="H224" s="18" t="str">
        <x:v>Mean/SD</x:v>
      </x:c>
      <x:c r="I224" s="18" t="n">
        <x:v>60</x:v>
      </x:c>
      <x:c r="J224" s="18" t="n">
        <x:v>60</x:v>
      </x:c>
      <x:c r="K224" s="18" t="n">
        <x:v>58</x:v>
      </x:c>
      <x:c r="L224" s="18" t="n">
        <x:v>59</x:v>
      </x:c>
      <x:c r="M224" s="18" t="n">
        <x:v>71.48</x:v>
      </x:c>
      <x:c r="N224" s="18" t="n">
        <x:v>20.62</x:v>
      </x:c>
      <x:c r="O224" s="18"/>
      <x:c r="P224" s="18"/>
      <x:c r="Q224" s="18"/>
      <x:c r="R224" s="18"/>
      <x:c r="S224" s="18" t="n">
        <x:v>77.27</x:v>
      </x:c>
      <x:c r="T224" s="18" t="n">
        <x:v>22.67</x:v>
      </x:c>
      <x:c r="U224" s="18"/>
      <x:c r="V224" s="18"/>
      <x:c r="W224" s="18"/>
      <x:c r="X224" s="18"/>
      <x:c r="Y224" s="18" t="str">
        <x:v>hours</x:v>
      </x:c>
      <x:c r="Z224" s="18" t="str">
        <x:v>0.04</x:v>
      </x:c>
      <x:c r="AA224" s="18" t="str">
        <x:v>Yes</x:v>
      </x:c>
      <x:c r="AB224" s="18" t="str">
        <x:v>No</x:v>
      </x:c>
      <x:c r="AC224" s="18" t="str">
        <x:f>IF(H224="Mean/SD","MD",IF(H224="Events/total","RR",""))</x:f>
        <x:v>MD</x:v>
      </x:c>
      <x:c r="AD224" s="18" t="n">
        <x:f>IF(H224="Mean/SD",M224-S224,IF(H224="Events/total",IFERROR((R224/K224)/(X224/L224),""),""))</x:f>
        <x:v>-5.789999999999992</x:v>
      </x:c>
      <x:c r="AE224" s="18" t="str">
        <x:v>No</x:v>
      </x:c>
      <x:c r="AF224" s="18" t="str">
        <x:v>No</x:v>
      </x:c>
      <x:c r="AG224" s="18" t="str">
        <x:v>Eligible for GI-recovery analysis</x:v>
      </x:c>
      <x:c r="AH224" s="18" t="str">
        <x:v>No</x:v>
      </x:c>
      <x:c r="AI224" s="18" t="str">
        <x:v>First flatus/defecation were patient self-recorded; bowel sounds were nurse-assessed</x:v>
      </x:c>
      <x:c r="AJ224" s="18" t="str">
        <x:v>GI recovery table</x:v>
      </x:c>
      <x:c r="AK224" s="18" t="str">
        <x:v>https://drive.google.com/file/d/1ipQFXfERgAVmgNKMpLkvaaecYJVSTDiw/view?usp=drivesdk</x:v>
      </x:c>
      <x:c r="AL224" s="18" t="str">
        <x:v>SOURCE-VERIFIED / ATTRITION QC</x:v>
      </x:c>
    </x:row>
    <x:row r="225">
      <x:c r="A225" s="18" t="str">
        <x:v>Gu 2019</x:v>
      </x:c>
      <x:c r="B225" s="18" t="str">
        <x:v>GU19_LTEAS_vs_CTEAS_PCIA4</x:v>
      </x:c>
      <x:c r="C225" s="18" t="str">
        <x:v>Long-duration TEAS</x:v>
      </x:c>
      <x:c r="D225" s="18" t="str">
        <x:v>Sham/no-current TEAS</x:v>
      </x:c>
      <x:c r="E225" s="18" t="str">
        <x:v>Opioid consumption</x:v>
      </x:c>
      <x:c r="F225" s="18" t="str">
        <x:v>Cumulative multimodal PCIA solution consumed</x:v>
      </x:c>
      <x:c r="G225" s="18" t="str">
        <x:v>4 h</x:v>
      </x:c>
      <x:c r="H225" s="18" t="str">
        <x:v>Mean/SD</x:v>
      </x:c>
      <x:c r="I225" s="18" t="n">
        <x:v>60</x:v>
      </x:c>
      <x:c r="J225" s="18" t="n">
        <x:v>60</x:v>
      </x:c>
      <x:c r="K225" s="18" t="n">
        <x:v>58</x:v>
      </x:c>
      <x:c r="L225" s="18" t="n">
        <x:v>59</x:v>
      </x:c>
      <x:c r="M225" s="18" t="n">
        <x:v>10.02</x:v>
      </x:c>
      <x:c r="N225" s="18" t="n">
        <x:v>2.26</x:v>
      </x:c>
      <x:c r="O225" s="18"/>
      <x:c r="P225" s="18"/>
      <x:c r="Q225" s="18"/>
      <x:c r="R225" s="18"/>
      <x:c r="S225" s="18" t="n">
        <x:v>13.38</x:v>
      </x:c>
      <x:c r="T225" s="18" t="n">
        <x:v>2.98</x:v>
      </x:c>
      <x:c r="U225" s="18"/>
      <x:c r="V225" s="18"/>
      <x:c r="W225" s="18"/>
      <x:c r="X225" s="18"/>
      <x:c r="Y225" s="18" t="str">
        <x:v>mL solution = numerically same µg sufentanil at 1 µg/mL</x:v>
      </x:c>
      <x:c r="Z225" s="18" t="str">
        <x:v>&lt;0.05</x:v>
      </x:c>
      <x:c r="AA225" s="18" t="str">
        <x:v>Yes</x:v>
      </x:c>
      <x:c r="AB225" s="18" t="str">
        <x:v>Yes</x:v>
      </x:c>
      <x:c r="AC225" s="18" t="str">
        <x:f>IF(H225="Mean/SD","MD",IF(H225="Events/total","RR",""))</x:f>
        <x:v>MD</x:v>
      </x:c>
      <x:c r="AD225" s="18" t="n">
        <x:f>IF(H225="Mean/SD",M225-S225,IF(H225="Events/total",IFERROR((R225/K225)/(X225/L225),""),""))</x:f>
        <x:v>-3.360000000000001</x:v>
      </x:c>
      <x:c r="AE225" s="18" t="str">
        <x:v>No</x:v>
      </x:c>
      <x:c r="AF225" s="18" t="str">
        <x:v>No</x:v>
      </x:c>
      <x:c r="AG225" s="18" t="str">
        <x:v>Usable as PCIA-volume/sufentanil-delivery proxy at stated time only</x:v>
      </x:c>
      <x:c r="AH225" s="18" t="str">
        <x:v>No</x:v>
      </x:c>
      <x:c r="AI225" s="18" t="str">
        <x:v>Pump also contains dexmedetomidine, flurbiprofen and palonosetron; exact 24-h value is graph-only</x:v>
      </x:c>
      <x:c r="AJ225" s="18" t="str">
        <x:v>Figure 4 / 4 h cumulative PCIA</x:v>
      </x:c>
      <x:c r="AK225" s="18" t="str">
        <x:v>https://drive.google.com/file/d/1ipQFXfERgAVmgNKMpLkvaaecYJVSTDiw/view?usp=drivesdk</x:v>
      </x:c>
      <x:c r="AL225" s="18" t="str">
        <x:v>SOURCE-VERIFIED / MULTIMODAL PCIA</x:v>
      </x:c>
    </x:row>
    <x:row r="226">
      <x:c r="A226" s="18" t="str">
        <x:v>Gu 2019</x:v>
      </x:c>
      <x:c r="B226" s="18" t="str">
        <x:v>GU19_LTEAS_vs_CTEAS_PCIA8</x:v>
      </x:c>
      <x:c r="C226" s="18" t="str">
        <x:v>Long-duration TEAS</x:v>
      </x:c>
      <x:c r="D226" s="18" t="str">
        <x:v>Sham/no-current TEAS</x:v>
      </x:c>
      <x:c r="E226" s="18" t="str">
        <x:v>Opioid consumption</x:v>
      </x:c>
      <x:c r="F226" s="18" t="str">
        <x:v>Cumulative multimodal PCIA solution consumed</x:v>
      </x:c>
      <x:c r="G226" s="18" t="str">
        <x:v>8 h</x:v>
      </x:c>
      <x:c r="H226" s="18" t="str">
        <x:v>Mean/SD</x:v>
      </x:c>
      <x:c r="I226" s="18" t="n">
        <x:v>60</x:v>
      </x:c>
      <x:c r="J226" s="18" t="n">
        <x:v>60</x:v>
      </x:c>
      <x:c r="K226" s="18" t="n">
        <x:v>58</x:v>
      </x:c>
      <x:c r="L226" s="18" t="n">
        <x:v>59</x:v>
      </x:c>
      <x:c r="M226" s="18" t="n">
        <x:v>20.55</x:v>
      </x:c>
      <x:c r="N226" s="18" t="n">
        <x:v>4.59</x:v>
      </x:c>
      <x:c r="O226" s="18"/>
      <x:c r="P226" s="18"/>
      <x:c r="Q226" s="18"/>
      <x:c r="R226" s="18"/>
      <x:c r="S226" s="18" t="n">
        <x:v>24.63</x:v>
      </x:c>
      <x:c r="T226" s="18" t="n">
        <x:v>3.94</x:v>
      </x:c>
      <x:c r="U226" s="18"/>
      <x:c r="V226" s="18"/>
      <x:c r="W226" s="18"/>
      <x:c r="X226" s="18"/>
      <x:c r="Y226" s="18" t="str">
        <x:v>mL solution = numerically same µg sufentanil at 1 µg/mL</x:v>
      </x:c>
      <x:c r="Z226" s="18" t="str">
        <x:v>&lt;0.05</x:v>
      </x:c>
      <x:c r="AA226" s="18" t="str">
        <x:v>Yes</x:v>
      </x:c>
      <x:c r="AB226" s="18" t="str">
        <x:v>Yes</x:v>
      </x:c>
      <x:c r="AC226" s="18" t="str">
        <x:f>IF(H226="Mean/SD","MD",IF(H226="Events/total","RR",""))</x:f>
        <x:v>MD</x:v>
      </x:c>
      <x:c r="AD226" s="18" t="n">
        <x:f>IF(H226="Mean/SD",M226-S226,IF(H226="Events/total",IFERROR((R226/K226)/(X226/L226),""),""))</x:f>
        <x:v>-4.079999999999998</x:v>
      </x:c>
      <x:c r="AE226" s="18" t="str">
        <x:v>No</x:v>
      </x:c>
      <x:c r="AF226" s="18" t="str">
        <x:v>No</x:v>
      </x:c>
      <x:c r="AG226" s="18" t="str">
        <x:v>Usable as PCIA-volume/sufentanil-delivery proxy at stated time only</x:v>
      </x:c>
      <x:c r="AH226" s="18" t="str">
        <x:v>No</x:v>
      </x:c>
      <x:c r="AI226" s="18" t="str">
        <x:v>Pump also contains dexmedetomidine, flurbiprofen and palonosetron; exact 24-h value is graph-only</x:v>
      </x:c>
      <x:c r="AJ226" s="18" t="str">
        <x:v>Figure 4 / 8 h cumulative PCIA</x:v>
      </x:c>
      <x:c r="AK226" s="18" t="str">
        <x:v>https://drive.google.com/file/d/1ipQFXfERgAVmgNKMpLkvaaecYJVSTDiw/view?usp=drivesdk</x:v>
      </x:c>
      <x:c r="AL226" s="18" t="str">
        <x:v>SOURCE-VERIFIED / MULTIMODAL PCIA</x:v>
      </x:c>
    </x:row>
    <x:row r="227">
      <x:c r="A227" s="18" t="str">
        <x:v>Gu 2019</x:v>
      </x:c>
      <x:c r="B227" s="18" t="str">
        <x:v>GU19_LTEAS_vs_CTEAS_PCIA36</x:v>
      </x:c>
      <x:c r="C227" s="18" t="str">
        <x:v>Long-duration TEAS</x:v>
      </x:c>
      <x:c r="D227" s="18" t="str">
        <x:v>Sham/no-current TEAS</x:v>
      </x:c>
      <x:c r="E227" s="18" t="str">
        <x:v>Opioid consumption</x:v>
      </x:c>
      <x:c r="F227" s="18" t="str">
        <x:v>Cumulative multimodal PCIA solution consumed</x:v>
      </x:c>
      <x:c r="G227" s="18" t="str">
        <x:v>36 h</x:v>
      </x:c>
      <x:c r="H227" s="18" t="str">
        <x:v>Mean/SD</x:v>
      </x:c>
      <x:c r="I227" s="18" t="n">
        <x:v>60</x:v>
      </x:c>
      <x:c r="J227" s="18" t="n">
        <x:v>60</x:v>
      </x:c>
      <x:c r="K227" s="18" t="n">
        <x:v>58</x:v>
      </x:c>
      <x:c r="L227" s="18" t="n">
        <x:v>59</x:v>
      </x:c>
      <x:c r="M227" s="18" t="n">
        <x:v>72.64</x:v>
      </x:c>
      <x:c r="N227" s="18" t="n">
        <x:v>9.74</x:v>
      </x:c>
      <x:c r="O227" s="18"/>
      <x:c r="P227" s="18"/>
      <x:c r="Q227" s="18"/>
      <x:c r="R227" s="18"/>
      <x:c r="S227" s="18" t="n">
        <x:v>76.01</x:v>
      </x:c>
      <x:c r="T227" s="18" t="n">
        <x:v>10.43</x:v>
      </x:c>
      <x:c r="U227" s="18"/>
      <x:c r="V227" s="18"/>
      <x:c r="W227" s="18"/>
      <x:c r="X227" s="18"/>
      <x:c r="Y227" s="18" t="str">
        <x:v>mL solution = numerically same µg sufentanil at 1 µg/mL</x:v>
      </x:c>
      <x:c r="Z227" s="18" t="str">
        <x:v>&lt;0.05</x:v>
      </x:c>
      <x:c r="AA227" s="18" t="str">
        <x:v>Yes</x:v>
      </x:c>
      <x:c r="AB227" s="18" t="str">
        <x:v>Yes</x:v>
      </x:c>
      <x:c r="AC227" s="18" t="str">
        <x:f>IF(H227="Mean/SD","MD",IF(H227="Events/total","RR",""))</x:f>
        <x:v>MD</x:v>
      </x:c>
      <x:c r="AD227" s="18" t="n">
        <x:f>IF(H227="Mean/SD",M227-S227,IF(H227="Events/total",IFERROR((R227/K227)/(X227/L227),""),""))</x:f>
        <x:v>-3.3700000000000045</x:v>
      </x:c>
      <x:c r="AE227" s="18" t="str">
        <x:v>No</x:v>
      </x:c>
      <x:c r="AF227" s="18" t="str">
        <x:v>No</x:v>
      </x:c>
      <x:c r="AG227" s="18" t="str">
        <x:v>Usable as PCIA-volume/sufentanil-delivery proxy at stated time only</x:v>
      </x:c>
      <x:c r="AH227" s="18" t="str">
        <x:v>No</x:v>
      </x:c>
      <x:c r="AI227" s="18" t="str">
        <x:v>Pump also contains dexmedetomidine, flurbiprofen and palonosetron; exact 24-h value is graph-only</x:v>
      </x:c>
      <x:c r="AJ227" s="18" t="str">
        <x:v>Figure 4 / 36 h cumulative PCIA</x:v>
      </x:c>
      <x:c r="AK227" s="18" t="str">
        <x:v>https://drive.google.com/file/d/1ipQFXfERgAVmgNKMpLkvaaecYJVSTDiw/view?usp=drivesdk</x:v>
      </x:c>
      <x:c r="AL227" s="18" t="str">
        <x:v>SOURCE-VERIFIED / MULTIMODAL PCIA</x:v>
      </x:c>
    </x:row>
    <x:row r="228">
      <x:c r="A228" s="18" t="str">
        <x:v>Gu 2019</x:v>
      </x:c>
      <x:c r="B228" s="18" t="str">
        <x:v>GU19_OPIOID24</x:v>
      </x:c>
      <x:c r="C228" s="18" t="str">
        <x:v>Long-duration TEAS</x:v>
      </x:c>
      <x:c r="D228" s="18" t="str">
        <x:v>Sham/no-current TEAS</x:v>
      </x:c>
      <x:c r="E228" s="18" t="str">
        <x:v>Opioid consumption</x:v>
      </x:c>
      <x:c r="F228" s="18" t="str">
        <x:v>Exact cumulative 24-h postoperative sufentanil</x:v>
      </x:c>
      <x:c r="G228" s="18" t="str">
        <x:v>0-24 h</x:v>
      </x:c>
      <x:c r="H228" s="18" t="str">
        <x:v>Graph-only / not numerically reported</x:v>
      </x:c>
      <x:c r="I228" s="18" t="n">
        <x:v>60</x:v>
      </x:c>
      <x:c r="J228" s="18" t="n">
        <x:v>60</x:v>
      </x:c>
      <x:c r="K228" s="18" t="n">
        <x:v>58</x:v>
      </x:c>
      <x:c r="L228" s="18" t="n">
        <x:v>59</x:v>
      </x:c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 t="str">
        <x:v>µg sufentanil</x:v>
      </x:c>
      <x:c r="Z228" s="18" t="str"/>
      <x:c r="AA228" s="18" t="str">
        <x:v>No</x:v>
      </x:c>
      <x:c r="AB228" s="18" t="str">
        <x:v>No</x:v>
      </x:c>
      <x:c r="AC228" s="18" t="str">
        <x:f>IF(H228="Mean/SD","MD",IF(H228="Events/total","RR",""))</x:f>
      </x:c>
      <x:c r="AD228" s="18" t="str">
        <x:f>IF(H228="Mean/SD",M228-S228,IF(H228="Events/total",IFERROR((R228/K228)/(X228/L228),""),""))</x:f>
      </x:c>
      <x:c r="AE228" s="18" t="str">
        <x:v>Yes</x:v>
      </x:c>
      <x:c r="AF228" s="18" t="str">
        <x:v>No</x:v>
      </x:c>
      <x:c r="AG228" s="18" t="str">
        <x:v>Not meta-analysis-ready without graph digitization or author data</x:v>
      </x:c>
      <x:c r="AH228" s="18" t="str">
        <x:v>No</x:v>
      </x:c>
      <x:c r="AI228" s="18" t="str">
        <x:v>24-h PCIA point is visible graphically but not numerically reported</x:v>
      </x:c>
      <x:c r="AJ228" s="18" t="str">
        <x:v>Figure 4 / 24-h point</x:v>
      </x:c>
      <x:c r="AK228" s="18" t="str">
        <x:v>https://drive.google.com/file/d/1ipQFXfERgAVmgNKMpLkvaaecYJVSTDiw/view?usp=drivesdk</x:v>
      </x:c>
      <x:c r="AL228" s="18" t="str">
        <x:v>FIGURE ONLY / DIGITIZATION NEEDED</x:v>
      </x:c>
    </x:row>
    <x:row r="229">
      <x:c r="A229" s="18" t="str">
        <x:v>Guo 2023</x:v>
      </x:c>
      <x:c r="B229" s="18" t="str">
        <x:v>GUO23_TEAS_vs_SHAM_POCD1</x:v>
      </x:c>
      <x:c r="C229" s="18" t="str">
        <x:v>Perioperative TEAS</x:v>
      </x:c>
      <x:c r="D229" s="18" t="str">
        <x:v>Sham/no-current TEAS</x:v>
      </x:c>
      <x:c r="E229" s="18" t="str">
        <x:v>Neurocognitive</x:v>
      </x:c>
      <x:c r="F229" s="18" t="str">
        <x:v>Postoperative cognitive dysfunction (MoCA decline ≥1 SD)</x:v>
      </x:c>
      <x:c r="G229" s="18" t="str">
        <x:v>POD1</x:v>
      </x:c>
      <x:c r="H229" s="18" t="str">
        <x:v>Events/total</x:v>
      </x:c>
      <x:c r="I229" s="18" t="n">
        <x:v>64</x:v>
      </x:c>
      <x:c r="J229" s="18" t="n">
        <x:v>64</x:v>
      </x:c>
      <x:c r="K229" s="18" t="n">
        <x:v>55</x:v>
      </x:c>
      <x:c r="L229" s="18" t="n">
        <x:v>55</x:v>
      </x:c>
      <x:c r="M229" s="18"/>
      <x:c r="N229" s="18"/>
      <x:c r="O229" s="18"/>
      <x:c r="P229" s="18"/>
      <x:c r="Q229" s="18"/>
      <x:c r="R229" s="18" t="n">
        <x:v>11</x:v>
      </x:c>
      <x:c r="S229" s="18"/>
      <x:c r="T229" s="18"/>
      <x:c r="U229" s="18"/>
      <x:c r="V229" s="18"/>
      <x:c r="W229" s="18"/>
      <x:c r="X229" s="18" t="n">
        <x:v>36</x:v>
      </x:c>
      <x:c r="Y229" s="18" t="str">
        <x:v>participants</x:v>
      </x:c>
      <x:c r="Z229" s="18" t="str">
        <x:v>&lt;0.001</x:v>
      </x:c>
      <x:c r="AA229" s="18" t="str">
        <x:v>Percentages reported; counts derived from n=55 completers</x:v>
      </x:c>
      <x:c r="AB229" s="18" t="str">
        <x:v>Yes</x:v>
      </x:c>
      <x:c r="AC229" s="18" t="str">
        <x:f>IF(H229="Mean/SD","MD",IF(H229="Events/total","RR",""))</x:f>
        <x:v>RR</x:v>
      </x:c>
      <x:c r="AD229" s="18" t="n">
        <x:f>IF(H229="Mean/SD",M229-S229,IF(H229="Events/total",IFERROR((R229/K229)/(X229/L229),""),""))</x:f>
        <x:v>0.3055555555555556</x:v>
      </x:c>
      <x:c r="AE229" s="18" t="str">
        <x:v>No</x:v>
      </x:c>
      <x:c r="AF229" s="18" t="str">
        <x:v>No</x:v>
      </x:c>
      <x:c r="AG229" s="18" t="str">
        <x:v>Eligible only as complete-case POCD result; attrition sensitivity needed</x:v>
      </x:c>
      <x:c r="AH229" s="18" t="str">
        <x:v>No</x:v>
      </x:c>
      <x:c r="AI229" s="18" t="str">
        <x:v>18/128 randomized participants excluded from analysis, including conversions, repeat surgery, refusal and deaths</x:v>
      </x:c>
      <x:c r="AJ229" s="18" t="str">
        <x:v>Primary POCD result</x:v>
      </x:c>
      <x:c r="AK229" s="18" t="str">
        <x:v>https://drive.google.com/file/d/1Idfl7rfZhgAUJHDpsmgzp17ADiGvrU8C/view?usp=drivesdk</x:v>
      </x:c>
      <x:c r="AL229" s="18" t="str">
        <x:v>SOURCE-VERIFIED / COUNTS DERIVED + HIGH ATTRITION</x:v>
      </x:c>
    </x:row>
    <x:row r="230">
      <x:c r="A230" s="18" t="str">
        <x:v>Guo 2023</x:v>
      </x:c>
      <x:c r="B230" s="18" t="str">
        <x:v>GUO23_TEAS_vs_SHAM_POCD7</x:v>
      </x:c>
      <x:c r="C230" s="18" t="str">
        <x:v>Perioperative TEAS</x:v>
      </x:c>
      <x:c r="D230" s="18" t="str">
        <x:v>Sham/no-current TEAS</x:v>
      </x:c>
      <x:c r="E230" s="18" t="str">
        <x:v>Neurocognitive</x:v>
      </x:c>
      <x:c r="F230" s="18" t="str">
        <x:v>Postoperative cognitive dysfunction (MoCA decline ≥1 SD)</x:v>
      </x:c>
      <x:c r="G230" s="18" t="str">
        <x:v>POD7</x:v>
      </x:c>
      <x:c r="H230" s="18" t="str">
        <x:v>Events/total</x:v>
      </x:c>
      <x:c r="I230" s="18" t="n">
        <x:v>64</x:v>
      </x:c>
      <x:c r="J230" s="18" t="n">
        <x:v>64</x:v>
      </x:c>
      <x:c r="K230" s="18" t="n">
        <x:v>55</x:v>
      </x:c>
      <x:c r="L230" s="18" t="n">
        <x:v>55</x:v>
      </x:c>
      <x:c r="M230" s="18"/>
      <x:c r="N230" s="18"/>
      <x:c r="O230" s="18"/>
      <x:c r="P230" s="18"/>
      <x:c r="Q230" s="18"/>
      <x:c r="R230" s="18" t="n">
        <x:v>4</x:v>
      </x:c>
      <x:c r="S230" s="18"/>
      <x:c r="T230" s="18"/>
      <x:c r="U230" s="18"/>
      <x:c r="V230" s="18"/>
      <x:c r="W230" s="18"/>
      <x:c r="X230" s="18" t="n">
        <x:v>24</x:v>
      </x:c>
      <x:c r="Y230" s="18" t="str">
        <x:v>participants</x:v>
      </x:c>
      <x:c r="Z230" s="18" t="str">
        <x:v>&lt;0.001</x:v>
      </x:c>
      <x:c r="AA230" s="18" t="str">
        <x:v>Percentages reported; counts derived from n=55 completers</x:v>
      </x:c>
      <x:c r="AB230" s="18" t="str">
        <x:v>Yes</x:v>
      </x:c>
      <x:c r="AC230" s="18" t="str">
        <x:f>IF(H230="Mean/SD","MD",IF(H230="Events/total","RR",""))</x:f>
        <x:v>RR</x:v>
      </x:c>
      <x:c r="AD230" s="18" t="n">
        <x:f>IF(H230="Mean/SD",M230-S230,IF(H230="Events/total",IFERROR((R230/K230)/(X230/L230),""),""))</x:f>
        <x:v>0.16666666666666666</x:v>
      </x:c>
      <x:c r="AE230" s="18" t="str">
        <x:v>No</x:v>
      </x:c>
      <x:c r="AF230" s="18" t="str">
        <x:v>No</x:v>
      </x:c>
      <x:c r="AG230" s="18" t="str">
        <x:v>Eligible only as complete-case POCD result; attrition sensitivity needed</x:v>
      </x:c>
      <x:c r="AH230" s="18" t="str">
        <x:v>No</x:v>
      </x:c>
      <x:c r="AI230" s="18" t="str">
        <x:v>18/128 randomized participants excluded from analysis, including conversions, repeat surgery, refusal and deaths</x:v>
      </x:c>
      <x:c r="AJ230" s="18" t="str">
        <x:v>Primary POCD result</x:v>
      </x:c>
      <x:c r="AK230" s="18" t="str">
        <x:v>https://drive.google.com/file/d/1Idfl7rfZhgAUJHDpsmgzp17ADiGvrU8C/view?usp=drivesdk</x:v>
      </x:c>
      <x:c r="AL230" s="18" t="str">
        <x:v>SOURCE-VERIFIED / COUNTS DERIVED + HIGH ATTRITION</x:v>
      </x:c>
    </x:row>
    <x:row r="231">
      <x:c r="A231" s="18" t="str">
        <x:v>Guo 2023</x:v>
      </x:c>
      <x:c r="B231" s="18" t="str">
        <x:v>GUO23_TEAS_vs_SHAM_POCD30</x:v>
      </x:c>
      <x:c r="C231" s="18" t="str">
        <x:v>Perioperative TEAS</x:v>
      </x:c>
      <x:c r="D231" s="18" t="str">
        <x:v>Sham/no-current TEAS</x:v>
      </x:c>
      <x:c r="E231" s="18" t="str">
        <x:v>Neurocognitive</x:v>
      </x:c>
      <x:c r="F231" s="18" t="str">
        <x:v>Postoperative cognitive dysfunction (MoCA decline ≥1 SD)</x:v>
      </x:c>
      <x:c r="G231" s="18" t="str">
        <x:v>POD30</x:v>
      </x:c>
      <x:c r="H231" s="18" t="str">
        <x:v>Events/total</x:v>
      </x:c>
      <x:c r="I231" s="18" t="n">
        <x:v>64</x:v>
      </x:c>
      <x:c r="J231" s="18" t="n">
        <x:v>64</x:v>
      </x:c>
      <x:c r="K231" s="18" t="n">
        <x:v>55</x:v>
      </x:c>
      <x:c r="L231" s="18" t="n">
        <x:v>55</x:v>
      </x:c>
      <x:c r="M231" s="18"/>
      <x:c r="N231" s="18"/>
      <x:c r="O231" s="18"/>
      <x:c r="P231" s="18"/>
      <x:c r="Q231" s="18"/>
      <x:c r="R231" s="18" t="n">
        <x:v>2</x:v>
      </x:c>
      <x:c r="S231" s="18"/>
      <x:c r="T231" s="18"/>
      <x:c r="U231" s="18"/>
      <x:c r="V231" s="18"/>
      <x:c r="W231" s="18"/>
      <x:c r="X231" s="18" t="n">
        <x:v>22</x:v>
      </x:c>
      <x:c r="Y231" s="18" t="str">
        <x:v>participants</x:v>
      </x:c>
      <x:c r="Z231" s="18" t="str">
        <x:v>&lt;0.001</x:v>
      </x:c>
      <x:c r="AA231" s="18" t="str">
        <x:v>Percentages reported; counts derived from n=55 completers</x:v>
      </x:c>
      <x:c r="AB231" s="18" t="str">
        <x:v>Yes</x:v>
      </x:c>
      <x:c r="AC231" s="18" t="str">
        <x:f>IF(H231="Mean/SD","MD",IF(H231="Events/total","RR",""))</x:f>
        <x:v>RR</x:v>
      </x:c>
      <x:c r="AD231" s="18" t="n">
        <x:f>IF(H231="Mean/SD",M231-S231,IF(H231="Events/total",IFERROR((R231/K231)/(X231/L231),""),""))</x:f>
        <x:v>0.0909090909090909</x:v>
      </x:c>
      <x:c r="AE231" s="18" t="str">
        <x:v>No</x:v>
      </x:c>
      <x:c r="AF231" s="18" t="str">
        <x:v>No</x:v>
      </x:c>
      <x:c r="AG231" s="18" t="str">
        <x:v>Eligible only as complete-case POCD result; attrition sensitivity needed</x:v>
      </x:c>
      <x:c r="AH231" s="18" t="str">
        <x:v>No</x:v>
      </x:c>
      <x:c r="AI231" s="18" t="str">
        <x:v>18/128 randomized participants excluded from analysis, including conversions, repeat surgery, refusal and deaths</x:v>
      </x:c>
      <x:c r="AJ231" s="18" t="str">
        <x:v>Primary POCD result</x:v>
      </x:c>
      <x:c r="AK231" s="18" t="str">
        <x:v>https://drive.google.com/file/d/1Idfl7rfZhgAUJHDpsmgzp17ADiGvrU8C/view?usp=drivesdk</x:v>
      </x:c>
      <x:c r="AL231" s="18" t="str">
        <x:v>SOURCE-VERIFIED / COUNTS DERIVED + HIGH ATTRITION</x:v>
      </x:c>
    </x:row>
    <x:row r="232">
      <x:c r="A232" s="18" t="str">
        <x:v>Guo 2023</x:v>
      </x:c>
      <x:c r="B232" s="18" t="str">
        <x:v>GUO23_TEAS_vs_SHAM_REMI</x:v>
      </x:c>
      <x:c r="C232" s="18" t="str">
        <x:v>Perioperative TEAS</x:v>
      </x:c>
      <x:c r="D232" s="18" t="str">
        <x:v>Sham/no-current TEAS</x:v>
      </x:c>
      <x:c r="E232" s="18" t="str">
        <x:v>Intraoperative opioid</x:v>
      </x:c>
      <x:c r="F232" s="18" t="str">
        <x:v>Remifentanil consumption</x:v>
      </x:c>
      <x:c r="G232" s="18" t="str">
        <x:v>Intraoperative</x:v>
      </x:c>
      <x:c r="H232" s="18" t="str">
        <x:v>Mean/SD</x:v>
      </x:c>
      <x:c r="I232" s="18" t="n">
        <x:v>64</x:v>
      </x:c>
      <x:c r="J232" s="18" t="n">
        <x:v>64</x:v>
      </x:c>
      <x:c r="K232" s="18" t="n">
        <x:v>55</x:v>
      </x:c>
      <x:c r="L232" s="18" t="n">
        <x:v>55</x:v>
      </x:c>
      <x:c r="M232" s="18" t="n">
        <x:v>0.87</x:v>
      </x:c>
      <x:c r="N232" s="18" t="n">
        <x:v>0.3</x:v>
      </x:c>
      <x:c r="O232" s="18"/>
      <x:c r="P232" s="18"/>
      <x:c r="Q232" s="18"/>
      <x:c r="R232" s="18"/>
      <x:c r="S232" s="18" t="n">
        <x:v>1.01</x:v>
      </x:c>
      <x:c r="T232" s="18" t="n">
        <x:v>0.39</x:v>
      </x:c>
      <x:c r="U232" s="18"/>
      <x:c r="V232" s="18"/>
      <x:c r="W232" s="18"/>
      <x:c r="X232" s="18"/>
      <x:c r="Y232" s="18" t="str">
        <x:v>mg remifentanil</x:v>
      </x:c>
      <x:c r="Z232" s="18" t="str">
        <x:v>0.040</x:v>
      </x:c>
      <x:c r="AA232" s="18" t="str">
        <x:v>Yes</x:v>
      </x:c>
      <x:c r="AB232" s="18" t="str">
        <x:v>No</x:v>
      </x:c>
      <x:c r="AC232" s="18" t="str">
        <x:f>IF(H232="Mean/SD","MD",IF(H232="Events/total","RR",""))</x:f>
        <x:v>MD</x:v>
      </x:c>
      <x:c r="AD232" s="18" t="n">
        <x:f>IF(H232="Mean/SD",M232-S232,IF(H232="Events/total",IFERROR((R232/K232)/(X232/L232),""),""))</x:f>
        <x:v>-0.14</x:v>
      </x:c>
      <x:c r="AE232" s="18" t="str">
        <x:v>No</x:v>
      </x:c>
      <x:c r="AF232" s="18" t="str">
        <x:v>No</x:v>
      </x:c>
      <x:c r="AG232" s="18" t="str">
        <x:v>Eligible for intraoperative opioid-sparing analysis</x:v>
      </x:c>
      <x:c r="AH232" s="18" t="str">
        <x:v>No</x:v>
      </x:c>
      <x:c r="AI232" s="18" t="str">
        <x:v>Complete-case n=55/group</x:v>
      </x:c>
      <x:c r="AJ232" s="18" t="str">
        <x:v>Perioperative anesthetic table</x:v>
      </x:c>
      <x:c r="AK232" s="18" t="str">
        <x:v>https://drive.google.com/file/d/1Idfl7rfZhgAUJHDpsmgzp17ADiGvrU8C/view?usp=drivesdk</x:v>
      </x:c>
      <x:c r="AL232" s="18" t="str">
        <x:v>SOURCE-VERIFIED</x:v>
      </x:c>
    </x:row>
    <x:row r="233">
      <x:c r="A233" s="18" t="str">
        <x:v>Guo 2023</x:v>
      </x:c>
      <x:c r="B233" s="18" t="str">
        <x:v>GUO23_PAINPOD1</x:v>
      </x:c>
      <x:c r="C233" s="18" t="str">
        <x:v>Perioperative TEAS</x:v>
      </x:c>
      <x:c r="D233" s="18" t="str">
        <x:v>Sham/no-current TEAS</x:v>
      </x:c>
      <x:c r="E233" s="18" t="str">
        <x:v>Pain</x:v>
      </x:c>
      <x:c r="F233" s="18" t="str">
        <x:v>NRS pain intensity</x:v>
      </x:c>
      <x:c r="G233" s="18" t="str">
        <x:v>POD1</x:v>
      </x:c>
      <x:c r="H233" s="18" t="str">
        <x:v>Graph-only continuous data</x:v>
      </x:c>
      <x:c r="I233" s="18" t="n">
        <x:v>64</x:v>
      </x:c>
      <x:c r="J233" s="18" t="n">
        <x:v>64</x:v>
      </x:c>
      <x:c r="K233" s="18" t="n">
        <x:v>55</x:v>
      </x:c>
      <x:c r="L233" s="18" t="n">
        <x:v>55</x:v>
      </x:c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 t="str">
        <x:v>NRS</x:v>
      </x:c>
      <x:c r="Z233" s="18" t="str">
        <x:v>&lt;0.001</x:v>
      </x:c>
      <x:c r="AA233" s="18" t="str">
        <x:v>No</x:v>
      </x:c>
      <x:c r="AB233" s="18" t="str">
        <x:v>No</x:v>
      </x:c>
      <x:c r="AC233" s="18" t="str">
        <x:f>IF(H233="Mean/SD","MD",IF(H233="Events/total","RR",""))</x:f>
      </x:c>
      <x:c r="AD233" s="18" t="str">
        <x:f>IF(H233="Mean/SD",M233-S233,IF(H233="Events/total",IFERROR((R233/K233)/(X233/L233),""),""))</x:f>
      </x:c>
      <x:c r="AE233" s="18" t="str">
        <x:v>No</x:v>
      </x:c>
      <x:c r="AF233" s="18" t="str">
        <x:v>No</x:v>
      </x:c>
      <x:c r="AG233" s="18" t="str">
        <x:v>Not ready for continuous pooling without digitization/author data</x:v>
      </x:c>
      <x:c r="AH233" s="18" t="str">
        <x:v>No</x:v>
      </x:c>
      <x:c r="AI233" s="18" t="str">
        <x:v>Exact means/SDs are figure-only</x:v>
      </x:c>
      <x:c r="AJ233" s="18" t="str">
        <x:v>Figure 3B</x:v>
      </x:c>
      <x:c r="AK233" s="18" t="str">
        <x:v>https://drive.google.com/file/d/1Idfl7rfZhgAUJHDpsmgzp17ADiGvrU8C/view?usp=drivesdk</x:v>
      </x:c>
      <x:c r="AL233" s="18" t="str">
        <x:v>FIGURE ONLY / DIGITIZATION NEEDED</x:v>
      </x:c>
    </x:row>
    <x:row r="234">
      <x:c r="A234" s="18" t="str">
        <x:v>Guo 2023</x:v>
      </x:c>
      <x:c r="B234" s="18" t="str">
        <x:v>GUO23_OPIOID24</x:v>
      </x:c>
      <x:c r="C234" s="18" t="str">
        <x:v>Perioperative TEAS</x:v>
      </x:c>
      <x:c r="D234" s="18" t="str">
        <x:v>Sham/no-current TEAS</x:v>
      </x:c>
      <x:c r="E234" s="18" t="str">
        <x:v>Opioid consumption</x:v>
      </x:c>
      <x:c r="F234" s="18" t="str">
        <x:v>Actual postoperative sufentanil consumption</x:v>
      </x:c>
      <x:c r="G234" s="18" t="str">
        <x:v>0-24 h</x:v>
      </x:c>
      <x:c r="H234" s="18" t="str">
        <x:v>Not reported</x:v>
      </x:c>
      <x:c r="I234" s="18" t="n">
        <x:v>64</x:v>
      </x:c>
      <x:c r="J234" s="18" t="n">
        <x:v>64</x:v>
      </x:c>
      <x:c r="K234" s="18" t="n">
        <x:v>55</x:v>
      </x:c>
      <x:c r="L234" s="18" t="n">
        <x:v>55</x:v>
      </x:c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 t="str">
        <x:v>µg sufentanil</x:v>
      </x:c>
      <x:c r="Z234" s="18" t="str"/>
      <x:c r="AA234" s="18" t="str">
        <x:v>No</x:v>
      </x:c>
      <x:c r="AB234" s="18" t="str">
        <x:v>No</x:v>
      </x:c>
      <x:c r="AC234" s="18" t="str">
        <x:f>IF(H234="Mean/SD","MD",IF(H234="Events/total","RR",""))</x:f>
      </x:c>
      <x:c r="AD234" s="18" t="str">
        <x:f>IF(H234="Mean/SD",M234-S234,IF(H234="Events/total",IFERROR((R234/K234)/(X234/L234),""),""))</x:f>
      </x:c>
      <x:c r="AE234" s="18" t="str">
        <x:v>No</x:v>
      </x:c>
      <x:c r="AF234" s="18" t="str">
        <x:v>No</x:v>
      </x:c>
      <x:c r="AG234" s="18" t="str">
        <x:v>Not eligible for continuous 24-h opioid/MME meta-analysis</x:v>
      </x:c>
      <x:c r="AH234" s="18" t="str">
        <x:v>No</x:v>
      </x:c>
      <x:c r="AI234" s="18" t="str">
        <x:v>PCIA prescription is reported but actual delivered 24-h/48-h sufentanil is not</x:v>
      </x:c>
      <x:c r="AJ234" s="18" t="str">
        <x:v>Postoperative PCIA section</x:v>
      </x:c>
      <x:c r="AK234" s="18" t="str">
        <x:v>https://drive.google.com/file/d/1Idfl7rfZhgAUJHDpsmgzp17ADiGvrU8C/view?usp=drivesdk</x:v>
      </x:c>
      <x:c r="AL234" s="18" t="str">
        <x:v>MISSING / AUTHOR DATA NEEDED</x:v>
      </x:c>
    </x:row>
    <x:row r="235">
      <x:c r="A235" s="18" t="str">
        <x:v>Grech 2016</x:v>
      </x:c>
      <x:c r="B235" s="18" t="str">
        <x:v>GRECH16_EA_vs_CTRL_PACU_MME_WOMEN</x:v>
      </x:c>
      <x:c r="C235" s="18" t="str">
        <x:v>Intraoperative low-frequency EA</x:v>
      </x:c>
      <x:c r="D235" s="18" t="str">
        <x:v>Sham/control</x:v>
      </x:c>
      <x:c r="E235" s="18" t="str">
        <x:v>Opioid consumption</x:v>
      </x:c>
      <x:c r="F235" s="18" t="str">
        <x:v>PACU analgesic requirement in women-only subgroup</x:v>
      </x:c>
      <x:c r="G235" s="18" t="str">
        <x:v>PACU</x:v>
      </x:c>
      <x:c r="H235" s="18" t="str">
        <x:v>Graph-only morphine-equivalent outcome</x:v>
      </x:c>
      <x:c r="I235" s="18" t="n">
        <x:v>11</x:v>
      </x:c>
      <x:c r="J235" s="18" t="n">
        <x:v>9</x:v>
      </x:c>
      <x:c r="K235" s="18" t="n">
        <x:v>9</x:v>
      </x:c>
      <x:c r="L235" s="18" t="n">
        <x:v>9</x:v>
      </x:c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 t="str">
        <x:v>mg morphine-equivalent</x:v>
      </x:c>
      <x:c r="Z235" s="18" t="str">
        <x:v>Significant; authors report ~60% lower in EA women</x:v>
      </x:c>
      <x:c r="AA235" s="18" t="str">
        <x:v>No</x:v>
      </x:c>
      <x:c r="AB235" s="18" t="str">
        <x:v>No</x:v>
      </x:c>
      <x:c r="AC235" s="18" t="str">
        <x:f>IF(H235="Mean/SD","MD",IF(H235="Events/total","RR",""))</x:f>
      </x:c>
      <x:c r="AD235" s="18" t="str">
        <x:f>IF(H235="Mean/SD",M235-S235,IF(H235="Events/total",IFERROR((R235/K235)/(X235/L235),""),""))</x:f>
      </x:c>
      <x:c r="AE235" s="18" t="str">
        <x:v>No</x:v>
      </x:c>
      <x:c r="AF235" s="18" t="str">
        <x:v>No</x:v>
      </x:c>
      <x:c r="AG235" s="18" t="str">
        <x:v>Not quantitatively meta-analysis-ready without exact graph values or author data</x:v>
      </x:c>
      <x:c r="AH235" s="18" t="str">
        <x:v>No</x:v>
      </x:c>
      <x:c r="AI235" s="18" t="str">
        <x:v>Post hoc women-only subgroup excludes two men from EA arm; exact means/SEM are not tabulated</x:v>
      </x:c>
      <x:c r="AJ235" s="18" t="str">
        <x:v>Figure 1D / women-only PACU analgesic requirement</x:v>
      </x:c>
      <x:c r="AK235" s="18" t="str">
        <x:v>https://drive.google.com/file/d/1U3KShiAZKL8n9hxSpBkhuhuQHW2EN-IY/view?usp=drivesdk</x:v>
      </x:c>
      <x:c r="AL235" s="18" t="str">
        <x:v>GRAPH ONLY / POST-HOC SUBGROUP</x:v>
      </x:c>
    </x:row>
    <x:row r="236">
      <x:c r="A236" s="18" t="str">
        <x:v>Grech 2016</x:v>
      </x:c>
      <x:c r="B236" s="18" t="str">
        <x:v>GRECH16_EA_vs_CTRL_OPIOID24</x:v>
      </x:c>
      <x:c r="C236" s="18" t="str">
        <x:v>Intraoperative low-frequency EA</x:v>
      </x:c>
      <x:c r="D236" s="18" t="str">
        <x:v>Sham/control</x:v>
      </x:c>
      <x:c r="E236" s="18" t="str">
        <x:v>Opioid consumption</x:v>
      </x:c>
      <x:c r="F236" s="18" t="str">
        <x:v>Exact cumulative 24-h postoperative morphine-equivalent consumption</x:v>
      </x:c>
      <x:c r="G236" s="18" t="str">
        <x:v>0-24 h</x:v>
      </x:c>
      <x:c r="H236" s="18" t="str">
        <x:v>Not reported</x:v>
      </x:c>
      <x:c r="I236" s="18" t="n">
        <x:v>11</x:v>
      </x:c>
      <x:c r="J236" s="18" t="n">
        <x:v>9</x:v>
      </x:c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 t="str">
        <x:v>mg morphine-equivalent</x:v>
      </x:c>
      <x:c r="Z236" s="18" t="str"/>
      <x:c r="AA236" s="18" t="str">
        <x:v>No</x:v>
      </x:c>
      <x:c r="AB236" s="18" t="str">
        <x:v>No</x:v>
      </x:c>
      <x:c r="AC236" s="18" t="str">
        <x:f>IF(H236="Mean/SD","MD",IF(H236="Events/total","RR",""))</x:f>
      </x:c>
      <x:c r="AD236" s="18" t="str">
        <x:f>IF(H236="Mean/SD",M236-S236,IF(H236="Events/total",IFERROR((R236/K236)/(X236/L236),""),""))</x:f>
      </x:c>
      <x:c r="AE236" s="18" t="str">
        <x:v>No</x:v>
      </x:c>
      <x:c r="AF236" s="18" t="str">
        <x:v>No</x:v>
      </x:c>
      <x:c r="AG236" s="18" t="str">
        <x:v>Not eligible for continuous 24-h opioid/MME meta-analysis</x:v>
      </x:c>
      <x:c r="AH236" s="18" t="str">
        <x:v>No</x:v>
      </x:c>
      <x:c r="AI236" s="18" t="str">
        <x:v>Day-1 analgesic use is graphical and exact 24-h mean/dispersion is not tabulated</x:v>
      </x:c>
      <x:c r="AJ236" s="18" t="str">
        <x:v>Postoperative analgesic figures</x:v>
      </x:c>
      <x:c r="AK236" s="18" t="str">
        <x:v>https://drive.google.com/file/d/1U3KShiAZKL8n9hxSpBkhuhuQHW2EN-IY/view?usp=drivesdk</x:v>
      </x:c>
      <x:c r="AL236" s="18" t="str">
        <x:v>MISSING / AUTHOR DATA NEEDED</x:v>
      </x:c>
    </x:row>
    <x:row r="237">
      <x:c r="A237" s="18" t="str">
        <x:v>Grech 2016</x:v>
      </x:c>
      <x:c r="B237" s="18" t="str">
        <x:v>GRECH16_EA_vs_CTRL_PAIN</x:v>
      </x:c>
      <x:c r="C237" s="18" t="str">
        <x:v>Intraoperative low-frequency EA</x:v>
      </x:c>
      <x:c r="D237" s="18" t="str">
        <x:v>Sham/control</x:v>
      </x:c>
      <x:c r="E237" s="18" t="str">
        <x:v>Pain</x:v>
      </x:c>
      <x:c r="F237" s="18" t="str">
        <x:v>Postoperative VAS pain</x:v>
      </x:c>
      <x:c r="G237" s="18" t="str">
        <x:v>PACU and POD1-3</x:v>
      </x:c>
      <x:c r="H237" s="18" t="str">
        <x:v>Graph-only continuous data</x:v>
      </x:c>
      <x:c r="I237" s="18" t="n">
        <x:v>11</x:v>
      </x:c>
      <x:c r="J237" s="18" t="n">
        <x:v>9</x:v>
      </x:c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 t="str">
        <x:v>VAS 0-10</x:v>
      </x:c>
      <x:c r="Z237" s="18" t="str">
        <x:v>No significant overall difference</x:v>
      </x:c>
      <x:c r="AA237" s="18" t="str">
        <x:v>No</x:v>
      </x:c>
      <x:c r="AB237" s="18" t="str">
        <x:v>No</x:v>
      </x:c>
      <x:c r="AC237" s="18" t="str">
        <x:f>IF(H237="Mean/SD","MD",IF(H237="Events/total","RR",""))</x:f>
      </x:c>
      <x:c r="AD237" s="18" t="str">
        <x:f>IF(H237="Mean/SD",M237-S237,IF(H237="Events/total",IFERROR((R237/K237)/(X237/L237),""),""))</x:f>
      </x:c>
      <x:c r="AE237" s="18" t="str">
        <x:v>No</x:v>
      </x:c>
      <x:c r="AF237" s="18" t="str">
        <x:v>No</x:v>
      </x:c>
      <x:c r="AG237" s="18" t="str">
        <x:v>Not ready for continuous pooling without digitization</x:v>
      </x:c>
      <x:c r="AH237" s="18" t="str">
        <x:v>No</x:v>
      </x:c>
      <x:c r="AI237" s="18" t="str">
        <x:v>Exact numeric pain means/SEM are not tabulated</x:v>
      </x:c>
      <x:c r="AJ237" s="18" t="str">
        <x:v>Postoperative pain figures</x:v>
      </x:c>
      <x:c r="AK237" s="18" t="str">
        <x:v>https://drive.google.com/file/d/1U3KShiAZKL8n9hxSpBkhuhuQHW2EN-IY/view?usp=drivesdk</x:v>
      </x:c>
      <x:c r="AL237" s="18" t="str">
        <x:v>FIGURE ONLY</x:v>
      </x:c>
    </x:row>
    <x:row r="238">
      <x:c r="A238" s="18" t="str">
        <x:v>Gao 2021</x:v>
      </x:c>
      <x:c r="B238" s="18" t="str">
        <x:v>GAO21_TEAS_vs_SHAM_POI</x:v>
      </x:c>
      <x:c r="C238" s="18" t="str">
        <x:v>Postoperative TEAS</x:v>
      </x:c>
      <x:c r="D238" s="18" t="str">
        <x:v>Sham/no-current TEAS</x:v>
      </x:c>
      <x:c r="E238" s="18" t="str">
        <x:v>GI recovery</x:v>
      </x:c>
      <x:c r="F238" s="18" t="str">
        <x:v>Postoperative paralytic ileus: no flatus &gt;72 h</x:v>
      </x:c>
      <x:c r="G238" s="18" t="str">
        <x:v>Postoperative</x:v>
      </x:c>
      <x:c r="H238" s="18" t="str">
        <x:v>Events/total</x:v>
      </x:c>
      <x:c r="I238" s="18" t="n">
        <x:v>303</x:v>
      </x:c>
      <x:c r="J238" s="18" t="n">
        <x:v>307</x:v>
      </x:c>
      <x:c r="K238" s="18" t="n">
        <x:v>303</x:v>
      </x:c>
      <x:c r="L238" s="18" t="n">
        <x:v>307</x:v>
      </x:c>
      <x:c r="M238" s="18"/>
      <x:c r="N238" s="18"/>
      <x:c r="O238" s="18"/>
      <x:c r="P238" s="18"/>
      <x:c r="Q238" s="18"/>
      <x:c r="R238" s="18" t="n">
        <x:v>98</x:v>
      </x:c>
      <x:c r="S238" s="18"/>
      <x:c r="T238" s="18"/>
      <x:c r="U238" s="18"/>
      <x:c r="V238" s="18"/>
      <x:c r="W238" s="18"/>
      <x:c r="X238" s="18" t="n">
        <x:v>126</x:v>
      </x:c>
      <x:c r="Y238" s="18" t="str">
        <x:v>participants</x:v>
      </x:c>
      <x:c r="Z238" s="18" t="str">
        <x:v>0.026</x:v>
      </x:c>
      <x:c r="AA238" s="18" t="str">
        <x:v>Yes</x:v>
      </x:c>
      <x:c r="AB238" s="18" t="str">
        <x:v>No</x:v>
      </x:c>
      <x:c r="AC238" s="18" t="str">
        <x:f>IF(H238="Mean/SD","MD",IF(H238="Events/total","RR",""))</x:f>
        <x:v>RR</x:v>
      </x:c>
      <x:c r="AD238" s="18" t="n">
        <x:f>IF(H238="Mean/SD",M238-S238,IF(H238="Events/total",IFERROR((R238/K238)/(X238/L238),""),""))</x:f>
        <x:v>0.788045471213788</x:v>
      </x:c>
      <x:c r="AE238" s="18" t="str">
        <x:v>No</x:v>
      </x:c>
      <x:c r="AF238" s="18" t="str">
        <x:v>No</x:v>
      </x:c>
      <x:c r="AG238" s="18" t="str">
        <x:v>Eligible for dichotomous POI analysis</x:v>
      </x:c>
      <x:c r="AH238" s="18" t="str">
        <x:v>No</x:v>
      </x:c>
      <x:c r="AI238" s="18" t="str">
        <x:v>Full ITT of all 610 randomized; participant sensory masking limited because active TEAS was perceptible</x:v>
      </x:c>
      <x:c r="AJ238" s="18" t="str">
        <x:v>Primary POI outcome</x:v>
      </x:c>
      <x:c r="AK238" s="18" t="str">
        <x:v>https://drive.google.com/file/d/1QbM6CNi8KfBXmMTqG1ASm3hK05cz_hKQ/view?usp=drivesdk</x:v>
      </x:c>
      <x:c r="AL238" s="18" t="str">
        <x:v>SOURCE-VERIFIED</x:v>
      </x:c>
    </x:row>
    <x:row r="239">
      <x:c r="A239" s="18" t="str">
        <x:v>Gao 2021</x:v>
      </x:c>
      <x:c r="B239" s="18" t="str">
        <x:v>GAO21_TEAS_vs_SHAM_FLATUS</x:v>
      </x:c>
      <x:c r="C239" s="18" t="str">
        <x:v>Postoperative TEAS</x:v>
      </x:c>
      <x:c r="D239" s="18" t="str">
        <x:v>Sham/no-current TEAS</x:v>
      </x:c>
      <x:c r="E239" s="18" t="str">
        <x:v>GI recovery</x:v>
      </x:c>
      <x:c r="F239" s="18" t="str">
        <x:v>Time to first flatus</x:v>
      </x:c>
      <x:c r="G239" s="18" t="str">
        <x:v>Postoperative</x:v>
      </x:c>
      <x:c r="H239" s="18" t="str">
        <x:v>Mean/SD</x:v>
      </x:c>
      <x:c r="I239" s="18" t="n">
        <x:v>303</x:v>
      </x:c>
      <x:c r="J239" s="18" t="n">
        <x:v>307</x:v>
      </x:c>
      <x:c r="K239" s="18" t="n">
        <x:v>303</x:v>
      </x:c>
      <x:c r="L239" s="18" t="n">
        <x:v>307</x:v>
      </x:c>
      <x:c r="M239" s="18" t="n">
        <x:v>63.4</x:v>
      </x:c>
      <x:c r="N239" s="18" t="n">
        <x:v>29</x:v>
      </x:c>
      <x:c r="O239" s="18"/>
      <x:c r="P239" s="18"/>
      <x:c r="Q239" s="18"/>
      <x:c r="R239" s="18"/>
      <x:c r="S239" s="18" t="n">
        <x:v>76.3</x:v>
      </x:c>
      <x:c r="T239" s="18" t="n">
        <x:v>37.9</x:v>
      </x:c>
      <x:c r="U239" s="18"/>
      <x:c r="V239" s="18"/>
      <x:c r="W239" s="18"/>
      <x:c r="X239" s="18"/>
      <x:c r="Y239" s="18" t="str">
        <x:v>hours</x:v>
      </x:c>
      <x:c r="Z239" s="18" t="str">
        <x:v>0.001</x:v>
      </x:c>
      <x:c r="AA239" s="18" t="str">
        <x:v>Yes</x:v>
      </x:c>
      <x:c r="AB239" s="18" t="str">
        <x:v>No</x:v>
      </x:c>
      <x:c r="AC239" s="18" t="str">
        <x:f>IF(H239="Mean/SD","MD",IF(H239="Events/total","RR",""))</x:f>
        <x:v>MD</x:v>
      </x:c>
      <x:c r="AD239" s="18" t="n">
        <x:f>IF(H239="Mean/SD",M239-S239,IF(H239="Events/total",IFERROR((R239/K239)/(X239/L239),""),""))</x:f>
        <x:v>-12.899999999999999</x:v>
      </x:c>
      <x:c r="AE239" s="18" t="str">
        <x:v>No</x:v>
      </x:c>
      <x:c r="AF239" s="18" t="str">
        <x:v>No</x:v>
      </x:c>
      <x:c r="AG239" s="18" t="str">
        <x:v>Eligible for GI-recovery analysis</x:v>
      </x:c>
      <x:c r="AH239" s="18" t="str">
        <x:v>No</x:v>
      </x:c>
      <x:c r="AI239" s="18" t="str">
        <x:v>Full randomized sample retained; participant awareness may influence self-reported GI milestones</x:v>
      </x:c>
      <x:c r="AJ239" s="18" t="str">
        <x:v>GI recovery outcomes</x:v>
      </x:c>
      <x:c r="AK239" s="18" t="str">
        <x:v>https://drive.google.com/file/d/1QbM6CNi8KfBXmMTqG1ASm3hK05cz_hKQ/view?usp=drivesdk</x:v>
      </x:c>
      <x:c r="AL239" s="18" t="str">
        <x:v>SOURCE-VERIFIED</x:v>
      </x:c>
    </x:row>
    <x:row r="240">
      <x:c r="A240" s="18" t="str">
        <x:v>Gao 2021</x:v>
      </x:c>
      <x:c r="B240" s="18" t="str">
        <x:v>GAO21_TEAS_vs_SHAM_DEFEC</x:v>
      </x:c>
      <x:c r="C240" s="18" t="str">
        <x:v>Postoperative TEAS</x:v>
      </x:c>
      <x:c r="D240" s="18" t="str">
        <x:v>Sham/no-current TEAS</x:v>
      </x:c>
      <x:c r="E240" s="18" t="str">
        <x:v>GI recovery</x:v>
      </x:c>
      <x:c r="F240" s="18" t="str">
        <x:v>Time to first defecation</x:v>
      </x:c>
      <x:c r="G240" s="18" t="str">
        <x:v>Postoperative</x:v>
      </x:c>
      <x:c r="H240" s="18" t="str">
        <x:v>Mean/SD</x:v>
      </x:c>
      <x:c r="I240" s="18" t="n">
        <x:v>303</x:v>
      </x:c>
      <x:c r="J240" s="18" t="n">
        <x:v>307</x:v>
      </x:c>
      <x:c r="K240" s="18" t="n">
        <x:v>303</x:v>
      </x:c>
      <x:c r="L240" s="18" t="n">
        <x:v>307</x:v>
      </x:c>
      <x:c r="M240" s="18" t="n">
        <x:v>106.7</x:v>
      </x:c>
      <x:c r="N240" s="18" t="n">
        <x:v>65.6</x:v>
      </x:c>
      <x:c r="O240" s="18"/>
      <x:c r="P240" s="18"/>
      <x:c r="Q240" s="18"/>
      <x:c r="R240" s="18"/>
      <x:c r="S240" s="18" t="n">
        <x:v>121.5</x:v>
      </x:c>
      <x:c r="T240" s="18" t="n">
        <x:v>65.6</x:v>
      </x:c>
      <x:c r="U240" s="18"/>
      <x:c r="V240" s="18"/>
      <x:c r="W240" s="18"/>
      <x:c r="X240" s="18"/>
      <x:c r="Y240" s="18" t="str">
        <x:v>hours</x:v>
      </x:c>
      <x:c r="Z240" s="18" t="str">
        <x:v>0.005</x:v>
      </x:c>
      <x:c r="AA240" s="18" t="str">
        <x:v>Yes</x:v>
      </x:c>
      <x:c r="AB240" s="18" t="str">
        <x:v>No</x:v>
      </x:c>
      <x:c r="AC240" s="18" t="str">
        <x:f>IF(H240="Mean/SD","MD",IF(H240="Events/total","RR",""))</x:f>
        <x:v>MD</x:v>
      </x:c>
      <x:c r="AD240" s="18" t="n">
        <x:f>IF(H240="Mean/SD",M240-S240,IF(H240="Events/total",IFERROR((R240/K240)/(X240/L240),""),""))</x:f>
        <x:v>-14.799999999999997</x:v>
      </x:c>
      <x:c r="AE240" s="18" t="str">
        <x:v>No</x:v>
      </x:c>
      <x:c r="AF240" s="18" t="str">
        <x:v>No</x:v>
      </x:c>
      <x:c r="AG240" s="18" t="str">
        <x:v>Eligible for GI-recovery analysis</x:v>
      </x:c>
      <x:c r="AH240" s="18" t="str">
        <x:v>No</x:v>
      </x:c>
      <x:c r="AI240" s="18" t="str">
        <x:v>Full randomized sample retained; participant awareness may influence self-reported GI milestones</x:v>
      </x:c>
      <x:c r="AJ240" s="18" t="str">
        <x:v>GI recovery outcomes</x:v>
      </x:c>
      <x:c r="AK240" s="18" t="str">
        <x:v>https://drive.google.com/file/d/1QbM6CNi8KfBXmMTqG1ASm3hK05cz_hKQ/view?usp=drivesdk</x:v>
      </x:c>
      <x:c r="AL240" s="18" t="str">
        <x:v>SOURCE-VERIFIED</x:v>
      </x:c>
    </x:row>
    <x:row r="241">
      <x:c r="A241" s="18" t="str">
        <x:v>Gao 2021</x:v>
      </x:c>
      <x:c r="B241" s="18" t="str">
        <x:v>GAO21_TEAS_vs_SHAM_DIET</x:v>
      </x:c>
      <x:c r="C241" s="18" t="str">
        <x:v>Postoperative TEAS</x:v>
      </x:c>
      <x:c r="D241" s="18" t="str">
        <x:v>Sham/no-current TEAS</x:v>
      </x:c>
      <x:c r="E241" s="18" t="str">
        <x:v>GI recovery</x:v>
      </x:c>
      <x:c r="F241" s="18" t="str">
        <x:v>Time to resume normal diet</x:v>
      </x:c>
      <x:c r="G241" s="18" t="str">
        <x:v>Postoperative</x:v>
      </x:c>
      <x:c r="H241" s="18" t="str">
        <x:v>Mean/SD</x:v>
      </x:c>
      <x:c r="I241" s="18" t="n">
        <x:v>303</x:v>
      </x:c>
      <x:c r="J241" s="18" t="n">
        <x:v>307</x:v>
      </x:c>
      <x:c r="K241" s="18" t="n">
        <x:v>303</x:v>
      </x:c>
      <x:c r="L241" s="18" t="n">
        <x:v>307</x:v>
      </x:c>
      <x:c r="M241" s="18" t="n">
        <x:v>373.9</x:v>
      </x:c>
      <x:c r="N241" s="18" t="n">
        <x:v>224.9</x:v>
      </x:c>
      <x:c r="O241" s="18"/>
      <x:c r="P241" s="18"/>
      <x:c r="Q241" s="18"/>
      <x:c r="R241" s="18"/>
      <x:c r="S241" s="18" t="n">
        <x:v>425.5</x:v>
      </x:c>
      <x:c r="T241" s="18" t="n">
        <x:v>235.6</x:v>
      </x:c>
      <x:c r="U241" s="18"/>
      <x:c r="V241" s="18"/>
      <x:c r="W241" s="18"/>
      <x:c r="X241" s="18"/>
      <x:c r="Y241" s="18" t="str">
        <x:v>hours</x:v>
      </x:c>
      <x:c r="Z241" s="18" t="str">
        <x:v>0.006</x:v>
      </x:c>
      <x:c r="AA241" s="18" t="str">
        <x:v>Yes</x:v>
      </x:c>
      <x:c r="AB241" s="18" t="str">
        <x:v>No</x:v>
      </x:c>
      <x:c r="AC241" s="18" t="str">
        <x:f>IF(H241="Mean/SD","MD",IF(H241="Events/total","RR",""))</x:f>
        <x:v>MD</x:v>
      </x:c>
      <x:c r="AD241" s="18" t="n">
        <x:f>IF(H241="Mean/SD",M241-S241,IF(H241="Events/total",IFERROR((R241/K241)/(X241/L241),""),""))</x:f>
        <x:v>-51.60000000000002</x:v>
      </x:c>
      <x:c r="AE241" s="18" t="str">
        <x:v>No</x:v>
      </x:c>
      <x:c r="AF241" s="18" t="str">
        <x:v>No</x:v>
      </x:c>
      <x:c r="AG241" s="18" t="str">
        <x:v>Eligible for GI-recovery analysis</x:v>
      </x:c>
      <x:c r="AH241" s="18" t="str">
        <x:v>No</x:v>
      </x:c>
      <x:c r="AI241" s="18" t="str">
        <x:v>Full randomized sample retained; participant awareness may influence self-reported GI milestones</x:v>
      </x:c>
      <x:c r="AJ241" s="18" t="str">
        <x:v>GI recovery outcomes</x:v>
      </x:c>
      <x:c r="AK241" s="18" t="str">
        <x:v>https://drive.google.com/file/d/1QbM6CNi8KfBXmMTqG1ASm3hK05cz_hKQ/view?usp=drivesdk</x:v>
      </x:c>
      <x:c r="AL241" s="18" t="str">
        <x:v>SOURCE-VERIFIED</x:v>
      </x:c>
    </x:row>
    <x:row r="242">
      <x:c r="A242" s="18" t="str">
        <x:v>Gao 2021</x:v>
      </x:c>
      <x:c r="B242" s="18" t="str">
        <x:v>GAO21_OPIOID24</x:v>
      </x:c>
      <x:c r="C242" s="18" t="str">
        <x:v>Postoperative TEAS</x:v>
      </x:c>
      <x:c r="D242" s="18" t="str">
        <x:v>Sham/no-current TEAS</x:v>
      </x:c>
      <x:c r="E242" s="18" t="str">
        <x:v>Opioid consumption</x:v>
      </x:c>
      <x:c r="F242" s="18" t="str">
        <x:v>Exact cumulative postoperative opioid consumption</x:v>
      </x:c>
      <x:c r="G242" s="18" t="str">
        <x:v>0-24 h</x:v>
      </x:c>
      <x:c r="H242" s="18" t="str">
        <x:v>Not reported</x:v>
      </x:c>
      <x:c r="I242" s="18" t="n">
        <x:v>303</x:v>
      </x:c>
      <x:c r="J242" s="18" t="n">
        <x:v>307</x:v>
      </x:c>
      <x:c r="K242" s="18" t="n">
        <x:v>303</x:v>
      </x:c>
      <x:c r="L242" s="18" t="n">
        <x:v>307</x:v>
      </x:c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 t="str">
        <x:v>mg/µg</x:v>
      </x:c>
      <x:c r="Z242" s="18" t="str"/>
      <x:c r="AA242" s="18" t="str">
        <x:v>No</x:v>
      </x:c>
      <x:c r="AB242" s="18" t="str">
        <x:v>No</x:v>
      </x:c>
      <x:c r="AC242" s="18" t="str">
        <x:f>IF(H242="Mean/SD","MD",IF(H242="Events/total","RR",""))</x:f>
      </x:c>
      <x:c r="AD242" s="18" t="str">
        <x:f>IF(H242="Mean/SD",M242-S242,IF(H242="Events/total",IFERROR((R242/K242)/(X242/L242),""),""))</x:f>
      </x:c>
      <x:c r="AE242" s="18" t="str">
        <x:v>No</x:v>
      </x:c>
      <x:c r="AF242" s="18" t="str">
        <x:v>No</x:v>
      </x:c>
      <x:c r="AG242" s="18" t="str">
        <x:v>Not eligible for continuous 24-h opioid/MME meta-analysis</x:v>
      </x:c>
      <x:c r="AH242" s="18" t="str">
        <x:v>No</x:v>
      </x:c>
      <x:c r="AI242" s="18" t="str">
        <x:v>Main article reports only whether postoperative analgesia was used, not drug-specific dose/route/PCA consumption</x:v>
      </x:c>
      <x:c r="AJ242" s="18" t="str">
        <x:v>Postoperative analgesia section</x:v>
      </x:c>
      <x:c r="AK242" s="18" t="str">
        <x:v>https://drive.google.com/file/d/1QbM6CNi8KfBXmMTqG1ASm3hK05cz_hKQ/view?usp=drivesdk</x:v>
      </x:c>
      <x:c r="AL242" s="18" t="str">
        <x:v>MISSING / NOT REPORTED</x:v>
      </x:c>
    </x:row>
    <x:row r="243">
      <x:c r="A243" s="18" t="str">
        <x:v>Yeh 2010</x:v>
      </x:c>
      <x:c r="B243" s="18" t="str">
        <x:v>YEH10_AES_vs_SHAM_MORPH24</x:v>
      </x:c>
      <x:c r="C243" s="18" t="str">
        <x:v>True-acupoint AES</x:v>
      </x:c>
      <x:c r="D243" s="18" t="str">
        <x:v>Electrical sham/nonmeridian AES</x:v>
      </x:c>
      <x:c r="E243" s="18" t="str">
        <x:v>Opioid consumption</x:v>
      </x:c>
      <x:c r="F243" s="18" t="str">
        <x:v>24-h morphine PCA dose</x:v>
      </x:c>
      <x:c r="G243" s="18" t="str">
        <x:v>First 24 postoperative hours</x:v>
      </x:c>
      <x:c r="H243" s="18" t="str">
        <x:v>Mean/SD</x:v>
      </x:c>
      <x:c r="I243" s="18"/>
      <x:c r="J243" s="18"/>
      <x:c r="K243" s="18" t="n">
        <x:v>33</x:v>
      </x:c>
      <x:c r="L243" s="18" t="n">
        <x:v>30</x:v>
      </x:c>
      <x:c r="M243" s="18" t="n">
        <x:v>18.6</x:v>
      </x:c>
      <x:c r="N243" s="18" t="n">
        <x:v>9.7</x:v>
      </x:c>
      <x:c r="O243" s="18"/>
      <x:c r="P243" s="18"/>
      <x:c r="Q243" s="18"/>
      <x:c r="R243" s="18"/>
      <x:c r="S243" s="18" t="n">
        <x:v>21.6</x:v>
      </x:c>
      <x:c r="T243" s="18" t="n">
        <x:v>13.1</x:v>
      </x:c>
      <x:c r="U243" s="18"/>
      <x:c r="V243" s="18"/>
      <x:c r="W243" s="18"/>
      <x:c r="X243" s="18"/>
      <x:c r="Y243" s="18" t="str">
        <x:v>mg morphine; source explicitly calls PCA epidural</x:v>
      </x:c>
      <x:c r="Z243" s="18" t="str">
        <x:v>AES-vs-sham pairwise significance NR</x:v>
      </x:c>
      <x:c r="AA243" s="18" t="str">
        <x:v>Yes</x:v>
      </x:c>
      <x:c r="AB243" s="18" t="str">
        <x:v>No</x:v>
      </x:c>
      <x:c r="AC243" s="18" t="str">
        <x:f>IF(H243="Mean/SD","MD",IF(H243="Events/total","RR",""))</x:f>
        <x:v>MD</x:v>
      </x:c>
      <x:c r="AD243" s="18" t="n">
        <x:f>IF(H243="Mean/SD",M243-S243,IF(H243="Events/total",IFERROR((R243/K243)/(X243/L243),""),""))</x:f>
        <x:v>-3</x:v>
      </x:c>
      <x:c r="AE243" s="18" t="str">
        <x:v>Yes</x:v>
      </x:c>
      <x:c r="AF243" s="18" t="str">
        <x:v>Conditional</x:v>
      </x:c>
      <x:c r="AG243" s="18" t="str">
        <x:v>SOURCE VALID BUT META-ANALYSIS HOLD until PCA route and report overlap with Yeh 2011 are resolved</x:v>
      </x:c>
      <x:c r="AH243" s="18" t="str">
        <x:v>Yes</x:v>
      </x:c>
      <x:c r="AI243" s="18" t="str">
        <x:v>Probable overlapping publication/cohort with Yeh 2011. Five of 99 entrants did not complete and randomized arm assignment of losses is NR. Do not treat both papers as independent.</x:v>
      </x:c>
      <x:c r="AJ243" s="18" t="str">
        <x:v>Table 4 / 24-h opiate dose</x:v>
      </x:c>
      <x:c r="AK243" s="18" t="str">
        <x:v>https://drive.google.com/file/d/1a1s31PQPWGnaVkYUtNUxO22F3QFTcwmi/view?usp=drivesdk</x:v>
      </x:c>
      <x:c r="AL243" s="18" t="str">
        <x:v>SOURCE-VERIFIED / DUPLICATE-OVERLAP HOLD</x:v>
      </x:c>
    </x:row>
    <x:row r="244">
      <x:c r="A244" s="18" t="str">
        <x:v>Yeh 2010</x:v>
      </x:c>
      <x:c r="B244" s="18" t="str">
        <x:v>YEH10_AES_vs_CONTROL_MORPH24</x:v>
      </x:c>
      <x:c r="C244" s="18" t="str">
        <x:v>True-acupoint AES</x:v>
      </x:c>
      <x:c r="D244" s="18" t="str">
        <x:v>No-AES control</x:v>
      </x:c>
      <x:c r="E244" s="18" t="str">
        <x:v>Opioid consumption</x:v>
      </x:c>
      <x:c r="F244" s="18" t="str">
        <x:v>24-h morphine PCA dose</x:v>
      </x:c>
      <x:c r="G244" s="18" t="str">
        <x:v>First 24 postoperative hours</x:v>
      </x:c>
      <x:c r="H244" s="18" t="str">
        <x:v>Mean/SD</x:v>
      </x:c>
      <x:c r="I244" s="18"/>
      <x:c r="J244" s="18"/>
      <x:c r="K244" s="18" t="n">
        <x:v>33</x:v>
      </x:c>
      <x:c r="L244" s="18" t="n">
        <x:v>31</x:v>
      </x:c>
      <x:c r="M244" s="18" t="n">
        <x:v>18.6</x:v>
      </x:c>
      <x:c r="N244" s="18" t="n">
        <x:v>9.7</x:v>
      </x:c>
      <x:c r="O244" s="18"/>
      <x:c r="P244" s="18"/>
      <x:c r="Q244" s="18"/>
      <x:c r="R244" s="18"/>
      <x:c r="S244" s="18" t="n">
        <x:v>27.2</x:v>
      </x:c>
      <x:c r="T244" s="18" t="n">
        <x:v>12.5</x:v>
      </x:c>
      <x:c r="U244" s="18"/>
      <x:c r="V244" s="18"/>
      <x:c r="W244" s="18"/>
      <x:c r="X244" s="18"/>
      <x:c r="Y244" s="18" t="str">
        <x:v>mg morphine; source explicitly calls PCA epidural</x:v>
      </x:c>
      <x:c r="Z244" s="18" t="str">
        <x:v>0.02</x:v>
      </x:c>
      <x:c r="AA244" s="18" t="str">
        <x:v>Yes</x:v>
      </x:c>
      <x:c r="AB244" s="18" t="str">
        <x:v>No</x:v>
      </x:c>
      <x:c r="AC244" s="18" t="str">
        <x:f>IF(H244="Mean/SD","MD",IF(H244="Events/total","RR",""))</x:f>
        <x:v>MD</x:v>
      </x:c>
      <x:c r="AD244" s="18" t="n">
        <x:f>IF(H244="Mean/SD",M244-S244,IF(H244="Events/total",IFERROR((R244/K244)/(X244/L244),""),""))</x:f>
        <x:v>-8.599999999999998</x:v>
      </x:c>
      <x:c r="AE244" s="18" t="str">
        <x:v>Yes</x:v>
      </x:c>
      <x:c r="AF244" s="18" t="str">
        <x:v>Conditional</x:v>
      </x:c>
      <x:c r="AG244" s="18" t="str">
        <x:v>Use only if no-treatment comparator is prespecified AND overlap with Yeh 2011 is resolved</x:v>
      </x:c>
      <x:c r="AH244" s="18" t="str">
        <x:v>Yes</x:v>
      </x:c>
      <x:c r="AI244" s="18" t="str">
        <x:v>Same probable overlapping cohort issue; route must not be silently recoded as IV.</x:v>
      </x:c>
      <x:c r="AJ244" s="18" t="str">
        <x:v>Table 4 / 24-h opiate dose</x:v>
      </x:c>
      <x:c r="AK244" s="18" t="str">
        <x:v>https://drive.google.com/file/d/1a1s31PQPWGnaVkYUtNUxO22F3QFTcwmi/view?usp=drivesdk</x:v>
      </x:c>
      <x:c r="AL244" s="18" t="str">
        <x:v>SOURCE-VERIFIED / DUPLICATE-OVERLAP HOLD</x:v>
      </x:c>
    </x:row>
    <x:row r="245">
      <x:c r="A245" s="18" t="str">
        <x:v>Yeh 2011</x:v>
      </x:c>
      <x:c r="B245" s="18" t="str">
        <x:v>YEH11_AES_vs_SHAM_MORPH24</x:v>
      </x:c>
      <x:c r="C245" s="18" t="str">
        <x:v>True-acupoint AES</x:v>
      </x:c>
      <x:c r="D245" s="18" t="str">
        <x:v>Electrical sham/nonacupoint AES</x:v>
      </x:c>
      <x:c r="E245" s="18" t="str">
        <x:v>Opioid consumption</x:v>
      </x:c>
      <x:c r="F245" s="18" t="str">
        <x:v>24-h IV morphine PCA dose</x:v>
      </x:c>
      <x:c r="G245" s="18" t="str">
        <x:v>First 24 postoperative hours</x:v>
      </x:c>
      <x:c r="H245" s="18" t="str">
        <x:v>Mean/SD</x:v>
      </x:c>
      <x:c r="I245" s="18" t="n">
        <x:v>30</x:v>
      </x:c>
      <x:c r="J245" s="18" t="n">
        <x:v>30</x:v>
      </x:c>
      <x:c r="K245" s="18" t="n">
        <x:v>30</x:v>
      </x:c>
      <x:c r="L245" s="18" t="n">
        <x:v>30</x:v>
      </x:c>
      <x:c r="M245" s="18" t="n">
        <x:v>19.3</x:v>
      </x:c>
      <x:c r="N245" s="18" t="n">
        <x:v>9.7</x:v>
      </x:c>
      <x:c r="O245" s="18"/>
      <x:c r="P245" s="18"/>
      <x:c r="Q245" s="18"/>
      <x:c r="R245" s="18"/>
      <x:c r="S245" s="18" t="n">
        <x:v>21.6</x:v>
      </x:c>
      <x:c r="T245" s="18" t="n">
        <x:v>13.1</x:v>
      </x:c>
      <x:c r="U245" s="18"/>
      <x:c r="V245" s="18"/>
      <x:c r="W245" s="18"/>
      <x:c r="X245" s="18"/>
      <x:c r="Y245" s="18" t="str">
        <x:v>mg IV morphine</x:v>
      </x:c>
      <x:c r="Z245" s="18" t="str">
        <x:v>AES-vs-sham pairwise significance NR</x:v>
      </x:c>
      <x:c r="AA245" s="18" t="str">
        <x:v>Yes</x:v>
      </x:c>
      <x:c r="AB245" s="18" t="str">
        <x:v>No</x:v>
      </x:c>
      <x:c r="AC245" s="18" t="str">
        <x:f>IF(H245="Mean/SD","MD",IF(H245="Events/total","RR",""))</x:f>
        <x:v>MD</x:v>
      </x:c>
      <x:c r="AD245" s="18" t="n">
        <x:f>IF(H245="Mean/SD",M245-S245,IF(H245="Events/total",IFERROR((R245/K245)/(X245/L245),""),""))</x:f>
        <x:v>-2.3000000000000007</x:v>
      </x:c>
      <x:c r="AE245" s="18" t="str">
        <x:v>Yes</x:v>
      </x:c>
      <x:c r="AF245" s="18" t="str">
        <x:v>Conditional</x:v>
      </x:c>
      <x:c r="AG245" s="18" t="str">
        <x:v>SOURCE VALID BUT META-ANALYSIS HOLD until overlap with Yeh 2010 is resolved</x:v>
      </x:c>
      <x:c r="AH245" s="18" t="str">
        <x:v>Yes</x:v>
      </x:c>
      <x:c r="AI245" s="18" t="str">
        <x:v>Highly similar to Yeh 2010 in population, acupoints, comparator and 24-h opioid values; do not count independently until cohort/publication linkage is adjudicated.</x:v>
      </x:c>
      <x:c r="AJ245" s="18" t="str">
        <x:v>Table 3 / 24-h opiate dose</x:v>
      </x:c>
      <x:c r="AK245" s="18" t="str">
        <x:v>https://drive.google.com/file/d/1ZJ60ZvJ5Q7sRu1iptK_tLLfBXxZZ_Hwl/view?usp=drivesdk</x:v>
      </x:c>
      <x:c r="AL245" s="18" t="str">
        <x:v>SOURCE-VERIFIED / DUPLICATE-OVERLAP HOLD</x:v>
      </x:c>
    </x:row>
    <x:row r="246">
      <x:c r="A246" s="18" t="str">
        <x:v>Yeh 2011</x:v>
      </x:c>
      <x:c r="B246" s="18" t="str">
        <x:v>YEH11_AES_vs_CONTROL_MORPH24</x:v>
      </x:c>
      <x:c r="C246" s="18" t="str">
        <x:v>True-acupoint AES</x:v>
      </x:c>
      <x:c r="D246" s="18" t="str">
        <x:v>No-AES control</x:v>
      </x:c>
      <x:c r="E246" s="18" t="str">
        <x:v>Opioid consumption</x:v>
      </x:c>
      <x:c r="F246" s="18" t="str">
        <x:v>24-h IV morphine PCA dose</x:v>
      </x:c>
      <x:c r="G246" s="18" t="str">
        <x:v>First 24 postoperative hours</x:v>
      </x:c>
      <x:c r="H246" s="18" t="str">
        <x:v>Mean/SD</x:v>
      </x:c>
      <x:c r="I246" s="18" t="n">
        <x:v>30</x:v>
      </x:c>
      <x:c r="J246" s="18" t="n">
        <x:v>30</x:v>
      </x:c>
      <x:c r="K246" s="18" t="n">
        <x:v>30</x:v>
      </x:c>
      <x:c r="L246" s="18" t="n">
        <x:v>30</x:v>
      </x:c>
      <x:c r="M246" s="18" t="n">
        <x:v>19.3</x:v>
      </x:c>
      <x:c r="N246" s="18" t="n">
        <x:v>9.7</x:v>
      </x:c>
      <x:c r="O246" s="18"/>
      <x:c r="P246" s="18"/>
      <x:c r="Q246" s="18"/>
      <x:c r="R246" s="18"/>
      <x:c r="S246" s="18" t="n">
        <x:v>28</x:v>
      </x:c>
      <x:c r="T246" s="18" t="n">
        <x:v>12.1</x:v>
      </x:c>
      <x:c r="U246" s="18"/>
      <x:c r="V246" s="18"/>
      <x:c r="W246" s="18"/>
      <x:c r="X246" s="18"/>
      <x:c r="Y246" s="18" t="str">
        <x:v>mg IV morphine</x:v>
      </x:c>
      <x:c r="Z246" s="18" t="str">
        <x:v>0.023</x:v>
      </x:c>
      <x:c r="AA246" s="18" t="str">
        <x:v>Yes</x:v>
      </x:c>
      <x:c r="AB246" s="18" t="str">
        <x:v>No</x:v>
      </x:c>
      <x:c r="AC246" s="18" t="str">
        <x:f>IF(H246="Mean/SD","MD",IF(H246="Events/total","RR",""))</x:f>
        <x:v>MD</x:v>
      </x:c>
      <x:c r="AD246" s="18" t="n">
        <x:f>IF(H246="Mean/SD",M246-S246,IF(H246="Events/total",IFERROR((R246/K246)/(X246/L246),""),""))</x:f>
        <x:v>-8.7</x:v>
      </x:c>
      <x:c r="AE246" s="18" t="str">
        <x:v>Yes</x:v>
      </x:c>
      <x:c r="AF246" s="18" t="str">
        <x:v>Conditional</x:v>
      </x:c>
      <x:c r="AG246" s="18" t="str">
        <x:v>Use only if no-treatment contrast is prespecified and overlap is resolved</x:v>
      </x:c>
      <x:c r="AH246" s="18" t="str">
        <x:v>Yes</x:v>
      </x:c>
      <x:c r="AI246" s="18" t="str">
        <x:v>Sequential allocation without sealed envelopes; probable overlapping publication family with Yeh 2010.</x:v>
      </x:c>
      <x:c r="AJ246" s="18" t="str">
        <x:v>Table 3 / 24-h opiate dose</x:v>
      </x:c>
      <x:c r="AK246" s="18" t="str">
        <x:v>https://drive.google.com/file/d/1ZJ60ZvJ5Q7sRu1iptK_tLLfBXxZZ_Hwl/view?usp=drivesdk</x:v>
      </x:c>
      <x:c r="AL246" s="18" t="str">
        <x:v>SOURCE-VERIFIED / DUPLICATE-OVERLAP HOLD</x:v>
      </x:c>
    </x:row>
    <x:row r="247">
      <x:c r="A247" s="18" t="str">
        <x:v>Wong 2006</x:v>
      </x:c>
      <x:c r="B247" s="18" t="str">
        <x:v>WONG06_EA_vs_SHAM_MORPHD0</x:v>
      </x:c>
      <x:c r="C247" s="18" t="str">
        <x:v>Postoperative electroacupuncture</x:v>
      </x:c>
      <x:c r="D247" s="18" t="str">
        <x:v>Nonpenetrating sham acupuncture</x:v>
      </x:c>
      <x:c r="E247" s="18" t="str">
        <x:v>Opioid consumption</x:v>
      </x:c>
      <x:c r="F247" s="18" t="str">
        <x:v>IV PCA morphine consumption</x:v>
      </x:c>
      <x:c r="G247" s="18" t="str">
        <x:v>Day 0</x:v>
      </x:c>
      <x:c r="H247" s="18" t="str">
        <x:v>Mean/SD</x:v>
      </x:c>
      <x:c r="I247" s="18" t="n">
        <x:v>13</x:v>
      </x:c>
      <x:c r="J247" s="18" t="n">
        <x:v>14</x:v>
      </x:c>
      <x:c r="K247" s="18" t="n">
        <x:v>13</x:v>
      </x:c>
      <x:c r="L247" s="18" t="n">
        <x:v>12</x:v>
      </x:c>
      <x:c r="M247" s="18" t="n">
        <x:v>8.3</x:v>
      </x:c>
      <x:c r="N247" s="18" t="n">
        <x:v>4.9</x:v>
      </x:c>
      <x:c r="O247" s="18"/>
      <x:c r="P247" s="18"/>
      <x:c r="Q247" s="18"/>
      <x:c r="R247" s="18"/>
      <x:c r="S247" s="18" t="n">
        <x:v>7.8</x:v>
      </x:c>
      <x:c r="T247" s="18" t="n">
        <x:v>6.4</x:v>
      </x:c>
      <x:c r="U247" s="18"/>
      <x:c r="V247" s="18"/>
      <x:c r="W247" s="18"/>
      <x:c r="X247" s="18"/>
      <x:c r="Y247" s="18" t="str">
        <x:v>mg IV morphine</x:v>
      </x:c>
      <x:c r="Z247" s="18" t="str">
        <x:v>0.84</x:v>
      </x:c>
      <x:c r="AA247" s="18" t="str">
        <x:v>Yes</x:v>
      </x:c>
      <x:c r="AB247" s="18" t="str">
        <x:v>No</x:v>
      </x:c>
      <x:c r="AC247" s="18" t="str">
        <x:f>IF(H247="Mean/SD","MD",IF(H247="Events/total","RR",""))</x:f>
        <x:v>MD</x:v>
      </x:c>
      <x:c r="AD247" s="18" t="n">
        <x:f>IF(H247="Mean/SD",M247-S247,IF(H247="Events/total",IFERROR((R247/K247)/(X247/L247),""),""))</x:f>
        <x:v>0.5000000000000009</x:v>
      </x:c>
      <x:c r="AE247" s="18" t="str">
        <x:v>No</x:v>
      </x:c>
      <x:c r="AF247" s="18" t="str">
        <x:v>No</x:v>
      </x:c>
      <x:c r="AG247" s="18" t="str">
        <x:v>Eligible only at the published postoperative-day/3-day window; not a strict 0-24-h endpoint</x:v>
      </x:c>
      <x:c r="AH247" s="18" t="str">
        <x:v>No</x:v>
      </x:c>
      <x:c r="AI247" s="18" t="str">
        <x:v>Both groups also received scheduled oral dextropropoxyphene. Two randomized sham patients were excluded after serious postoperative complications.</x:v>
      </x:c>
      <x:c r="AJ247" s="18" t="str">
        <x:v>Table 2 / postoperative PCA morphine</x:v>
      </x:c>
      <x:c r="AK247" s="18" t="str">
        <x:v>https://drive.google.com/file/d/1-XmRdgXyZmOmKIDRhL80sxha5M2P00jd/view?usp=drivesdk</x:v>
      </x:c>
      <x:c r="AL247" s="18" t="str">
        <x:v>SOURCE-VERIFIED / DAY-LABEL WINDOW QC</x:v>
      </x:c>
    </x:row>
    <x:row r="248">
      <x:c r="A248" s="18" t="str">
        <x:v>Wong 2006</x:v>
      </x:c>
      <x:c r="B248" s="18" t="str">
        <x:v>WONG06_EA_vs_SHAM_MORPHD1</x:v>
      </x:c>
      <x:c r="C248" s="18" t="str">
        <x:v>Postoperative electroacupuncture</x:v>
      </x:c>
      <x:c r="D248" s="18" t="str">
        <x:v>Nonpenetrating sham acupuncture</x:v>
      </x:c>
      <x:c r="E248" s="18" t="str">
        <x:v>Opioid consumption</x:v>
      </x:c>
      <x:c r="F248" s="18" t="str">
        <x:v>IV PCA morphine consumption</x:v>
      </x:c>
      <x:c r="G248" s="18" t="str">
        <x:v>Day 1</x:v>
      </x:c>
      <x:c r="H248" s="18" t="str">
        <x:v>Mean/SD</x:v>
      </x:c>
      <x:c r="I248" s="18" t="n">
        <x:v>13</x:v>
      </x:c>
      <x:c r="J248" s="18" t="n">
        <x:v>14</x:v>
      </x:c>
      <x:c r="K248" s="18" t="n">
        <x:v>13</x:v>
      </x:c>
      <x:c r="L248" s="18" t="n">
        <x:v>12</x:v>
      </x:c>
      <x:c r="M248" s="18" t="n">
        <x:v>18</x:v>
      </x:c>
      <x:c r="N248" s="18" t="n">
        <x:v>8.8</x:v>
      </x:c>
      <x:c r="O248" s="18"/>
      <x:c r="P248" s="18"/>
      <x:c r="Q248" s="18"/>
      <x:c r="R248" s="18"/>
      <x:c r="S248" s="18" t="n">
        <x:v>18.8</x:v>
      </x:c>
      <x:c r="T248" s="18" t="n">
        <x:v>9.8</x:v>
      </x:c>
      <x:c r="U248" s="18"/>
      <x:c r="V248" s="18"/>
      <x:c r="W248" s="18"/>
      <x:c r="X248" s="18"/>
      <x:c r="Y248" s="18" t="str">
        <x:v>mg IV morphine</x:v>
      </x:c>
      <x:c r="Z248" s="18" t="str">
        <x:v>0.83</x:v>
      </x:c>
      <x:c r="AA248" s="18" t="str">
        <x:v>Yes</x:v>
      </x:c>
      <x:c r="AB248" s="18" t="str">
        <x:v>No</x:v>
      </x:c>
      <x:c r="AC248" s="18" t="str">
        <x:f>IF(H248="Mean/SD","MD",IF(H248="Events/total","RR",""))</x:f>
        <x:v>MD</x:v>
      </x:c>
      <x:c r="AD248" s="18" t="n">
        <x:f>IF(H248="Mean/SD",M248-S248,IF(H248="Events/total",IFERROR((R248/K248)/(X248/L248),""),""))</x:f>
        <x:v>-0.8000000000000007</x:v>
      </x:c>
      <x:c r="AE248" s="18" t="str">
        <x:v>No</x:v>
      </x:c>
      <x:c r="AF248" s="18" t="str">
        <x:v>No</x:v>
      </x:c>
      <x:c r="AG248" s="18" t="str">
        <x:v>Eligible only at the published postoperative-day/3-day window; not a strict 0-24-h endpoint</x:v>
      </x:c>
      <x:c r="AH248" s="18" t="str">
        <x:v>No</x:v>
      </x:c>
      <x:c r="AI248" s="18" t="str">
        <x:v>Both groups also received scheduled oral dextropropoxyphene. Two randomized sham patients were excluded after serious postoperative complications.</x:v>
      </x:c>
      <x:c r="AJ248" s="18" t="str">
        <x:v>Table 2 / postoperative PCA morphine</x:v>
      </x:c>
      <x:c r="AK248" s="18" t="str">
        <x:v>https://drive.google.com/file/d/1-XmRdgXyZmOmKIDRhL80sxha5M2P00jd/view?usp=drivesdk</x:v>
      </x:c>
      <x:c r="AL248" s="18" t="str">
        <x:v>SOURCE-VERIFIED / DAY-LABEL WINDOW QC</x:v>
      </x:c>
    </x:row>
    <x:row r="249">
      <x:c r="A249" s="18" t="str">
        <x:v>Wong 2006</x:v>
      </x:c>
      <x:c r="B249" s="18" t="str">
        <x:v>WONG06_EA_vs_SHAM_MORPHD2</x:v>
      </x:c>
      <x:c r="C249" s="18" t="str">
        <x:v>Postoperative electroacupuncture</x:v>
      </x:c>
      <x:c r="D249" s="18" t="str">
        <x:v>Nonpenetrating sham acupuncture</x:v>
      </x:c>
      <x:c r="E249" s="18" t="str">
        <x:v>Opioid consumption</x:v>
      </x:c>
      <x:c r="F249" s="18" t="str">
        <x:v>IV PCA morphine consumption</x:v>
      </x:c>
      <x:c r="G249" s="18" t="str">
        <x:v>Day 2</x:v>
      </x:c>
      <x:c r="H249" s="18" t="str">
        <x:v>Mean/SD</x:v>
      </x:c>
      <x:c r="I249" s="18" t="n">
        <x:v>13</x:v>
      </x:c>
      <x:c r="J249" s="18" t="n">
        <x:v>14</x:v>
      </x:c>
      <x:c r="K249" s="18" t="n">
        <x:v>13</x:v>
      </x:c>
      <x:c r="L249" s="18" t="n">
        <x:v>12</x:v>
      </x:c>
      <x:c r="M249" s="18" t="n">
        <x:v>7.5</x:v>
      </x:c>
      <x:c r="N249" s="18" t="n">
        <x:v>5</x:v>
      </x:c>
      <x:c r="O249" s="18"/>
      <x:c r="P249" s="18"/>
      <x:c r="Q249" s="18"/>
      <x:c r="R249" s="18"/>
      <x:c r="S249" s="18" t="n">
        <x:v>15.7</x:v>
      </x:c>
      <x:c r="T249" s="18" t="n">
        <x:v>12</x:v>
      </x:c>
      <x:c r="U249" s="18"/>
      <x:c r="V249" s="18"/>
      <x:c r="W249" s="18"/>
      <x:c r="X249" s="18"/>
      <x:c r="Y249" s="18" t="str">
        <x:v>mg IV morphine</x:v>
      </x:c>
      <x:c r="Z249" s="18" t="str">
        <x:v>0.035</x:v>
      </x:c>
      <x:c r="AA249" s="18" t="str">
        <x:v>Yes</x:v>
      </x:c>
      <x:c r="AB249" s="18" t="str">
        <x:v>No</x:v>
      </x:c>
      <x:c r="AC249" s="18" t="str">
        <x:f>IF(H249="Mean/SD","MD",IF(H249="Events/total","RR",""))</x:f>
        <x:v>MD</x:v>
      </x:c>
      <x:c r="AD249" s="18" t="n">
        <x:f>IF(H249="Mean/SD",M249-S249,IF(H249="Events/total",IFERROR((R249/K249)/(X249/L249),""),""))</x:f>
        <x:v>-8.2</x:v>
      </x:c>
      <x:c r="AE249" s="18" t="str">
        <x:v>No</x:v>
      </x:c>
      <x:c r="AF249" s="18" t="str">
        <x:v>No</x:v>
      </x:c>
      <x:c r="AG249" s="18" t="str">
        <x:v>Eligible only at the published postoperative-day/3-day window; not a strict 0-24-h endpoint</x:v>
      </x:c>
      <x:c r="AH249" s="18" t="str">
        <x:v>No</x:v>
      </x:c>
      <x:c r="AI249" s="18" t="str">
        <x:v>Both groups also received scheduled oral dextropropoxyphene. Two randomized sham patients were excluded after serious postoperative complications.</x:v>
      </x:c>
      <x:c r="AJ249" s="18" t="str">
        <x:v>Table 2 / postoperative PCA morphine</x:v>
      </x:c>
      <x:c r="AK249" s="18" t="str">
        <x:v>https://drive.google.com/file/d/1-XmRdgXyZmOmKIDRhL80sxha5M2P00jd/view?usp=drivesdk</x:v>
      </x:c>
      <x:c r="AL249" s="18" t="str">
        <x:v>SOURCE-VERIFIED / DAY-LABEL WINDOW QC</x:v>
      </x:c>
    </x:row>
    <x:row r="250">
      <x:c r="A250" s="18" t="str">
        <x:v>Wong 2006</x:v>
      </x:c>
      <x:c r="B250" s="18" t="str">
        <x:v>WONG06_EA_vs_SHAM_MORPHTOTAL</x:v>
      </x:c>
      <x:c r="C250" s="18" t="str">
        <x:v>Postoperative electroacupuncture</x:v>
      </x:c>
      <x:c r="D250" s="18" t="str">
        <x:v>Nonpenetrating sham acupuncture</x:v>
      </x:c>
      <x:c r="E250" s="18" t="str">
        <x:v>Opioid consumption</x:v>
      </x:c>
      <x:c r="F250" s="18" t="str">
        <x:v>IV PCA morphine consumption</x:v>
      </x:c>
      <x:c r="G250" s="18" t="str">
        <x:v>First 3 postoperative days total</x:v>
      </x:c>
      <x:c r="H250" s="18" t="str">
        <x:v>Mean/SD</x:v>
      </x:c>
      <x:c r="I250" s="18" t="n">
        <x:v>13</x:v>
      </x:c>
      <x:c r="J250" s="18" t="n">
        <x:v>14</x:v>
      </x:c>
      <x:c r="K250" s="18" t="n">
        <x:v>13</x:v>
      </x:c>
      <x:c r="L250" s="18" t="n">
        <x:v>12</x:v>
      </x:c>
      <x:c r="M250" s="18" t="n">
        <x:v>33.9</x:v>
      </x:c>
      <x:c r="N250" s="18" t="n">
        <x:v>12.8</x:v>
      </x:c>
      <x:c r="O250" s="18"/>
      <x:c r="P250" s="18"/>
      <x:c r="Q250" s="18"/>
      <x:c r="R250" s="18"/>
      <x:c r="S250" s="18" t="n">
        <x:v>42.3</x:v>
      </x:c>
      <x:c r="T250" s="18" t="n">
        <x:v>21.3</x:v>
      </x:c>
      <x:c r="U250" s="18"/>
      <x:c r="V250" s="18"/>
      <x:c r="W250" s="18"/>
      <x:c r="X250" s="18"/>
      <x:c r="Y250" s="18" t="str">
        <x:v>mg IV morphine</x:v>
      </x:c>
      <x:c r="Z250" s="18" t="str">
        <x:v>0.25</x:v>
      </x:c>
      <x:c r="AA250" s="18" t="str">
        <x:v>Yes</x:v>
      </x:c>
      <x:c r="AB250" s="18" t="str">
        <x:v>No</x:v>
      </x:c>
      <x:c r="AC250" s="18" t="str">
        <x:f>IF(H250="Mean/SD","MD",IF(H250="Events/total","RR",""))</x:f>
        <x:v>MD</x:v>
      </x:c>
      <x:c r="AD250" s="18" t="n">
        <x:f>IF(H250="Mean/SD",M250-S250,IF(H250="Events/total",IFERROR((R250/K250)/(X250/L250),""),""))</x:f>
        <x:v>-8.399999999999999</x:v>
      </x:c>
      <x:c r="AE250" s="18" t="str">
        <x:v>No</x:v>
      </x:c>
      <x:c r="AF250" s="18" t="str">
        <x:v>No</x:v>
      </x:c>
      <x:c r="AG250" s="18" t="str">
        <x:v>Eligible only at the published postoperative-day/3-day window; not a strict 0-24-h endpoint</x:v>
      </x:c>
      <x:c r="AH250" s="18" t="str">
        <x:v>No</x:v>
      </x:c>
      <x:c r="AI250" s="18" t="str">
        <x:v>Both groups also received scheduled oral dextropropoxyphene. Two randomized sham patients were excluded after serious postoperative complications.</x:v>
      </x:c>
      <x:c r="AJ250" s="18" t="str">
        <x:v>Table 2 / postoperative PCA morphine</x:v>
      </x:c>
      <x:c r="AK250" s="18" t="str">
        <x:v>https://drive.google.com/file/d/1-XmRdgXyZmOmKIDRhL80sxha5M2P00jd/view?usp=drivesdk</x:v>
      </x:c>
      <x:c r="AL250" s="18" t="str">
        <x:v>SOURCE-VERIFIED / DAY-LABEL WINDOW QC</x:v>
      </x:c>
    </x:row>
    <x:row r="251">
      <x:c r="A251" s="18" t="str">
        <x:v>Wong 2006</x:v>
      </x:c>
      <x:c r="B251" s="18" t="str">
        <x:v>WONG06_EA_vs_SHAM_OPIOID24</x:v>
      </x:c>
      <x:c r="C251" s="18" t="str">
        <x:v>Postoperative electroacupuncture</x:v>
      </x:c>
      <x:c r="D251" s="18" t="str">
        <x:v>Nonpenetrating sham acupuncture</x:v>
      </x:c>
      <x:c r="E251" s="18" t="str">
        <x:v>Opioid consumption</x:v>
      </x:c>
      <x:c r="F251" s="18" t="str">
        <x:v>Exact total opioid exposure</x:v>
      </x:c>
      <x:c r="G251" s="18" t="str">
        <x:v>0-24 h</x:v>
      </x:c>
      <x:c r="H251" s="18" t="str">
        <x:v>Not reported</x:v>
      </x:c>
      <x:c r="I251" s="18" t="n">
        <x:v>13</x:v>
      </x:c>
      <x:c r="J251" s="18" t="n">
        <x:v>14</x:v>
      </x:c>
      <x:c r="K251" s="18" t="n">
        <x:v>13</x:v>
      </x:c>
      <x:c r="L251" s="18" t="n">
        <x:v>12</x:v>
      </x:c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 t="str">
        <x:v>mg MME</x:v>
      </x:c>
      <x:c r="Z251" s="18" t="str"/>
      <x:c r="AA251" s="18" t="str">
        <x:v>No</x:v>
      </x:c>
      <x:c r="AB251" s="18" t="str">
        <x:v>No</x:v>
      </x:c>
      <x:c r="AC251" s="18" t="str">
        <x:f>IF(H251="Mean/SD","MD",IF(H251="Events/total","RR",""))</x:f>
      </x:c>
      <x:c r="AD251" s="18" t="str">
        <x:f>IF(H251="Mean/SD",M251-S251,IF(H251="Events/total",IFERROR((R251/K251)/(X251/L251),""),""))</x:f>
      </x:c>
      <x:c r="AE251" s="18" t="str">
        <x:v>No</x:v>
      </x:c>
      <x:c r="AF251" s="18" t="str">
        <x:v>No</x:v>
      </x:c>
      <x:c r="AG251" s="18" t="str">
        <x:v>Not eligible for strict 24-h opioid/MME meta-analysis</x:v>
      </x:c>
      <x:c r="AH251" s="18" t="str">
        <x:v>No</x:v>
      </x:c>
      <x:c r="AI251" s="18" t="str">
        <x:v>Day labels are not defined as exact consecutive 24-h windows and scheduled dextropropoxyphene contributes additional opioid exposure.</x:v>
      </x:c>
      <x:c r="AJ251" s="18" t="str">
        <x:v>Timing/analgesia protocol</x:v>
      </x:c>
      <x:c r="AK251" s="18" t="str">
        <x:v>https://drive.google.com/file/d/1-XmRdgXyZmOmKIDRhL80sxha5M2P00jd/view?usp=drivesdk</x:v>
      </x:c>
      <x:c r="AL251" s="18" t="str">
        <x:v>MISSING / EXACT 24H TOTAL NOT REPORTED</x:v>
      </x:c>
    </x:row>
    <x:row r="252">
      <x:c r="A252" s="18" t="str">
        <x:v>El-Rakshy 2009</x:v>
      </x:c>
      <x:c r="B252" s="18" t="str">
        <x:v>ELR09_EA_vs_CTRL_MORPH24</x:v>
      </x:c>
      <x:c r="C252" s="18" t="str">
        <x:v>Intraoperative EA + PCA</x:v>
      </x:c>
      <x:c r="D252" s="18" t="str">
        <x:v>PCA alone/no acupuncture</x:v>
      </x:c>
      <x:c r="E252" s="18" t="str">
        <x:v>Opioid consumption</x:v>
      </x:c>
      <x:c r="F252" s="18" t="str">
        <x:v>Total IV morphine analgesia</x:v>
      </x:c>
      <x:c r="G252" s="18" t="str">
        <x:v>First 24 h</x:v>
      </x:c>
      <x:c r="H252" s="18" t="str">
        <x:v>Mean/SD</x:v>
      </x:c>
      <x:c r="I252" s="18"/>
      <x:c r="J252" s="18"/>
      <x:c r="K252" s="18" t="n">
        <x:v>42</x:v>
      </x:c>
      <x:c r="L252" s="18" t="n">
        <x:v>53</x:v>
      </x:c>
      <x:c r="M252" s="18" t="n">
        <x:v>35.3</x:v>
      </x:c>
      <x:c r="N252" s="18" t="n">
        <x:v>18</x:v>
      </x:c>
      <x:c r="O252" s="18"/>
      <x:c r="P252" s="18"/>
      <x:c r="Q252" s="18"/>
      <x:c r="R252" s="18"/>
      <x:c r="S252" s="18" t="n">
        <x:v>36.9</x:v>
      </x:c>
      <x:c r="T252" s="18" t="n">
        <x:v>18</x:v>
      </x:c>
      <x:c r="U252" s="18"/>
      <x:c r="V252" s="18"/>
      <x:c r="W252" s="18"/>
      <x:c r="X252" s="18"/>
      <x:c r="Y252" s="18" t="str">
        <x:v>mg IV morphine</x:v>
      </x:c>
      <x:c r="Z252" s="18" t="str">
        <x:v>0.961</x:v>
      </x:c>
      <x:c r="AA252" s="18" t="str">
        <x:v>Yes</x:v>
      </x:c>
      <x:c r="AB252" s="18" t="str">
        <x:v>No</x:v>
      </x:c>
      <x:c r="AC252" s="18" t="str">
        <x:f>IF(H252="Mean/SD","MD",IF(H252="Events/total","RR",""))</x:f>
        <x:v>MD</x:v>
      </x:c>
      <x:c r="AD252" s="18" t="n">
        <x:f>IF(H252="Mean/SD",M252-S252,IF(H252="Events/total",IFERROR((R252/K252)/(X252/L252),""),""))</x:f>
        <x:v>-1.6000000000000014</x:v>
      </x:c>
      <x:c r="AE252" s="18" t="str">
        <x:v>Yes</x:v>
      </x:c>
      <x:c r="AF252" s="18" t="str">
        <x:v>Yes</x:v>
      </x:c>
      <x:c r="AG252" s="18" t="str">
        <x:v>Eligible only with outcome-specific denominators exactly as printed</x:v>
      </x:c>
      <x:c r="AH252" s="18" t="str">
        <x:v>No</x:v>
      </x:c>
      <x:c r="AI252" s="18" t="str">
        <x:v>Publication has irreconcilable allocation/analyzed group labels. Use Table 2 n=42 EA and n=53 control for this result; do not substitute overall study denominators.</x:v>
      </x:c>
      <x:c r="AJ252" s="18" t="str">
        <x:v>Table 2 / total analgesia in 24 h</x:v>
      </x:c>
      <x:c r="AK252" s="18" t="str">
        <x:v>https://drive.google.com/file/d/12AfIox-MgnMU15U-mdvZgaTKnukXKvAR/view?usp=drivesdk</x:v>
      </x:c>
      <x:c r="AL252" s="18" t="str">
        <x:v>SOURCE-VERIFIED / OUTCOME-SPECIFIC DENOMINATORS</x:v>
      </x:c>
    </x:row>
    <x:row r="253">
      <x:c r="A253" s="18" t="str">
        <x:v>El-Rakshy 2009</x:v>
      </x:c>
      <x:c r="B253" s="18" t="str">
        <x:v>ELR09_EA_vs_CTRL_MORPH4</x:v>
      </x:c>
      <x:c r="C253" s="18" t="str">
        <x:v>Intraoperative EA + PCA</x:v>
      </x:c>
      <x:c r="D253" s="18" t="str">
        <x:v>PCA alone/no acupuncture</x:v>
      </x:c>
      <x:c r="E253" s="18" t="str">
        <x:v>Opioid consumption</x:v>
      </x:c>
      <x:c r="F253" s="18" t="str">
        <x:v>Total IV morphine analgesia</x:v>
      </x:c>
      <x:c r="G253" s="18" t="str">
        <x:v>First 4 h</x:v>
      </x:c>
      <x:c r="H253" s="18" t="str">
        <x:v>Mean/SD</x:v>
      </x:c>
      <x:c r="I253" s="18"/>
      <x:c r="J253" s="18"/>
      <x:c r="K253" s="18" t="n">
        <x:v>40</x:v>
      </x:c>
      <x:c r="L253" s="18" t="n">
        <x:v>53</x:v>
      </x:c>
      <x:c r="M253" s="18" t="n">
        <x:v>13.4</x:v>
      </x:c>
      <x:c r="N253" s="18" t="n">
        <x:v>7.5</x:v>
      </x:c>
      <x:c r="O253" s="18"/>
      <x:c r="P253" s="18"/>
      <x:c r="Q253" s="18"/>
      <x:c r="R253" s="18"/>
      <x:c r="S253" s="18" t="n">
        <x:v>13.2</x:v>
      </x:c>
      <x:c r="T253" s="18" t="n">
        <x:v>8.6</x:v>
      </x:c>
      <x:c r="U253" s="18"/>
      <x:c r="V253" s="18"/>
      <x:c r="W253" s="18"/>
      <x:c r="X253" s="18"/>
      <x:c r="Y253" s="18" t="str">
        <x:v>mg IV morphine</x:v>
      </x:c>
      <x:c r="Z253" s="18" t="str">
        <x:v>0.675</x:v>
      </x:c>
      <x:c r="AA253" s="18" t="str">
        <x:v>Yes</x:v>
      </x:c>
      <x:c r="AB253" s="18" t="str">
        <x:v>No</x:v>
      </x:c>
      <x:c r="AC253" s="18" t="str">
        <x:f>IF(H253="Mean/SD","MD",IF(H253="Events/total","RR",""))</x:f>
        <x:v>MD</x:v>
      </x:c>
      <x:c r="AD253" s="18" t="n">
        <x:f>IF(H253="Mean/SD",M253-S253,IF(H253="Events/total",IFERROR((R253/K253)/(X253/L253),""),""))</x:f>
        <x:v>0.20000000000000107</x:v>
      </x:c>
      <x:c r="AE253" s="18" t="str">
        <x:v>No</x:v>
      </x:c>
      <x:c r="AF253" s="18" t="str">
        <x:v>No</x:v>
      </x:c>
      <x:c r="AG253" s="18" t="str">
        <x:v>Eligible for 4-h opioid analysis only</x:v>
      </x:c>
      <x:c r="AH253" s="18" t="str">
        <x:v>No</x:v>
      </x:c>
      <x:c r="AI253" s="18" t="str">
        <x:v>Again preserve outcome-specific n=40 EA and n=53 control.</x:v>
      </x:c>
      <x:c r="AJ253" s="18" t="str">
        <x:v>Table 2 / first 4 h</x:v>
      </x:c>
      <x:c r="AK253" s="18" t="str">
        <x:v>https://drive.google.com/file/d/12AfIox-MgnMU15U-mdvZgaTKnukXKvAR/view?usp=drivesdk</x:v>
      </x:c>
      <x:c r="AL253" s="18" t="str">
        <x:v>SOURCE-VERIFIED / OUTCOME-SPECIFIC DENOMINATORS</x:v>
      </x:c>
    </x:row>
    <x:row r="254">
      <x:c r="A254" s="18" t="str">
        <x:v>An 2014</x:v>
      </x:c>
      <x:c r="B254" s="18" t="str">
        <x:v>AN14_EA_vs_CTRL_FENT48</x:v>
      </x:c>
      <x:c r="C254" s="18" t="str">
        <x:v>Intraoperative electroacupuncture</x:v>
      </x:c>
      <x:c r="D254" s="18" t="str">
        <x:v>No acupuncture control</x:v>
      </x:c>
      <x:c r="E254" s="18" t="str">
        <x:v>Opioid consumption</x:v>
      </x:c>
      <x:c r="F254" s="18" t="str">
        <x:v>Total postoperative fentanyl PCIA dose</x:v>
      </x:c>
      <x:c r="G254" s="18" t="str">
        <x:v>Through reported 48-h PCIA period</x:v>
      </x:c>
      <x:c r="H254" s="18" t="str">
        <x:v>Mean/SD</x:v>
      </x:c>
      <x:c r="I254" s="18" t="n">
        <x:v>45</x:v>
      </x:c>
      <x:c r="J254" s="18" t="n">
        <x:v>43</x:v>
      </x:c>
      <x:c r="K254" s="18" t="n">
        <x:v>41</x:v>
      </x:c>
      <x:c r="L254" s="18" t="n">
        <x:v>40</x:v>
      </x:c>
      <x:c r="M254" s="18" t="n">
        <x:v>0.67</x:v>
      </x:c>
      <x:c r="N254" s="18" t="n">
        <x:v>0.09</x:v>
      </x:c>
      <x:c r="O254" s="18"/>
      <x:c r="P254" s="18"/>
      <x:c r="Q254" s="18"/>
      <x:c r="R254" s="18"/>
      <x:c r="S254" s="18" t="n">
        <x:v>0.73</x:v>
      </x:c>
      <x:c r="T254" s="18" t="n">
        <x:v>0.12</x:v>
      </x:c>
      <x:c r="U254" s="18"/>
      <x:c r="V254" s="18"/>
      <x:c r="W254" s="18"/>
      <x:c r="X254" s="18"/>
      <x:c r="Y254" s="18" t="str">
        <x:v>mg fentanyl</x:v>
      </x:c>
      <x:c r="Z254" s="18" t="str">
        <x:v>NS</x:v>
      </x:c>
      <x:c r="AA254" s="18" t="str">
        <x:v>Yes</x:v>
      </x:c>
      <x:c r="AB254" s="18" t="str">
        <x:v>No</x:v>
      </x:c>
      <x:c r="AC254" s="18" t="str">
        <x:f>IF(H254="Mean/SD","MD",IF(H254="Events/total","RR",""))</x:f>
        <x:v>MD</x:v>
      </x:c>
      <x:c r="AD254" s="18" t="n">
        <x:f>IF(H254="Mean/SD",M254-S254,IF(H254="Events/total",IFERROR((R254/K254)/(X254/L254),""),""))</x:f>
        <x:v>-0.05999999999999994</x:v>
      </x:c>
      <x:c r="AE254" s="18" t="str">
        <x:v>No</x:v>
      </x:c>
      <x:c r="AF254" s="18" t="str">
        <x:v>No</x:v>
      </x:c>
      <x:c r="AG254" s="18" t="str">
        <x:v>Eligible for 48-h fentanyl analysis; not a 24-h endpoint</x:v>
      </x:c>
      <x:c r="AH254" s="18" t="str">
        <x:v>No</x:v>
      </x:c>
      <x:c r="AI254" s="18" t="str">
        <x:v>Seven of 88 randomized patients were excluded from analysis; total fentanyl is not isolated to 0-24 h.</x:v>
      </x:c>
      <x:c r="AJ254" s="18" t="str">
        <x:v>Opioid/PCIA results</x:v>
      </x:c>
      <x:c r="AK254" s="18" t="str">
        <x:v>https://drive.google.com/file/d/1Ygu3g28udKuPe0OS95oge2ryIGNeJ0te/view?usp=drivesdk</x:v>
      </x:c>
      <x:c r="AL254" s="18" t="str">
        <x:v>SOURCE-VERIFIED / ATTRITION + 48H WINDOW</x:v>
      </x:c>
    </x:row>
    <x:row r="255">
      <x:c r="A255" s="18" t="str">
        <x:v>An 2014</x:v>
      </x:c>
      <x:c r="B255" s="18" t="str">
        <x:v>AN14_EA_vs_CTRL_OPIOID24</x:v>
      </x:c>
      <x:c r="C255" s="18" t="str">
        <x:v>Intraoperative electroacupuncture</x:v>
      </x:c>
      <x:c r="D255" s="18" t="str">
        <x:v>No acupuncture control</x:v>
      </x:c>
      <x:c r="E255" s="18" t="str">
        <x:v>Opioid consumption</x:v>
      </x:c>
      <x:c r="F255" s="18" t="str">
        <x:v>Exact cumulative postoperative fentanyl</x:v>
      </x:c>
      <x:c r="G255" s="18" t="str">
        <x:v>0-24 h</x:v>
      </x:c>
      <x:c r="H255" s="18" t="str">
        <x:v>Not reported</x:v>
      </x:c>
      <x:c r="I255" s="18" t="n">
        <x:v>45</x:v>
      </x:c>
      <x:c r="J255" s="18" t="n">
        <x:v>43</x:v>
      </x:c>
      <x:c r="K255" s="18" t="n">
        <x:v>41</x:v>
      </x:c>
      <x:c r="L255" s="18" t="n">
        <x:v>40</x:v>
      </x:c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 t="str">
        <x:v>mg/µg fentanyl</x:v>
      </x:c>
      <x:c r="Z255" s="18" t="str"/>
      <x:c r="AA255" s="18" t="str">
        <x:v>No</x:v>
      </x:c>
      <x:c r="AB255" s="18" t="str">
        <x:v>No</x:v>
      </x:c>
      <x:c r="AC255" s="18" t="str">
        <x:f>IF(H255="Mean/SD","MD",IF(H255="Events/total","RR",""))</x:f>
      </x:c>
      <x:c r="AD255" s="18" t="str">
        <x:f>IF(H255="Mean/SD",M255-S255,IF(H255="Events/total",IFERROR((R255/K255)/(X255/L255),""),""))</x:f>
      </x:c>
      <x:c r="AE255" s="18" t="str">
        <x:v>No</x:v>
      </x:c>
      <x:c r="AF255" s="18" t="str">
        <x:v>No</x:v>
      </x:c>
      <x:c r="AG255" s="18" t="str">
        <x:v>Not eligible for continuous 24-h opioid/MME meta-analysis</x:v>
      </x:c>
      <x:c r="AH255" s="18" t="str">
        <x:v>No</x:v>
      </x:c>
      <x:c r="AI255" s="18" t="str">
        <x:v>Published bolus activity is split 0-6 h and 6-48 h; exact 0-24-h fentanyl cannot be reconstructed.</x:v>
      </x:c>
      <x:c r="AJ255" s="18" t="str">
        <x:v>PCIA results</x:v>
      </x:c>
      <x:c r="AK255" s="18" t="str">
        <x:v>https://drive.google.com/file/d/1Ygu3g28udKuPe0OS95oge2ryIGNeJ0te/view?usp=drivesdk</x:v>
      </x:c>
      <x:c r="AL255" s="18" t="str">
        <x:v>MISSING / 24H NOT RECONSTRUCTABLE</x:v>
      </x:c>
    </x:row>
    <x:row r="256">
      <x:c r="A256" s="18" t="str">
        <x:v>Chen 2015</x:v>
      </x:c>
      <x:c r="B256" s="18" t="str">
        <x:v>CHEN15Q_TEAS_vs_CTRL_QOR40</x:v>
      </x:c>
      <x:c r="C256" s="18" t="str">
        <x:v>Preoperative TEAS</x:v>
      </x:c>
      <x:c r="D256" s="18" t="str">
        <x:v>Electrodes/device with no stimulation</x:v>
      </x:c>
      <x:c r="E256" s="18" t="str">
        <x:v>Quality of recovery</x:v>
      </x:c>
      <x:c r="F256" s="18" t="str">
        <x:v>Global QoR-40</x:v>
      </x:c>
      <x:c r="G256" s="18" t="str">
        <x:v>24 h</x:v>
      </x:c>
      <x:c r="H256" s="18" t="str">
        <x:v>Median/IQR</x:v>
      </x:c>
      <x:c r="I256" s="18" t="n">
        <x:v>42</x:v>
      </x:c>
      <x:c r="J256" s="18" t="n">
        <x:v>42</x:v>
      </x:c>
      <x:c r="K256" s="18" t="n">
        <x:v>41</x:v>
      </x:c>
      <x:c r="L256" s="18" t="n">
        <x:v>42</x:v>
      </x:c>
      <x:c r="M256" s="18"/>
      <x:c r="N256" s="18"/>
      <x:c r="O256" s="18" t="n">
        <x:v>183</x:v>
      </x:c>
      <x:c r="P256" s="18" t="n">
        <x:v>172</x:v>
      </x:c>
      <x:c r="Q256" s="18" t="n">
        <x:v>190</x:v>
      </x:c>
      <x:c r="R256" s="18"/>
      <x:c r="S256" s="18"/>
      <x:c r="T256" s="18"/>
      <x:c r="U256" s="18" t="n">
        <x:v>168</x:v>
      </x:c>
      <x:c r="V256" s="18" t="n">
        <x:v>154</x:v>
      </x:c>
      <x:c r="W256" s="18" t="n">
        <x:v>183</x:v>
      </x:c>
      <x:c r="X256" s="18"/>
      <x:c r="Y256" s="18" t="str">
        <x:v>QoR-40 points</x:v>
      </x:c>
      <x:c r="Z256" s="18" t="str">
        <x:v>&lt;0.001</x:v>
      </x:c>
      <x:c r="AA256" s="18" t="str">
        <x:v>Yes</x:v>
      </x:c>
      <x:c r="AB256" s="18" t="str">
        <x:v>No</x:v>
      </x:c>
      <x:c r="AC256" s="18" t="str">
        <x:f>IF(H256="Mean/SD","MD",IF(H256="Events/total","RR",""))</x:f>
      </x:c>
      <x:c r="AD256" s="18" t="str">
        <x:f>IF(H256="Mean/SD",M256-S256,IF(H256="Events/total",IFERROR((R256/K256)/(X256/L256),""),""))</x:f>
      </x:c>
      <x:c r="AE256" s="18" t="str">
        <x:v>No</x:v>
      </x:c>
      <x:c r="AF256" s="18" t="str">
        <x:v>No</x:v>
      </x:c>
      <x:c r="AG256" s="18" t="str">
        <x:v>Eligible for 24-h QoR analysis using median/IQR methods</x:v>
      </x:c>
      <x:c r="AH256" s="18" t="str">
        <x:v>No</x:v>
      </x:c>
      <x:c r="AI256" s="18" t="str">
        <x:v>One TEAS participant excluded for protocol breach; active 6-9 mA stimulation vs no-current control may compromise patient blinding for a patient-reported primary outcome.</x:v>
      </x:c>
      <x:c r="AJ256" s="18" t="str">
        <x:v>Table 2 / global QoR-40</x:v>
      </x:c>
      <x:c r="AK256" s="18" t="str">
        <x:v>https://drive.google.com/file/d/1ZtE8GImDcpDJH1tOvzqazoh_S4Gd67oH/view?usp=drivesdk</x:v>
      </x:c>
      <x:c r="AL256" s="18" t="str">
        <x:v>SOURCE-VERIFIED / SUBJECTIVE BLINDING QC</x:v>
      </x:c>
    </x:row>
    <x:row r="257">
      <x:c r="A257" s="18" t="str">
        <x:v>Chen 2015</x:v>
      </x:c>
      <x:c r="B257" s="18" t="str">
        <x:v>CHEN15Q_TEAS_vs_CTRL_PONV24</x:v>
      </x:c>
      <x:c r="C257" s="18" t="str">
        <x:v>Preoperative TEAS</x:v>
      </x:c>
      <x:c r="D257" s="18" t="str">
        <x:v>Electrodes/device with no stimulation</x:v>
      </x:c>
      <x:c r="E257" s="18" t="str">
        <x:v>PONV</x:v>
      </x:c>
      <x:c r="F257" s="18" t="str">
        <x:v>PONV incidence</x:v>
      </x:c>
      <x:c r="G257" s="18" t="str">
        <x:v>0-24 h</x:v>
      </x:c>
      <x:c r="H257" s="18" t="str">
        <x:v>Events/total</x:v>
      </x:c>
      <x:c r="I257" s="18" t="n">
        <x:v>42</x:v>
      </x:c>
      <x:c r="J257" s="18" t="n">
        <x:v>42</x:v>
      </x:c>
      <x:c r="K257" s="18" t="n">
        <x:v>41</x:v>
      </x:c>
      <x:c r="L257" s="18" t="n">
        <x:v>42</x:v>
      </x:c>
      <x:c r="M257" s="18"/>
      <x:c r="N257" s="18"/>
      <x:c r="O257" s="18"/>
      <x:c r="P257" s="18"/>
      <x:c r="Q257" s="18"/>
      <x:c r="R257" s="18" t="n">
        <x:v>10</x:v>
      </x:c>
      <x:c r="S257" s="18"/>
      <x:c r="T257" s="18"/>
      <x:c r="U257" s="18"/>
      <x:c r="V257" s="18"/>
      <x:c r="W257" s="18"/>
      <x:c r="X257" s="18" t="n">
        <x:v>26</x:v>
      </x:c>
      <x:c r="Y257" s="18" t="str">
        <x:v>participants</x:v>
      </x:c>
      <x:c r="Z257" s="18" t="str">
        <x:v>0.001</x:v>
      </x:c>
      <x:c r="AA257" s="18" t="str">
        <x:v>Yes</x:v>
      </x:c>
      <x:c r="AB257" s="18" t="str">
        <x:v>No</x:v>
      </x:c>
      <x:c r="AC257" s="18" t="str">
        <x:f>IF(H257="Mean/SD","MD",IF(H257="Events/total","RR",""))</x:f>
        <x:v>RR</x:v>
      </x:c>
      <x:c r="AD257" s="18" t="n">
        <x:f>IF(H257="Mean/SD",M257-S257,IF(H257="Events/total",IFERROR((R257/K257)/(X257/L257),""),""))</x:f>
        <x:v>0.3939962476547842</x:v>
      </x:c>
      <x:c r="AE257" s="18" t="str">
        <x:v>No</x:v>
      </x:c>
      <x:c r="AF257" s="18" t="str">
        <x:v>No</x:v>
      </x:c>
      <x:c r="AG257" s="18" t="str">
        <x:v>Eligible for dichotomous 24-h PONV analysis</x:v>
      </x:c>
      <x:c r="AH257" s="18" t="str">
        <x:v>No</x:v>
      </x:c>
      <x:c r="AI257" s="18" t="str">
        <x:v>Use analyzed denominators 41 and 42.</x:v>
      </x:c>
      <x:c r="AJ257" s="18" t="str">
        <x:v>Table 3 / PONV</x:v>
      </x:c>
      <x:c r="AK257" s="18" t="str">
        <x:v>https://drive.google.com/file/d/1ZtE8GImDcpDJH1tOvzqazoh_S4Gd67oH/view?usp=drivesdk</x:v>
      </x:c>
      <x:c r="AL257" s="18" t="str">
        <x:v>SOURCE-VERIFIED</x:v>
      </x:c>
    </x:row>
    <x:row r="258">
      <x:c r="A258" s="18" t="str">
        <x:v>Chen 2015</x:v>
      </x:c>
      <x:c r="B258" s="18" t="str">
        <x:v>CHEN15Q_TEAS_vs_CTRL_RESCUEMORPH24</x:v>
      </x:c>
      <x:c r="C258" s="18" t="str">
        <x:v>Preoperative TEAS</x:v>
      </x:c>
      <x:c r="D258" s="18" t="str">
        <x:v>Electrodes/device with no stimulation</x:v>
      </x:c>
      <x:c r="E258" s="18" t="str">
        <x:v>Opioid consumption</x:v>
      </x:c>
      <x:c r="F258" s="18" t="str">
        <x:v>Cumulative rescue IV morphine dose derived from fixed 2-mg rescue administrations</x:v>
      </x:c>
      <x:c r="G258" s="18" t="str">
        <x:v>0-24 h</x:v>
      </x:c>
      <x:c r="H258" s="18" t="str">
        <x:v>Median/IQR</x:v>
      </x:c>
      <x:c r="I258" s="18" t="n">
        <x:v>42</x:v>
      </x:c>
      <x:c r="J258" s="18" t="n">
        <x:v>42</x:v>
      </x:c>
      <x:c r="K258" s="18" t="n">
        <x:v>41</x:v>
      </x:c>
      <x:c r="L258" s="18" t="n">
        <x:v>42</x:v>
      </x:c>
      <x:c r="M258" s="18"/>
      <x:c r="N258" s="18"/>
      <x:c r="O258" s="18" t="n">
        <x:v>2</x:v>
      </x:c>
      <x:c r="P258" s="18" t="n">
        <x:v>2</x:v>
      </x:c>
      <x:c r="Q258" s="18" t="n">
        <x:v>6</x:v>
      </x:c>
      <x:c r="R258" s="18"/>
      <x:c r="S258" s="18"/>
      <x:c r="T258" s="18"/>
      <x:c r="U258" s="18" t="n">
        <x:v>7</x:v>
      </x:c>
      <x:c r="V258" s="18" t="n">
        <x:v>4</x:v>
      </x:c>
      <x:c r="W258" s="18" t="n">
        <x:v>14</x:v>
      </x:c>
      <x:c r="X258" s="18"/>
      <x:c r="Y258" s="18" t="str">
        <x:v>mg IV morphine</x:v>
      </x:c>
      <x:c r="Z258" s="18" t="str">
        <x:v>0.004</x:v>
      </x:c>
      <x:c r="AA258" s="18" t="str">
        <x:v>No</x:v>
      </x:c>
      <x:c r="AB258" s="18" t="str">
        <x:v>Yes</x:v>
      </x:c>
      <x:c r="AC258" s="18" t="str">
        <x:f>IF(H258="Mean/SD","MD",IF(H258="Events/total","RR",""))</x:f>
      </x:c>
      <x:c r="AD258" s="18" t="str">
        <x:f>IF(H258="Mean/SD",M258-S258,IF(H258="Events/total",IFERROR((R258/K258)/(X258/L258),""),""))</x:f>
      </x:c>
      <x:c r="AE258" s="18" t="str">
        <x:v>Yes</x:v>
      </x:c>
      <x:c r="AF258" s="18" t="str">
        <x:v>Conditional</x:v>
      </x:c>
      <x:c r="AG258" s="18" t="str">
        <x:v>Potentially eligible as a derived median/IQR 24-h morphine endpoint</x:v>
      </x:c>
      <x:c r="AH258" s="18" t="str">
        <x:v>No</x:v>
      </x:c>
      <x:c r="AI258" s="18" t="str">
        <x:v>Source reports rescue-administration count 1 (1-3) vs 3.5 (2-7); each rescue administration was fixed at morphine 2 mg. Linear conversion to mg is exact, but the source itself reports counts rather than dose.</x:v>
      </x:c>
      <x:c r="AJ258" s="18" t="str">
        <x:v>Methods + Table 3</x:v>
      </x:c>
      <x:c r="AK258" s="18" t="str">
        <x:v>https://drive.google.com/file/d/1ZtE8GImDcpDJH1tOvzqazoh_S4Gd67oH/view?usp=drivesdk</x:v>
      </x:c>
      <x:c r="AL258" s="18" t="str">
        <x:v>DERIVED FROM FIXED 2-MG RESCUE DOSE</x:v>
      </x:c>
    </x:row>
    <x:row r="259">
      <x:c r="A259" s="18" t="str">
        <x:v>Chen 2015 (Hyperalgesia)</x:v>
      </x:c>
      <x:c r="B259" s="18" t="str">
        <x:v>CHEN15H_TEAS_vs_SHAM_RESCUECOUNT24</x:v>
      </x:c>
      <x:c r="C259" s="18" t="str">
        <x:v>Preoperative TEAS</x:v>
      </x:c>
      <x:c r="D259" s="18" t="str">
        <x:v>Electrodes/no-current sham</x:v>
      </x:c>
      <x:c r="E259" s="18" t="str">
        <x:v>Opioid demand</x:v>
      </x:c>
      <x:c r="F259" s="18" t="str">
        <x:v>Cumulative number of rescue sufentanil PCIA boluses</x:v>
      </x:c>
      <x:c r="G259" s="18" t="str">
        <x:v>0-24 h</x:v>
      </x:c>
      <x:c r="H259" s="18" t="str">
        <x:v>Median/IQR</x:v>
      </x:c>
      <x:c r="I259" s="18" t="n">
        <x:v>30</x:v>
      </x:c>
      <x:c r="J259" s="18" t="n">
        <x:v>30</x:v>
      </x:c>
      <x:c r="K259" s="18" t="n">
        <x:v>29</x:v>
      </x:c>
      <x:c r="L259" s="18" t="n">
        <x:v>30</x:v>
      </x:c>
      <x:c r="M259" s="18"/>
      <x:c r="N259" s="18"/>
      <x:c r="O259" s="18" t="n">
        <x:v>3</x:v>
      </x:c>
      <x:c r="P259" s="18" t="n">
        <x:v>2</x:v>
      </x:c>
      <x:c r="Q259" s="18" t="n">
        <x:v>4</x:v>
      </x:c>
      <x:c r="R259" s="18"/>
      <x:c r="S259" s="18"/>
      <x:c r="T259" s="18"/>
      <x:c r="U259" s="18" t="n">
        <x:v>7</x:v>
      </x:c>
      <x:c r="V259" s="18" t="n">
        <x:v>6</x:v>
      </x:c>
      <x:c r="W259" s="18" t="n">
        <x:v>8</x:v>
      </x:c>
      <x:c r="X259" s="18"/>
      <x:c r="Y259" s="18" t="str">
        <x:v>boluses</x:v>
      </x:c>
      <x:c r="Z259" s="18" t="str">
        <x:v>&lt;0.001</x:v>
      </x:c>
      <x:c r="AA259" s="18" t="str">
        <x:v>Yes</x:v>
      </x:c>
      <x:c r="AB259" s="18" t="str">
        <x:v>No</x:v>
      </x:c>
      <x:c r="AC259" s="18" t="str">
        <x:f>IF(H259="Mean/SD","MD",IF(H259="Events/total","RR",""))</x:f>
      </x:c>
      <x:c r="AD259" s="18" t="str">
        <x:f>IF(H259="Mean/SD",M259-S259,IF(H259="Events/total",IFERROR((R259/K259)/(X259/L259),""),""))</x:f>
      </x:c>
      <x:c r="AE259" s="18" t="str">
        <x:v>Yes</x:v>
      </x:c>
      <x:c r="AF259" s="18" t="str">
        <x:v>No</x:v>
      </x:c>
      <x:c r="AG259" s="18" t="str">
        <x:v>Eligible as 24-h rescue-bolus count; shared with fixed 0.05 µg/kg bolus protocol</x:v>
      </x:c>
      <x:c r="AH259" s="18" t="str">
        <x:v>No</x:v>
      </x:c>
      <x:c r="AI259" s="18" t="str">
        <x:v>One TEAS participant excluded for protocol breach. Do not convert using group-average body weight to absolute µg.</x:v>
      </x:c>
      <x:c r="AJ259" s="18" t="str">
        <x:v>Table 2 / cumulative rescue analgesia</x:v>
      </x:c>
      <x:c r="AK259" s="18" t="str">
        <x:v>https://drive.google.com/file/d/13YKAZZsc2VQEPqkw1Ye40BYDZSRpI6N3/view?usp=drivesdk</x:v>
      </x:c>
      <x:c r="AL259" s="18" t="str">
        <x:v>SOURCE-VERIFIED / ATTRITION QC</x:v>
      </x:c>
    </x:row>
    <x:row r="260">
      <x:c r="A260" s="18" t="str">
        <x:v>Chen 2015 (Hyperalgesia)</x:v>
      </x:c>
      <x:c r="B260" s="18" t="str">
        <x:v>CHEN15H_TEAS_vs_SHAM_SUFKG24</x:v>
      </x:c>
      <x:c r="C260" s="18" t="str">
        <x:v>Preoperative TEAS</x:v>
      </x:c>
      <x:c r="D260" s="18" t="str">
        <x:v>Electrodes/no-current sham</x:v>
      </x:c>
      <x:c r="E260" s="18" t="str">
        <x:v>Opioid consumption</x:v>
      </x:c>
      <x:c r="F260" s="18" t="str">
        <x:v>Derived cumulative sufentanil dose from fixed 0.05 µg/kg bolus</x:v>
      </x:c>
      <x:c r="G260" s="18" t="str">
        <x:v>0-24 h</x:v>
      </x:c>
      <x:c r="H260" s="18" t="str">
        <x:v>Median/IQR</x:v>
      </x:c>
      <x:c r="I260" s="18" t="n">
        <x:v>30</x:v>
      </x:c>
      <x:c r="J260" s="18" t="n">
        <x:v>30</x:v>
      </x:c>
      <x:c r="K260" s="18" t="n">
        <x:v>29</x:v>
      </x:c>
      <x:c r="L260" s="18" t="n">
        <x:v>30</x:v>
      </x:c>
      <x:c r="M260" s="18"/>
      <x:c r="N260" s="18"/>
      <x:c r="O260" s="18" t="n">
        <x:v>0.15</x:v>
      </x:c>
      <x:c r="P260" s="18" t="n">
        <x:v>0.1</x:v>
      </x:c>
      <x:c r="Q260" s="18" t="n">
        <x:v>0.2</x:v>
      </x:c>
      <x:c r="R260" s="18"/>
      <x:c r="S260" s="18"/>
      <x:c r="T260" s="18"/>
      <x:c r="U260" s="18" t="n">
        <x:v>0.35</x:v>
      </x:c>
      <x:c r="V260" s="18" t="n">
        <x:v>0.3</x:v>
      </x:c>
      <x:c r="W260" s="18" t="n">
        <x:v>0.4</x:v>
      </x:c>
      <x:c r="X260" s="18"/>
      <x:c r="Y260" s="18" t="str">
        <x:v>µg/kg sufentanil</x:v>
      </x:c>
      <x:c r="Z260" s="18" t="str">
        <x:v>&lt;0.001</x:v>
      </x:c>
      <x:c r="AA260" s="18" t="str">
        <x:v>No</x:v>
      </x:c>
      <x:c r="AB260" s="18" t="str">
        <x:v>Yes</x:v>
      </x:c>
      <x:c r="AC260" s="18" t="str">
        <x:f>IF(H260="Mean/SD","MD",IF(H260="Events/total","RR",""))</x:f>
      </x:c>
      <x:c r="AD260" s="18" t="str">
        <x:f>IF(H260="Mean/SD",M260-S260,IF(H260="Events/total",IFERROR((R260/K260)/(X260/L260),""),""))</x:f>
      </x:c>
      <x:c r="AE260" s="18" t="str">
        <x:v>Yes</x:v>
      </x:c>
      <x:c r="AF260" s="18" t="str">
        <x:v>Conditional</x:v>
      </x:c>
      <x:c r="AG260" s="18" t="str">
        <x:v>Potentially eligible as weight-normalized 24-h opioid endpoint if protocol accepts µg/kg</x:v>
      </x:c>
      <x:c r="AH260" s="18" t="str">
        <x:v>No</x:v>
      </x:c>
      <x:c r="AI260" s="18" t="str">
        <x:v>Exact linear conversion from 0.05 µg/kg per bolus × reported bolus count. Do not convert to absolute µg or MME without individual body weights.</x:v>
      </x:c>
      <x:c r="AJ260" s="18" t="str">
        <x:v>PCIA protocol + Table 2</x:v>
      </x:c>
      <x:c r="AK260" s="18" t="str">
        <x:v>https://drive.google.com/file/d/13YKAZZsc2VQEPqkw1Ye40BYDZSRpI6N3/view?usp=drivesdk</x:v>
      </x:c>
      <x:c r="AL260" s="18" t="str">
        <x:v>DERIVED / WEIGHT-NORMALIZED</x:v>
      </x:c>
    </x:row>
    <x:row r="261">
      <x:c r="A261" s="18" t="str">
        <x:v>Chen 2015 (Hyperalgesia)</x:v>
      </x:c>
      <x:c r="B261" s="18" t="str">
        <x:v>CHEN15H_TEAS_vs_SHAM_PONV24</x:v>
      </x:c>
      <x:c r="C261" s="18" t="str">
        <x:v>Preoperative TEAS</x:v>
      </x:c>
      <x:c r="D261" s="18" t="str">
        <x:v>Electrodes/no-current sham</x:v>
      </x:c>
      <x:c r="E261" s="18" t="str">
        <x:v>PONV</x:v>
      </x:c>
      <x:c r="F261" s="18" t="str">
        <x:v>PONV incidence</x:v>
      </x:c>
      <x:c r="G261" s="18" t="str">
        <x:v>0-24 h</x:v>
      </x:c>
      <x:c r="H261" s="18" t="str">
        <x:v>Events/total</x:v>
      </x:c>
      <x:c r="I261" s="18" t="n">
        <x:v>30</x:v>
      </x:c>
      <x:c r="J261" s="18" t="n">
        <x:v>30</x:v>
      </x:c>
      <x:c r="K261" s="18" t="n">
        <x:v>29</x:v>
      </x:c>
      <x:c r="L261" s="18" t="n">
        <x:v>30</x:v>
      </x:c>
      <x:c r="M261" s="18"/>
      <x:c r="N261" s="18"/>
      <x:c r="O261" s="18"/>
      <x:c r="P261" s="18"/>
      <x:c r="Q261" s="18"/>
      <x:c r="R261" s="18" t="n">
        <x:v>5</x:v>
      </x:c>
      <x:c r="S261" s="18"/>
      <x:c r="T261" s="18"/>
      <x:c r="U261" s="18"/>
      <x:c r="V261" s="18"/>
      <x:c r="W261" s="18"/>
      <x:c r="X261" s="18" t="n">
        <x:v>13</x:v>
      </x:c>
      <x:c r="Y261" s="18" t="str">
        <x:v>participants</x:v>
      </x:c>
      <x:c r="Z261" s="18" t="str">
        <x:v>0.03</x:v>
      </x:c>
      <x:c r="AA261" s="18" t="str">
        <x:v>Yes</x:v>
      </x:c>
      <x:c r="AB261" s="18" t="str">
        <x:v>No</x:v>
      </x:c>
      <x:c r="AC261" s="18" t="str">
        <x:f>IF(H261="Mean/SD","MD",IF(H261="Events/total","RR",""))</x:f>
        <x:v>RR</x:v>
      </x:c>
      <x:c r="AD261" s="18" t="n">
        <x:f>IF(H261="Mean/SD",M261-S261,IF(H261="Events/total",IFERROR((R261/K261)/(X261/L261),""),""))</x:f>
        <x:v>0.3978779840848807</x:v>
      </x:c>
      <x:c r="AE261" s="18" t="str">
        <x:v>No</x:v>
      </x:c>
      <x:c r="AF261" s="18" t="str">
        <x:v>No</x:v>
      </x:c>
      <x:c r="AG261" s="18" t="str">
        <x:v>Eligible for dichotomous 24-h PONV analysis</x:v>
      </x:c>
      <x:c r="AH261" s="18" t="str">
        <x:v>No</x:v>
      </x:c>
      <x:c r="AI261" s="18" t="str">
        <x:v>Use 29 analyzed TEAS and 30 control; one TEAS protocol-breach exclusion.</x:v>
      </x:c>
      <x:c r="AJ261" s="18" t="str">
        <x:v>Table 2 / PONV</x:v>
      </x:c>
      <x:c r="AK261" s="18" t="str">
        <x:v>https://drive.google.com/file/d/13YKAZZsc2VQEPqkw1Ye40BYDZSRpI6N3/view?usp=drivesdk</x:v>
      </x:c>
      <x:c r="AL261" s="18" t="str">
        <x:v>SOURCE-VERIFIED</x:v>
      </x:c>
    </x:row>
    <x:row r="262">
      <x:c r="A262" s="18" t="str">
        <x:v>Ao 2021</x:v>
      </x:c>
      <x:c r="B262" s="18" t="str">
        <x:v>AO21_TEAS_vs_SHAM_PCA48</x:v>
      </x:c>
      <x:c r="C262" s="18" t="str">
        <x:v>Repeated perioperative TEAS</x:v>
      </x:c>
      <x:c r="D262" s="18" t="str">
        <x:v>Sham/no current</x:v>
      </x:c>
      <x:c r="E262" s="18" t="str">
        <x:v>Opioid demand</x:v>
      </x:c>
      <x:c r="F262" s="18" t="str">
        <x:v>Cumulative PCA solution consumption</x:v>
      </x:c>
      <x:c r="G262" s="18" t="str">
        <x:v>48 h</x:v>
      </x:c>
      <x:c r="H262" s="18" t="str">
        <x:v>Mean/SD</x:v>
      </x:c>
      <x:c r="I262" s="18" t="n">
        <x:v>35</x:v>
      </x:c>
      <x:c r="J262" s="18" t="n">
        <x:v>35</x:v>
      </x:c>
      <x:c r="K262" s="18" t="n">
        <x:v>32</x:v>
      </x:c>
      <x:c r="L262" s="18" t="n">
        <x:v>33</x:v>
      </x:c>
      <x:c r="M262" s="18" t="n">
        <x:v>102.8</x:v>
      </x:c>
      <x:c r="N262" s="18" t="n">
        <x:v>7.4</x:v>
      </x:c>
      <x:c r="O262" s="18"/>
      <x:c r="P262" s="18"/>
      <x:c r="Q262" s="18"/>
      <x:c r="R262" s="18"/>
      <x:c r="S262" s="18" t="n">
        <x:v>120.6</x:v>
      </x:c>
      <x:c r="T262" s="18" t="n">
        <x:v>9.2</x:v>
      </x:c>
      <x:c r="U262" s="18"/>
      <x:c r="V262" s="18"/>
      <x:c r="W262" s="18"/>
      <x:c r="X262" s="18"/>
      <x:c r="Y262" s="18" t="str">
        <x:v>mL PCA solution</x:v>
      </x:c>
      <x:c r="Z262" s="18" t="str">
        <x:v>NR</x:v>
      </x:c>
      <x:c r="AA262" s="18" t="str">
        <x:v>Yes</x:v>
      </x:c>
      <x:c r="AB262" s="18" t="str">
        <x:v>No</x:v>
      </x:c>
      <x:c r="AC262" s="18" t="str">
        <x:f>IF(H262="Mean/SD","MD",IF(H262="Events/total","RR",""))</x:f>
        <x:v>MD</x:v>
      </x:c>
      <x:c r="AD262" s="18" t="n">
        <x:f>IF(H262="Mean/SD",M262-S262,IF(H262="Events/total",IFERROR((R262/K262)/(X262/L262),""),""))</x:f>
        <x:v>-17.799999999999997</x:v>
      </x:c>
      <x:c r="AE262" s="18" t="str">
        <x:v>No</x:v>
      </x:c>
      <x:c r="AF262" s="18" t="str">
        <x:v>No</x:v>
      </x:c>
      <x:c r="AG262" s="18" t="str">
        <x:v>Eligible as directly reported 48-h PCA-volume outcome; not as 24-h opioid dose</x:v>
      </x:c>
      <x:c r="AH262" s="18" t="str">
        <x:v>No</x:v>
      </x:c>
      <x:c r="AI262" s="18" t="str">
        <x:v>Exact 24-h sufentanil total is not reported; the earlier 24-h VAS row is graph-digitized and remains derived.</x:v>
      </x:c>
      <x:c r="AJ262" s="18" t="str">
        <x:v>48-h PCA result</x:v>
      </x:c>
      <x:c r="AK262" s="18" t="str">
        <x:v>https://drive.google.com/file/d/1tNFnY0fJpx53hrtY4DIaE1RsNjE55Xvd/view?usp=drivesdk</x:v>
      </x:c>
      <x:c r="AL262" s="18" t="str">
        <x:v>SOURCE-VERIFIED / 48H ONLY</x:v>
      </x:c>
    </x:row>
  </x:sheetData>
  <x:conditionalFormatting sqref="AL2:AL35">
    <x:cfRule type="expression" dxfId="30" priority="1">
      <x:formula>AL2="SOURCE-VERIFIED"</x:formula>
    </x:cfRule>
    <x:cfRule type="expression" dxfId="31" priority="2">
      <x:formula>ISNUMBER(SEARCH("QC",AL2))</x:formula>
    </x:cfRule>
    <x:cfRule type="expression" dxfId="32" priority="3">
      <x:formula>ISNUMBER(SEARCH("MISSING",AL2))</x:formula>
    </x:cfRule>
    <x:cfRule type="expression" dxfId="33" priority="4">
      <x:formula>ISNUMBER(SEARCH("ADJUDICATION",AL2))</x:formula>
    </x:cfRule>
  </x:conditionalFormatting>
  <x:conditionalFormatting sqref="AF2:AF35">
    <x:cfRule type="expression" dxfId="34" priority="5">
      <x:formula>AF2="Yes"</x:formula>
    </x:cfRule>
    <x:cfRule type="expression" dxfId="35" priority="6">
      <x:formula>AF2="Conditional"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ffdf84b65347a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25" max="25" width="22" hidden="0" customWidth="1"/>
    <x:col min="26" max="26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38" hidden="0" customWidth="1"/>
    <x:col min="43" max="43" width="22" hidden="0" customWidth="1"/>
    <x:col min="44" max="44" width="34" hidden="0" customWidth="1"/>
    <x:col min="45" max="45" width="34" hidden="0" customWidth="1"/>
    <x:col min="46" max="46" width="22" hidden="0" customWidth="1"/>
    <x:col min="47" max="47" width="28" hidden="0" customWidth="1"/>
    <x:col min="48" max="48" width="28" hidden="0" customWidth="1"/>
    <x:col min="49" max="49" width="28" hidden="0" customWidth="1"/>
    <x:col min="50" max="50" width="34" hidden="0" customWidth="1"/>
    <x:col min="51" max="51" width="34" hidden="0" customWidth="1"/>
    <x:col min="52" max="52" width="34" hidden="0" customWidth="1"/>
  </x:cols>
  <x:sheetData>
    <x:row r="1">
      <x:c r="A1" s="57" t="str">
        <x:v>Canonical study</x:v>
      </x:c>
      <x:c r="B1" s="57" t="str">
        <x:v>Comparison ID</x:v>
      </x:c>
      <x:c r="C1" s="57" t="str">
        <x:v>Intervention arm</x:v>
      </x:c>
      <x:c r="D1" s="57" t="str">
        <x:v>Comparator arm</x:v>
      </x:c>
      <x:c r="E1" s="57" t="str">
        <x:v>Outcome family</x:v>
      </x:c>
      <x:c r="F1" s="57" t="str">
        <x:v>Outcome/result</x:v>
      </x:c>
      <x:c r="G1" s="57" t="str">
        <x:v>Timepoint/window</x:v>
      </x:c>
      <x:c r="H1" s="57" t="str">
        <x:v>Data type</x:v>
      </x:c>
      <x:c r="I1" s="57" t="str">
        <x:v>Randomized n intervention</x:v>
      </x:c>
      <x:c r="J1" s="57" t="str">
        <x:v>Randomized n comparator</x:v>
      </x:c>
      <x:c r="K1" s="57" t="str">
        <x:v>Analyzed n intervention</x:v>
      </x:c>
      <x:c r="L1" s="57" t="str">
        <x:v>Analyzed n comparator</x:v>
      </x:c>
      <x:c r="M1" s="57" t="str">
        <x:v>Mean intervention</x:v>
      </x:c>
      <x:c r="N1" s="57" t="str">
        <x:v>SD intervention</x:v>
      </x:c>
      <x:c r="O1" s="57" t="str">
        <x:v>Median intervention</x:v>
      </x:c>
      <x:c r="P1" s="57" t="str">
        <x:v>Q1 intervention</x:v>
      </x:c>
      <x:c r="Q1" s="57" t="str">
        <x:v>Q3 intervention</x:v>
      </x:c>
      <x:c r="R1" s="57" t="str">
        <x:v>Events intervention</x:v>
      </x:c>
      <x:c r="S1" s="57" t="str">
        <x:v>Mean comparator</x:v>
      </x:c>
      <x:c r="T1" s="57" t="str">
        <x:v>SD comparator</x:v>
      </x:c>
      <x:c r="U1" s="57" t="str">
        <x:v>Median comparator</x:v>
      </x:c>
      <x:c r="V1" s="57" t="str">
        <x:v>Q1 comparator</x:v>
      </x:c>
      <x:c r="W1" s="57" t="str">
        <x:v>Q3 comparator</x:v>
      </x:c>
      <x:c r="X1" s="57" t="str">
        <x:v>Events comparator</x:v>
      </x:c>
      <x:c r="Y1" s="57" t="str">
        <x:v>Unit/scale</x:v>
      </x:c>
      <x:c r="Z1" s="57" t="str">
        <x:v>Reported P</x:v>
      </x:c>
      <x:c r="AA1" s="57" t="str">
        <x:v>Directly reported?</x:v>
      </x:c>
      <x:c r="AB1" s="57" t="str">
        <x:v>Derived/converted?</x:v>
      </x:c>
      <x:c r="AC1" s="57" t="str">
        <x:v>Derived effect measure</x:v>
      </x:c>
      <x:c r="AD1" s="57" t="str">
        <x:v>Derived effect</x:v>
      </x:c>
      <x:c r="AE1" s="57" t="str">
        <x:v>Exact 0-24 h postoperative opioid?</x:v>
      </x:c>
      <x:c r="AF1" s="57" t="str">
        <x:v>Primary opioid meta-analysis eligible?</x:v>
      </x:c>
      <x:c r="AG1" s="57" t="str">
        <x:v>Other analysis eligibility</x:v>
      </x:c>
      <x:c r="AH1" s="57" t="str">
        <x:v>Shared-control / multi-arm issue</x:v>
      </x:c>
      <x:c r="AI1" s="57" t="str">
        <x:v>Source-QC issue</x:v>
      </x:c>
      <x:c r="AJ1" s="57" t="str">
        <x:v>Source location</x:v>
      </x:c>
      <x:c r="AK1" s="57" t="str">
        <x:v>Source PDF URL</x:v>
      </x:c>
      <x:c r="AL1" s="57" t="str">
        <x:v>Record status</x:v>
      </x:c>
      <x:c r="AM1" s="57" t="str">
        <x:v>Normalized synthesis family</x:v>
      </x:c>
      <x:c r="AN1" s="57" t="str">
        <x:v>Timepoint class</x:v>
      </x:c>
      <x:c r="AO1" s="57" t="str">
        <x:v>Analysis readiness</x:v>
      </x:c>
      <x:c r="AP1" s="57" t="str">
        <x:v>Readiness reason</x:v>
      </x:c>
      <x:c r="AQ1" s="57" t="str">
        <x:v>Preferred candidate within family?</x:v>
      </x:c>
      <x:c r="AR1" s="57" t="str">
        <x:v>Duplicate/overlap cluster</x:v>
      </x:c>
      <x:c r="AS1" s="57" t="str">
        <x:v>Conversion/handling needed</x:v>
      </x:c>
      <x:c r="AT1" s="57" t="str">
        <x:v>Selected RoB2 outcome reference</x:v>
      </x:c>
      <x:c r="AU1" s="57" t="str">
        <x:v>Selected RoB2 timepoint reference</x:v>
      </x:c>
      <x:c r="AV1" s="57" t="str">
        <x:v>Selected RoB2 overall judgment</x:v>
      </x:c>
      <x:c r="AW1" s="57" t="str">
        <x:v>Additional outcome-specific RoB needed?</x:v>
      </x:c>
      <x:c r="AX1" s="67" t="str">
        <x:v>Independent randomized-study unit</x:v>
      </x:c>
      <x:c r="AY1" s="67" t="str">
        <x:v>Recommended comparison role</x:v>
      </x:c>
      <x:c r="AZ1" s="67" t="str">
        <x:v>Independent-study counting note</x:v>
      </x:c>
    </x:row>
    <x:row r="2">
      <x:c r="A2" s="18" t="str">
        <x:v>Yang 2020</x:v>
      </x:c>
      <x:c r="B2" s="18" t="str">
        <x:v>YANG20_EA_vs_UC</x:v>
      </x:c>
      <x:c r="C2" s="18" t="str">
        <x:v>EA + usual care</x:v>
      </x:c>
      <x:c r="D2" s="18" t="str">
        <x:v>Usual care</x:v>
      </x:c>
      <x:c r="E2" s="18" t="str">
        <x:v>GI recovery</x:v>
      </x:c>
      <x:c r="F2" s="18" t="str">
        <x:v>Time to first postoperative flatus</x:v>
      </x:c>
      <x:c r="G2" s="18" t="str">
        <x:v>From surgery to first flatus</x:v>
      </x:c>
      <x:c r="H2" s="18" t="str">
        <x:v>Mean/SD</x:v>
      </x:c>
      <x:c r="I2" s="18" t="n">
        <x:v>30</x:v>
      </x:c>
      <x:c r="J2" s="18" t="n">
        <x:v>29</x:v>
      </x:c>
      <x:c r="K2" s="18" t="n">
        <x:v>29</x:v>
      </x:c>
      <x:c r="L2" s="18" t="n">
        <x:v>28</x:v>
      </x:c>
      <x:c r="M2" s="18" t="n">
        <x:v>20.8</x:v>
      </x:c>
      <x:c r="N2" s="18" t="n">
        <x:v>4.6</x:v>
      </x:c>
      <x:c r="O2" s="18"/>
      <x:c r="P2" s="18"/>
      <x:c r="Q2" s="18"/>
      <x:c r="R2" s="18"/>
      <x:c r="S2" s="18" t="n">
        <x:v>24.1</x:v>
      </x:c>
      <x:c r="T2" s="18" t="n">
        <x:v>6.2</x:v>
      </x:c>
      <x:c r="U2" s="18"/>
      <x:c r="V2" s="18"/>
      <x:c r="W2" s="18"/>
      <x:c r="X2" s="18"/>
      <x:c r="Y2" s="18" t="str">
        <x:v>hours</x:v>
      </x:c>
      <x:c r="Z2" s="18" t="str">
        <x:v>0.026</x:v>
      </x:c>
      <x:c r="AA2" s="18" t="str">
        <x:v>Yes</x:v>
      </x:c>
      <x:c r="AB2" s="18" t="str">
        <x:v>No</x:v>
      </x:c>
      <x:c r="AC2" s="18" t="str">
        <x:v>MD</x:v>
      </x:c>
      <x:c r="AD2" s="18" t="n">
        <x:v>-3.3000000000000007</x:v>
      </x:c>
      <x:c r="AE2" s="18" t="str">
        <x:v>No</x:v>
      </x:c>
      <x:c r="AF2" s="18" t="str">
        <x:v>No</x:v>
      </x:c>
      <x:c r="AG2" s="18" t="str">
        <x:v>Eligible for GI-recovery meta-analysis</x:v>
      </x:c>
      <x:c r="AH2" s="18" t="str">
        <x:v>No</x:v>
      </x:c>
      <x:c r="AI2" s="18" t="str">
        <x:v>Open-label; 2/59 excluded after randomization; participant-report contribution unclear</x:v>
      </x:c>
      <x:c r="AJ2" s="18" t="str">
        <x:v>GI recovery results/table</x:v>
      </x:c>
      <x:c r="AK2" s="18" t="str">
        <x:v>https://drive.google.com/file/d/1hsQR_K6W-5QNP4rqkVxHQaopRp4f1XF0/view?usp=drivesdk</x:v>
      </x:c>
      <x:c r="AL2" s="18" t="str">
        <x:v>SOURCE-VERIFIED</x:v>
      </x:c>
      <x:c r="AM2" s="18" t="str">
        <x:v>GI recovery</x:v>
      </x:c>
      <x:c r="AN2" s="18" t="str">
        <x:v>From surgery to first flatus</x:v>
      </x:c>
      <x:c r="AO2" s="18" t="str">
        <x:v>INCLUDE</x:v>
      </x:c>
      <x:c r="AP2" s="18" t="str">
        <x:v>Source-valid first-flatus/ileus endpoint; retain reported distribution (mean/SD, median/IQR, or events).</x:v>
      </x:c>
      <x:c r="AQ2" s="18" t="str">
        <x:v>Yes</x:v>
      </x:c>
      <x:c r="AR2" s="18" t="str"/>
      <x:c r="AS2" s="18" t="str">
        <x:v>None</x:v>
      </x:c>
      <x:c r="AT2" s="18" t="str">
        <x:v>Time to first postoperative flatus</x:v>
      </x:c>
      <x:c r="AU2" s="18" t="str">
        <x:v>Time to event</x:v>
      </x:c>
      <x:c r="AV2" s="18" t="str">
        <x:v>Some concerns</x:v>
      </x:c>
      <x:c r="AW2" s="18" t="str">
        <x:v>No — selected RoB matches this result</x:v>
      </x:c>
      <x:c r="AX2" s="18" t="str">
        <x:v>Yang 2020</x:v>
      </x:c>
      <x:c r="AY2" s="18" t="str">
        <x:v>Primary eligible contrast</x:v>
      </x:c>
      <x:c r="AZ2" s="18" t="str">
        <x:v>Count this study once per synthesis unless a valid multi-arm method is used.</x:v>
      </x:c>
    </x:row>
    <x:row r="3">
      <x:c r="A3" s="18" t="str">
        <x:v>Seevaunnamtum 2016</x:v>
      </x:c>
      <x:c r="B3" s="18" t="str">
        <x:v>SEEVA16_EA_vs_UC</x:v>
      </x:c>
      <x:c r="C3" s="18" t="str">
        <x:v>Intraoperative EA</x:v>
      </x:c>
      <x:c r="D3" s="18" t="str">
        <x:v>Standard care</x:v>
      </x:c>
      <x:c r="E3" s="18" t="str">
        <x:v>Opioid consumption</x:v>
      </x:c>
      <x:c r="F3" s="18" t="str">
        <x:v>Cumulative IV PCA morphine requirement</x:v>
      </x:c>
      <x:c r="G3" s="18" t="str">
        <x:v>First 24 h postoperatively</x:v>
      </x:c>
      <x:c r="H3" s="18" t="str">
        <x:v>Mean/SD</x:v>
      </x:c>
      <x:c r="I3" s="18" t="n">
        <x:v>32</x:v>
      </x:c>
      <x:c r="J3" s="18" t="n">
        <x:v>32</x:v>
      </x:c>
      <x:c r="K3" s="18" t="n">
        <x:v>32</x:v>
      </x:c>
      <x:c r="L3" s="18" t="n">
        <x:v>32</x:v>
      </x:c>
      <x:c r="M3" s="18" t="n">
        <x:v>21.38</x:v>
      </x:c>
      <x:c r="N3" s="18" t="n">
        <x:v>14.38</x:v>
      </x:c>
      <x:c r="O3" s="18"/>
      <x:c r="P3" s="18"/>
      <x:c r="Q3" s="18"/>
      <x:c r="R3" s="18"/>
      <x:c r="S3" s="18" t="n">
        <x:v>33.94</x:v>
      </x:c>
      <x:c r="T3" s="18" t="n">
        <x:v>20.24</x:v>
      </x:c>
      <x:c r="U3" s="18"/>
      <x:c r="V3" s="18"/>
      <x:c r="W3" s="18"/>
      <x:c r="X3" s="18"/>
      <x:c r="Y3" s="18" t="str">
        <x:v>mg morphine</x:v>
      </x:c>
      <x:c r="Z3" s="18" t="str">
        <x:v>0.006</x:v>
      </x:c>
      <x:c r="AA3" s="18" t="str">
        <x:v>Yes</x:v>
      </x:c>
      <x:c r="AB3" s="18" t="str">
        <x:v>No</x:v>
      </x:c>
      <x:c r="AC3" s="18" t="str">
        <x:v>MD</x:v>
      </x:c>
      <x:c r="AD3" s="18" t="n">
        <x:v>-12.559999999999999</x:v>
      </x:c>
      <x:c r="AE3" s="18" t="str">
        <x:v>Yes</x:v>
      </x:c>
      <x:c r="AF3" s="18" t="str">
        <x:v>Yes</x:v>
      </x:c>
      <x:c r="AG3" s="18" t="str">
        <x:v>Primary continuous 24-h opioid outcome</x:v>
      </x:c>
      <x:c r="AH3" s="18" t="str">
        <x:v>No</x:v>
      </x:c>
      <x:c r="AI3" s="18" t="str">
        <x:v>No allocation-concealment method reported</x:v>
      </x:c>
      <x:c r="AJ3" s="18" t="str">
        <x:v>Table 2 / 24-h PCA morphine</x:v>
      </x:c>
      <x:c r="AK3" s="18" t="str">
        <x:v>https://drive.google.com/file/d/1OhuqhDUCEmOij7fZFhHHCJNwfQ9xpMzd/view?usp=drivesdk</x:v>
      </x:c>
      <x:c r="AL3" s="18" t="str">
        <x:v>SOURCE-VERIFIED</x:v>
      </x:c>
      <x:c r="AM3" s="18" t="str">
        <x:v>Postoperative opioid consumption</x:v>
      </x:c>
      <x:c r="AN3" s="18" t="str">
        <x:v>Exact/explicit 24 h</x:v>
      </x:c>
      <x:c r="AO3" s="18" t="str">
        <x:v>INCLUDE</x:v>
      </x:c>
      <x:c r="AP3" s="18" t="str">
        <x:v>Explicit 0-24-h postoperative opioid endpoint and marked eligible in the reconciled source data.</x:v>
      </x:c>
      <x:c r="AQ3" s="18" t="str">
        <x:v>Yes</x:v>
      </x:c>
      <x:c r="AR3" s="18" t="str"/>
      <x:c r="AS3" s="18" t="str">
        <x:v>None</x:v>
      </x:c>
      <x:c r="AT3" s="18" t="str">
        <x:v>Cumulative IV PCA morphine</x:v>
      </x:c>
      <x:c r="AU3" s="18" t="str">
        <x:v>0-24 h</x:v>
      </x:c>
      <x:c r="AV3" s="18" t="str">
        <x:v>Some concerns</x:v>
      </x:c>
      <x:c r="AW3" s="18" t="str">
        <x:v>Yes — selected RoB is for a different result/timepoint</x:v>
      </x:c>
      <x:c r="AX3" s="18" t="str">
        <x:v>Seevaunnamtum 2016</x:v>
      </x:c>
      <x:c r="AY3" s="18" t="str">
        <x:v>Primary eligible contrast</x:v>
      </x:c>
      <x:c r="AZ3" s="18" t="str">
        <x:v>Count this study once per synthesis unless a valid multi-arm method is used.</x:v>
      </x:c>
    </x:row>
    <x:row r="4">
      <x:c r="A4" s="18" t="str">
        <x:v>Lin 2002</x:v>
      </x:c>
      <x:c r="B4" s="18" t="str">
        <x:v>LIN02_HIGH_vs_CONTROL</x:v>
      </x:c>
      <x:c r="C4" s="18" t="str">
        <x:v>100-Hz EA</x:v>
      </x:c>
      <x:c r="D4" s="18" t="str">
        <x:v>Untreated control</x:v>
      </x:c>
      <x:c r="E4" s="18" t="str">
        <x:v>Opioid consumption</x:v>
      </x:c>
      <x:c r="F4" s="18" t="str">
        <x:v>Cumulative IV PCA morphine delivered during postoperative test period</x:v>
      </x:c>
      <x:c r="G4" s="18" t="str">
        <x:v>Postoperative hour 1 through next 23 h (published as 24-h test-period value)</x:v>
      </x:c>
      <x:c r="H4" s="18" t="str">
        <x:v>Mean/SD</x:v>
      </x:c>
      <x:c r="I4" s="18" t="n">
        <x:v>25</x:v>
      </x:c>
      <x:c r="J4" s="18" t="n">
        <x:v>25</x:v>
      </x:c>
      <x:c r="K4" s="18" t="n">
        <x:v>25</x:v>
      </x:c>
      <x:c r="L4" s="18" t="n">
        <x:v>25</x:v>
      </x:c>
      <x:c r="M4" s="18" t="n">
        <x:v>15</x:v>
      </x:c>
      <x:c r="N4" s="18" t="n">
        <x:v>10.7</x:v>
      </x:c>
      <x:c r="O4" s="18"/>
      <x:c r="P4" s="18"/>
      <x:c r="Q4" s="18"/>
      <x:c r="R4" s="18"/>
      <x:c r="S4" s="18" t="n">
        <x:v>38.1</x:v>
      </x:c>
      <x:c r="T4" s="18" t="n">
        <x:v>16</x:v>
      </x:c>
      <x:c r="U4" s="18"/>
      <x:c r="V4" s="18"/>
      <x:c r="W4" s="18"/>
      <x:c r="X4" s="18"/>
      <x:c r="Y4" s="18" t="str">
        <x:v>mg morphine</x:v>
      </x:c>
      <x:c r="Z4" s="18"/>
      <x:c r="AA4" s="18" t="str">
        <x:v>Yes</x:v>
      </x:c>
      <x:c r="AB4" s="18" t="str">
        <x:v>No</x:v>
      </x:c>
      <x:c r="AC4" s="18" t="str">
        <x:v>MD</x:v>
      </x:c>
      <x:c r="AD4" s="18" t="n">
        <x:v>-23.1</x:v>
      </x:c>
      <x:c r="AE4" s="18" t="str">
        <x:v>No</x:v>
      </x:c>
      <x:c r="AF4" s="18" t="str">
        <x:v>No</x:v>
      </x:c>
      <x:c r="AG4" s="18" t="str">
        <x:v>Usable as published PCA-morphine endpoint; not complete all-opioid 0-24 h exposure</x:v>
      </x:c>
      <x:c r="AH4" s="18" t="str">
        <x:v>Yes</x:v>
      </x:c>
      <x:c r="AI4" s="18" t="str">
        <x:v>First postoperative hour could include IM pethidine; group-specific pethidine exposure not reported</x:v>
      </x:c>
      <x:c r="AJ4" s="18" t="str">
        <x:v>Table 2</x:v>
      </x:c>
      <x:c r="AK4" s="18" t="str">
        <x:v>https://drive.google.com/file/d/1Q5dNOPkf4PB_ctbHu1_3v3UIMIJzKRw9/view?usp=drivesdk</x:v>
      </x:c>
      <x:c r="AL4" s="18" t="str">
        <x:v>SOURCE-VERIFIED</x:v>
      </x:c>
      <x:c r="AM4" s="18" t="str">
        <x:v>PCA demand/proxy</x:v>
      </x:c>
      <x:c r="AN4" s="18" t="str">
        <x:v>Postoperative hour 1 through next 23 h (published as 24-h test-period value)</x:v>
      </x:c>
      <x:c r="AO4" s="18" t="str">
        <x:v>SECONDARY / PROXY ONLY</x:v>
      </x:c>
      <x:c r="AP4" s="18" t="str">
        <x:v>PCA presses, attempts, deliveries, or solution volume are not equivalent to opioid dose unless the pump prescription permits exact reconstruction.</x:v>
      </x:c>
      <x:c r="AQ4" s="18" t="str">
        <x:v>No</x:v>
      </x:c>
      <x:c r="AR4" s="18" t="str"/>
      <x:c r="AS4" s="18" t="str">
        <x:v>None</x:v>
      </x:c>
      <x:c r="AT4" s="18" t="str">
        <x:v>Cumulative IV PCA morphine delivered</x:v>
      </x:c>
      <x:c r="AU4" s="18" t="str">
        <x:v>24-h test period</x:v>
      </x:c>
      <x:c r="AV4" s="18" t="str">
        <x:v>Some concerns</x:v>
      </x:c>
      <x:c r="AW4" s="18" t="str">
        <x:v>Yes — selected RoB is for a different result/timepoint</x:v>
      </x:c>
      <x:c r="AX4" s="18" t="str">
        <x:v>Lin 2002</x:v>
      </x:c>
      <x:c r="AY4" s="18" t="str">
        <x:v>Multi-arm frequency contrast</x:v>
      </x:c>
      <x:c r="AZ4" s="18" t="str">
        <x:v>Four-arm trial with shared control/sham; use one prespecified active arm, split shared comparator, or multivariate/multi-arm method.</x:v>
      </x:c>
    </x:row>
    <x:row r="5">
      <x:c r="A5" s="18" t="str">
        <x:v>Lin 2002</x:v>
      </x:c>
      <x:c r="B5" s="18" t="str">
        <x:v>LIN02_LOW_vs_CONTROL</x:v>
      </x:c>
      <x:c r="C5" s="18" t="str">
        <x:v>2-Hz EA</x:v>
      </x:c>
      <x:c r="D5" s="18" t="str">
        <x:v>Untreated control</x:v>
      </x:c>
      <x:c r="E5" s="18" t="str">
        <x:v>Opioid consumption</x:v>
      </x:c>
      <x:c r="F5" s="18" t="str">
        <x:v>Cumulative IV PCA morphine delivered during postoperative test period</x:v>
      </x:c>
      <x:c r="G5" s="18" t="str">
        <x:v>Postoperative hour 1 through next 23 h (published as 24-h test-period value)</x:v>
      </x:c>
      <x:c r="H5" s="18" t="str">
        <x:v>Mean/SD</x:v>
      </x:c>
      <x:c r="I5" s="18" t="n">
        <x:v>25</x:v>
      </x:c>
      <x:c r="J5" s="18" t="n">
        <x:v>25</x:v>
      </x:c>
      <x:c r="K5" s="18" t="n">
        <x:v>25</x:v>
      </x:c>
      <x:c r="L5" s="18" t="n">
        <x:v>25</x:v>
      </x:c>
      <x:c r="M5" s="18" t="n">
        <x:v>21.8</x:v>
      </x:c>
      <x:c r="N5" s="18" t="n">
        <x:v>14.7</x:v>
      </x:c>
      <x:c r="O5" s="18"/>
      <x:c r="P5" s="18"/>
      <x:c r="Q5" s="18"/>
      <x:c r="R5" s="18"/>
      <x:c r="S5" s="18" t="n">
        <x:v>38.1</x:v>
      </x:c>
      <x:c r="T5" s="18" t="n">
        <x:v>16</x:v>
      </x:c>
      <x:c r="U5" s="18"/>
      <x:c r="V5" s="18"/>
      <x:c r="W5" s="18"/>
      <x:c r="X5" s="18"/>
      <x:c r="Y5" s="18" t="str">
        <x:v>mg morphine</x:v>
      </x:c>
      <x:c r="Z5" s="18"/>
      <x:c r="AA5" s="18" t="str">
        <x:v>Yes</x:v>
      </x:c>
      <x:c r="AB5" s="18" t="str">
        <x:v>No</x:v>
      </x:c>
      <x:c r="AC5" s="18" t="str">
        <x:v>MD</x:v>
      </x:c>
      <x:c r="AD5" s="18" t="n">
        <x:v>-16.3</x:v>
      </x:c>
      <x:c r="AE5" s="18" t="str">
        <x:v>No</x:v>
      </x:c>
      <x:c r="AF5" s="18" t="str">
        <x:v>No</x:v>
      </x:c>
      <x:c r="AG5" s="18" t="str">
        <x:v>Usable as published PCA-morphine endpoint; not complete all-opioid 0-24 h exposure</x:v>
      </x:c>
      <x:c r="AH5" s="18" t="str">
        <x:v>Yes</x:v>
      </x:c>
      <x:c r="AI5" s="18" t="str">
        <x:v>First postoperative hour could include IM pethidine; group-specific pethidine exposure not reported</x:v>
      </x:c>
      <x:c r="AJ5" s="18" t="str">
        <x:v>Table 2</x:v>
      </x:c>
      <x:c r="AK5" s="18" t="str">
        <x:v>https://drive.google.com/file/d/1Q5dNOPkf4PB_ctbHu1_3v3UIMIJzKRw9/view?usp=drivesdk</x:v>
      </x:c>
      <x:c r="AL5" s="18" t="str">
        <x:v>SOURCE-VERIFIED</x:v>
      </x:c>
      <x:c r="AM5" s="18" t="str">
        <x:v>PCA demand/proxy</x:v>
      </x:c>
      <x:c r="AN5" s="18" t="str">
        <x:v>Postoperative hour 1 through next 23 h (published as 24-h test-period value)</x:v>
      </x:c>
      <x:c r="AO5" s="18" t="str">
        <x:v>SECONDARY / PROXY ONLY</x:v>
      </x:c>
      <x:c r="AP5" s="18" t="str">
        <x:v>PCA presses, attempts, deliveries, or solution volume are not equivalent to opioid dose unless the pump prescription permits exact reconstruction.</x:v>
      </x:c>
      <x:c r="AQ5" s="18" t="str">
        <x:v>No</x:v>
      </x:c>
      <x:c r="AR5" s="18" t="str"/>
      <x:c r="AS5" s="18" t="str">
        <x:v>None</x:v>
      </x:c>
      <x:c r="AT5" s="18" t="str">
        <x:v>Cumulative IV PCA morphine delivered</x:v>
      </x:c>
      <x:c r="AU5" s="18" t="str">
        <x:v>24-h test period</x:v>
      </x:c>
      <x:c r="AV5" s="18" t="str">
        <x:v>Some concerns</x:v>
      </x:c>
      <x:c r="AW5" s="18" t="str">
        <x:v>Yes — selected RoB is for a different result/timepoint</x:v>
      </x:c>
      <x:c r="AX5" s="18" t="str">
        <x:v>Lin 2002</x:v>
      </x:c>
      <x:c r="AY5" s="18" t="str">
        <x:v>Multi-arm frequency contrast</x:v>
      </x:c>
      <x:c r="AZ5" s="18" t="str">
        <x:v>Four-arm trial with shared control/sham; use one prespecified active arm, split shared comparator, or multivariate/multi-arm method.</x:v>
      </x:c>
    </x:row>
    <x:row r="6">
      <x:c r="A6" s="18" t="str">
        <x:v>Lin 2002</x:v>
      </x:c>
      <x:c r="B6" s="18" t="str">
        <x:v>LIN02_HIGH_vs_SHAM</x:v>
      </x:c>
      <x:c r="C6" s="18" t="str">
        <x:v>100-Hz EA</x:v>
      </x:c>
      <x:c r="D6" s="18" t="str">
        <x:v>Sham EA</x:v>
      </x:c>
      <x:c r="E6" s="18" t="str">
        <x:v>Opioid consumption</x:v>
      </x:c>
      <x:c r="F6" s="18" t="str">
        <x:v>Cumulative IV PCA morphine delivered during postoperative test period</x:v>
      </x:c>
      <x:c r="G6" s="18" t="str">
        <x:v>Postoperative hour 1 through next 23 h (published as 24-h test-period value)</x:v>
      </x:c>
      <x:c r="H6" s="18" t="str">
        <x:v>Mean/SD</x:v>
      </x:c>
      <x:c r="I6" s="18" t="n">
        <x:v>25</x:v>
      </x:c>
      <x:c r="J6" s="18" t="n">
        <x:v>25</x:v>
      </x:c>
      <x:c r="K6" s="18" t="n">
        <x:v>25</x:v>
      </x:c>
      <x:c r="L6" s="18" t="n">
        <x:v>25</x:v>
      </x:c>
      <x:c r="M6" s="18" t="n">
        <x:v>15</x:v>
      </x:c>
      <x:c r="N6" s="18" t="n">
        <x:v>10.7</x:v>
      </x:c>
      <x:c r="O6" s="18"/>
      <x:c r="P6" s="18"/>
      <x:c r="Q6" s="18"/>
      <x:c r="R6" s="18"/>
      <x:c r="S6" s="18" t="n">
        <x:v>30.2</x:v>
      </x:c>
      <x:c r="T6" s="18" t="n">
        <x:v>14.4</x:v>
      </x:c>
      <x:c r="U6" s="18"/>
      <x:c r="V6" s="18"/>
      <x:c r="W6" s="18"/>
      <x:c r="X6" s="18"/>
      <x:c r="Y6" s="18" t="str">
        <x:v>mg morphine</x:v>
      </x:c>
      <x:c r="Z6" s="18"/>
      <x:c r="AA6" s="18" t="str">
        <x:v>Yes</x:v>
      </x:c>
      <x:c r="AB6" s="18" t="str">
        <x:v>No</x:v>
      </x:c>
      <x:c r="AC6" s="18" t="str">
        <x:v>MD</x:v>
      </x:c>
      <x:c r="AD6" s="18" t="n">
        <x:v>-15.2</x:v>
      </x:c>
      <x:c r="AE6" s="18" t="str">
        <x:v>No</x:v>
      </x:c>
      <x:c r="AF6" s="18" t="str">
        <x:v>No</x:v>
      </x:c>
      <x:c r="AG6" s="18" t="str">
        <x:v>Usable as published PCA-morphine endpoint; not complete all-opioid 0-24 h exposure</x:v>
      </x:c>
      <x:c r="AH6" s="18" t="str">
        <x:v>Yes</x:v>
      </x:c>
      <x:c r="AI6" s="18" t="str">
        <x:v>First postoperative hour could include IM pethidine; group-specific pethidine exposure not reported</x:v>
      </x:c>
      <x:c r="AJ6" s="18" t="str">
        <x:v>Table 2</x:v>
      </x:c>
      <x:c r="AK6" s="18" t="str">
        <x:v>https://drive.google.com/file/d/1Q5dNOPkf4PB_ctbHu1_3v3UIMIJzKRw9/view?usp=drivesdk</x:v>
      </x:c>
      <x:c r="AL6" s="18" t="str">
        <x:v>SOURCE-VERIFIED</x:v>
      </x:c>
      <x:c r="AM6" s="18" t="str">
        <x:v>PCA demand/proxy</x:v>
      </x:c>
      <x:c r="AN6" s="18" t="str">
        <x:v>Postoperative hour 1 through next 23 h (published as 24-h test-period value)</x:v>
      </x:c>
      <x:c r="AO6" s="18" t="str">
        <x:v>SECONDARY / PROXY ONLY</x:v>
      </x:c>
      <x:c r="AP6" s="18" t="str">
        <x:v>PCA presses, attempts, deliveries, or solution volume are not equivalent to opioid dose unless the pump prescription permits exact reconstruction.</x:v>
      </x:c>
      <x:c r="AQ6" s="18" t="str">
        <x:v>No</x:v>
      </x:c>
      <x:c r="AR6" s="18" t="str"/>
      <x:c r="AS6" s="18" t="str">
        <x:v>None</x:v>
      </x:c>
      <x:c r="AT6" s="18" t="str">
        <x:v>Cumulative IV PCA morphine delivered</x:v>
      </x:c>
      <x:c r="AU6" s="18" t="str">
        <x:v>24-h test period</x:v>
      </x:c>
      <x:c r="AV6" s="18" t="str">
        <x:v>Some concerns</x:v>
      </x:c>
      <x:c r="AW6" s="18" t="str">
        <x:v>Yes — selected RoB is for a different result/timepoint</x:v>
      </x:c>
      <x:c r="AX6" s="18" t="str">
        <x:v>Lin 2002</x:v>
      </x:c>
      <x:c r="AY6" s="18" t="str">
        <x:v>Multi-arm frequency contrast</x:v>
      </x:c>
      <x:c r="AZ6" s="18" t="str">
        <x:v>Four-arm trial with shared control/sham; use one prespecified active arm, split shared comparator, or multivariate/multi-arm method.</x:v>
      </x:c>
    </x:row>
    <x:row r="7">
      <x:c r="A7" s="18" t="str">
        <x:v>Lin 2002</x:v>
      </x:c>
      <x:c r="B7" s="18" t="str">
        <x:v>LIN02_LOW_vs_SHAM</x:v>
      </x:c>
      <x:c r="C7" s="18" t="str">
        <x:v>2-Hz EA</x:v>
      </x:c>
      <x:c r="D7" s="18" t="str">
        <x:v>Sham EA</x:v>
      </x:c>
      <x:c r="E7" s="18" t="str">
        <x:v>Opioid consumption</x:v>
      </x:c>
      <x:c r="F7" s="18" t="str">
        <x:v>Cumulative IV PCA morphine delivered during postoperative test period</x:v>
      </x:c>
      <x:c r="G7" s="18" t="str">
        <x:v>Postoperative hour 1 through next 23 h (published as 24-h test-period value)</x:v>
      </x:c>
      <x:c r="H7" s="18" t="str">
        <x:v>Mean/SD</x:v>
      </x:c>
      <x:c r="I7" s="18" t="n">
        <x:v>25</x:v>
      </x:c>
      <x:c r="J7" s="18" t="n">
        <x:v>25</x:v>
      </x:c>
      <x:c r="K7" s="18" t="n">
        <x:v>25</x:v>
      </x:c>
      <x:c r="L7" s="18" t="n">
        <x:v>25</x:v>
      </x:c>
      <x:c r="M7" s="18" t="n">
        <x:v>21.8</x:v>
      </x:c>
      <x:c r="N7" s="18" t="n">
        <x:v>14.7</x:v>
      </x:c>
      <x:c r="O7" s="18"/>
      <x:c r="P7" s="18"/>
      <x:c r="Q7" s="18"/>
      <x:c r="R7" s="18"/>
      <x:c r="S7" s="18" t="n">
        <x:v>30.2</x:v>
      </x:c>
      <x:c r="T7" s="18" t="n">
        <x:v>14.4</x:v>
      </x:c>
      <x:c r="U7" s="18"/>
      <x:c r="V7" s="18"/>
      <x:c r="W7" s="18"/>
      <x:c r="X7" s="18"/>
      <x:c r="Y7" s="18" t="str">
        <x:v>mg morphine</x:v>
      </x:c>
      <x:c r="Z7" s="18"/>
      <x:c r="AA7" s="18" t="str">
        <x:v>Yes</x:v>
      </x:c>
      <x:c r="AB7" s="18" t="str">
        <x:v>No</x:v>
      </x:c>
      <x:c r="AC7" s="18" t="str">
        <x:v>MD</x:v>
      </x:c>
      <x:c r="AD7" s="18" t="n">
        <x:v>-8.399999999999999</x:v>
      </x:c>
      <x:c r="AE7" s="18" t="str">
        <x:v>No</x:v>
      </x:c>
      <x:c r="AF7" s="18" t="str">
        <x:v>No</x:v>
      </x:c>
      <x:c r="AG7" s="18" t="str">
        <x:v>Usable as published PCA-morphine endpoint; not complete all-opioid 0-24 h exposure</x:v>
      </x:c>
      <x:c r="AH7" s="18" t="str">
        <x:v>Yes</x:v>
      </x:c>
      <x:c r="AI7" s="18" t="str">
        <x:v>First postoperative hour could include IM pethidine; group-specific pethidine exposure not reported</x:v>
      </x:c>
      <x:c r="AJ7" s="18" t="str">
        <x:v>Table 2</x:v>
      </x:c>
      <x:c r="AK7" s="18" t="str">
        <x:v>https://drive.google.com/file/d/1Q5dNOPkf4PB_ctbHu1_3v3UIMIJzKRw9/view?usp=drivesdk</x:v>
      </x:c>
      <x:c r="AL7" s="18" t="str">
        <x:v>SOURCE-VERIFIED</x:v>
      </x:c>
      <x:c r="AM7" s="18" t="str">
        <x:v>PCA demand/proxy</x:v>
      </x:c>
      <x:c r="AN7" s="18" t="str">
        <x:v>Postoperative hour 1 through next 23 h (published as 24-h test-period value)</x:v>
      </x:c>
      <x:c r="AO7" s="18" t="str">
        <x:v>SECONDARY / PROXY ONLY</x:v>
      </x:c>
      <x:c r="AP7" s="18" t="str">
        <x:v>PCA presses, attempts, deliveries, or solution volume are not equivalent to opioid dose unless the pump prescription permits exact reconstruction.</x:v>
      </x:c>
      <x:c r="AQ7" s="18" t="str">
        <x:v>No</x:v>
      </x:c>
      <x:c r="AR7" s="18" t="str"/>
      <x:c r="AS7" s="18" t="str">
        <x:v>None</x:v>
      </x:c>
      <x:c r="AT7" s="18" t="str">
        <x:v>Cumulative IV PCA morphine delivered</x:v>
      </x:c>
      <x:c r="AU7" s="18" t="str">
        <x:v>24-h test period</x:v>
      </x:c>
      <x:c r="AV7" s="18" t="str">
        <x:v>Some concerns</x:v>
      </x:c>
      <x:c r="AW7" s="18" t="str">
        <x:v>Yes — selected RoB is for a different result/timepoint</x:v>
      </x:c>
      <x:c r="AX7" s="18" t="str">
        <x:v>Lin 2002</x:v>
      </x:c>
      <x:c r="AY7" s="18" t="str">
        <x:v>Multi-arm frequency contrast</x:v>
      </x:c>
      <x:c r="AZ7" s="18" t="str">
        <x:v>Four-arm trial with shared control/sham; use one prespecified active arm, split shared comparator, or multivariate/multi-arm method.</x:v>
      </x:c>
    </x:row>
    <x:row r="8">
      <x:c r="A8" s="18" t="str">
        <x:v>Yao 2015</x:v>
      </x:c>
      <x:c r="B8" s="18" t="str">
        <x:v>YAO15_TEAS_vs_CONTROL</x:v>
      </x:c>
      <x:c r="C8" s="18" t="str">
        <x:v>Preoperative TEAS</x:v>
      </x:c>
      <x:c r="D8" s="18" t="str">
        <x:v>Control/no current</x:v>
      </x:c>
      <x:c r="E8" s="18" t="str">
        <x:v>Quality of recovery</x:v>
      </x:c>
      <x:c r="F8" s="18" t="str">
        <x:v>Global QoR-40</x:v>
      </x:c>
      <x:c r="G8" s="18" t="str">
        <x:v>24 h postoperatively</x:v>
      </x:c>
      <x:c r="H8" s="18" t="str">
        <x:v>Mean/SD</x:v>
      </x:c>
      <x:c r="I8" s="18" t="n">
        <x:v>37</x:v>
      </x:c>
      <x:c r="J8" s="18" t="n">
        <x:v>37</x:v>
      </x:c>
      <x:c r="K8" s="18" t="n">
        <x:v>35</x:v>
      </x:c>
      <x:c r="L8" s="18" t="n">
        <x:v>36</x:v>
      </x:c>
      <x:c r="M8" s="18" t="n">
        <x:v>176.5</x:v>
      </x:c>
      <x:c r="N8" s="18" t="n">
        <x:v>10.2</x:v>
      </x:c>
      <x:c r="O8" s="18"/>
      <x:c r="P8" s="18"/>
      <x:c r="Q8" s="18"/>
      <x:c r="R8" s="18"/>
      <x:c r="S8" s="18" t="n">
        <x:v>164.8</x:v>
      </x:c>
      <x:c r="T8" s="18" t="n">
        <x:v>14.7</x:v>
      </x:c>
      <x:c r="U8" s="18"/>
      <x:c r="V8" s="18"/>
      <x:c r="W8" s="18"/>
      <x:c r="X8" s="18"/>
      <x:c r="Y8" s="18" t="str">
        <x:v>QoR-40 points</x:v>
      </x:c>
      <x:c r="Z8" s="18" t="str">
        <x:v>&lt;0.001</x:v>
      </x:c>
      <x:c r="AA8" s="18" t="str">
        <x:v>Yes</x:v>
      </x:c>
      <x:c r="AB8" s="18" t="str">
        <x:v>No</x:v>
      </x:c>
      <x:c r="AC8" s="18" t="str">
        <x:v>MD</x:v>
      </x:c>
      <x:c r="AD8" s="18" t="n">
        <x:v>11.699999999999989</x:v>
      </x:c>
      <x:c r="AE8" s="18" t="str">
        <x:v>No</x:v>
      </x:c>
      <x:c r="AF8" s="18" t="str">
        <x:v>No</x:v>
      </x:c>
      <x:c r="AG8" s="18" t="str">
        <x:v>Eligible for QoR meta-analysis</x:v>
      </x:c>
      <x:c r="AH8" s="18" t="str">
        <x:v>No</x:v>
      </x:c>
      <x:c r="AI8" s="18" t="str">
        <x:v>3 post-randomization exclusions; active sensory stimulation vs zero-current control</x:v>
      </x:c>
      <x:c r="AJ8" s="18" t="str">
        <x:v>24-h QoR-40 result</x:v>
      </x:c>
      <x:c r="AK8" s="18" t="str">
        <x:v>https://drive.google.com/file/d/1OhcqPgP7chnaiBaZBPBAy4PQlSFMelfh/view?usp=drivesdk</x:v>
      </x:c>
      <x:c r="AL8" s="18" t="str">
        <x:v>SOURCE-VERIFIED</x:v>
      </x:c>
      <x:c r="AM8" s="18" t="str">
        <x:v>Quality of recovery</x:v>
      </x:c>
      <x:c r="AN8" s="18" t="str">
        <x:v>Contains 24 h but definition differs</x:v>
      </x:c>
      <x:c r="AO8" s="18" t="str">
        <x:v>INCLUDE — OTHER TIMEPOINT</x:v>
      </x:c>
      <x:c r="AP8" s="18" t="str">
        <x:v>Source-valid QoR endpoint outside the primary 24-h timepoint.</x:v>
      </x:c>
      <x:c r="AQ8" s="18" t="str">
        <x:v>No</x:v>
      </x:c>
      <x:c r="AR8" s="18" t="str"/>
      <x:c r="AS8" s="18" t="str">
        <x:v>None</x:v>
      </x:c>
      <x:c r="AT8" s="18" t="str">
        <x:v>Global QoR-40</x:v>
      </x:c>
      <x:c r="AU8" s="18" t="str">
        <x:v>24 h</x:v>
      </x:c>
      <x:c r="AV8" s="18" t="str">
        <x:v>High</x:v>
      </x:c>
      <x:c r="AW8" s="18" t="str">
        <x:v>No — selected RoB matches this result</x:v>
      </x:c>
      <x:c r="AX8" s="18" t="str">
        <x:v>Yao 2015</x:v>
      </x:c>
      <x:c r="AY8" s="18" t="str">
        <x:v>Primary eligible contrast</x:v>
      </x:c>
      <x:c r="AZ8" s="18" t="str">
        <x:v>Count this study once per synthesis unless a valid multi-arm method is used.</x:v>
      </x:c>
    </x:row>
    <x:row r="9">
      <x:c r="A9" s="18" t="str">
        <x:v>Yu 2020</x:v>
      </x:c>
      <x:c r="B9" s="18" t="str">
        <x:v>YU20_TEAS_vs_CONTROL</x:v>
      </x:c>
      <x:c r="C9" s="18" t="str">
        <x:v>Preoperative TEAS</x:v>
      </x:c>
      <x:c r="D9" s="18" t="str">
        <x:v>Control/no current</x:v>
      </x:c>
      <x:c r="E9" s="18" t="str">
        <x:v>Quality of recovery</x:v>
      </x:c>
      <x:c r="F9" s="18" t="str">
        <x:v>Global QoR-40</x:v>
      </x:c>
      <x:c r="G9" s="18" t="str">
        <x:v>Postoperative day 1 (~24 h)</x:v>
      </x:c>
      <x:c r="H9" s="18" t="str">
        <x:v>Mean/SD</x:v>
      </x:c>
      <x:c r="I9" s="18" t="n">
        <x:v>30</x:v>
      </x:c>
      <x:c r="J9" s="18" t="n">
        <x:v>30</x:v>
      </x:c>
      <x:c r="K9" s="18" t="n">
        <x:v>30</x:v>
      </x:c>
      <x:c r="L9" s="18" t="n">
        <x:v>30</x:v>
      </x:c>
      <x:c r="M9" s="18" t="n">
        <x:v>175.33</x:v>
      </x:c>
      <x:c r="N9" s="18" t="n">
        <x:v>9.66</x:v>
      </x:c>
      <x:c r="O9" s="18"/>
      <x:c r="P9" s="18"/>
      <x:c r="Q9" s="18"/>
      <x:c r="R9" s="18"/>
      <x:c r="S9" s="18" t="n">
        <x:v>166.07</x:v>
      </x:c>
      <x:c r="T9" s="18" t="n">
        <x:v>8.44</x:v>
      </x:c>
      <x:c r="U9" s="18"/>
      <x:c r="V9" s="18"/>
      <x:c r="W9" s="18"/>
      <x:c r="X9" s="18"/>
      <x:c r="Y9" s="18" t="str">
        <x:v>QoR-40 points</x:v>
      </x:c>
      <x:c r="Z9" s="18" t="str">
        <x:v>0.040</x:v>
      </x:c>
      <x:c r="AA9" s="18" t="str">
        <x:v>Yes</x:v>
      </x:c>
      <x:c r="AB9" s="18" t="str">
        <x:v>No</x:v>
      </x:c>
      <x:c r="AC9" s="18" t="str">
        <x:v>MD</x:v>
      </x:c>
      <x:c r="AD9" s="18" t="n">
        <x:v>9.26000000000002</x:v>
      </x:c>
      <x:c r="AE9" s="18" t="str">
        <x:v>No</x:v>
      </x:c>
      <x:c r="AF9" s="18" t="str">
        <x:v>No</x:v>
      </x:c>
      <x:c r="AG9" s="18" t="str">
        <x:v>Eligible for QoR meta-analysis</x:v>
      </x:c>
      <x:c r="AH9" s="18" t="str">
        <x:v>No</x:v>
      </x:c>
      <x:c r="AI9" s="18" t="str">
        <x:v>Retrospective registration; article has internal intervention-parameter discrepancy</x:v>
      </x:c>
      <x:c r="AJ9" s="18" t="str">
        <x:v>POD1 QoR-40 result</x:v>
      </x:c>
      <x:c r="AK9" s="18" t="str">
        <x:v>https://drive.google.com/file/d/1fXpHc9FzhpPCkXto8c5lfcLoA3ROdOEz/view?usp=drivesdk</x:v>
      </x:c>
      <x:c r="AL9" s="18" t="str">
        <x:v>SOURCE-VERIFIED</x:v>
      </x:c>
      <x:c r="AM9" s="18" t="str">
        <x:v>Quality of recovery</x:v>
      </x:c>
      <x:c r="AN9" s="18" t="str">
        <x:v>POD1 / approximate 24 h</x:v>
      </x:c>
      <x:c r="AO9" s="18" t="str">
        <x:v>CONDITIONAL — POD1</x:v>
      </x:c>
      <x:c r="AP9" s="18" t="str">
        <x:v>POD1 is approximately 24 h; pool only if allowed by protocol.</x:v>
      </x:c>
      <x:c r="AQ9" s="18" t="str">
        <x:v>Yes</x:v>
      </x:c>
      <x:c r="AR9" s="18" t="str"/>
      <x:c r="AS9" s="18" t="str">
        <x:v>None</x:v>
      </x:c>
      <x:c r="AT9" s="18" t="str">
        <x:v>Global QoR-40</x:v>
      </x:c>
      <x:c r="AU9" s="18" t="str">
        <x:v>POD1 (~24 h)</x:v>
      </x:c>
      <x:c r="AV9" s="18" t="str">
        <x:v>High</x:v>
      </x:c>
      <x:c r="AW9" s="18" t="str">
        <x:v>No — selected RoB matches this result</x:v>
      </x:c>
      <x:c r="AX9" s="18" t="str">
        <x:v>Yu 2020</x:v>
      </x:c>
      <x:c r="AY9" s="18" t="str">
        <x:v>Primary eligible contrast</x:v>
      </x:c>
      <x:c r="AZ9" s="18" t="str">
        <x:v>Count this study once per synthesis unless a valid multi-arm method is used.</x:v>
      </x:c>
    </x:row>
    <x:row r="10">
      <x:c r="A10" s="18" t="str">
        <x:v>Pan 2023</x:v>
      </x:c>
      <x:c r="B10" s="18" t="str">
        <x:v>PAN23_TEAS_vs_CONTROL</x:v>
      </x:c>
      <x:c r="C10" s="18" t="str">
        <x:v>TEAS</x:v>
      </x:c>
      <x:c r="D10" s="18" t="str">
        <x:v>Control/usual care</x:v>
      </x:c>
      <x:c r="E10" s="18" t="str">
        <x:v>GI recovery</x:v>
      </x:c>
      <x:c r="F10" s="18" t="str">
        <x:v>Time to first postoperative flatus</x:v>
      </x:c>
      <x:c r="G10" s="18" t="str">
        <x:v>Postoperative recovery endpoint</x:v>
      </x:c>
      <x:c r="H10" s="18" t="str">
        <x:v>Median/IQR</x:v>
      </x:c>
      <x:c r="I10" s="18" t="n">
        <x:v>60</x:v>
      </x:c>
      <x:c r="J10" s="18" t="n">
        <x:v>60</x:v>
      </x:c>
      <x:c r="K10" s="18" t="n">
        <x:v>52</x:v>
      </x:c>
      <x:c r="L10" s="18" t="n">
        <x:v>53</x:v>
      </x:c>
      <x:c r="M10" s="18"/>
      <x:c r="N10" s="18"/>
      <x:c r="O10" s="18" t="n">
        <x:v>1020</x:v>
      </x:c>
      <x:c r="P10" s="18" t="n">
        <x:v>675.8</x:v>
      </x:c>
      <x:c r="Q10" s="18" t="n">
        <x:v>1278</x:v>
      </x:c>
      <x:c r="R10" s="18"/>
      <x:c r="S10" s="18"/>
      <x:c r="T10" s="18"/>
      <x:c r="U10" s="18" t="n">
        <x:v>1210</x:v>
      </x:c>
      <x:c r="V10" s="18" t="n">
        <x:v>896.5</x:v>
      </x:c>
      <x:c r="W10" s="18" t="n">
        <x:v>1427</x:v>
      </x:c>
      <x:c r="X10" s="18"/>
      <x:c r="Y10" s="18" t="str">
        <x:v>minutes</x:v>
      </x:c>
      <x:c r="Z10" s="18" t="str">
        <x:v>0.01</x:v>
      </x:c>
      <x:c r="AA10" s="18" t="str">
        <x:v>Yes</x:v>
      </x:c>
      <x:c r="AB10" s="18" t="str">
        <x:v>No</x:v>
      </x:c>
      <x:c r="AC10" s="18"/>
      <x:c r="AD10" s="18"/>
      <x:c r="AE10" s="18" t="str">
        <x:v>No</x:v>
      </x:c>
      <x:c r="AF10" s="18" t="str">
        <x:v>No</x:v>
      </x:c>
      <x:c r="AG10" s="18" t="str">
        <x:v>Eligible for GI analysis using nonparametric/prespecified conversion method only</x:v>
      </x:c>
      <x:c r="AH10" s="18" t="str">
        <x:v>No</x:v>
      </x:c>
      <x:c r="AI10" s="18" t="str">
        <x:v>15/120 excluded after randomization; do not relabel median/IQR as mean/SD</x:v>
      </x:c>
      <x:c r="AJ10" s="18" t="str">
        <x:v>Postoperative recovery table</x:v>
      </x:c>
      <x:c r="AK10" s="18" t="str">
        <x:v>https://drive.google.com/file/d/19IZpaoI-iTQOr_XOTw-a17WTw_haz8q6/view?usp=drivesdk</x:v>
      </x:c>
      <x:c r="AL10" s="18" t="str">
        <x:v>SOURCE-VERIFIED</x:v>
      </x:c>
      <x:c r="AM10" s="18" t="str">
        <x:v>GI recovery</x:v>
      </x:c>
      <x:c r="AN10" s="18" t="str">
        <x:v>Postoperative recovery endpoint</x:v>
      </x:c>
      <x:c r="AO10" s="18" t="str">
        <x:v>INCLUDE</x:v>
      </x:c>
      <x:c r="AP10" s="18" t="str">
        <x:v>Source-valid first-flatus/ileus endpoint; retain reported distribution (mean/SD, median/IQR, or events).</x:v>
      </x:c>
      <x:c r="AQ10" s="18" t="str">
        <x:v>Yes</x:v>
      </x:c>
      <x:c r="AR10" s="18" t="str"/>
      <x:c r="AS10" s="18" t="str">
        <x:v>Use median/IQR-compatible meta-analysis method; do not relabel as mean/SD</x:v>
      </x:c>
      <x:c r="AT10" s="18" t="str">
        <x:v>Time to first postoperative flatus</x:v>
      </x:c>
      <x:c r="AU10" s="18" t="str">
        <x:v>Time to event</x:v>
      </x:c>
      <x:c r="AV10" s="18" t="str">
        <x:v>High</x:v>
      </x:c>
      <x:c r="AW10" s="18" t="str">
        <x:v>No — selected RoB matches this result</x:v>
      </x:c>
      <x:c r="AX10" s="18" t="str">
        <x:v>Pan 2023</x:v>
      </x:c>
      <x:c r="AY10" s="18" t="str">
        <x:v>Primary eligible contrast</x:v>
      </x:c>
      <x:c r="AZ10" s="18" t="str">
        <x:v>Count this study once per synthesis unless a valid multi-arm method is used.</x:v>
      </x:c>
    </x:row>
    <x:row r="11">
      <x:c r="A11" s="18" t="str">
        <x:v>Chen 1998</x:v>
      </x:c>
      <x:c r="B11" s="18" t="str">
        <x:v>CHEN98_NONACU_vs_SHAM</x:v>
      </x:c>
      <x:c r="C11" s="18" t="str">
        <x:v>Active nonacupoint shoulder TENS</x:v>
      </x:c>
      <x:c r="D11" s="18" t="str">
        <x:v>Sham ST36 TENS (0 mA)</x:v>
      </x:c>
      <x:c r="E11" s="18" t="str">
        <x:v>Opioid consumption</x:v>
      </x:c>
      <x:c r="F11" s="18" t="str">
        <x:v>Cumulative IV PCA hydromorphone</x:v>
      </x:c>
      <x:c r="G11" s="18" t="str">
        <x:v>First 24 h postoperatively</x:v>
      </x:c>
      <x:c r="H11" s="18" t="str">
        <x:v>Mean/SD</x:v>
      </x:c>
      <x:c r="I11" s="18" t="n">
        <x:v>25</x:v>
      </x:c>
      <x:c r="J11" s="18" t="n">
        <x:v>25</x:v>
      </x:c>
      <x:c r="K11" s="18" t="n">
        <x:v>25</x:v>
      </x:c>
      <x:c r="L11" s="18" t="n">
        <x:v>25</x:v>
      </x:c>
      <x:c r="M11" s="18" t="n">
        <x:v>10.5</x:v>
      </x:c>
      <x:c r="N11" s="18" t="n">
        <x:v>6.2</x:v>
      </x:c>
      <x:c r="O11" s="18"/>
      <x:c r="P11" s="18"/>
      <x:c r="Q11" s="18"/>
      <x:c r="R11" s="18"/>
      <x:c r="S11" s="18" t="n">
        <x:v>10.7</x:v>
      </x:c>
      <x:c r="T11" s="18" t="n">
        <x:v>5</x:v>
      </x:c>
      <x:c r="U11" s="18"/>
      <x:c r="V11" s="18"/>
      <x:c r="W11" s="18"/>
      <x:c r="X11" s="18"/>
      <x:c r="Y11" s="18" t="str">
        <x:v>mg hydromorphone</x:v>
      </x:c>
      <x:c r="Z11" s="18"/>
      <x:c r="AA11" s="18" t="str">
        <x:v>Yes</x:v>
      </x:c>
      <x:c r="AB11" s="18" t="str">
        <x:v>No</x:v>
      </x:c>
      <x:c r="AC11" s="18" t="str">
        <x:v>MD</x:v>
      </x:c>
      <x:c r="AD11" s="18" t="n">
        <x:v>-0.1999999999999993</x:v>
      </x:c>
      <x:c r="AE11" s="18" t="str">
        <x:v>Yes</x:v>
      </x:c>
      <x:c r="AF11" s="18" t="str">
        <x:v>Yes</x:v>
      </x:c>
      <x:c r="AG11" s="18" t="str">
        <x:v>Eligible for 24-h opioid analysis after prespecified opioid/MME conversion</x:v>
      </x:c>
      <x:c r="AH11" s="18" t="str">
        <x:v>Yes</x:v>
      </x:c>
      <x:c r="AI11" s="18" t="str">
        <x:v>Four-arm RCT; shared sham control must be handled correctly</x:v>
      </x:c>
      <x:c r="AJ11" s="18" t="str">
        <x:v>Table 2 / first-24-h hydromorphone</x:v>
      </x:c>
      <x:c r="AK11" s="18" t="str">
        <x:v>https://drive.google.com/file/d/1lUyYj9aN1CL9RpY86ZY0970To83Kb17s/view?usp=drivesdk</x:v>
      </x:c>
      <x:c r="AL11" s="18" t="str">
        <x:v>SOURCE-VERIFIED</x:v>
      </x:c>
      <x:c r="AM11" s="18" t="str">
        <x:v>Postoperative opioid consumption</x:v>
      </x:c>
      <x:c r="AN11" s="18" t="str">
        <x:v>Exact/explicit 24 h</x:v>
      </x:c>
      <x:c r="AO11" s="18" t="str">
        <x:v>INCLUDE</x:v>
      </x:c>
      <x:c r="AP11" s="18" t="str">
        <x:v>Explicit 0-24-h postoperative opioid endpoint and marked eligible in the reconciled source data.</x:v>
      </x:c>
      <x:c r="AQ11" s="18" t="str">
        <x:v>Yes</x:v>
      </x:c>
      <x:c r="AR11" s="18" t="str"/>
      <x:c r="AS11" s="18" t="str">
        <x:v>Opioid/MME conversion required using prespecified review conversion</x:v>
      </x:c>
      <x:c r="AT11" s="18" t="str">
        <x:v>Cumulative IV PCA hydromorphone</x:v>
      </x:c>
      <x:c r="AU11" s="18" t="str">
        <x:v>First 24 h</x:v>
      </x:c>
      <x:c r="AV11" s="18" t="str">
        <x:v>Some concerns</x:v>
      </x:c>
      <x:c r="AW11" s="18" t="str">
        <x:v>No — selected RoB matches this result</x:v>
      </x:c>
      <x:c r="AX11" s="18" t="str">
        <x:v>Chen 1998</x:v>
      </x:c>
      <x:c r="AY11" s="18" t="str">
        <x:v>Nonacupoint mechanistic contrast</x:v>
      </x:c>
      <x:c r="AZ11" s="18" t="str">
        <x:v>Four-arm RCT with shared sham; do not count three active-vs-sham rows as three independent studies.</x:v>
      </x:c>
    </x:row>
    <x:row r="12">
      <x:c r="A12" s="18" t="str">
        <x:v>Chen 1998</x:v>
      </x:c>
      <x:c r="B12" s="18" t="str">
        <x:v>CHEN98_DERM_vs_SHAM</x:v>
      </x:c>
      <x:c r="C12" s="18" t="str">
        <x:v>Active dermatomal/peri-incisional TENS</x:v>
      </x:c>
      <x:c r="D12" s="18" t="str">
        <x:v>Sham ST36 TENS (0 mA)</x:v>
      </x:c>
      <x:c r="E12" s="18" t="str">
        <x:v>Opioid consumption</x:v>
      </x:c>
      <x:c r="F12" s="18" t="str">
        <x:v>Cumulative IV PCA hydromorphone</x:v>
      </x:c>
      <x:c r="G12" s="18" t="str">
        <x:v>First 24 h postoperatively</x:v>
      </x:c>
      <x:c r="H12" s="18" t="str">
        <x:v>Mean/SD</x:v>
      </x:c>
      <x:c r="I12" s="18" t="n">
        <x:v>25</x:v>
      </x:c>
      <x:c r="J12" s="18" t="n">
        <x:v>25</x:v>
      </x:c>
      <x:c r="K12" s="18" t="n">
        <x:v>25</x:v>
      </x:c>
      <x:c r="L12" s="18" t="n">
        <x:v>25</x:v>
      </x:c>
      <x:c r="M12" s="18" t="n">
        <x:v>6.8</x:v>
      </x:c>
      <x:c r="N12" s="18" t="n">
        <x:v>4.2</x:v>
      </x:c>
      <x:c r="O12" s="18"/>
      <x:c r="P12" s="18"/>
      <x:c r="Q12" s="18"/>
      <x:c r="R12" s="18"/>
      <x:c r="S12" s="18" t="n">
        <x:v>10.7</x:v>
      </x:c>
      <x:c r="T12" s="18" t="n">
        <x:v>5</x:v>
      </x:c>
      <x:c r="U12" s="18"/>
      <x:c r="V12" s="18"/>
      <x:c r="W12" s="18"/>
      <x:c r="X12" s="18"/>
      <x:c r="Y12" s="18" t="str">
        <x:v>mg hydromorphone</x:v>
      </x:c>
      <x:c r="Z12" s="18"/>
      <x:c r="AA12" s="18" t="str">
        <x:v>Yes</x:v>
      </x:c>
      <x:c r="AB12" s="18" t="str">
        <x:v>No</x:v>
      </x:c>
      <x:c r="AC12" s="18" t="str">
        <x:v>MD</x:v>
      </x:c>
      <x:c r="AD12" s="18" t="n">
        <x:v>-3.8999999999999995</x:v>
      </x:c>
      <x:c r="AE12" s="18" t="str">
        <x:v>Yes</x:v>
      </x:c>
      <x:c r="AF12" s="18" t="str">
        <x:v>Yes</x:v>
      </x:c>
      <x:c r="AG12" s="18" t="str">
        <x:v>Eligible for 24-h opioid analysis after prespecified opioid/MME conversion</x:v>
      </x:c>
      <x:c r="AH12" s="18" t="str">
        <x:v>Yes</x:v>
      </x:c>
      <x:c r="AI12" s="18" t="str">
        <x:v>Four-arm RCT; shared sham control must be handled correctly</x:v>
      </x:c>
      <x:c r="AJ12" s="18" t="str">
        <x:v>Table 2 / first-24-h hydromorphone</x:v>
      </x:c>
      <x:c r="AK12" s="18" t="str">
        <x:v>https://drive.google.com/file/d/1lUyYj9aN1CL9RpY86ZY0970To83Kb17s/view?usp=drivesdk</x:v>
      </x:c>
      <x:c r="AL12" s="18" t="str">
        <x:v>SOURCE-VERIFIED</x:v>
      </x:c>
      <x:c r="AM12" s="18" t="str">
        <x:v>Postoperative opioid consumption</x:v>
      </x:c>
      <x:c r="AN12" s="18" t="str">
        <x:v>Exact/explicit 24 h</x:v>
      </x:c>
      <x:c r="AO12" s="18" t="str">
        <x:v>INCLUDE</x:v>
      </x:c>
      <x:c r="AP12" s="18" t="str">
        <x:v>Explicit 0-24-h postoperative opioid endpoint and marked eligible in the reconciled source data.</x:v>
      </x:c>
      <x:c r="AQ12" s="18" t="str">
        <x:v>Yes</x:v>
      </x:c>
      <x:c r="AR12" s="18" t="str"/>
      <x:c r="AS12" s="18" t="str">
        <x:v>Opioid/MME conversion required using prespecified review conversion</x:v>
      </x:c>
      <x:c r="AT12" s="18" t="str">
        <x:v>Cumulative IV PCA hydromorphone</x:v>
      </x:c>
      <x:c r="AU12" s="18" t="str">
        <x:v>First 24 h</x:v>
      </x:c>
      <x:c r="AV12" s="18" t="str">
        <x:v>Some concerns</x:v>
      </x:c>
      <x:c r="AW12" s="18" t="str">
        <x:v>No — selected RoB matches this result</x:v>
      </x:c>
      <x:c r="AX12" s="18" t="str">
        <x:v>Chen 1998</x:v>
      </x:c>
      <x:c r="AY12" s="18" t="str">
        <x:v>Alternative dermatomal-site contrast</x:v>
      </x:c>
      <x:c r="AZ12" s="18" t="str">
        <x:v>Four-arm RCT with shared sham; do not count three active-vs-sham rows as three independent studies.</x:v>
      </x:c>
    </x:row>
    <x:row r="13">
      <x:c r="A13" s="18" t="str">
        <x:v>Chen 1998</x:v>
      </x:c>
      <x:c r="B13" s="18" t="str">
        <x:v>CHEN98_ACU_vs_SHAM</x:v>
      </x:c>
      <x:c r="C13" s="18" t="str">
        <x:v>Active ST36 acupoint TENS</x:v>
      </x:c>
      <x:c r="D13" s="18" t="str">
        <x:v>Sham ST36 TENS (0 mA)</x:v>
      </x:c>
      <x:c r="E13" s="18" t="str">
        <x:v>Opioid consumption</x:v>
      </x:c>
      <x:c r="F13" s="18" t="str">
        <x:v>Cumulative IV PCA hydromorphone</x:v>
      </x:c>
      <x:c r="G13" s="18" t="str">
        <x:v>First 24 h postoperatively</x:v>
      </x:c>
      <x:c r="H13" s="18" t="str">
        <x:v>Mean/SD</x:v>
      </x:c>
      <x:c r="I13" s="18" t="n">
        <x:v>25</x:v>
      </x:c>
      <x:c r="J13" s="18" t="n">
        <x:v>25</x:v>
      </x:c>
      <x:c r="K13" s="18" t="n">
        <x:v>25</x:v>
      </x:c>
      <x:c r="L13" s="18" t="n">
        <x:v>25</x:v>
      </x:c>
      <x:c r="M13" s="18" t="n">
        <x:v>6.5</x:v>
      </x:c>
      <x:c r="N13" s="18" t="n">
        <x:v>3.5</x:v>
      </x:c>
      <x:c r="O13" s="18"/>
      <x:c r="P13" s="18"/>
      <x:c r="Q13" s="18"/>
      <x:c r="R13" s="18"/>
      <x:c r="S13" s="18" t="n">
        <x:v>10.7</x:v>
      </x:c>
      <x:c r="T13" s="18" t="n">
        <x:v>5</x:v>
      </x:c>
      <x:c r="U13" s="18"/>
      <x:c r="V13" s="18"/>
      <x:c r="W13" s="18"/>
      <x:c r="X13" s="18"/>
      <x:c r="Y13" s="18" t="str">
        <x:v>mg hydromorphone</x:v>
      </x:c>
      <x:c r="Z13" s="18"/>
      <x:c r="AA13" s="18" t="str">
        <x:v>Yes</x:v>
      </x:c>
      <x:c r="AB13" s="18" t="str">
        <x:v>No</x:v>
      </x:c>
      <x:c r="AC13" s="18" t="str">
        <x:v>MD</x:v>
      </x:c>
      <x:c r="AD13" s="18" t="n">
        <x:v>-4.199999999999999</x:v>
      </x:c>
      <x:c r="AE13" s="18" t="str">
        <x:v>Yes</x:v>
      </x:c>
      <x:c r="AF13" s="18" t="str">
        <x:v>Yes</x:v>
      </x:c>
      <x:c r="AG13" s="18" t="str">
        <x:v>Eligible for 24-h opioid analysis after prespecified opioid/MME conversion</x:v>
      </x:c>
      <x:c r="AH13" s="18" t="str">
        <x:v>Yes</x:v>
      </x:c>
      <x:c r="AI13" s="18" t="str">
        <x:v>Four-arm RCT; shared sham control must be handled correctly</x:v>
      </x:c>
      <x:c r="AJ13" s="18" t="str">
        <x:v>Table 2 / first-24-h hydromorphone</x:v>
      </x:c>
      <x:c r="AK13" s="18" t="str">
        <x:v>https://drive.google.com/file/d/1lUyYj9aN1CL9RpY86ZY0970To83Kb17s/view?usp=drivesdk</x:v>
      </x:c>
      <x:c r="AL13" s="18" t="str">
        <x:v>SOURCE-VERIFIED</x:v>
      </x:c>
      <x:c r="AM13" s="18" t="str">
        <x:v>Postoperative opioid consumption</x:v>
      </x:c>
      <x:c r="AN13" s="18" t="str">
        <x:v>Exact/explicit 24 h</x:v>
      </x:c>
      <x:c r="AO13" s="18" t="str">
        <x:v>INCLUDE</x:v>
      </x:c>
      <x:c r="AP13" s="18" t="str">
        <x:v>Explicit 0-24-h postoperative opioid endpoint and marked eligible in the reconciled source data.</x:v>
      </x:c>
      <x:c r="AQ13" s="18" t="str">
        <x:v>Yes</x:v>
      </x:c>
      <x:c r="AR13" s="18" t="str"/>
      <x:c r="AS13" s="18" t="str">
        <x:v>Opioid/MME conversion required using prespecified review conversion</x:v>
      </x:c>
      <x:c r="AT13" s="18" t="str">
        <x:v>Cumulative IV PCA hydromorphone</x:v>
      </x:c>
      <x:c r="AU13" s="18" t="str">
        <x:v>First 24 h</x:v>
      </x:c>
      <x:c r="AV13" s="18" t="str">
        <x:v>Some concerns</x:v>
      </x:c>
      <x:c r="AW13" s="18" t="str">
        <x:v>No — selected RoB matches this result</x:v>
      </x:c>
      <x:c r="AX13" s="18" t="str">
        <x:v>Chen 1998</x:v>
      </x:c>
      <x:c r="AY13" s="18" t="str">
        <x:v>Preferred acupoint-specific contrast</x:v>
      </x:c>
      <x:c r="AZ13" s="18" t="str">
        <x:v>Four-arm RCT with shared sham; do not count three active-vs-sham rows as three independent studies.</x:v>
      </x:c>
    </x:row>
    <x:row r="14">
      <x:c r="A14" s="18" t="str">
        <x:v>Chen 2020</x:v>
      </x:c>
      <x:c r="B14" s="18" t="str">
        <x:v>CHEN20_TEAS_vs_SHAM</x:v>
      </x:c>
      <x:c r="C14" s="18" t="str">
        <x:v>Perioperative TEAS</x:v>
      </x:c>
      <x:c r="D14" s="18" t="str">
        <x:v>Sham low/zero-current protocol</x:v>
      </x:c>
      <x:c r="E14" s="18" t="str">
        <x:v>Opioid consumption</x:v>
      </x:c>
      <x:c r="F14" s="18" t="str">
        <x:v>Cumulative sufentanil</x:v>
      </x:c>
      <x:c r="G14" s="18" t="str">
        <x:v>24 h postoperatively</x:v>
      </x:c>
      <x:c r="H14" s="18" t="str">
        <x:v>Mean/SD</x:v>
      </x:c>
      <x:c r="I14" s="18" t="n">
        <x:v>40</x:v>
      </x:c>
      <x:c r="J14" s="18" t="n">
        <x:v>40</x:v>
      </x:c>
      <x:c r="K14" s="18" t="n">
        <x:v>40</x:v>
      </x:c>
      <x:c r="L14" s="18" t="n">
        <x:v>40</x:v>
      </x:c>
      <x:c r="M14" s="18" t="n">
        <x:v>72.43</x:v>
      </x:c>
      <x:c r="N14" s="18" t="n">
        <x:v>4.78</x:v>
      </x:c>
      <x:c r="O14" s="18"/>
      <x:c r="P14" s="18"/>
      <x:c r="Q14" s="18"/>
      <x:c r="R14" s="18"/>
      <x:c r="S14" s="18" t="n">
        <x:v>100.62</x:v>
      </x:c>
      <x:c r="T14" s="18" t="n">
        <x:v>10.2</x:v>
      </x:c>
      <x:c r="U14" s="18"/>
      <x:c r="V14" s="18"/>
      <x:c r="W14" s="18"/>
      <x:c r="X14" s="18"/>
      <x:c r="Y14" s="18" t="str">
        <x:v>µg sufentanil</x:v>
      </x:c>
      <x:c r="Z14" s="18"/>
      <x:c r="AA14" s="18" t="str">
        <x:v>Yes</x:v>
      </x:c>
      <x:c r="AB14" s="18" t="str">
        <x:v>No</x:v>
      </x:c>
      <x:c r="AC14" s="18" t="str">
        <x:v>MD</x:v>
      </x:c>
      <x:c r="AD14" s="18" t="n">
        <x:v>-28.189999999999998</x:v>
      </x:c>
      <x:c r="AE14" s="18" t="str">
        <x:v>Yes</x:v>
      </x:c>
      <x:c r="AF14" s="18" t="str">
        <x:v>Yes</x:v>
      </x:c>
      <x:c r="AG14" s="18" t="str">
        <x:v>Eligible for 24-h opioid analysis after prespecified opioid/MME conversion</x:v>
      </x:c>
      <x:c r="AH14" s="18" t="str">
        <x:v>No</x:v>
      </x:c>
      <x:c r="AI14" s="18" t="str">
        <x:v>Sham was 4 mA pre/postoperatively but 0 mA intraoperatively; preserve this nuance</x:v>
      </x:c>
      <x:c r="AJ14" s="18" t="str">
        <x:v>Cumulative sufentanil result</x:v>
      </x:c>
      <x:c r="AK14" s="18" t="str">
        <x:v>https://drive.google.com/file/d/1y0_cC1NCl5g2vYxDMOtYmxVA_YEE-rsR/view?usp=drivesdk</x:v>
      </x:c>
      <x:c r="AL14" s="18" t="str">
        <x:v>SOURCE-VERIFIED</x:v>
      </x:c>
      <x:c r="AM14" s="18" t="str">
        <x:v>Postoperative opioid consumption</x:v>
      </x:c>
      <x:c r="AN14" s="18" t="str">
        <x:v>Contains 24 h but definition differs</x:v>
      </x:c>
      <x:c r="AO14" s="18" t="str">
        <x:v>INCLUDE</x:v>
      </x:c>
      <x:c r="AP14" s="18" t="str">
        <x:v>Explicit 0-24-h postoperative opioid endpoint and marked eligible in the reconciled source data.</x:v>
      </x:c>
      <x:c r="AQ14" s="18" t="str">
        <x:v>Yes</x:v>
      </x:c>
      <x:c r="AR14" s="18" t="str"/>
      <x:c r="AS14" s="18" t="str">
        <x:v>Opioid/MME conversion required using prespecified review conversion</x:v>
      </x:c>
      <x:c r="AT14" s="18" t="str">
        <x:v>Cumulative sufentanil</x:v>
      </x:c>
      <x:c r="AU14" s="18" t="str">
        <x:v>24 h</x:v>
      </x:c>
      <x:c r="AV14" s="18" t="str">
        <x:v>Some concerns</x:v>
      </x:c>
      <x:c r="AW14" s="18" t="str">
        <x:v>No — selected RoB matches this result</x:v>
      </x:c>
      <x:c r="AX14" s="18" t="str">
        <x:v>Chen 2020</x:v>
      </x:c>
      <x:c r="AY14" s="18" t="str">
        <x:v>Primary eligible contrast</x:v>
      </x:c>
      <x:c r="AZ14" s="18" t="str">
        <x:v>Count this study once per synthesis unless a valid multi-arm method is used.</x:v>
      </x:c>
    </x:row>
    <x:row r="15">
      <x:c r="A15" s="18" t="str">
        <x:v>Chen 2020</x:v>
      </x:c>
      <x:c r="B15" s="18" t="str">
        <x:v>CHEN20_TEAS_vs_SHAM_VAS</x:v>
      </x:c>
      <x:c r="C15" s="18" t="str">
        <x:v>Perioperative TEAS</x:v>
      </x:c>
      <x:c r="D15" s="18" t="str">
        <x:v>Sham low/zero-current protocol</x:v>
      </x:c>
      <x:c r="E15" s="18" t="str">
        <x:v>Pain</x:v>
      </x:c>
      <x:c r="F15" s="18" t="str">
        <x:v>VAS pain intensity</x:v>
      </x:c>
      <x:c r="G15" s="18" t="str">
        <x:v>24 h postoperatively</x:v>
      </x:c>
      <x:c r="H15" s="18" t="str">
        <x:v>Mean/SD</x:v>
      </x:c>
      <x:c r="I15" s="18" t="n">
        <x:v>40</x:v>
      </x:c>
      <x:c r="J15" s="18" t="n">
        <x:v>40</x:v>
      </x:c>
      <x:c r="K15" s="18" t="n">
        <x:v>40</x:v>
      </x:c>
      <x:c r="L15" s="18" t="n">
        <x:v>40</x:v>
      </x:c>
      <x:c r="M15" s="18" t="n">
        <x:v>2.91</x:v>
      </x:c>
      <x:c r="N15" s="18" t="n">
        <x:v>0.2</x:v>
      </x:c>
      <x:c r="O15" s="18"/>
      <x:c r="P15" s="18"/>
      <x:c r="Q15" s="18"/>
      <x:c r="R15" s="18"/>
      <x:c r="S15" s="18" t="n">
        <x:v>5.97</x:v>
      </x:c>
      <x:c r="T15" s="18" t="n">
        <x:v>0.56</x:v>
      </x:c>
      <x:c r="U15" s="18"/>
      <x:c r="V15" s="18"/>
      <x:c r="W15" s="18"/>
      <x:c r="X15" s="18"/>
      <x:c r="Y15" s="18" t="str">
        <x:v>VAS 0-10</x:v>
      </x:c>
      <x:c r="Z15" s="18"/>
      <x:c r="AA15" s="18" t="str">
        <x:v>Yes</x:v>
      </x:c>
      <x:c r="AB15" s="18" t="str">
        <x:v>No</x:v>
      </x:c>
      <x:c r="AC15" s="18" t="str">
        <x:v>MD</x:v>
      </x:c>
      <x:c r="AD15" s="18" t="n">
        <x:v>-3.0599999999999996</x:v>
      </x:c>
      <x:c r="AE15" s="18" t="str">
        <x:v>No</x:v>
      </x:c>
      <x:c r="AF15" s="18" t="str">
        <x:v>No</x:v>
      </x:c>
      <x:c r="AG15" s="18" t="str">
        <x:v>Eligible for 24-h pain meta-analysis</x:v>
      </x:c>
      <x:c r="AH15" s="18" t="str">
        <x:v>No</x:v>
      </x:c>
      <x:c r="AI15" s="18" t="str">
        <x:v>Patient blinding adequacy depends on sensory contrast of sham protocol</x:v>
      </x:c>
      <x:c r="AJ15" s="18" t="str">
        <x:v>24-h VAS result</x:v>
      </x:c>
      <x:c r="AK15" s="18" t="str">
        <x:v>https://drive.google.com/file/d/1y0_cC1NCl5g2vYxDMOtYmxVA_YEE-rsR/view?usp=drivesdk</x:v>
      </x:c>
      <x:c r="AL15" s="18" t="str">
        <x:v>SOURCE-VERIFIED</x:v>
      </x:c>
      <x:c r="AM15" s="18" t="str">
        <x:v>Pain</x:v>
      </x:c>
      <x:c r="AN15" s="18" t="str">
        <x:v>Contains 24 h but definition differs</x:v>
      </x:c>
      <x:c r="AO15" s="18" t="str">
        <x:v>CONDITIONAL</x:v>
      </x:c>
      <x:c r="AP15" s="18" t="str">
        <x:v>Contains a 24-h measurement but timepoint definition differs from the strict analysis.</x:v>
      </x:c>
      <x:c r="AQ15" s="18" t="str">
        <x:v>No</x:v>
      </x:c>
      <x:c r="AR15" s="18" t="str"/>
      <x:c r="AS15" s="18" t="str">
        <x:v>None</x:v>
      </x:c>
      <x:c r="AT15" s="18" t="str">
        <x:v>Cumulative sufentanil</x:v>
      </x:c>
      <x:c r="AU15" s="18" t="str">
        <x:v>24 h</x:v>
      </x:c>
      <x:c r="AV15" s="18" t="str">
        <x:v>Some concerns</x:v>
      </x:c>
      <x:c r="AW15" s="18" t="str">
        <x:v>Yes — selected RoB is for a different result/timepoint</x:v>
      </x:c>
      <x:c r="AX15" s="18" t="str">
        <x:v>Chen 2020</x:v>
      </x:c>
      <x:c r="AY15" s="18" t="str">
        <x:v>Primary eligible contrast</x:v>
      </x:c>
      <x:c r="AZ15" s="18" t="str">
        <x:v>Count this study once per synthesis unless a valid multi-arm method is used.</x:v>
      </x:c>
    </x:row>
    <x:row r="16">
      <x:c r="A16" s="18" t="str">
        <x:v>Coura 2011</x:v>
      </x:c>
      <x:c r="B16" s="18" t="str">
        <x:v>COURA11_EA_vs_SHAM</x:v>
      </x:c>
      <x:c r="C16" s="18" t="str">
        <x:v>Preoperative EA</x:v>
      </x:c>
      <x:c r="D16" s="18" t="str">
        <x:v>Sham stimulation</x:v>
      </x:c>
      <x:c r="E16" s="18" t="str">
        <x:v>Opioid consumption</x:v>
      </x:c>
      <x:c r="F16" s="18" t="str">
        <x:v>Cumulative fentanyl</x:v>
      </x:c>
      <x:c r="G16" s="18" t="str">
        <x:v>First 24 h postoperatively</x:v>
      </x:c>
      <x:c r="H16" s="18" t="str">
        <x:v>Mean/SD</x:v>
      </x:c>
      <x:c r="I16" s="18" t="n">
        <x:v>16</x:v>
      </x:c>
      <x:c r="J16" s="18" t="n">
        <x:v>16</x:v>
      </x:c>
      <x:c r="K16" s="18" t="n">
        <x:v>13</x:v>
      </x:c>
      <x:c r="L16" s="18" t="n">
        <x:v>9</x:v>
      </x:c>
      <x:c r="M16" s="18" t="n">
        <x:v>13.1</x:v>
      </x:c>
      <x:c r="N16" s="18" t="n">
        <x:v>2.2</x:v>
      </x:c>
      <x:c r="O16" s="18"/>
      <x:c r="P16" s="18"/>
      <x:c r="Q16" s="18"/>
      <x:c r="R16" s="18"/>
      <x:c r="S16" s="18" t="n">
        <x:v>16.3</x:v>
      </x:c>
      <x:c r="T16" s="18" t="n">
        <x:v>1.6</x:v>
      </x:c>
      <x:c r="U16" s="18"/>
      <x:c r="V16" s="18"/>
      <x:c r="W16" s="18"/>
      <x:c r="X16" s="18"/>
      <x:c r="Y16" s="18" t="str">
        <x:v>µg/kg fentanyl</x:v>
      </x:c>
      <x:c r="Z16" s="18"/>
      <x:c r="AA16" s="18" t="str">
        <x:v>Yes</x:v>
      </x:c>
      <x:c r="AB16" s="18" t="str">
        <x:v>No</x:v>
      </x:c>
      <x:c r="AC16" s="18" t="str">
        <x:v>MD</x:v>
      </x:c>
      <x:c r="AD16" s="18" t="n">
        <x:v>-3.200000000000001</x:v>
      </x:c>
      <x:c r="AE16" s="18" t="str">
        <x:v>Yes</x:v>
      </x:c>
      <x:c r="AF16" s="18" t="str">
        <x:v>Conditional</x:v>
      </x:c>
      <x:c r="AG16" s="18" t="str">
        <x:v>Potentially eligible after confirming whether discretionary supplemental opioids were included</x:v>
      </x:c>
      <x:c r="AH16" s="18" t="str">
        <x:v>No</x:v>
      </x:c>
      <x:c r="AI16" s="18" t="str">
        <x:v>10/32 post-randomization exclusions; supplemental morphine/fentanyl inclusion unclear</x:v>
      </x:c>
      <x:c r="AJ16" s="18" t="str">
        <x:v>Published cumulative first-24-h fentanyl result</x:v>
      </x:c>
      <x:c r="AK16" s="18" t="str">
        <x:v>https://drive.google.com/file/d/120NJxCmxsdiyqWTXzjmaUWAaVa1i8iZz/view?usp=drivesdk</x:v>
      </x:c>
      <x:c r="AL16" s="18" t="str">
        <x:v>SOURCE-VERIFIED / QC HOLD</x:v>
      </x:c>
      <x:c r="AM16" s="18" t="str">
        <x:v>Postoperative opioid consumption</x:v>
      </x:c>
      <x:c r="AN16" s="18" t="str">
        <x:v>Exact/explicit 24 h</x:v>
      </x:c>
      <x:c r="AO16" s="18" t="str">
        <x:v>CONDITIONAL</x:v>
      </x:c>
      <x:c r="AP16" s="18" t="str">
        <x:v>24-h opioid endpoint exists but requires a prespecified route/unit/time-window or derived-value rule.</x:v>
      </x:c>
      <x:c r="AQ16" s="18" t="str">
        <x:v>No</x:v>
      </x:c>
      <x:c r="AR16" s="18" t="str"/>
      <x:c r="AS16" s="18" t="str">
        <x:v>Opioid/MME conversion required using prespecified review conversion</x:v>
      </x:c>
      <x:c r="AT16" s="18" t="str">
        <x:v>Cumulative fentanyl</x:v>
      </x:c>
      <x:c r="AU16" s="18" t="str">
        <x:v>First 24 h</x:v>
      </x:c>
      <x:c r="AV16" s="18" t="str">
        <x:v>High</x:v>
      </x:c>
      <x:c r="AW16" s="18" t="str">
        <x:v>No — selected RoB matches this result</x:v>
      </x:c>
      <x:c r="AX16" s="18" t="str">
        <x:v>Coura 2011</x:v>
      </x:c>
      <x:c r="AY16" s="18" t="str">
        <x:v>Primary eligible contrast</x:v>
      </x:c>
      <x:c r="AZ16" s="18" t="str">
        <x:v>Count this study once per synthesis unless a valid multi-arm method is used.</x:v>
      </x:c>
    </x:row>
    <x:row r="17">
      <x:c r="A17" s="18" t="str">
        <x:v>Ao 2021</x:v>
      </x:c>
      <x:c r="B17" s="18" t="str">
        <x:v>AO21_TEAS_vs_SHAM_VAS</x:v>
      </x:c>
      <x:c r="C17" s="18" t="str">
        <x:v>TEAS</x:v>
      </x:c>
      <x:c r="D17" s="18" t="str">
        <x:v>Sham/no current</x:v>
      </x:c>
      <x:c r="E17" s="18" t="str">
        <x:v>Pain</x:v>
      </x:c>
      <x:c r="F17" s="18" t="str">
        <x:v>VAS pain intensity</x:v>
      </x:c>
      <x:c r="G17" s="18" t="str">
        <x:v>24 h postoperatively</x:v>
      </x:c>
      <x:c r="H17" s="18" t="str">
        <x:v>Graph-digitized mean/SD</x:v>
      </x:c>
      <x:c r="I17" s="18" t="n">
        <x:v>35</x:v>
      </x:c>
      <x:c r="J17" s="18" t="n">
        <x:v>35</x:v>
      </x:c>
      <x:c r="K17" s="18" t="n">
        <x:v>32</x:v>
      </x:c>
      <x:c r="L17" s="18" t="n">
        <x:v>33</x:v>
      </x:c>
      <x:c r="M17" s="18" t="n">
        <x:v>2.51</x:v>
      </x:c>
      <x:c r="N17" s="18" t="n">
        <x:v>0.49</x:v>
      </x:c>
      <x:c r="O17" s="18"/>
      <x:c r="P17" s="18"/>
      <x:c r="Q17" s="18"/>
      <x:c r="R17" s="18"/>
      <x:c r="S17" s="18" t="n">
        <x:v>2.95</x:v>
      </x:c>
      <x:c r="T17" s="18" t="n">
        <x:v>0.53</x:v>
      </x:c>
      <x:c r="U17" s="18"/>
      <x:c r="V17" s="18"/>
      <x:c r="W17" s="18"/>
      <x:c r="X17" s="18"/>
      <x:c r="Y17" s="18" t="str">
        <x:v>VAS 0-10</x:v>
      </x:c>
      <x:c r="Z17" s="18"/>
      <x:c r="AA17" s="18" t="str">
        <x:v>No</x:v>
      </x:c>
      <x:c r="AB17" s="18" t="str">
        <x:v>Yes</x:v>
      </x:c>
      <x:c r="AC17" s="18"/>
      <x:c r="AD17" s="18"/>
      <x:c r="AE17" s="18" t="str">
        <x:v>No</x:v>
      </x:c>
      <x:c r="AF17" s="18" t="str">
        <x:v>No</x:v>
      </x:c>
      <x:c r="AG17" s="18" t="str">
        <x:v>Needs adjudication/sensitivity analysis before quantitative pooling</x:v>
      </x:c>
      <x:c r="AH17" s="18" t="str">
        <x:v>No</x:v>
      </x:c>
      <x:c r="AI17" s="18" t="str">
        <x:v>Exact values are graph-digitized, not numerically tabulated by authors</x:v>
      </x:c>
      <x:c r="AJ17" s="18" t="str">
        <x:v>Figure-only 24-h VAS</x:v>
      </x:c>
      <x:c r="AK17" s="18" t="str">
        <x:v>https://drive.google.com/file/d/1tNFnY0fJpx53hrtY4DIaE1RsNjE55Xvd/view?usp=drivesdk</x:v>
      </x:c>
      <x:c r="AL17" s="18" t="str">
        <x:v>DERIVED / NEEDS ADJUDICATION</x:v>
      </x:c>
      <x:c r="AM17" s="18" t="str">
        <x:v>Pain</x:v>
      </x:c>
      <x:c r="AN17" s="18" t="str">
        <x:v>Contains 24 h but definition differs</x:v>
      </x:c>
      <x:c r="AO17" s="18" t="str">
        <x:v>CONDITIONAL</x:v>
      </x:c>
      <x:c r="AP17" s="18" t="str">
        <x:v>Contains a 24-h measurement but timepoint definition differs from the strict analysis.</x:v>
      </x:c>
      <x:c r="AQ17" s="18" t="str">
        <x:v>No</x:v>
      </x:c>
      <x:c r="AR17" s="18" t="str"/>
      <x:c r="AS17" s="18" t="str">
        <x:v>None</x:v>
      </x:c>
      <x:c r="AT17" s="18" t="str">
        <x:v>Cumulative PCA solution consumption</x:v>
      </x:c>
      <x:c r="AU17" s="18" t="str">
        <x:v>48 h</x:v>
      </x:c>
      <x:c r="AV17" s="18" t="str">
        <x:v>Some concerns</x:v>
      </x:c>
      <x:c r="AW17" s="18" t="str">
        <x:v>Yes — selected RoB is for a different result/timepoint</x:v>
      </x:c>
      <x:c r="AX17" s="18" t="str">
        <x:v>Ao 2021</x:v>
      </x:c>
      <x:c r="AY17" s="18" t="str">
        <x:v>Primary eligible contrast</x:v>
      </x:c>
      <x:c r="AZ17" s="18" t="str">
        <x:v>Count this study once per synthesis unless a valid multi-arm method is used.</x:v>
      </x:c>
    </x:row>
    <x:row r="18">
      <x:c r="A18" s="18" t="str">
        <x:v>Ao 2021</x:v>
      </x:c>
      <x:c r="B18" s="18" t="str">
        <x:v>AO21_TEAS_vs_SHAM_OPIOID24</x:v>
      </x:c>
      <x:c r="C18" s="18" t="str">
        <x:v>TEAS</x:v>
      </x:c>
      <x:c r="D18" s="18" t="str">
        <x:v>Sham/no current</x:v>
      </x:c>
      <x:c r="E18" s="18" t="str">
        <x:v>Opioid consumption</x:v>
      </x:c>
      <x:c r="F18" s="18" t="str">
        <x:v>Cumulative postoperative sufentanil</x:v>
      </x:c>
      <x:c r="G18" s="18" t="str">
        <x:v>Exact 0-24 h</x:v>
      </x:c>
      <x:c r="H18" s="18" t="str">
        <x:v>Not reported</x:v>
      </x:c>
      <x:c r="I18" s="18" t="n">
        <x:v>35</x:v>
      </x:c>
      <x:c r="J18" s="18" t="n">
        <x:v>35</x:v>
      </x:c>
      <x:c r="K18" s="18" t="n">
        <x:v>32</x:v>
      </x:c>
      <x:c r="L18" s="18" t="n">
        <x:v>33</x:v>
      </x:c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 t="str">
        <x:v>µg sufentanil</x:v>
      </x:c>
      <x:c r="Z18" s="18"/>
      <x:c r="AA18" s="18" t="str">
        <x:v>No</x:v>
      </x:c>
      <x:c r="AB18" s="18" t="str">
        <x:v>No</x:v>
      </x:c>
      <x:c r="AC18" s="18"/>
      <x:c r="AD18" s="18"/>
      <x:c r="AE18" s="18" t="str">
        <x:v>No</x:v>
      </x:c>
      <x:c r="AF18" s="18" t="str">
        <x:v>No</x:v>
      </x:c>
      <x:c r="AG18" s="18" t="str">
        <x:v>Not eligible for continuous 24-h opioid meta-analysis without author data</x:v>
      </x:c>
      <x:c r="AH18" s="18" t="str">
        <x:v>No</x:v>
      </x:c>
      <x:c r="AI18" s="18" t="str">
        <x:v>PCA followed for 48 h; no extractable cumulative 0-24-h total</x:v>
      </x:c>
      <x:c r="AJ18" s="18" t="str">
        <x:v>Article reports 48-h PCA framework only</x:v>
      </x:c>
      <x:c r="AK18" s="18" t="str">
        <x:v>https://drive.google.com/file/d/1tNFnY0fJpx53hrtY4DIaE1RsNjE55Xvd/view?usp=drivesdk</x:v>
      </x:c>
      <x:c r="AL18" s="18" t="str">
        <x:v>MISSING / AUTHOR DATA NEEDED</x:v>
      </x:c>
      <x:c r="AM18" s="18" t="str">
        <x:v>Postoperative opioid consumption</x:v>
      </x:c>
      <x:c r="AN18" s="18" t="str">
        <x:v>Exact/explicit 24 h</x:v>
      </x:c>
      <x:c r="AO18" s="18" t="str">
        <x:v>EXCLUDE — DATA UNAVAILABLE</x:v>
      </x:c>
      <x:c r="AP18" s="18" t="str">
        <x:v>The source does not provide a defensible quantitative value for this analysis.</x:v>
      </x:c>
      <x:c r="AQ18" s="18" t="str">
        <x:v>No</x:v>
      </x:c>
      <x:c r="AR18" s="18" t="str"/>
      <x:c r="AS18" s="18" t="str">
        <x:v>Opioid/MME conversion required using prespecified review conversion</x:v>
      </x:c>
      <x:c r="AT18" s="18" t="str">
        <x:v>Cumulative PCA solution consumption</x:v>
      </x:c>
      <x:c r="AU18" s="18" t="str">
        <x:v>48 h</x:v>
      </x:c>
      <x:c r="AV18" s="18" t="str">
        <x:v>Some concerns</x:v>
      </x:c>
      <x:c r="AW18" s="18" t="str">
        <x:v>Yes — selected RoB is for a different result/timepoint</x:v>
      </x:c>
      <x:c r="AX18" s="18" t="str">
        <x:v>Ao 2021</x:v>
      </x:c>
      <x:c r="AY18" s="18" t="str">
        <x:v>Primary eligible contrast</x:v>
      </x:c>
      <x:c r="AZ18" s="18" t="str">
        <x:v>Count this study once per synthesis unless a valid multi-arm method is used.</x:v>
      </x:c>
    </x:row>
    <x:row r="19">
      <x:c r="A19" s="18" t="str">
        <x:v>Zhu 2022</x:v>
      </x:c>
      <x:c r="B19" s="18" t="str">
        <x:v>ZHU22_PRE_vs_USUAL_PON</x:v>
      </x:c>
      <x:c r="C19" s="18" t="str">
        <x:v>EA day before surgery</x:v>
      </x:c>
      <x:c r="D19" s="18" t="str">
        <x:v>Usual care alone</x:v>
      </x:c>
      <x:c r="E19" s="18" t="str">
        <x:v>PONV</x:v>
      </x:c>
      <x:c r="F19" s="18" t="str">
        <x:v>Postoperative nausea</x:v>
      </x:c>
      <x:c r="G19" s="18" t="str">
        <x:v>6-24 h postoperatively</x:v>
      </x:c>
      <x:c r="H19" s="18" t="str">
        <x:v>Events/total</x:v>
      </x:c>
      <x:c r="I19" s="18" t="n">
        <x:v>103</x:v>
      </x:c>
      <x:c r="J19" s="18" t="n">
        <x:v>104</x:v>
      </x:c>
      <x:c r="K19" s="18" t="n">
        <x:v>101</x:v>
      </x:c>
      <x:c r="L19" s="18" t="n">
        <x:v>101</x:v>
      </x:c>
      <x:c r="M19" s="18"/>
      <x:c r="N19" s="18"/>
      <x:c r="O19" s="18"/>
      <x:c r="P19" s="18"/>
      <x:c r="Q19" s="18"/>
      <x:c r="R19" s="18" t="n">
        <x:v>11</x:v>
      </x:c>
      <x:c r="S19" s="18"/>
      <x:c r="T19" s="18"/>
      <x:c r="U19" s="18"/>
      <x:c r="V19" s="18"/>
      <x:c r="W19" s="18"/>
      <x:c r="X19" s="18" t="n">
        <x:v>27</x:v>
      </x:c>
      <x:c r="Y19" s="18" t="str">
        <x:v>participants with nausea</x:v>
      </x:c>
      <x:c r="Z19" s="18" t="str">
        <x:v>0.024</x:v>
      </x:c>
      <x:c r="AA19" s="18" t="str">
        <x:v>Yes</x:v>
      </x:c>
      <x:c r="AB19" s="18" t="str">
        <x:v>No</x:v>
      </x:c>
      <x:c r="AC19" s="18" t="str">
        <x:v>RR</x:v>
      </x:c>
      <x:c r="AD19" s="18" t="n">
        <x:v>0.4074074074074074</x:v>
      </x:c>
      <x:c r="AE19" s="18" t="str">
        <x:v>No</x:v>
      </x:c>
      <x:c r="AF19" s="18" t="str">
        <x:v>No</x:v>
      </x:c>
      <x:c r="AG19" s="18" t="str">
        <x:v>Eligible for dichotomous PON analysis with shared-control/multi-arm adjustment</x:v>
      </x:c>
      <x:c r="AH19" s="18" t="str">
        <x:v>Yes</x:v>
      </x:c>
      <x:c r="AI19" s="18" t="str">
        <x:v>Four-arm RCT; no sham; analysis denominators differ from randomized denominators</x:v>
      </x:c>
      <x:c r="AJ19" s="18" t="str">
        <x:v>Table 2</x:v>
      </x:c>
      <x:c r="AK19" s="18" t="str">
        <x:v>https://drive.google.com/file/d/1vux5IaubjInusplW6GJ2SsxhzibtSCe-/view?usp=drivesdk</x:v>
      </x:c>
      <x:c r="AL19" s="18" t="str">
        <x:v>SOURCE-VERIFIED</x:v>
      </x:c>
      <x:c r="AM19" s="18" t="str">
        <x:v>PONV</x:v>
      </x:c>
      <x:c r="AN19" s="18" t="str">
        <x:v>Contains 24 h but definition differs</x:v>
      </x:c>
      <x:c r="AO19" s="18" t="str">
        <x:v>CONDITIONAL</x:v>
      </x:c>
      <x:c r="AP19" s="18" t="str">
        <x:v>Valid PONV result, but the postoperative observation window should be matched to the intended synthesis.</x:v>
      </x:c>
      <x:c r="AQ19" s="18" t="str">
        <x:v>No</x:v>
      </x:c>
      <x:c r="AR19" s="18" t="str"/>
      <x:c r="AS19" s="18" t="str">
        <x:v>Binary effect measure (RR preferred per protocol)</x:v>
      </x:c>
      <x:c r="AT19" s="18" t="str">
        <x:v>Postoperative vomiting</x:v>
      </x:c>
      <x:c r="AU19" s="18" t="str">
        <x:v>6-24 h postoperatively</x:v>
      </x:c>
      <x:c r="AV19" s="18" t="str">
        <x:v>Some concerns</x:v>
      </x:c>
      <x:c r="AW19" s="18" t="str">
        <x:v>Yes — selected RoB is for a different result/timepoint</x:v>
      </x:c>
      <x:c r="AX19" s="18" t="str">
        <x:v>Zhu 2022</x:v>
      </x:c>
      <x:c r="AY19" s="18" t="str">
        <x:v>Shared-control / multi-arm contrast</x:v>
      </x:c>
      <x:c r="AZ19" s="18" t="str">
        <x:v>Shared comparator present; avoid double-counting controls.</x:v>
      </x:c>
    </x:row>
    <x:row r="20">
      <x:c r="A20" s="18" t="str">
        <x:v>Zhu 2022</x:v>
      </x:c>
      <x:c r="B20" s="18" t="str">
        <x:v>ZHU22_PRE_vs_USUAL_POV</x:v>
      </x:c>
      <x:c r="C20" s="18" t="str">
        <x:v>EA day before surgery</x:v>
      </x:c>
      <x:c r="D20" s="18" t="str">
        <x:v>Usual care alone</x:v>
      </x:c>
      <x:c r="E20" s="18" t="str">
        <x:v>PONV</x:v>
      </x:c>
      <x:c r="F20" s="18" t="str">
        <x:v>Postoperative vomiting</x:v>
      </x:c>
      <x:c r="G20" s="18" t="str">
        <x:v>6-24 h postoperatively</x:v>
      </x:c>
      <x:c r="H20" s="18" t="str">
        <x:v>Events/total</x:v>
      </x:c>
      <x:c r="I20" s="18" t="n">
        <x:v>103</x:v>
      </x:c>
      <x:c r="J20" s="18" t="n">
        <x:v>104</x:v>
      </x:c>
      <x:c r="K20" s="18" t="n">
        <x:v>101</x:v>
      </x:c>
      <x:c r="L20" s="18" t="n">
        <x:v>101</x:v>
      </x:c>
      <x:c r="M20" s="18"/>
      <x:c r="N20" s="18"/>
      <x:c r="O20" s="18"/>
      <x:c r="P20" s="18"/>
      <x:c r="Q20" s="18"/>
      <x:c r="R20" s="18" t="n">
        <x:v>5</x:v>
      </x:c>
      <x:c r="S20" s="18"/>
      <x:c r="T20" s="18"/>
      <x:c r="U20" s="18"/>
      <x:c r="V20" s="18"/>
      <x:c r="W20" s="18"/>
      <x:c r="X20" s="18" t="n">
        <x:v>22</x:v>
      </x:c>
      <x:c r="Y20" s="18" t="str">
        <x:v>participants with vomiting</x:v>
      </x:c>
      <x:c r="Z20" s="18" t="str">
        <x:v>0.002</x:v>
      </x:c>
      <x:c r="AA20" s="18" t="str">
        <x:v>Yes</x:v>
      </x:c>
      <x:c r="AB20" s="18" t="str">
        <x:v>No</x:v>
      </x:c>
      <x:c r="AC20" s="18" t="str">
        <x:v>RR</x:v>
      </x:c>
      <x:c r="AD20" s="18" t="n">
        <x:v>0.2272727272727273</x:v>
      </x:c>
      <x:c r="AE20" s="18" t="str">
        <x:v>No</x:v>
      </x:c>
      <x:c r="AF20" s="18" t="str">
        <x:v>No</x:v>
      </x:c>
      <x:c r="AG20" s="18" t="str">
        <x:v>Eligible for dichotomous POV analysis with shared-control/multi-arm adjustment</x:v>
      </x:c>
      <x:c r="AH20" s="18" t="str">
        <x:v>Yes</x:v>
      </x:c>
      <x:c r="AI20" s="18" t="str">
        <x:v>Four-arm RCT; no sham; use exact arm-specific analyzed denominators</x:v>
      </x:c>
      <x:c r="AJ20" s="18" t="str">
        <x:v>Table 2</x:v>
      </x:c>
      <x:c r="AK20" s="18" t="str">
        <x:v>https://drive.google.com/file/d/1vux5IaubjInusplW6GJ2SsxhzibtSCe-/view?usp=drivesdk</x:v>
      </x:c>
      <x:c r="AL20" s="18" t="str">
        <x:v>SOURCE-VERIFIED</x:v>
      </x:c>
      <x:c r="AM20" s="18" t="str">
        <x:v>PONV</x:v>
      </x:c>
      <x:c r="AN20" s="18" t="str">
        <x:v>Contains 24 h but definition differs</x:v>
      </x:c>
      <x:c r="AO20" s="18" t="str">
        <x:v>CONDITIONAL</x:v>
      </x:c>
      <x:c r="AP20" s="18" t="str">
        <x:v>Valid PONV result, but the postoperative observation window should be matched to the intended synthesis.</x:v>
      </x:c>
      <x:c r="AQ20" s="18" t="str">
        <x:v>No</x:v>
      </x:c>
      <x:c r="AR20" s="18" t="str"/>
      <x:c r="AS20" s="18" t="str">
        <x:v>Binary effect measure (RR preferred per protocol)</x:v>
      </x:c>
      <x:c r="AT20" s="18" t="str">
        <x:v>Postoperative vomiting</x:v>
      </x:c>
      <x:c r="AU20" s="18" t="str">
        <x:v>6-24 h postoperatively</x:v>
      </x:c>
      <x:c r="AV20" s="18" t="str">
        <x:v>Some concerns</x:v>
      </x:c>
      <x:c r="AW20" s="18" t="str">
        <x:v>No — selected RoB matches this result</x:v>
      </x:c>
      <x:c r="AX20" s="18" t="str">
        <x:v>Zhu 2022</x:v>
      </x:c>
      <x:c r="AY20" s="18" t="str">
        <x:v>Shared-control / multi-arm contrast</x:v>
      </x:c>
      <x:c r="AZ20" s="18" t="str">
        <x:v>Shared comparator present; avoid double-counting controls.</x:v>
      </x:c>
    </x:row>
    <x:row r="21">
      <x:c r="A21" s="18" t="str">
        <x:v>Zhu 2022</x:v>
      </x:c>
      <x:c r="B21" s="18" t="str">
        <x:v>ZHU22_30_vs_USUAL_PON</x:v>
      </x:c>
      <x:c r="C21" s="18" t="str">
        <x:v>EA 30 min before surgery</x:v>
      </x:c>
      <x:c r="D21" s="18" t="str">
        <x:v>Usual care alone</x:v>
      </x:c>
      <x:c r="E21" s="18" t="str">
        <x:v>PONV</x:v>
      </x:c>
      <x:c r="F21" s="18" t="str">
        <x:v>Postoperative nausea</x:v>
      </x:c>
      <x:c r="G21" s="18" t="str">
        <x:v>6-24 h postoperatively</x:v>
      </x:c>
      <x:c r="H21" s="18" t="str">
        <x:v>Events/total</x:v>
      </x:c>
      <x:c r="I21" s="18" t="n">
        <x:v>103</x:v>
      </x:c>
      <x:c r="J21" s="18" t="n">
        <x:v>104</x:v>
      </x:c>
      <x:c r="K21" s="18" t="n">
        <x:v>98</x:v>
      </x:c>
      <x:c r="L21" s="18" t="n">
        <x:v>101</x:v>
      </x:c>
      <x:c r="M21" s="18"/>
      <x:c r="N21" s="18"/>
      <x:c r="O21" s="18"/>
      <x:c r="P21" s="18"/>
      <x:c r="Q21" s="18"/>
      <x:c r="R21" s="18" t="n">
        <x:v>18</x:v>
      </x:c>
      <x:c r="S21" s="18"/>
      <x:c r="T21" s="18"/>
      <x:c r="U21" s="18"/>
      <x:c r="V21" s="18"/>
      <x:c r="W21" s="18"/>
      <x:c r="X21" s="18" t="n">
        <x:v>27</x:v>
      </x:c>
      <x:c r="Y21" s="18" t="str">
        <x:v>participants with nausea</x:v>
      </x:c>
      <x:c r="Z21" s="18" t="str">
        <x:v>NR pairwise</x:v>
      </x:c>
      <x:c r="AA21" s="18" t="str">
        <x:v>Yes</x:v>
      </x:c>
      <x:c r="AB21" s="18" t="str">
        <x:v>No</x:v>
      </x:c>
      <x:c r="AC21" s="18" t="str">
        <x:v>RR</x:v>
      </x:c>
      <x:c r="AD21" s="18" t="n">
        <x:v>0.6870748299319728</x:v>
      </x:c>
      <x:c r="AE21" s="18" t="str">
        <x:v>No</x:v>
      </x:c>
      <x:c r="AF21" s="18" t="str">
        <x:v>No</x:v>
      </x:c>
      <x:c r="AG21" s="18" t="str">
        <x:v>Eligible for dichotomous PON analysis with shared-control/multi-arm adjustment</x:v>
      </x:c>
      <x:c r="AH21" s="18" t="str">
        <x:v>Yes</x:v>
      </x:c>
      <x:c r="AI21" s="18" t="str">
        <x:v>Four-arm RCT; no sham; analysis denominators differ from randomized denominators</x:v>
      </x:c>
      <x:c r="AJ21" s="18" t="str">
        <x:v>Table 2</x:v>
      </x:c>
      <x:c r="AK21" s="18" t="str">
        <x:v>https://drive.google.com/file/d/1vux5IaubjInusplW6GJ2SsxhzibtSCe-/view?usp=drivesdk</x:v>
      </x:c>
      <x:c r="AL21" s="18" t="str">
        <x:v>SOURCE-VERIFIED</x:v>
      </x:c>
      <x:c r="AM21" s="18" t="str">
        <x:v>PONV</x:v>
      </x:c>
      <x:c r="AN21" s="18" t="str">
        <x:v>Contains 24 h but definition differs</x:v>
      </x:c>
      <x:c r="AO21" s="18" t="str">
        <x:v>CONDITIONAL</x:v>
      </x:c>
      <x:c r="AP21" s="18" t="str">
        <x:v>Valid PONV result, but the postoperative observation window should be matched to the intended synthesis.</x:v>
      </x:c>
      <x:c r="AQ21" s="18" t="str">
        <x:v>No</x:v>
      </x:c>
      <x:c r="AR21" s="18" t="str"/>
      <x:c r="AS21" s="18" t="str">
        <x:v>Binary effect measure (RR preferred per protocol)</x:v>
      </x:c>
      <x:c r="AT21" s="18" t="str">
        <x:v>Postoperative vomiting</x:v>
      </x:c>
      <x:c r="AU21" s="18" t="str">
        <x:v>6-24 h postoperatively</x:v>
      </x:c>
      <x:c r="AV21" s="18" t="str">
        <x:v>Some concerns</x:v>
      </x:c>
      <x:c r="AW21" s="18" t="str">
        <x:v>Yes — selected RoB is for a different result/timepoint</x:v>
      </x:c>
      <x:c r="AX21" s="18" t="str">
        <x:v>Zhu 2022</x:v>
      </x:c>
      <x:c r="AY21" s="18" t="str">
        <x:v>Shared-control / multi-arm contrast</x:v>
      </x:c>
      <x:c r="AZ21" s="18" t="str">
        <x:v>Shared comparator present; avoid double-counting controls.</x:v>
      </x:c>
    </x:row>
    <x:row r="22">
      <x:c r="A22" s="18" t="str">
        <x:v>Zhu 2022</x:v>
      </x:c>
      <x:c r="B22" s="18" t="str">
        <x:v>ZHU22_30_vs_USUAL_POV</x:v>
      </x:c>
      <x:c r="C22" s="18" t="str">
        <x:v>EA 30 min before surgery</x:v>
      </x:c>
      <x:c r="D22" s="18" t="str">
        <x:v>Usual care alone</x:v>
      </x:c>
      <x:c r="E22" s="18" t="str">
        <x:v>PONV</x:v>
      </x:c>
      <x:c r="F22" s="18" t="str">
        <x:v>Postoperative vomiting</x:v>
      </x:c>
      <x:c r="G22" s="18" t="str">
        <x:v>6-24 h postoperatively</x:v>
      </x:c>
      <x:c r="H22" s="18" t="str">
        <x:v>Events/total</x:v>
      </x:c>
      <x:c r="I22" s="18" t="n">
        <x:v>103</x:v>
      </x:c>
      <x:c r="J22" s="18" t="n">
        <x:v>104</x:v>
      </x:c>
      <x:c r="K22" s="18" t="n">
        <x:v>98</x:v>
      </x:c>
      <x:c r="L22" s="18" t="n">
        <x:v>101</x:v>
      </x:c>
      <x:c r="M22" s="18"/>
      <x:c r="N22" s="18"/>
      <x:c r="O22" s="18"/>
      <x:c r="P22" s="18"/>
      <x:c r="Q22" s="18"/>
      <x:c r="R22" s="18" t="n">
        <x:v>8</x:v>
      </x:c>
      <x:c r="S22" s="18"/>
      <x:c r="T22" s="18"/>
      <x:c r="U22" s="18"/>
      <x:c r="V22" s="18"/>
      <x:c r="W22" s="18"/>
      <x:c r="X22" s="18" t="n">
        <x:v>22</x:v>
      </x:c>
      <x:c r="Y22" s="18" t="str">
        <x:v>participants with vomiting</x:v>
      </x:c>
      <x:c r="Z22" s="18" t="str">
        <x:v>0.034</x:v>
      </x:c>
      <x:c r="AA22" s="18" t="str">
        <x:v>Yes</x:v>
      </x:c>
      <x:c r="AB22" s="18" t="str">
        <x:v>No</x:v>
      </x:c>
      <x:c r="AC22" s="18" t="str">
        <x:v>RR</x:v>
      </x:c>
      <x:c r="AD22" s="18" t="n">
        <x:v>0.3747680890538033</x:v>
      </x:c>
      <x:c r="AE22" s="18" t="str">
        <x:v>No</x:v>
      </x:c>
      <x:c r="AF22" s="18" t="str">
        <x:v>No</x:v>
      </x:c>
      <x:c r="AG22" s="18" t="str">
        <x:v>Eligible for dichotomous POV analysis with shared-control/multi-arm adjustment</x:v>
      </x:c>
      <x:c r="AH22" s="18" t="str">
        <x:v>Yes</x:v>
      </x:c>
      <x:c r="AI22" s="18" t="str">
        <x:v>Four-arm RCT; no sham; use exact arm-specific analyzed denominators</x:v>
      </x:c>
      <x:c r="AJ22" s="18" t="str">
        <x:v>Table 2</x:v>
      </x:c>
      <x:c r="AK22" s="18" t="str">
        <x:v>https://drive.google.com/file/d/1vux5IaubjInusplW6GJ2SsxhzibtSCe-/view?usp=drivesdk</x:v>
      </x:c>
      <x:c r="AL22" s="18" t="str">
        <x:v>SOURCE-VERIFIED</x:v>
      </x:c>
      <x:c r="AM22" s="18" t="str">
        <x:v>PONV</x:v>
      </x:c>
      <x:c r="AN22" s="18" t="str">
        <x:v>Contains 24 h but definition differs</x:v>
      </x:c>
      <x:c r="AO22" s="18" t="str">
        <x:v>CONDITIONAL</x:v>
      </x:c>
      <x:c r="AP22" s="18" t="str">
        <x:v>Valid PONV result, but the postoperative observation window should be matched to the intended synthesis.</x:v>
      </x:c>
      <x:c r="AQ22" s="18" t="str">
        <x:v>No</x:v>
      </x:c>
      <x:c r="AR22" s="18" t="str"/>
      <x:c r="AS22" s="18" t="str">
        <x:v>Binary effect measure (RR preferred per protocol)</x:v>
      </x:c>
      <x:c r="AT22" s="18" t="str">
        <x:v>Postoperative vomiting</x:v>
      </x:c>
      <x:c r="AU22" s="18" t="str">
        <x:v>6-24 h postoperatively</x:v>
      </x:c>
      <x:c r="AV22" s="18" t="str">
        <x:v>Some concerns</x:v>
      </x:c>
      <x:c r="AW22" s="18" t="str">
        <x:v>No — selected RoB matches this result</x:v>
      </x:c>
      <x:c r="AX22" s="18" t="str">
        <x:v>Zhu 2022</x:v>
      </x:c>
      <x:c r="AY22" s="18" t="str">
        <x:v>Shared-control / multi-arm contrast</x:v>
      </x:c>
      <x:c r="AZ22" s="18" t="str">
        <x:v>Shared comparator present; avoid double-counting controls.</x:v>
      </x:c>
    </x:row>
    <x:row r="23">
      <x:c r="A23" s="18" t="str">
        <x:v>Zhu 2022</x:v>
      </x:c>
      <x:c r="B23" s="18" t="str">
        <x:v>ZHU22_COMB_vs_USUAL_PON</x:v>
      </x:c>
      <x:c r="C23" s="18" t="str">
        <x:v>EA day before + 30 min before</x:v>
      </x:c>
      <x:c r="D23" s="18" t="str">
        <x:v>Usual care alone</x:v>
      </x:c>
      <x:c r="E23" s="18" t="str">
        <x:v>PONV</x:v>
      </x:c>
      <x:c r="F23" s="18" t="str">
        <x:v>Postoperative nausea</x:v>
      </x:c>
      <x:c r="G23" s="18" t="str">
        <x:v>6-24 h postoperatively</x:v>
      </x:c>
      <x:c r="H23" s="18" t="str">
        <x:v>Events/total</x:v>
      </x:c>
      <x:c r="I23" s="18" t="n">
        <x:v>103</x:v>
      </x:c>
      <x:c r="J23" s="18" t="n">
        <x:v>104</x:v>
      </x:c>
      <x:c r="K23" s="18" t="n">
        <x:v>100</x:v>
      </x:c>
      <x:c r="L23" s="18" t="n">
        <x:v>101</x:v>
      </x:c>
      <x:c r="M23" s="18"/>
      <x:c r="N23" s="18"/>
      <x:c r="O23" s="18"/>
      <x:c r="P23" s="18"/>
      <x:c r="Q23" s="18"/>
      <x:c r="R23" s="18" t="n">
        <x:v>11</x:v>
      </x:c>
      <x:c r="S23" s="18"/>
      <x:c r="T23" s="18"/>
      <x:c r="U23" s="18"/>
      <x:c r="V23" s="18"/>
      <x:c r="W23" s="18"/>
      <x:c r="X23" s="18" t="n">
        <x:v>27</x:v>
      </x:c>
      <x:c r="Y23" s="18" t="str">
        <x:v>participants with nausea</x:v>
      </x:c>
      <x:c r="Z23" s="18" t="str">
        <x:v>0.024</x:v>
      </x:c>
      <x:c r="AA23" s="18" t="str">
        <x:v>Yes</x:v>
      </x:c>
      <x:c r="AB23" s="18" t="str">
        <x:v>No</x:v>
      </x:c>
      <x:c r="AC23" s="18" t="str">
        <x:v>RR</x:v>
      </x:c>
      <x:c r="AD23" s="18" t="n">
        <x:v>0.41148148148148145</x:v>
      </x:c>
      <x:c r="AE23" s="18" t="str">
        <x:v>No</x:v>
      </x:c>
      <x:c r="AF23" s="18" t="str">
        <x:v>No</x:v>
      </x:c>
      <x:c r="AG23" s="18" t="str">
        <x:v>Eligible for dichotomous PON analysis with shared-control/multi-arm adjustment</x:v>
      </x:c>
      <x:c r="AH23" s="18" t="str">
        <x:v>Yes</x:v>
      </x:c>
      <x:c r="AI23" s="18" t="str">
        <x:v>Four-arm RCT; no sham; analysis denominators differ from randomized denominators</x:v>
      </x:c>
      <x:c r="AJ23" s="18" t="str">
        <x:v>Table 2</x:v>
      </x:c>
      <x:c r="AK23" s="18" t="str">
        <x:v>https://drive.google.com/file/d/1vux5IaubjInusplW6GJ2SsxhzibtSCe-/view?usp=drivesdk</x:v>
      </x:c>
      <x:c r="AL23" s="18" t="str">
        <x:v>SOURCE-VERIFIED</x:v>
      </x:c>
      <x:c r="AM23" s="18" t="str">
        <x:v>PONV</x:v>
      </x:c>
      <x:c r="AN23" s="18" t="str">
        <x:v>Contains 24 h but definition differs</x:v>
      </x:c>
      <x:c r="AO23" s="18" t="str">
        <x:v>CONDITIONAL</x:v>
      </x:c>
      <x:c r="AP23" s="18" t="str">
        <x:v>Valid PONV result, but the postoperative observation window should be matched to the intended synthesis.</x:v>
      </x:c>
      <x:c r="AQ23" s="18" t="str">
        <x:v>No</x:v>
      </x:c>
      <x:c r="AR23" s="18" t="str"/>
      <x:c r="AS23" s="18" t="str">
        <x:v>Binary effect measure (RR preferred per protocol)</x:v>
      </x:c>
      <x:c r="AT23" s="18" t="str">
        <x:v>Postoperative vomiting</x:v>
      </x:c>
      <x:c r="AU23" s="18" t="str">
        <x:v>6-24 h postoperatively</x:v>
      </x:c>
      <x:c r="AV23" s="18" t="str">
        <x:v>Some concerns</x:v>
      </x:c>
      <x:c r="AW23" s="18" t="str">
        <x:v>Yes — selected RoB is for a different result/timepoint</x:v>
      </x:c>
      <x:c r="AX23" s="18" t="str">
        <x:v>Zhu 2022</x:v>
      </x:c>
      <x:c r="AY23" s="18" t="str">
        <x:v>Shared-control / multi-arm contrast</x:v>
      </x:c>
      <x:c r="AZ23" s="18" t="str">
        <x:v>Shared comparator present; avoid double-counting controls.</x:v>
      </x:c>
    </x:row>
    <x:row r="24">
      <x:c r="A24" s="18" t="str">
        <x:v>Zhu 2022</x:v>
      </x:c>
      <x:c r="B24" s="18" t="str">
        <x:v>ZHU22_COMB_vs_USUAL_POV</x:v>
      </x:c>
      <x:c r="C24" s="18" t="str">
        <x:v>EA day before + 30 min before</x:v>
      </x:c>
      <x:c r="D24" s="18" t="str">
        <x:v>Usual care alone</x:v>
      </x:c>
      <x:c r="E24" s="18" t="str">
        <x:v>PONV</x:v>
      </x:c>
      <x:c r="F24" s="18" t="str">
        <x:v>Postoperative vomiting</x:v>
      </x:c>
      <x:c r="G24" s="18" t="str">
        <x:v>6-24 h postoperatively</x:v>
      </x:c>
      <x:c r="H24" s="18" t="str">
        <x:v>Events/total</x:v>
      </x:c>
      <x:c r="I24" s="18" t="n">
        <x:v>103</x:v>
      </x:c>
      <x:c r="J24" s="18" t="n">
        <x:v>104</x:v>
      </x:c>
      <x:c r="K24" s="18" t="n">
        <x:v>100</x:v>
      </x:c>
      <x:c r="L24" s="18" t="n">
        <x:v>101</x:v>
      </x:c>
      <x:c r="M24" s="18"/>
      <x:c r="N24" s="18"/>
      <x:c r="O24" s="18"/>
      <x:c r="P24" s="18"/>
      <x:c r="Q24" s="18"/>
      <x:c r="R24" s="18" t="n">
        <x:v>9</x:v>
      </x:c>
      <x:c r="S24" s="18"/>
      <x:c r="T24" s="18"/>
      <x:c r="U24" s="18"/>
      <x:c r="V24" s="18"/>
      <x:c r="W24" s="18"/>
      <x:c r="X24" s="18" t="n">
        <x:v>22</x:v>
      </x:c>
      <x:c r="Y24" s="18" t="str">
        <x:v>participants with vomiting</x:v>
      </x:c>
      <x:c r="Z24" s="18" t="str">
        <x:v>NR pairwise</x:v>
      </x:c>
      <x:c r="AA24" s="18" t="str">
        <x:v>Yes</x:v>
      </x:c>
      <x:c r="AB24" s="18" t="str">
        <x:v>No</x:v>
      </x:c>
      <x:c r="AC24" s="18" t="str">
        <x:v>RR</x:v>
      </x:c>
      <x:c r="AD24" s="18" t="n">
        <x:v>0.41318181818181815</x:v>
      </x:c>
      <x:c r="AE24" s="18" t="str">
        <x:v>No</x:v>
      </x:c>
      <x:c r="AF24" s="18" t="str">
        <x:v>No</x:v>
      </x:c>
      <x:c r="AG24" s="18" t="str">
        <x:v>Eligible for dichotomous POV analysis with shared-control/multi-arm adjustment</x:v>
      </x:c>
      <x:c r="AH24" s="18" t="str">
        <x:v>Yes</x:v>
      </x:c>
      <x:c r="AI24" s="18" t="str">
        <x:v>Four-arm RCT; no sham; use exact arm-specific analyzed denominators</x:v>
      </x:c>
      <x:c r="AJ24" s="18" t="str">
        <x:v>Table 2</x:v>
      </x:c>
      <x:c r="AK24" s="18" t="str">
        <x:v>https://drive.google.com/file/d/1vux5IaubjInusplW6GJ2SsxhzibtSCe-/view?usp=drivesdk</x:v>
      </x:c>
      <x:c r="AL24" s="18" t="str">
        <x:v>SOURCE-VERIFIED</x:v>
      </x:c>
      <x:c r="AM24" s="18" t="str">
        <x:v>PONV</x:v>
      </x:c>
      <x:c r="AN24" s="18" t="str">
        <x:v>Contains 24 h but definition differs</x:v>
      </x:c>
      <x:c r="AO24" s="18" t="str">
        <x:v>CONDITIONAL</x:v>
      </x:c>
      <x:c r="AP24" s="18" t="str">
        <x:v>Valid PONV result, but the postoperative observation window should be matched to the intended synthesis.</x:v>
      </x:c>
      <x:c r="AQ24" s="18" t="str">
        <x:v>No</x:v>
      </x:c>
      <x:c r="AR24" s="18" t="str"/>
      <x:c r="AS24" s="18" t="str">
        <x:v>Binary effect measure (RR preferred per protocol)</x:v>
      </x:c>
      <x:c r="AT24" s="18" t="str">
        <x:v>Postoperative vomiting</x:v>
      </x:c>
      <x:c r="AU24" s="18" t="str">
        <x:v>6-24 h postoperatively</x:v>
      </x:c>
      <x:c r="AV24" s="18" t="str">
        <x:v>Some concerns</x:v>
      </x:c>
      <x:c r="AW24" s="18" t="str">
        <x:v>No — selected RoB matches this result</x:v>
      </x:c>
      <x:c r="AX24" s="18" t="str">
        <x:v>Zhu 2022</x:v>
      </x:c>
      <x:c r="AY24" s="18" t="str">
        <x:v>Shared-control / multi-arm contrast</x:v>
      </x:c>
      <x:c r="AZ24" s="18" t="str">
        <x:v>Shared comparator present; avoid double-counting controls.</x:v>
      </x:c>
    </x:row>
    <x:row r="25">
      <x:c r="A25" s="18" t="str">
        <x:v>Zhou 2025</x:v>
      </x:c>
      <x:c r="B25" s="18" t="str">
        <x:v>ZHOU25_TEAS_vs_SHAM_QOR15</x:v>
      </x:c>
      <x:c r="C25" s="18" t="str">
        <x:v>PACU TEAS</x:v>
      </x:c>
      <x:c r="D25" s="18" t="str">
        <x:v>Sham/no current</x:v>
      </x:c>
      <x:c r="E25" s="18" t="str">
        <x:v>Quality of recovery</x:v>
      </x:c>
      <x:c r="F25" s="18" t="str">
        <x:v>Global QoR-15</x:v>
      </x:c>
      <x:c r="G25" s="18" t="str">
        <x:v>POD1</x:v>
      </x:c>
      <x:c r="H25" s="18" t="str">
        <x:v>Mean/SD</x:v>
      </x:c>
      <x:c r="I25" s="18" t="n">
        <x:v>50</x:v>
      </x:c>
      <x:c r="J25" s="18" t="n">
        <x:v>50</x:v>
      </x:c>
      <x:c r="K25" s="18" t="n">
        <x:v>48</x:v>
      </x:c>
      <x:c r="L25" s="18" t="n">
        <x:v>49</x:v>
      </x:c>
      <x:c r="M25" s="18" t="n">
        <x:v>112</x:v>
      </x:c>
      <x:c r="N25" s="18" t="n">
        <x:v>10.67</x:v>
      </x:c>
      <x:c r="O25" s="18"/>
      <x:c r="P25" s="18"/>
      <x:c r="Q25" s="18"/>
      <x:c r="R25" s="18"/>
      <x:c r="S25" s="18" t="n">
        <x:v>107.62</x:v>
      </x:c>
      <x:c r="T25" s="18" t="n">
        <x:v>10.27</x:v>
      </x:c>
      <x:c r="U25" s="18"/>
      <x:c r="V25" s="18"/>
      <x:c r="W25" s="18"/>
      <x:c r="X25" s="18"/>
      <x:c r="Y25" s="18" t="str">
        <x:v>QoR-15 points</x:v>
      </x:c>
      <x:c r="Z25" s="18" t="str">
        <x:v>0.042</x:v>
      </x:c>
      <x:c r="AA25" s="18" t="str">
        <x:v>Yes</x:v>
      </x:c>
      <x:c r="AB25" s="18" t="str">
        <x:v>No</x:v>
      </x:c>
      <x:c r="AC25" s="18" t="str">
        <x:v>MD</x:v>
      </x:c>
      <x:c r="AD25" s="18" t="n">
        <x:v>4.3799999999999955</x:v>
      </x:c>
      <x:c r="AE25" s="18" t="str">
        <x:v>No</x:v>
      </x:c>
      <x:c r="AF25" s="18" t="str">
        <x:v>No</x:v>
      </x:c>
      <x:c r="AG25" s="18" t="str">
        <x:v>Eligible for QoR-15 meta-analysis</x:v>
      </x:c>
      <x:c r="AH25" s="18" t="str">
        <x:v>No</x:v>
      </x:c>
      <x:c r="AI25" s="18" t="str">
        <x:v>3 post-randomization withdrawals; sensory blinding uncertain because active 10-15 mA/De Qi vs no current</x:v>
      </x:c>
      <x:c r="AJ25" s="18" t="str">
        <x:v>Table 2, p7</x:v>
      </x:c>
      <x:c r="AK25" s="18" t="str">
        <x:v>https://drive.google.com/file/d/1gpNBuoukUttXKWiAAeZSqdIaaHSMOwDU/view?usp=drivesdk</x:v>
      </x:c>
      <x:c r="AL25" s="18" t="str">
        <x:v>SOURCE-VERIFIED</x:v>
      </x:c>
      <x:c r="AM25" s="18" t="str">
        <x:v>Quality of recovery</x:v>
      </x:c>
      <x:c r="AN25" s="18" t="str">
        <x:v>POD1 / approximate 24 h</x:v>
      </x:c>
      <x:c r="AO25" s="18" t="str">
        <x:v>CONDITIONAL — POD1</x:v>
      </x:c>
      <x:c r="AP25" s="18" t="str">
        <x:v>POD1 is approximately 24 h; pool only if allowed by protocol.</x:v>
      </x:c>
      <x:c r="AQ25" s="18" t="str">
        <x:v>Yes</x:v>
      </x:c>
      <x:c r="AR25" s="18" t="str"/>
      <x:c r="AS25" s="18" t="str">
        <x:v>None</x:v>
      </x:c>
      <x:c r="AT25" s="18" t="str">
        <x:v>Global QoR-15</x:v>
      </x:c>
      <x:c r="AU25" s="18" t="str">
        <x:v>POD1</x:v>
      </x:c>
      <x:c r="AV25" s="18" t="str">
        <x:v>High</x:v>
      </x:c>
      <x:c r="AW25" s="18" t="str">
        <x:v>No — selected RoB matches this result</x:v>
      </x:c>
      <x:c r="AX25" s="18" t="str">
        <x:v>Zhou 2025</x:v>
      </x:c>
      <x:c r="AY25" s="18" t="str">
        <x:v>Primary eligible contrast</x:v>
      </x:c>
      <x:c r="AZ25" s="18" t="str">
        <x:v>Count this study once per synthesis unless a valid multi-arm method is used.</x:v>
      </x:c>
    </x:row>
    <x:row r="26">
      <x:c r="A26" s="18" t="str">
        <x:v>Zhou 2025</x:v>
      </x:c>
      <x:c r="B26" s="18" t="str">
        <x:v>ZHOU25_TEAS_vs_SHAM_PAINREST</x:v>
      </x:c>
      <x:c r="C26" s="18" t="str">
        <x:v>PACU TEAS</x:v>
      </x:c>
      <x:c r="D26" s="18" t="str">
        <x:v>Sham/no current</x:v>
      </x:c>
      <x:c r="E26" s="18" t="str">
        <x:v>Pain</x:v>
      </x:c>
      <x:c r="F26" s="18" t="str">
        <x:v>Resting pain VAS</x:v>
      </x:c>
      <x:c r="G26" s="18" t="str">
        <x:v>POD1</x:v>
      </x:c>
      <x:c r="H26" s="18" t="str">
        <x:v>Median/IQR</x:v>
      </x:c>
      <x:c r="I26" s="18" t="n">
        <x:v>50</x:v>
      </x:c>
      <x:c r="J26" s="18" t="n">
        <x:v>50</x:v>
      </x:c>
      <x:c r="K26" s="18" t="n">
        <x:v>48</x:v>
      </x:c>
      <x:c r="L26" s="18" t="n">
        <x:v>49</x:v>
      </x:c>
      <x:c r="M26" s="18"/>
      <x:c r="N26" s="18"/>
      <x:c r="O26" s="18" t="n">
        <x:v>3</x:v>
      </x:c>
      <x:c r="P26" s="18" t="n">
        <x:v>3</x:v>
      </x:c>
      <x:c r="Q26" s="18" t="n">
        <x:v>4</x:v>
      </x:c>
      <x:c r="R26" s="18"/>
      <x:c r="S26" s="18"/>
      <x:c r="T26" s="18"/>
      <x:c r="U26" s="18" t="n">
        <x:v>4</x:v>
      </x:c>
      <x:c r="V26" s="18" t="n">
        <x:v>4</x:v>
      </x:c>
      <x:c r="W26" s="18" t="n">
        <x:v>5</x:v>
      </x:c>
      <x:c r="X26" s="18"/>
      <x:c r="Y26" s="18" t="str">
        <x:v>VAS 0-10</x:v>
      </x:c>
      <x:c r="Z26" s="18" t="str">
        <x:v>&lt;0.001</x:v>
      </x:c>
      <x:c r="AA26" s="18" t="str">
        <x:v>Yes</x:v>
      </x:c>
      <x:c r="AB26" s="18" t="str">
        <x:v>No</x:v>
      </x:c>
      <x:c r="AC26" s="18"/>
      <x:c r="AD26" s="18"/>
      <x:c r="AE26" s="18" t="str">
        <x:v>No</x:v>
      </x:c>
      <x:c r="AF26" s="18" t="str">
        <x:v>No</x:v>
      </x:c>
      <x:c r="AG26" s="18" t="str">
        <x:v>Eligible for pain analysis using nonparametric/prespecified conversion method</x:v>
      </x:c>
      <x:c r="AH26" s="18" t="str">
        <x:v>No</x:v>
      </x:c>
      <x:c r="AI26" s="18" t="str">
        <x:v>Do not convert median/IQR to mean/SD without prespecified method</x:v>
      </x:c>
      <x:c r="AJ26" s="18" t="str">
        <x:v>Table 3, p8</x:v>
      </x:c>
      <x:c r="AK26" s="18" t="str">
        <x:v>https://drive.google.com/file/d/1gpNBuoukUttXKWiAAeZSqdIaaHSMOwDU/view?usp=drivesdk</x:v>
      </x:c>
      <x:c r="AL26" s="18" t="str">
        <x:v>SOURCE-VERIFIED</x:v>
      </x:c>
      <x:c r="AM26" s="18" t="str">
        <x:v>Pain</x:v>
      </x:c>
      <x:c r="AN26" s="18" t="str">
        <x:v>POD1 / approximate 24 h</x:v>
      </x:c>
      <x:c r="AO26" s="18" t="str">
        <x:v>CONDITIONAL — POD1</x:v>
      </x:c>
      <x:c r="AP26" s="18" t="str">
        <x:v>POD1/day-after-surgery is not necessarily a clock-defined 24-h measurement; pool only if protocol permits.</x:v>
      </x:c>
      <x:c r="AQ26" s="18" t="str">
        <x:v>No</x:v>
      </x:c>
      <x:c r="AR26" s="18" t="str"/>
      <x:c r="AS26" s="18" t="str">
        <x:v>Use median/IQR-compatible meta-analysis method; do not relabel as mean/SD</x:v>
      </x:c>
      <x:c r="AT26" s="18" t="str">
        <x:v>Global QoR-15</x:v>
      </x:c>
      <x:c r="AU26" s="18" t="str">
        <x:v>POD1</x:v>
      </x:c>
      <x:c r="AV26" s="18" t="str">
        <x:v>High</x:v>
      </x:c>
      <x:c r="AW26" s="18" t="str">
        <x:v>Yes — selected RoB is for a different result/timepoint</x:v>
      </x:c>
      <x:c r="AX26" s="18" t="str">
        <x:v>Zhou 2025</x:v>
      </x:c>
      <x:c r="AY26" s="18" t="str">
        <x:v>Primary eligible contrast</x:v>
      </x:c>
      <x:c r="AZ26" s="18" t="str">
        <x:v>Count this study once per synthesis unless a valid multi-arm method is used.</x:v>
      </x:c>
    </x:row>
    <x:row r="27">
      <x:c r="A27" s="18" t="str">
        <x:v>Zhou 2025</x:v>
      </x:c>
      <x:c r="B27" s="18" t="str">
        <x:v>ZHOU25_TEAS_vs_SHAM_PONV</x:v>
      </x:c>
      <x:c r="C27" s="18" t="str">
        <x:v>PACU TEAS</x:v>
      </x:c>
      <x:c r="D27" s="18" t="str">
        <x:v>Sham/no current</x:v>
      </x:c>
      <x:c r="E27" s="18" t="str">
        <x:v>PONV</x:v>
      </x:c>
      <x:c r="F27" s="18" t="str">
        <x:v>PONV incidence</x:v>
      </x:c>
      <x:c r="G27" s="18" t="str">
        <x:v>POD1</x:v>
      </x:c>
      <x:c r="H27" s="18" t="str">
        <x:v>Events/total</x:v>
      </x:c>
      <x:c r="I27" s="18" t="n">
        <x:v>50</x:v>
      </x:c>
      <x:c r="J27" s="18" t="n">
        <x:v>50</x:v>
      </x:c>
      <x:c r="K27" s="18" t="n">
        <x:v>48</x:v>
      </x:c>
      <x:c r="L27" s="18" t="n">
        <x:v>49</x:v>
      </x:c>
      <x:c r="M27" s="18"/>
      <x:c r="N27" s="18"/>
      <x:c r="O27" s="18"/>
      <x:c r="P27" s="18"/>
      <x:c r="Q27" s="18"/>
      <x:c r="R27" s="18" t="n">
        <x:v>10</x:v>
      </x:c>
      <x:c r="S27" s="18"/>
      <x:c r="T27" s="18"/>
      <x:c r="U27" s="18"/>
      <x:c r="V27" s="18"/>
      <x:c r="W27" s="18"/>
      <x:c r="X27" s="18" t="n">
        <x:v>19</x:v>
      </x:c>
      <x:c r="Y27" s="18" t="str">
        <x:v>participants</x:v>
      </x:c>
      <x:c r="Z27" s="18" t="str">
        <x:v>0.047</x:v>
      </x:c>
      <x:c r="AA27" s="18" t="str">
        <x:v>Yes</x:v>
      </x:c>
      <x:c r="AB27" s="18" t="str">
        <x:v>No</x:v>
      </x:c>
      <x:c r="AC27" s="18" t="str">
        <x:v>RR</x:v>
      </x:c>
      <x:c r="AD27" s="18" t="n">
        <x:v>0.537280701754386</x:v>
      </x:c>
      <x:c r="AE27" s="18" t="str">
        <x:v>No</x:v>
      </x:c>
      <x:c r="AF27" s="18" t="str">
        <x:v>No</x:v>
      </x:c>
      <x:c r="AG27" s="18" t="str">
        <x:v>Eligible for dichotomous POD1 PONV analysis</x:v>
      </x:c>
      <x:c r="AH27" s="18" t="str">
        <x:v>No</x:v>
      </x:c>
      <x:c r="AI27" s="18" t="str">
        <x:v>Participant sensory blinding uncertain</x:v>
      </x:c>
      <x:c r="AJ27" s="18" t="str">
        <x:v>Table 4, p8</x:v>
      </x:c>
      <x:c r="AK27" s="18" t="str">
        <x:v>https://drive.google.com/file/d/1gpNBuoukUttXKWiAAeZSqdIaaHSMOwDU/view?usp=drivesdk</x:v>
      </x:c>
      <x:c r="AL27" s="18" t="str">
        <x:v>SOURCE-VERIFIED</x:v>
      </x:c>
      <x:c r="AM27" s="18" t="str">
        <x:v>PONV</x:v>
      </x:c>
      <x:c r="AN27" s="18" t="str">
        <x:v>POD1 / approximate 24 h</x:v>
      </x:c>
      <x:c r="AO27" s="18" t="str">
        <x:v>CONDITIONAL</x:v>
      </x:c>
      <x:c r="AP27" s="18" t="str">
        <x:v>Valid PONV result, but the postoperative observation window should be matched to the intended synthesis.</x:v>
      </x:c>
      <x:c r="AQ27" s="18" t="str">
        <x:v>No</x:v>
      </x:c>
      <x:c r="AR27" s="18" t="str"/>
      <x:c r="AS27" s="18" t="str">
        <x:v>Binary effect measure (RR preferred per protocol)</x:v>
      </x:c>
      <x:c r="AT27" s="18" t="str">
        <x:v>Global QoR-15</x:v>
      </x:c>
      <x:c r="AU27" s="18" t="str">
        <x:v>POD1</x:v>
      </x:c>
      <x:c r="AV27" s="18" t="str">
        <x:v>High</x:v>
      </x:c>
      <x:c r="AW27" s="18" t="str">
        <x:v>Yes — selected RoB is for a different result/timepoint</x:v>
      </x:c>
      <x:c r="AX27" s="18" t="str">
        <x:v>Zhou 2025</x:v>
      </x:c>
      <x:c r="AY27" s="18" t="str">
        <x:v>Primary eligible contrast</x:v>
      </x:c>
      <x:c r="AZ27" s="18" t="str">
        <x:v>Count this study once per synthesis unless a valid multi-arm method is used.</x:v>
      </x:c>
    </x:row>
    <x:row r="28">
      <x:c r="A28" s="18" t="str">
        <x:v>Zhou 2025</x:v>
      </x:c>
      <x:c r="B28" s="18" t="str">
        <x:v>ZHOU25_TEAS_vs_SHAM_FLATUS</x:v>
      </x:c>
      <x:c r="C28" s="18" t="str">
        <x:v>PACU TEAS</x:v>
      </x:c>
      <x:c r="D28" s="18" t="str">
        <x:v>Sham/no current</x:v>
      </x:c>
      <x:c r="E28" s="18" t="str">
        <x:v>GI recovery</x:v>
      </x:c>
      <x:c r="F28" s="18" t="str">
        <x:v>Time to first flatus</x:v>
      </x:c>
      <x:c r="G28" s="18" t="str">
        <x:v>Postoperative</x:v>
      </x:c>
      <x:c r="H28" s="18" t="str">
        <x:v>Mean/SD</x:v>
      </x:c>
      <x:c r="I28" s="18" t="n">
        <x:v>50</x:v>
      </x:c>
      <x:c r="J28" s="18" t="n">
        <x:v>50</x:v>
      </x:c>
      <x:c r="K28" s="18" t="n">
        <x:v>48</x:v>
      </x:c>
      <x:c r="L28" s="18" t="n">
        <x:v>49</x:v>
      </x:c>
      <x:c r="M28" s="18" t="n">
        <x:v>14.1</x:v>
      </x:c>
      <x:c r="N28" s="18" t="n">
        <x:v>3.19</x:v>
      </x:c>
      <x:c r="O28" s="18"/>
      <x:c r="P28" s="18"/>
      <x:c r="Q28" s="18"/>
      <x:c r="R28" s="18"/>
      <x:c r="S28" s="18" t="n">
        <x:v>15.88</x:v>
      </x:c>
      <x:c r="T28" s="18" t="n">
        <x:v>3.78</x:v>
      </x:c>
      <x:c r="U28" s="18"/>
      <x:c r="V28" s="18"/>
      <x:c r="W28" s="18"/>
      <x:c r="X28" s="18"/>
      <x:c r="Y28" s="18" t="str">
        <x:v>hours</x:v>
      </x:c>
      <x:c r="Z28" s="18" t="str">
        <x:v>0.014</x:v>
      </x:c>
      <x:c r="AA28" s="18" t="str">
        <x:v>Yes</x:v>
      </x:c>
      <x:c r="AB28" s="18" t="str">
        <x:v>No</x:v>
      </x:c>
      <x:c r="AC28" s="18" t="str">
        <x:v>MD</x:v>
      </x:c>
      <x:c r="AD28" s="18" t="n">
        <x:v>-1.7800000000000011</x:v>
      </x:c>
      <x:c r="AE28" s="18" t="str">
        <x:v>No</x:v>
      </x:c>
      <x:c r="AF28" s="18" t="str">
        <x:v>No</x:v>
      </x:c>
      <x:c r="AG28" s="18" t="str">
        <x:v>Eligible for GI-recovery meta-analysis</x:v>
      </x:c>
      <x:c r="AH28" s="18" t="str">
        <x:v>No</x:v>
      </x:c>
      <x:c r="AI28" s="18" t="str">
        <x:v>Ascertainment mechanism should be considered in RoB because participant sensory blinding may be imperfect</x:v>
      </x:c>
      <x:c r="AJ28" s="18" t="str">
        <x:v>Postoperative recovery-time table</x:v>
      </x:c>
      <x:c r="AK28" s="18" t="str">
        <x:v>https://drive.google.com/file/d/1gpNBuoukUttXKWiAAeZSqdIaaHSMOwDU/view?usp=drivesdk</x:v>
      </x:c>
      <x:c r="AL28" s="18" t="str">
        <x:v>SOURCE-VERIFIED</x:v>
      </x:c>
      <x:c r="AM28" s="18" t="str">
        <x:v>GI recovery</x:v>
      </x:c>
      <x:c r="AN28" s="18" t="str">
        <x:v>Postoperative</x:v>
      </x:c>
      <x:c r="AO28" s="18" t="str">
        <x:v>INCLUDE</x:v>
      </x:c>
      <x:c r="AP28" s="18" t="str">
        <x:v>Source-valid first-flatus/ileus endpoint; retain reported distribution (mean/SD, median/IQR, or events).</x:v>
      </x:c>
      <x:c r="AQ28" s="18" t="str">
        <x:v>Yes</x:v>
      </x:c>
      <x:c r="AR28" s="18" t="str"/>
      <x:c r="AS28" s="18" t="str">
        <x:v>None</x:v>
      </x:c>
      <x:c r="AT28" s="18" t="str">
        <x:v>Global QoR-15</x:v>
      </x:c>
      <x:c r="AU28" s="18" t="str">
        <x:v>POD1</x:v>
      </x:c>
      <x:c r="AV28" s="18" t="str">
        <x:v>High</x:v>
      </x:c>
      <x:c r="AW28" s="18" t="str">
        <x:v>Yes — selected RoB is for a different result/timepoint</x:v>
      </x:c>
      <x:c r="AX28" s="18" t="str">
        <x:v>Zhou 2025</x:v>
      </x:c>
      <x:c r="AY28" s="18" t="str">
        <x:v>Primary eligible contrast</x:v>
      </x:c>
      <x:c r="AZ28" s="18" t="str">
        <x:v>Count this study once per synthesis unless a valid multi-arm method is used.</x:v>
      </x:c>
    </x:row>
    <x:row r="29">
      <x:c r="A29" s="18" t="str">
        <x:v>Zhou 2025</x:v>
      </x:c>
      <x:c r="B29" s="18" t="str">
        <x:v>ZHOU25_TEAS_vs_SHAM_RESCUE</x:v>
      </x:c>
      <x:c r="C29" s="18" t="str">
        <x:v>PACU TEAS</x:v>
      </x:c>
      <x:c r="D29" s="18" t="str">
        <x:v>Sham/no current</x:v>
      </x:c>
      <x:c r="E29" s="18" t="str">
        <x:v>Rescue analgesia</x:v>
      </x:c>
      <x:c r="F29" s="18" t="str">
        <x:v>Any rescue analgesia</x:v>
      </x:c>
      <x:c r="G29" s="18" t="str">
        <x:v>POD1-POD3</x:v>
      </x:c>
      <x:c r="H29" s="18" t="str">
        <x:v>Events/total</x:v>
      </x:c>
      <x:c r="I29" s="18" t="n">
        <x:v>50</x:v>
      </x:c>
      <x:c r="J29" s="18" t="n">
        <x:v>50</x:v>
      </x:c>
      <x:c r="K29" s="18" t="n">
        <x:v>48</x:v>
      </x:c>
      <x:c r="L29" s="18" t="n">
        <x:v>49</x:v>
      </x:c>
      <x:c r="M29" s="18"/>
      <x:c r="N29" s="18"/>
      <x:c r="O29" s="18"/>
      <x:c r="P29" s="18"/>
      <x:c r="Q29" s="18"/>
      <x:c r="R29" s="18" t="n">
        <x:v>6</x:v>
      </x:c>
      <x:c r="S29" s="18"/>
      <x:c r="T29" s="18"/>
      <x:c r="U29" s="18"/>
      <x:c r="V29" s="18"/>
      <x:c r="W29" s="18"/>
      <x:c r="X29" s="18" t="n">
        <x:v>13</x:v>
      </x:c>
      <x:c r="Y29" s="18" t="str">
        <x:v>participants</x:v>
      </x:c>
      <x:c r="Z29" s="18" t="str">
        <x:v>0.124</x:v>
      </x:c>
      <x:c r="AA29" s="18" t="str">
        <x:v>Yes</x:v>
      </x:c>
      <x:c r="AB29" s="18" t="str">
        <x:v>No</x:v>
      </x:c>
      <x:c r="AC29" s="18" t="str">
        <x:v>RR</x:v>
      </x:c>
      <x:c r="AD29" s="18" t="n">
        <x:v>0.47115384615384615</x:v>
      </x:c>
      <x:c r="AE29" s="18" t="str">
        <x:v>No</x:v>
      </x:c>
      <x:c r="AF29" s="18" t="str">
        <x:v>No</x:v>
      </x:c>
      <x:c r="AG29" s="18" t="str">
        <x:v>Eligible only for 3-day binary rescue-analgesia analysis</x:v>
      </x:c>
      <x:c r="AH29" s="18" t="str">
        <x:v>No</x:v>
      </x:c>
      <x:c r="AI29" s="18" t="str">
        <x:v>Not a 24-h opioid dose; exact cumulative tramadol dose is not reported</x:v>
      </x:c>
      <x:c r="AJ29" s="18" t="str">
        <x:v>Table 3, p8</x:v>
      </x:c>
      <x:c r="AK29" s="18" t="str">
        <x:v>https://drive.google.com/file/d/1gpNBuoukUttXKWiAAeZSqdIaaHSMOwDU/view?usp=drivesdk</x:v>
      </x:c>
      <x:c r="AL29" s="18" t="str">
        <x:v>SOURCE-VERIFIED</x:v>
      </x:c>
      <x:c r="AM29" s="18" t="str">
        <x:v>Rescue analgesia</x:v>
      </x:c>
      <x:c r="AN29" s="18" t="str">
        <x:v>POD1 / approximate 24 h</x:v>
      </x:c>
      <x:c r="AO29" s="18" t="str">
        <x:v>INCLUDE — SECONDARY</x:v>
      </x:c>
      <x:c r="AP29" s="18" t="str">
        <x:v>Source-verified outcome suitable for its matching secondary analysis.</x:v>
      </x:c>
      <x:c r="AQ29" s="18" t="str">
        <x:v>No</x:v>
      </x:c>
      <x:c r="AR29" s="18" t="str"/>
      <x:c r="AS29" s="18" t="str">
        <x:v>Binary effect measure (RR preferred per protocol)</x:v>
      </x:c>
      <x:c r="AT29" s="18" t="str">
        <x:v>Global QoR-15</x:v>
      </x:c>
      <x:c r="AU29" s="18" t="str">
        <x:v>POD1</x:v>
      </x:c>
      <x:c r="AV29" s="18" t="str">
        <x:v>High</x:v>
      </x:c>
      <x:c r="AW29" s="18" t="str">
        <x:v>Yes — selected RoB is for a different result/timepoint</x:v>
      </x:c>
      <x:c r="AX29" s="18" t="str">
        <x:v>Zhou 2025</x:v>
      </x:c>
      <x:c r="AY29" s="18" t="str">
        <x:v>Primary eligible contrast</x:v>
      </x:c>
      <x:c r="AZ29" s="18" t="str">
        <x:v>Count this study once per synthesis unless a valid multi-arm method is used.</x:v>
      </x:c>
    </x:row>
    <x:row r="30">
      <x:c r="A30" s="18" t="str">
        <x:v>Zhou 2025</x:v>
      </x:c>
      <x:c r="B30" s="18" t="str">
        <x:v>ZHOU25_TEAS_vs_SHAM_OPIOID24</x:v>
      </x:c>
      <x:c r="C30" s="18" t="str">
        <x:v>PACU TEAS</x:v>
      </x:c>
      <x:c r="D30" s="18" t="str">
        <x:v>Sham/no current</x:v>
      </x:c>
      <x:c r="E30" s="18" t="str">
        <x:v>Opioid consumption</x:v>
      </x:c>
      <x:c r="F30" s="18" t="str">
        <x:v>Exact cumulative postoperative opioid dose</x:v>
      </x:c>
      <x:c r="G30" s="18" t="str">
        <x:v>0-24 h</x:v>
      </x:c>
      <x:c r="H30" s="18" t="str">
        <x:v>Not reported</x:v>
      </x:c>
      <x:c r="I30" s="18" t="n">
        <x:v>50</x:v>
      </x:c>
      <x:c r="J30" s="18" t="n">
        <x:v>50</x:v>
      </x:c>
      <x:c r="K30" s="18" t="n">
        <x:v>48</x:v>
      </x:c>
      <x:c r="L30" s="18" t="n">
        <x:v>49</x:v>
      </x:c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 t="str">
        <x:v>mg/µg</x:v>
      </x:c>
      <x:c r="Z30" s="18"/>
      <x:c r="AA30" s="18" t="str">
        <x:v>No</x:v>
      </x:c>
      <x:c r="AB30" s="18" t="str">
        <x:v>No</x:v>
      </x:c>
      <x:c r="AC30" s="18"/>
      <x:c r="AD30" s="18"/>
      <x:c r="AE30" s="18" t="str">
        <x:v>No</x:v>
      </x:c>
      <x:c r="AF30" s="18" t="str">
        <x:v>No</x:v>
      </x:c>
      <x:c r="AG30" s="18" t="str">
        <x:v>Not eligible for continuous 24-h opioid meta-analysis without author data</x:v>
      </x:c>
      <x:c r="AH30" s="18" t="str">
        <x:v>No</x:v>
      </x:c>
      <x:c r="AI30" s="18" t="str">
        <x:v>Standard perioperative sufentanil plus PRN tramadol; exact 0-24-h cumulative dose not reported</x:v>
      </x:c>
      <x:c r="AJ30" s="18" t="str">
        <x:v>Not numerically reported</x:v>
      </x:c>
      <x:c r="AK30" s="18" t="str">
        <x:v>https://drive.google.com/file/d/1gpNBuoukUttXKWiAAeZSqdIaaHSMOwDU/view?usp=drivesdk</x:v>
      </x:c>
      <x:c r="AL30" s="18" t="str">
        <x:v>MISSING / AUTHOR DATA NEEDED</x:v>
      </x:c>
      <x:c r="AM30" s="18" t="str">
        <x:v>Postoperative opioid consumption</x:v>
      </x:c>
      <x:c r="AN30" s="18" t="str">
        <x:v>Exact/explicit 24 h</x:v>
      </x:c>
      <x:c r="AO30" s="18" t="str">
        <x:v>EXCLUDE — DATA UNAVAILABLE</x:v>
      </x:c>
      <x:c r="AP30" s="18" t="str">
        <x:v>The source does not provide a defensible quantitative value for this analysis.</x:v>
      </x:c>
      <x:c r="AQ30" s="18" t="str">
        <x:v>No</x:v>
      </x:c>
      <x:c r="AR30" s="18" t="str"/>
      <x:c r="AS30" s="18" t="str">
        <x:v>None</x:v>
      </x:c>
      <x:c r="AT30" s="18" t="str">
        <x:v>Global QoR-15</x:v>
      </x:c>
      <x:c r="AU30" s="18" t="str">
        <x:v>POD1</x:v>
      </x:c>
      <x:c r="AV30" s="18" t="str">
        <x:v>High</x:v>
      </x:c>
      <x:c r="AW30" s="18" t="str">
        <x:v>Yes — selected RoB is for a different result/timepoint</x:v>
      </x:c>
      <x:c r="AX30" s="18" t="str">
        <x:v>Zhou 2025</x:v>
      </x:c>
      <x:c r="AY30" s="18" t="str">
        <x:v>Primary eligible contrast</x:v>
      </x:c>
      <x:c r="AZ30" s="18" t="str">
        <x:v>Count this study once per synthesis unless a valid multi-arm method is used.</x:v>
      </x:c>
    </x:row>
    <x:row r="31">
      <x:c r="A31" s="18" t="str">
        <x:v>Zhou 2021</x:v>
      </x:c>
      <x:c r="B31" s="18" t="str">
        <x:v>ZHOU21_TEAS_vs_UC_PAIN</x:v>
      </x:c>
      <x:c r="C31" s="18" t="str">
        <x:v>Postoperative TEAS + ERAS</x:v>
      </x:c>
      <x:c r="D31" s="18" t="str">
        <x:v>ERAS/usual care</x:v>
      </x:c>
      <x:c r="E31" s="18" t="str">
        <x:v>Pain</x:v>
      </x:c>
      <x:c r="F31" s="18" t="str">
        <x:v>Average postoperative pain</x:v>
      </x:c>
      <x:c r="G31" s="18" t="str">
        <x:v>POD1-POD5 average</x:v>
      </x:c>
      <x:c r="H31" s="18" t="str">
        <x:v>Mean/SD</x:v>
      </x:c>
      <x:c r="I31" s="18" t="n">
        <x:v>41</x:v>
      </x:c>
      <x:c r="J31" s="18" t="n">
        <x:v>41</x:v>
      </x:c>
      <x:c r="K31" s="18" t="n">
        <x:v>41</x:v>
      </x:c>
      <x:c r="L31" s="18" t="n">
        <x:v>40</x:v>
      </x:c>
      <x:c r="M31" s="18" t="n">
        <x:v>2.55</x:v>
      </x:c>
      <x:c r="N31" s="18" t="n">
        <x:v>0.21</x:v>
      </x:c>
      <x:c r="O31" s="18"/>
      <x:c r="P31" s="18"/>
      <x:c r="Q31" s="18"/>
      <x:c r="R31" s="18"/>
      <x:c r="S31" s="18" t="n">
        <x:v>3.1</x:v>
      </x:c>
      <x:c r="T31" s="18" t="n">
        <x:v>0.42</x:v>
      </x:c>
      <x:c r="U31" s="18"/>
      <x:c r="V31" s="18"/>
      <x:c r="W31" s="18"/>
      <x:c r="X31" s="18"/>
      <x:c r="Y31" s="18" t="str">
        <x:v>pain score</x:v>
      </x:c>
      <x:c r="Z31" s="18" t="str">
        <x:v>&lt;0.001</x:v>
      </x:c>
      <x:c r="AA31" s="18" t="str">
        <x:v>Yes</x:v>
      </x:c>
      <x:c r="AB31" s="18" t="str">
        <x:v>No</x:v>
      </x:c>
      <x:c r="AC31" s="18" t="str">
        <x:v>MD</x:v>
      </x:c>
      <x:c r="AD31" s="18" t="n">
        <x:v>-0.5500000000000003</x:v>
      </x:c>
      <x:c r="AE31" s="18" t="str">
        <x:v>No</x:v>
      </x:c>
      <x:c r="AF31" s="18" t="str">
        <x:v>No</x:v>
      </x:c>
      <x:c r="AG31" s="18" t="str">
        <x:v>Eligible only for matching POD1-POD5 average pain analysis</x:v>
      </x:c>
      <x:c r="AH31" s="18" t="str">
        <x:v>No</x:v>
      </x:c>
      <x:c r="AI31" s="18" t="str">
        <x:v>Open-label/no sham; subjective outcome</x:v>
      </x:c>
      <x:c r="AJ31" s="18" t="str">
        <x:v>Table 3, p6</x:v>
      </x:c>
      <x:c r="AK31" s="18" t="str">
        <x:v>https://drive.google.com/file/d/1PxYyULBv_ZjWeqAm_bNYkDn_j2_lNYLq/view?usp=drivesdk</x:v>
      </x:c>
      <x:c r="AL31" s="18" t="str">
        <x:v>SOURCE-VERIFIED</x:v>
      </x:c>
      <x:c r="AM31" s="18" t="str">
        <x:v>Pain</x:v>
      </x:c>
      <x:c r="AN31" s="18" t="str">
        <x:v>POD1 / approximate 24 h</x:v>
      </x:c>
      <x:c r="AO31" s="18" t="str">
        <x:v>CONDITIONAL — POD1</x:v>
      </x:c>
      <x:c r="AP31" s="18" t="str">
        <x:v>POD1/day-after-surgery is not necessarily a clock-defined 24-h measurement; pool only if protocol permits.</x:v>
      </x:c>
      <x:c r="AQ31" s="18" t="str">
        <x:v>No</x:v>
      </x:c>
      <x:c r="AR31" s="18" t="str"/>
      <x:c r="AS31" s="18" t="str">
        <x:v>None</x:v>
      </x:c>
      <x:c r="AT31" s="18" t="str">
        <x:v>Time to first flatus</x:v>
      </x:c>
      <x:c r="AU31" s="18" t="str">
        <x:v>Postoperative</x:v>
      </x:c>
      <x:c r="AV31" s="18" t="str">
        <x:v>High</x:v>
      </x:c>
      <x:c r="AW31" s="18" t="str">
        <x:v>Yes — selected RoB is for a different result/timepoint</x:v>
      </x:c>
      <x:c r="AX31" s="18" t="str">
        <x:v>Zhou 2021</x:v>
      </x:c>
      <x:c r="AY31" s="18" t="str">
        <x:v>Primary eligible contrast</x:v>
      </x:c>
      <x:c r="AZ31" s="18" t="str">
        <x:v>Count this study once per synthesis unless a valid multi-arm method is used.</x:v>
      </x:c>
    </x:row>
    <x:row r="32">
      <x:c r="A32" s="18" t="str">
        <x:v>Zhou 2021</x:v>
      </x:c>
      <x:c r="B32" s="18" t="str">
        <x:v>ZHOU21_TEAS_vs_UC_OPIOIDUSE</x:v>
      </x:c>
      <x:c r="C32" s="18" t="str">
        <x:v>Postoperative TEAS + ERAS</x:v>
      </x:c>
      <x:c r="D32" s="18" t="str">
        <x:v>ERAS/usual care</x:v>
      </x:c>
      <x:c r="E32" s="18" t="str">
        <x:v>Opioid consumption</x:v>
      </x:c>
      <x:c r="F32" s="18" t="str">
        <x:v>Any postoperative opioid use</x:v>
      </x:c>
      <x:c r="G32" s="18" t="str">
        <x:v>Postoperative window not clearly defined as 0-24 h</x:v>
      </x:c>
      <x:c r="H32" s="18" t="str">
        <x:v>Events/total</x:v>
      </x:c>
      <x:c r="I32" s="18" t="n">
        <x:v>41</x:v>
      </x:c>
      <x:c r="J32" s="18" t="n">
        <x:v>41</x:v>
      </x:c>
      <x:c r="K32" s="18" t="n">
        <x:v>41</x:v>
      </x:c>
      <x:c r="L32" s="18" t="n">
        <x:v>40</x:v>
      </x:c>
      <x:c r="M32" s="18"/>
      <x:c r="N32" s="18"/>
      <x:c r="O32" s="18"/>
      <x:c r="P32" s="18"/>
      <x:c r="Q32" s="18"/>
      <x:c r="R32" s="18" t="n">
        <x:v>18</x:v>
      </x:c>
      <x:c r="S32" s="18"/>
      <x:c r="T32" s="18"/>
      <x:c r="U32" s="18"/>
      <x:c r="V32" s="18"/>
      <x:c r="W32" s="18"/>
      <x:c r="X32" s="18" t="n">
        <x:v>30</x:v>
      </x:c>
      <x:c r="Y32" s="18" t="str">
        <x:v>participants</x:v>
      </x:c>
      <x:c r="Z32" s="18" t="str">
        <x:v>0.004</x:v>
      </x:c>
      <x:c r="AA32" s="18" t="str">
        <x:v>Yes</x:v>
      </x:c>
      <x:c r="AB32" s="18" t="str">
        <x:v>No</x:v>
      </x:c>
      <x:c r="AC32" s="18" t="str">
        <x:v>RR</x:v>
      </x:c>
      <x:c r="AD32" s="18" t="n">
        <x:v>0.5853658536585366</x:v>
      </x:c>
      <x:c r="AE32" s="18" t="str">
        <x:v>No</x:v>
      </x:c>
      <x:c r="AF32" s="18" t="str">
        <x:v>No</x:v>
      </x:c>
      <x:c r="AG32" s="18" t="str">
        <x:v>Eligible for binary opioid-use analysis only if matching time window is acceptable</x:v>
      </x:c>
      <x:c r="AH32" s="18" t="str">
        <x:v>No</x:v>
      </x:c>
      <x:c r="AI32" s="18" t="str">
        <x:v>Exact postoperative time window is not clearly stated</x:v>
      </x:c>
      <x:c r="AJ32" s="18" t="str">
        <x:v>Table 3</x:v>
      </x:c>
      <x:c r="AK32" s="18" t="str">
        <x:v>https://drive.google.com/file/d/1PxYyULBv_ZjWeqAm_bNYkDn_j2_lNYLq/view?usp=drivesdk</x:v>
      </x:c>
      <x:c r="AL32" s="18" t="str">
        <x:v>SOURCE-VERIFIED / WINDOW QC</x:v>
      </x:c>
      <x:c r="AM32" s="18" t="str">
        <x:v>Postoperative opioid consumption</x:v>
      </x:c>
      <x:c r="AN32" s="18" t="str">
        <x:v>Exact/explicit 24 h</x:v>
      </x:c>
      <x:c r="AO32" s="18" t="str">
        <x:v>CONDITIONAL</x:v>
      </x:c>
      <x:c r="AP32" s="18" t="str">
        <x:v>Published postoperative opioid endpoint is relevant but does not meet the strict primary 0-24-h definition without an explicit protocol rule.</x:v>
      </x:c>
      <x:c r="AQ32" s="18" t="str">
        <x:v>No</x:v>
      </x:c>
      <x:c r="AR32" s="18" t="str"/>
      <x:c r="AS32" s="18" t="str">
        <x:v>None</x:v>
      </x:c>
      <x:c r="AT32" s="18" t="str">
        <x:v>Time to first flatus</x:v>
      </x:c>
      <x:c r="AU32" s="18" t="str">
        <x:v>Postoperative</x:v>
      </x:c>
      <x:c r="AV32" s="18" t="str">
        <x:v>High</x:v>
      </x:c>
      <x:c r="AW32" s="18" t="str">
        <x:v>Yes — selected RoB is for a different result/timepoint</x:v>
      </x:c>
      <x:c r="AX32" s="18" t="str">
        <x:v>Zhou 2021</x:v>
      </x:c>
      <x:c r="AY32" s="18" t="str">
        <x:v>Primary eligible contrast</x:v>
      </x:c>
      <x:c r="AZ32" s="18" t="str">
        <x:v>Count this study once per synthesis unless a valid multi-arm method is used.</x:v>
      </x:c>
    </x:row>
    <x:row r="33">
      <x:c r="A33" s="18" t="str">
        <x:v>Zheng 2025</x:v>
      </x:c>
      <x:c r="B33" s="18" t="str">
        <x:v>ZHENG25_TEAS_vs_SHAM_PONV</x:v>
      </x:c>
      <x:c r="C33" s="18" t="str">
        <x:v>Perioperative TEAS</x:v>
      </x:c>
      <x:c r="D33" s="18" t="str">
        <x:v>Sham/no current</x:v>
      </x:c>
      <x:c r="E33" s="18" t="str">
        <x:v>PONV</x:v>
      </x:c>
      <x:c r="F33" s="18" t="str">
        <x:v>Any PONV</x:v>
      </x:c>
      <x:c r="G33" s="18" t="str">
        <x:v>Within 24 h postoperatively</x:v>
      </x:c>
      <x:c r="H33" s="18" t="str">
        <x:v>Events/total</x:v>
      </x:c>
      <x:c r="I33" s="18" t="n">
        <x:v>44</x:v>
      </x:c>
      <x:c r="J33" s="18" t="n">
        <x:v>44</x:v>
      </x:c>
      <x:c r="K33" s="18" t="n">
        <x:v>42</x:v>
      </x:c>
      <x:c r="L33" s="18" t="n">
        <x:v>43</x:v>
      </x:c>
      <x:c r="M33" s="18"/>
      <x:c r="N33" s="18"/>
      <x:c r="O33" s="18"/>
      <x:c r="P33" s="18"/>
      <x:c r="Q33" s="18"/>
      <x:c r="R33" s="18" t="n">
        <x:v>18</x:v>
      </x:c>
      <x:c r="S33" s="18"/>
      <x:c r="T33" s="18"/>
      <x:c r="U33" s="18"/>
      <x:c r="V33" s="18"/>
      <x:c r="W33" s="18"/>
      <x:c r="X33" s="18" t="n">
        <x:v>29</x:v>
      </x:c>
      <x:c r="Y33" s="18" t="str">
        <x:v>participants</x:v>
      </x:c>
      <x:c r="Z33" s="18" t="str">
        <x:v>0.023</x:v>
      </x:c>
      <x:c r="AA33" s="18" t="str">
        <x:v>Percentages directly reported; counts derived</x:v>
      </x:c>
      <x:c r="AB33" s="18" t="str">
        <x:v>Yes</x:v>
      </x:c>
      <x:c r="AC33" s="18" t="str">
        <x:v>RR</x:v>
      </x:c>
      <x:c r="AD33" s="18" t="n">
        <x:v>0.6354679802955665</x:v>
      </x:c>
      <x:c r="AE33" s="18" t="str">
        <x:v>No</x:v>
      </x:c>
      <x:c r="AF33" s="18" t="str">
        <x:v>No</x:v>
      </x:c>
      <x:c r="AG33" s="18" t="str">
        <x:v>Eligible for dichotomous 24-h PONV analysis</x:v>
      </x:c>
      <x:c r="AH33" s="18" t="str">
        <x:v>No</x:v>
      </x:c>
      <x:c r="AI33" s="18" t="str">
        <x:v>Counts 18/42 and 29/43 are reconstructed from reported 42.9% and 67.4%; use percentages as source truth</x:v>
      </x:c>
      <x:c r="AJ33" s="18" t="str">
        <x:v>Primary outcome / 24-h PONV result</x:v>
      </x:c>
      <x:c r="AK33" s="18" t="str">
        <x:v>https://drive.google.com/file/d/1-JWKZgQXaQQQBZgMSDqyIP-vG9aAxBqb/view?usp=drivesdk</x:v>
      </x:c>
      <x:c r="AL33" s="18" t="str">
        <x:v>SOURCE-VERIFIED / COUNTS DERIVED</x:v>
      </x:c>
      <x:c r="AM33" s="18" t="str">
        <x:v>PONV</x:v>
      </x:c>
      <x:c r="AN33" s="18" t="str">
        <x:v>Contains 24 h but definition differs</x:v>
      </x:c>
      <x:c r="AO33" s="18" t="str">
        <x:v>CONDITIONAL</x:v>
      </x:c>
      <x:c r="AP33" s="18" t="str">
        <x:v>Valid PONV result, but the postoperative observation window should be matched to the intended synthesis.</x:v>
      </x:c>
      <x:c r="AQ33" s="18" t="str">
        <x:v>No</x:v>
      </x:c>
      <x:c r="AR33" s="18" t="str"/>
      <x:c r="AS33" s="18" t="str">
        <x:v>Binary effect measure (RR preferred per protocol)</x:v>
      </x:c>
      <x:c r="AT33" s="18" t="str">
        <x:v>Any PONV</x:v>
      </x:c>
      <x:c r="AU33" s="18" t="str">
        <x:v>Within 24 h</x:v>
      </x:c>
      <x:c r="AV33" s="18" t="str">
        <x:v>Some concerns</x:v>
      </x:c>
      <x:c r="AW33" s="18" t="str">
        <x:v>No — selected RoB matches this result</x:v>
      </x:c>
      <x:c r="AX33" s="18" t="str">
        <x:v>Zheng 2025</x:v>
      </x:c>
      <x:c r="AY33" s="18" t="str">
        <x:v>Primary eligible contrast</x:v>
      </x:c>
      <x:c r="AZ33" s="18" t="str">
        <x:v>Count this study once per synthesis unless a valid multi-arm method is used.</x:v>
      </x:c>
    </x:row>
    <x:row r="34">
      <x:c r="A34" s="18" t="str">
        <x:v>Zheng 2025</x:v>
      </x:c>
      <x:c r="B34" s="18" t="str">
        <x:v>ZHENG25_TEAS_vs_SHAM_REMI</x:v>
      </x:c>
      <x:c r="C34" s="18" t="str">
        <x:v>Perioperative TEAS</x:v>
      </x:c>
      <x:c r="D34" s="18" t="str">
        <x:v>Sham/no current</x:v>
      </x:c>
      <x:c r="E34" s="18" t="str">
        <x:v>Intraoperative opioid</x:v>
      </x:c>
      <x:c r="F34" s="18" t="str">
        <x:v>Total intraoperative remifentanil consumption</x:v>
      </x:c>
      <x:c r="G34" s="18" t="str">
        <x:v>Intraoperative</x:v>
      </x:c>
      <x:c r="H34" s="18" t="str">
        <x:v>Mean/SD</x:v>
      </x:c>
      <x:c r="I34" s="18" t="n">
        <x:v>44</x:v>
      </x:c>
      <x:c r="J34" s="18" t="n">
        <x:v>44</x:v>
      </x:c>
      <x:c r="K34" s="18" t="n">
        <x:v>42</x:v>
      </x:c>
      <x:c r="L34" s="18" t="n">
        <x:v>43</x:v>
      </x:c>
      <x:c r="M34" s="18" t="n">
        <x:v>233.1</x:v>
      </x:c>
      <x:c r="N34" s="18" t="n">
        <x:v>29.6</x:v>
      </x:c>
      <x:c r="O34" s="18"/>
      <x:c r="P34" s="18"/>
      <x:c r="Q34" s="18"/>
      <x:c r="R34" s="18"/>
      <x:c r="S34" s="18" t="n">
        <x:v>289.5</x:v>
      </x:c>
      <x:c r="T34" s="18" t="n">
        <x:v>37.9</x:v>
      </x:c>
      <x:c r="U34" s="18"/>
      <x:c r="V34" s="18"/>
      <x:c r="W34" s="18"/>
      <x:c r="X34" s="18"/>
      <x:c r="Y34" s="18" t="str">
        <x:v>µg remifentanil</x:v>
      </x:c>
      <x:c r="Z34" s="18" t="str">
        <x:v>0.031</x:v>
      </x:c>
      <x:c r="AA34" s="18" t="str">
        <x:v>Yes</x:v>
      </x:c>
      <x:c r="AB34" s="18" t="str">
        <x:v>No</x:v>
      </x:c>
      <x:c r="AC34" s="18" t="str">
        <x:v>MD</x:v>
      </x:c>
      <x:c r="AD34" s="18" t="n">
        <x:v>-56.400000000000006</x:v>
      </x:c>
      <x:c r="AE34" s="18" t="str">
        <x:v>No</x:v>
      </x:c>
      <x:c r="AF34" s="18" t="str">
        <x:v>No</x:v>
      </x:c>
      <x:c r="AG34" s="18" t="str">
        <x:v>Eligible for intraoperative opioid-sparing analysis, not postoperative 24-h opioid analysis</x:v>
      </x:c>
      <x:c r="AH34" s="18" t="str">
        <x:v>No</x:v>
      </x:c>
      <x:c r="AI34" s="18" t="str">
        <x:v>Not a postoperative endpoint</x:v>
      </x:c>
      <x:c r="AJ34" s="18" t="str">
        <x:v>Table 3, p9</x:v>
      </x:c>
      <x:c r="AK34" s="18" t="str">
        <x:v>https://drive.google.com/file/d/1-JWKZgQXaQQQBZgMSDqyIP-vG9aAxBqb/view?usp=drivesdk</x:v>
      </x:c>
      <x:c r="AL34" s="18" t="str">
        <x:v>SOURCE-VERIFIED</x:v>
      </x:c>
      <x:c r="AM34" s="18" t="str">
        <x:v>Intraoperative opioid</x:v>
      </x:c>
      <x:c r="AN34" s="18" t="str">
        <x:v>Intraoperative</x:v>
      </x:c>
      <x:c r="AO34" s="18" t="str">
        <x:v>INCLUDE — INTRAOPERATIVE</x:v>
      </x:c>
      <x:c r="AP34" s="18" t="str">
        <x:v>Valid intraoperative opioid endpoint; must remain separate from postoperative opioid consumption.</x:v>
      </x:c>
      <x:c r="AQ34" s="18" t="str">
        <x:v>No</x:v>
      </x:c>
      <x:c r="AR34" s="18" t="str"/>
      <x:c r="AS34" s="18" t="str">
        <x:v>None</x:v>
      </x:c>
      <x:c r="AT34" s="18" t="str">
        <x:v>Any PONV</x:v>
      </x:c>
      <x:c r="AU34" s="18" t="str">
        <x:v>Within 24 h</x:v>
      </x:c>
      <x:c r="AV34" s="18" t="str">
        <x:v>Some concerns</x:v>
      </x:c>
      <x:c r="AW34" s="18" t="str">
        <x:v>Yes — selected RoB is for a different result/timepoint</x:v>
      </x:c>
      <x:c r="AX34" s="18" t="str">
        <x:v>Zheng 2025</x:v>
      </x:c>
      <x:c r="AY34" s="18" t="str">
        <x:v>Primary eligible contrast</x:v>
      </x:c>
      <x:c r="AZ34" s="18" t="str">
        <x:v>Count this study once per synthesis unless a valid multi-arm method is used.</x:v>
      </x:c>
    </x:row>
    <x:row r="35">
      <x:c r="A35" s="18" t="str">
        <x:v>Zheng 2025</x:v>
      </x:c>
      <x:c r="B35" s="18" t="str">
        <x:v>ZHENG25_TEAS_vs_SHAM_PCA_PRESS</x:v>
      </x:c>
      <x:c r="C35" s="18" t="str">
        <x:v>Perioperative TEAS</x:v>
      </x:c>
      <x:c r="D35" s="18" t="str">
        <x:v>Sham/no current</x:v>
      </x:c>
      <x:c r="E35" s="18" t="str">
        <x:v>Opioid demand</x:v>
      </x:c>
      <x:c r="F35" s="18" t="str">
        <x:v>Total PCIA button presses</x:v>
      </x:c>
      <x:c r="G35" s="18" t="str">
        <x:v>Postoperative; exact pump duration NR</x:v>
      </x:c>
      <x:c r="H35" s="18" t="str">
        <x:v>Mean/SD</x:v>
      </x:c>
      <x:c r="I35" s="18" t="n">
        <x:v>44</x:v>
      </x:c>
      <x:c r="J35" s="18" t="n">
        <x:v>44</x:v>
      </x:c>
      <x:c r="K35" s="18" t="n">
        <x:v>42</x:v>
      </x:c>
      <x:c r="L35" s="18" t="n">
        <x:v>43</x:v>
      </x:c>
      <x:c r="M35" s="18" t="n">
        <x:v>6.3</x:v>
      </x:c>
      <x:c r="N35" s="18" t="n">
        <x:v>2.2</x:v>
      </x:c>
      <x:c r="O35" s="18"/>
      <x:c r="P35" s="18"/>
      <x:c r="Q35" s="18"/>
      <x:c r="R35" s="18"/>
      <x:c r="S35" s="18" t="n">
        <x:v>10.7</x:v>
      </x:c>
      <x:c r="T35" s="18" t="n">
        <x:v>3.9</x:v>
      </x:c>
      <x:c r="U35" s="18"/>
      <x:c r="V35" s="18"/>
      <x:c r="W35" s="18"/>
      <x:c r="X35" s="18"/>
      <x:c r="Y35" s="18" t="str">
        <x:v>presses</x:v>
      </x:c>
      <x:c r="Z35" s="18" t="str">
        <x:v>0.004</x:v>
      </x:c>
      <x:c r="AA35" s="18" t="str">
        <x:v>Yes</x:v>
      </x:c>
      <x:c r="AB35" s="18" t="str">
        <x:v>No</x:v>
      </x:c>
      <x:c r="AC35" s="18" t="str">
        <x:v>MD</x:v>
      </x:c>
      <x:c r="AD35" s="18" t="n">
        <x:v>-4.3999999999999995</x:v>
      </x:c>
      <x:c r="AE35" s="18" t="str">
        <x:v>No</x:v>
      </x:c>
      <x:c r="AF35" s="18" t="str">
        <x:v>No</x:v>
      </x:c>
      <x:c r="AG35" s="18" t="str">
        <x:v>Eligible for PCA-demand analysis only</x:v>
      </x:c>
      <x:c r="AH35" s="18" t="str">
        <x:v>No</x:v>
      </x:c>
      <x:c r="AI35" s="18" t="str">
        <x:v>PCIA final volume/concentration is NR, so presses cannot be converted to sufentanil mass</x:v>
      </x:c>
      <x:c r="AJ35" s="18" t="str">
        <x:v>Postoperative PCIA results</x:v>
      </x:c>
      <x:c r="AK35" s="18" t="str">
        <x:v>https://drive.google.com/file/d/1-JWKZgQXaQQQBZgMSDqyIP-vG9aAxBqb/view?usp=drivesdk</x:v>
      </x:c>
      <x:c r="AL35" s="18" t="str">
        <x:v>SOURCE-VERIFIED / DOSE NOT RECONSTRUCTABLE</x:v>
      </x:c>
      <x:c r="AM35" s="18" t="str">
        <x:v>PCA demand/proxy</x:v>
      </x:c>
      <x:c r="AN35" s="18" t="str">
        <x:v>Postoperative; exact pump duration NR</x:v>
      </x:c>
      <x:c r="AO35" s="18" t="str">
        <x:v>CONDITIONAL</x:v>
      </x:c>
      <x:c r="AP35" s="18" t="str">
        <x:v>Source value is valid in its native metric but cannot be converted to the target opioid mass/MME without additional information.</x:v>
      </x:c>
      <x:c r="AQ35" s="18" t="str">
        <x:v>No</x:v>
      </x:c>
      <x:c r="AR35" s="18" t="str"/>
      <x:c r="AS35" s="18" t="str">
        <x:v>None</x:v>
      </x:c>
      <x:c r="AT35" s="18" t="str">
        <x:v>Any PONV</x:v>
      </x:c>
      <x:c r="AU35" s="18" t="str">
        <x:v>Within 24 h</x:v>
      </x:c>
      <x:c r="AV35" s="18" t="str">
        <x:v>Some concerns</x:v>
      </x:c>
      <x:c r="AW35" s="18" t="str">
        <x:v>Yes — selected RoB is for a different result/timepoint</x:v>
      </x:c>
      <x:c r="AX35" s="18" t="str">
        <x:v>Zheng 2025</x:v>
      </x:c>
      <x:c r="AY35" s="18" t="str">
        <x:v>Primary eligible contrast</x:v>
      </x:c>
      <x:c r="AZ35" s="18" t="str">
        <x:v>Count this study once per synthesis unless a valid multi-arm method is used.</x:v>
      </x:c>
    </x:row>
    <x:row r="36">
      <x:c r="A36" s="18" t="str">
        <x:v>Zheng 2025</x:v>
      </x:c>
      <x:c r="B36" s="18" t="str">
        <x:v>ZHENG25_TEAS_vs_SHAM_OPIOID24</x:v>
      </x:c>
      <x:c r="C36" s="18" t="str">
        <x:v>Perioperative TEAS</x:v>
      </x:c>
      <x:c r="D36" s="18" t="str">
        <x:v>Sham/no current</x:v>
      </x:c>
      <x:c r="E36" s="18" t="str">
        <x:v>Opioid consumption</x:v>
      </x:c>
      <x:c r="F36" s="18" t="str">
        <x:v>Exact cumulative postoperative sufentanil mass</x:v>
      </x:c>
      <x:c r="G36" s="18" t="str">
        <x:v>0-24 h</x:v>
      </x:c>
      <x:c r="H36" s="18" t="str">
        <x:v>Not reported</x:v>
      </x:c>
      <x:c r="I36" s="18" t="n">
        <x:v>44</x:v>
      </x:c>
      <x:c r="J36" s="18" t="n">
        <x:v>44</x:v>
      </x:c>
      <x:c r="K36" s="18" t="n">
        <x:v>42</x:v>
      </x:c>
      <x:c r="L36" s="18" t="n">
        <x:v>43</x:v>
      </x:c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 t="str">
        <x:v>µg sufentanil</x:v>
      </x:c>
      <x:c r="Z36" s="18"/>
      <x:c r="AA36" s="18" t="str">
        <x:v>No</x:v>
      </x:c>
      <x:c r="AB36" s="18" t="str">
        <x:v>No</x:v>
      </x:c>
      <x:c r="AC36" s="18"/>
      <x:c r="AD36" s="18"/>
      <x:c r="AE36" s="18" t="str">
        <x:v>No</x:v>
      </x:c>
      <x:c r="AF36" s="18" t="str">
        <x:v>No</x:v>
      </x:c>
      <x:c r="AG36" s="18" t="str">
        <x:v>Not eligible for continuous 24-h opioid meta-analysis without author data</x:v>
      </x:c>
      <x:c r="AH36" s="18" t="str">
        <x:v>No</x:v>
      </x:c>
      <x:c r="AI36" s="18" t="str">
        <x:v>Final PCIA volume/concentration and exact cumulative sufentanil mass are not reported</x:v>
      </x:c>
      <x:c r="AJ36" s="18" t="str">
        <x:v>PCIA formulation section / missing outcome</x:v>
      </x:c>
      <x:c r="AK36" s="18" t="str">
        <x:v>https://drive.google.com/file/d/1-JWKZgQXaQQQBZgMSDqyIP-vG9aAxBqb/view?usp=drivesdk</x:v>
      </x:c>
      <x:c r="AL36" s="18" t="str">
        <x:v>MISSING / AUTHOR DATA NEEDED</x:v>
      </x:c>
      <x:c r="AM36" s="18" t="str">
        <x:v>Postoperative opioid consumption</x:v>
      </x:c>
      <x:c r="AN36" s="18" t="str">
        <x:v>Exact/explicit 24 h</x:v>
      </x:c>
      <x:c r="AO36" s="18" t="str">
        <x:v>EXCLUDE — DATA UNAVAILABLE</x:v>
      </x:c>
      <x:c r="AP36" s="18" t="str">
        <x:v>The source does not provide a defensible quantitative value for this analysis.</x:v>
      </x:c>
      <x:c r="AQ36" s="18" t="str">
        <x:v>No</x:v>
      </x:c>
      <x:c r="AR36" s="18" t="str"/>
      <x:c r="AS36" s="18" t="str">
        <x:v>Opioid/MME conversion required using prespecified review conversion</x:v>
      </x:c>
      <x:c r="AT36" s="18" t="str">
        <x:v>Any PONV</x:v>
      </x:c>
      <x:c r="AU36" s="18" t="str">
        <x:v>Within 24 h</x:v>
      </x:c>
      <x:c r="AV36" s="18" t="str">
        <x:v>Some concerns</x:v>
      </x:c>
      <x:c r="AW36" s="18" t="str">
        <x:v>Yes — selected RoB is for a different result/timepoint</x:v>
      </x:c>
      <x:c r="AX36" s="18" t="str">
        <x:v>Zheng 2025</x:v>
      </x:c>
      <x:c r="AY36" s="18" t="str">
        <x:v>Primary eligible contrast</x:v>
      </x:c>
      <x:c r="AZ36" s="18" t="str">
        <x:v>Count this study once per synthesis unless a valid multi-arm method is used.</x:v>
      </x:c>
    </x:row>
    <x:row r="37">
      <x:c r="A37" s="18" t="str">
        <x:v>Zhan 2020</x:v>
      </x:c>
      <x:c r="B37" s="18" t="str">
        <x:v>ZHAN20_TAPTEAS_vs_TAP_PAIN24</x:v>
      </x:c>
      <x:c r="C37" s="18" t="str">
        <x:v>TAP block + postoperative TEAS</x:v>
      </x:c>
      <x:c r="D37" s="18" t="str">
        <x:v>TAP block</x:v>
      </x:c>
      <x:c r="E37" s="18" t="str">
        <x:v>Pain</x:v>
      </x:c>
      <x:c r="F37" s="18" t="str">
        <x:v>VAS pain intensity</x:v>
      </x:c>
      <x:c r="G37" s="18" t="str">
        <x:v>24 h postoperatively</x:v>
      </x:c>
      <x:c r="H37" s="18" t="str">
        <x:v>Source-format ambiguous</x:v>
      </x:c>
      <x:c r="I37" s="18" t="n">
        <x:v>30</x:v>
      </x:c>
      <x:c r="J37" s="18" t="n">
        <x:v>30</x:v>
      </x:c>
      <x:c r="K37" s="18" t="n">
        <x:v>30</x:v>
      </x:c>
      <x:c r="L37" s="18" t="n">
        <x:v>30</x:v>
      </x:c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 t="str">
        <x:v>VAS</x:v>
      </x:c>
      <x:c r="Z37" s="18" t="str">
        <x:v>0.03 pairwise</x:v>
      </x:c>
      <x:c r="AA37" s="18" t="str">
        <x:v>Yes</x:v>
      </x:c>
      <x:c r="AB37" s="18" t="str">
        <x:v>No</x:v>
      </x:c>
      <x:c r="AC37" s="18"/>
      <x:c r="AD37" s="18"/>
      <x:c r="AE37" s="18" t="str">
        <x:v>No</x:v>
      </x:c>
      <x:c r="AF37" s="18" t="str">
        <x:v>No</x:v>
      </x:c>
      <x:c r="AG37" s="18" t="str">
        <x:v>Qualitative/source-text use only until summary format is clarified</x:v>
      </x:c>
      <x:c r="AH37" s="18" t="str">
        <x:v>Yes</x:v>
      </x:c>
      <x:c r="AI37" s="18" t="str">
        <x:v>Printed source values are TAP+TEAS '2 (1.7 ± 2.2)' vs TAP '2 (2.0 ± 3.0)'; format is not defined as mean/SD, median/IQR, or range</x:v>
      </x:c>
      <x:c r="AJ37" s="18" t="str">
        <x:v>Table 2, p4</x:v>
      </x:c>
      <x:c r="AK37" s="18" t="str">
        <x:v>https://drive.google.com/file/d/1GYG7JxUOQxbt724-Ng7dWv3sYeC8dDSr/view?usp=drivesdk</x:v>
      </x:c>
      <x:c r="AL37" s="18" t="str">
        <x:v>SOURCE-VERIFIED / FORMAT QC</x:v>
      </x:c>
      <x:c r="AM37" s="18" t="str">
        <x:v>Pain</x:v>
      </x:c>
      <x:c r="AN37" s="18" t="str">
        <x:v>Contains 24 h but definition differs</x:v>
      </x:c>
      <x:c r="AO37" s="18" t="str">
        <x:v>CONDITIONAL</x:v>
      </x:c>
      <x:c r="AP37" s="18" t="str">
        <x:v>Contains a 24-h measurement but timepoint definition differs from the strict analysis.</x:v>
      </x:c>
      <x:c r="AQ37" s="18" t="str">
        <x:v>No</x:v>
      </x:c>
      <x:c r="AR37" s="18" t="str"/>
      <x:c r="AS37" s="18" t="str">
        <x:v>None</x:v>
      </x:c>
      <x:c r="AT37" s="18" t="str">
        <x:v>VAS pain intensity</x:v>
      </x:c>
      <x:c r="AU37" s="18" t="str">
        <x:v>24 h</x:v>
      </x:c>
      <x:c r="AV37" s="18" t="str">
        <x:v>High</x:v>
      </x:c>
      <x:c r="AW37" s="18" t="str">
        <x:v>No — selected RoB matches this result</x:v>
      </x:c>
      <x:c r="AX37" s="18" t="str">
        <x:v>Zhan 2020</x:v>
      </x:c>
      <x:c r="AY37" s="18" t="str">
        <x:v>Shared-control / multi-arm contrast</x:v>
      </x:c>
      <x:c r="AZ37" s="18" t="str">
        <x:v>Shared comparator present; avoid double-counting controls.</x:v>
      </x:c>
    </x:row>
    <x:row r="38">
      <x:c r="A38" s="18" t="str">
        <x:v>Zhan 2020</x:v>
      </x:c>
      <x:c r="B38" s="18" t="str">
        <x:v>ZHAN20_TAPTEAS_vs_TAP_OPIOID24</x:v>
      </x:c>
      <x:c r="C38" s="18" t="str">
        <x:v>TAP block + postoperative TEAS</x:v>
      </x:c>
      <x:c r="D38" s="18" t="str">
        <x:v>TAP block</x:v>
      </x:c>
      <x:c r="E38" s="18" t="str">
        <x:v>Opioid consumption</x:v>
      </x:c>
      <x:c r="F38" s="18" t="str">
        <x:v>Actual cumulative postoperative sufentanil consumption</x:v>
      </x:c>
      <x:c r="G38" s="18" t="str">
        <x:v>0-24 h</x:v>
      </x:c>
      <x:c r="H38" s="18" t="str">
        <x:v>Not reported</x:v>
      </x:c>
      <x:c r="I38" s="18" t="n">
        <x:v>30</x:v>
      </x:c>
      <x:c r="J38" s="18" t="n">
        <x:v>30</x:v>
      </x:c>
      <x:c r="K38" s="18" t="n">
        <x:v>30</x:v>
      </x:c>
      <x:c r="L38" s="18" t="n">
        <x:v>30</x:v>
      </x:c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 t="str">
        <x:v>µg sufentanil</x:v>
      </x:c>
      <x:c r="Z38" s="18"/>
      <x:c r="AA38" s="18" t="str">
        <x:v>No</x:v>
      </x:c>
      <x:c r="AB38" s="18" t="str">
        <x:v>No</x:v>
      </x:c>
      <x:c r="AC38" s="18"/>
      <x:c r="AD38" s="18"/>
      <x:c r="AE38" s="18" t="str">
        <x:v>No</x:v>
      </x:c>
      <x:c r="AF38" s="18" t="str">
        <x:v>No</x:v>
      </x:c>
      <x:c r="AG38" s="18" t="str">
        <x:v>Not eligible for continuous 24-h opioid meta-analysis</x:v>
      </x:c>
      <x:c r="AH38" s="18" t="str">
        <x:v>Yes</x:v>
      </x:c>
      <x:c r="AI38" s="18" t="str">
        <x:v>Only programmed PCIA reservoir/basal settings are reported; actual group-specific delivered opioid is NR</x:v>
      </x:c>
      <x:c r="AJ38" s="18" t="str">
        <x:v>PCIA protocol / exact 24-h opioid section</x:v>
      </x:c>
      <x:c r="AK38" s="18" t="str">
        <x:v>https://drive.google.com/file/d/1GYG7JxUOQxbt724-Ng7dWv3sYeC8dDSr/view?usp=drivesdk</x:v>
      </x:c>
      <x:c r="AL38" s="18" t="str">
        <x:v>MISSING / NOT OBSERVED</x:v>
      </x:c>
      <x:c r="AM38" s="18" t="str">
        <x:v>Postoperative opioid consumption</x:v>
      </x:c>
      <x:c r="AN38" s="18" t="str">
        <x:v>Exact/explicit 24 h</x:v>
      </x:c>
      <x:c r="AO38" s="18" t="str">
        <x:v>EXCLUDE — DATA UNAVAILABLE</x:v>
      </x:c>
      <x:c r="AP38" s="18" t="str">
        <x:v>The source does not provide a defensible quantitative value for this analysis.</x:v>
      </x:c>
      <x:c r="AQ38" s="18" t="str">
        <x:v>No</x:v>
      </x:c>
      <x:c r="AR38" s="18" t="str"/>
      <x:c r="AS38" s="18" t="str">
        <x:v>Opioid/MME conversion required using prespecified review conversion</x:v>
      </x:c>
      <x:c r="AT38" s="18" t="str">
        <x:v>VAS pain intensity</x:v>
      </x:c>
      <x:c r="AU38" s="18" t="str">
        <x:v>24 h</x:v>
      </x:c>
      <x:c r="AV38" s="18" t="str">
        <x:v>High</x:v>
      </x:c>
      <x:c r="AW38" s="18" t="str">
        <x:v>Yes — selected RoB is for a different result/timepoint</x:v>
      </x:c>
      <x:c r="AX38" s="18" t="str">
        <x:v>Zhan 2020</x:v>
      </x:c>
      <x:c r="AY38" s="18" t="str">
        <x:v>Shared-control / multi-arm contrast</x:v>
      </x:c>
      <x:c r="AZ38" s="18" t="str">
        <x:v>Shared comparator present; avoid double-counting controls.</x:v>
      </x:c>
    </x:row>
    <x:row r="39">
      <x:c r="A39" s="18" t="str">
        <x:v>Zhang 2025</x:v>
      </x:c>
      <x:c r="B39" s="18" t="str">
        <x:v>ZHANG25_TEAS_vs_SHAM_SUFPOD1</x:v>
      </x:c>
      <x:c r="C39" s="18" t="str">
        <x:v>Perioperative TEAS</x:v>
      </x:c>
      <x:c r="D39" s="18" t="str">
        <x:v>Sub-sensory sham</x:v>
      </x:c>
      <x:c r="E39" s="18" t="str">
        <x:v>Opioid consumption</x:v>
      </x:c>
      <x:c r="F39" s="18" t="str">
        <x:v>Total sufentanil consumption</x:v>
      </x:c>
      <x:c r="G39" s="18" t="str">
        <x:v>POD1; approximately 24 h but exact clock window not explicit</x:v>
      </x:c>
      <x:c r="H39" s="18" t="str">
        <x:v>Mean/SD</x:v>
      </x:c>
      <x:c r="I39" s="18" t="n">
        <x:v>54</x:v>
      </x:c>
      <x:c r="J39" s="18" t="n">
        <x:v>54</x:v>
      </x:c>
      <x:c r="K39" s="18" t="n">
        <x:v>45</x:v>
      </x:c>
      <x:c r="L39" s="18" t="n">
        <x:v>48</x:v>
      </x:c>
      <x:c r="M39" s="18" t="n">
        <x:v>50.53</x:v>
      </x:c>
      <x:c r="N39" s="18" t="n">
        <x:v>4.46</x:v>
      </x:c>
      <x:c r="O39" s="18"/>
      <x:c r="P39" s="18"/>
      <x:c r="Q39" s="18"/>
      <x:c r="R39" s="18"/>
      <x:c r="S39" s="18" t="n">
        <x:v>53.79</x:v>
      </x:c>
      <x:c r="T39" s="18" t="n">
        <x:v>5.14</x:v>
      </x:c>
      <x:c r="U39" s="18"/>
      <x:c r="V39" s="18"/>
      <x:c r="W39" s="18"/>
      <x:c r="X39" s="18"/>
      <x:c r="Y39" s="18" t="str">
        <x:v>µg sufentanil</x:v>
      </x:c>
      <x:c r="Z39" s="18" t="str">
        <x:v>0.002</x:v>
      </x:c>
      <x:c r="AA39" s="18" t="str">
        <x:v>Yes</x:v>
      </x:c>
      <x:c r="AB39" s="18" t="str">
        <x:v>No</x:v>
      </x:c>
      <x:c r="AC39" s="18" t="str">
        <x:v>MD</x:v>
      </x:c>
      <x:c r="AD39" s="18" t="n">
        <x:v>-3.259999999999998</x:v>
      </x:c>
      <x:c r="AE39" s="18" t="str">
        <x:v>Conditional</x:v>
      </x:c>
      <x:c r="AF39" s="18" t="str">
        <x:v>Conditional</x:v>
      </x:c>
      <x:c r="AG39" s="18" t="str">
        <x:v>Eligible for POD1 opioid analysis; strict 0-24-h use requires confirmation</x:v>
      </x:c>
      <x:c r="AH39" s="18" t="str">
        <x:v>No</x:v>
      </x:c>
      <x:c r="AI39" s="18" t="str">
        <x:v>Endpoint is directly reported as POD1, not explicitly clock-defined 0-24 h; 15/108 excluded after randomization</x:v>
      </x:c>
      <x:c r="AJ39" s="18" t="str">
        <x:v>Table 4, p9</x:v>
      </x:c>
      <x:c r="AK39" s="18" t="str">
        <x:v>https://drive.google.com/file/d/1eHx6Hk16vmIfMgoiZ5eNae4zmCR5ktwJ/view?usp=drivesdk</x:v>
      </x:c>
      <x:c r="AL39" s="18" t="str">
        <x:v>SOURCE-VERIFIED / WINDOW QC</x:v>
      </x:c>
      <x:c r="AM39" s="18" t="str">
        <x:v>Postoperative opioid consumption</x:v>
      </x:c>
      <x:c r="AN39" s="18" t="str">
        <x:v>POD1 / approximate 24 h</x:v>
      </x:c>
      <x:c r="AO39" s="18" t="str">
        <x:v>CONDITIONAL</x:v>
      </x:c>
      <x:c r="AP39" s="18" t="str">
        <x:v>24-h opioid endpoint exists but requires a prespecified route/unit/time-window or derived-value rule.</x:v>
      </x:c>
      <x:c r="AQ39" s="18" t="str">
        <x:v>No</x:v>
      </x:c>
      <x:c r="AR39" s="18" t="str"/>
      <x:c r="AS39" s="18" t="str">
        <x:v>Opioid/MME conversion required using prespecified review conversion</x:v>
      </x:c>
      <x:c r="AT39" s="18" t="str">
        <x:v>Total sufentanil consumption</x:v>
      </x:c>
      <x:c r="AU39" s="18" t="str">
        <x:v>POD1 (~24 h)</x:v>
      </x:c>
      <x:c r="AV39" s="18" t="str">
        <x:v>High</x:v>
      </x:c>
      <x:c r="AW39" s="18" t="str">
        <x:v>No — selected RoB matches this result</x:v>
      </x:c>
      <x:c r="AX39" s="18" t="str">
        <x:v>Zhang 2025</x:v>
      </x:c>
      <x:c r="AY39" s="18" t="str">
        <x:v>Primary eligible contrast</x:v>
      </x:c>
      <x:c r="AZ39" s="18" t="str">
        <x:v>Count this study once per synthesis unless a valid multi-arm method is used.</x:v>
      </x:c>
    </x:row>
    <x:row r="40">
      <x:c r="A40" s="18" t="str">
        <x:v>Zhang 2025</x:v>
      </x:c>
      <x:c r="B40" s="18" t="str">
        <x:v>ZHANG25_TEAS_vs_SHAM_RESCUE</x:v>
      </x:c>
      <x:c r="C40" s="18" t="str">
        <x:v>Perioperative TEAS</x:v>
      </x:c>
      <x:c r="D40" s="18" t="str">
        <x:v>Sub-sensory sham</x:v>
      </x:c>
      <x:c r="E40" s="18" t="str">
        <x:v>Rescue analgesia</x:v>
      </x:c>
      <x:c r="F40" s="18" t="str">
        <x:v>Any rescue analgesia demand</x:v>
      </x:c>
      <x:c r="G40" s="18" t="str">
        <x:v>POD1 / postoperative period reported in Table 4</x:v>
      </x:c>
      <x:c r="H40" s="18" t="str">
        <x:v>Events/total</x:v>
      </x:c>
      <x:c r="I40" s="18" t="n">
        <x:v>54</x:v>
      </x:c>
      <x:c r="J40" s="18" t="n">
        <x:v>54</x:v>
      </x:c>
      <x:c r="K40" s="18" t="n">
        <x:v>45</x:v>
      </x:c>
      <x:c r="L40" s="18" t="n">
        <x:v>48</x:v>
      </x:c>
      <x:c r="M40" s="18"/>
      <x:c r="N40" s="18"/>
      <x:c r="O40" s="18"/>
      <x:c r="P40" s="18"/>
      <x:c r="Q40" s="18"/>
      <x:c r="R40" s="18" t="n">
        <x:v>14</x:v>
      </x:c>
      <x:c r="S40" s="18"/>
      <x:c r="T40" s="18"/>
      <x:c r="U40" s="18"/>
      <x:c r="V40" s="18"/>
      <x:c r="W40" s="18"/>
      <x:c r="X40" s="18" t="n">
        <x:v>29</x:v>
      </x:c>
      <x:c r="Y40" s="18" t="str">
        <x:v>participants</x:v>
      </x:c>
      <x:c r="Z40" s="18" t="str">
        <x:v>0.005 in Table 4; 0.002 in prose</x:v>
      </x:c>
      <x:c r="AA40" s="18" t="str">
        <x:v>Yes</x:v>
      </x:c>
      <x:c r="AB40" s="18" t="str">
        <x:v>No</x:v>
      </x:c>
      <x:c r="AC40" s="18" t="str">
        <x:v>RR</x:v>
      </x:c>
      <x:c r="AD40" s="18" t="n">
        <x:v>0.5149425287356322</x:v>
      </x:c>
      <x:c r="AE40" s="18" t="str">
        <x:v>No</x:v>
      </x:c>
      <x:c r="AF40" s="18" t="str">
        <x:v>No</x:v>
      </x:c>
      <x:c r="AG40" s="18" t="str">
        <x:v>Eligible for binary rescue-analgesia analysis using raw counts</x:v>
      </x:c>
      <x:c r="AH40" s="18" t="str">
        <x:v>No</x:v>
      </x:c>
      <x:c r="AI40" s="18" t="str">
        <x:v>Published RR 0.70 (0.44-1.10) conflicts with raw counts (~0.52) and significant P-value; use raw event counts</x:v>
      </x:c>
      <x:c r="AJ40" s="18" t="str">
        <x:v>Table 4, p9</x:v>
      </x:c>
      <x:c r="AK40" s="18" t="str">
        <x:v>https://drive.google.com/file/d/1eHx6Hk16vmIfMgoiZ5eNae4zmCR5ktwJ/view?usp=drivesdk</x:v>
      </x:c>
      <x:c r="AL40" s="18" t="str">
        <x:v>SOURCE-VERIFIED / PUBLISHED EFFECT QC</x:v>
      </x:c>
      <x:c r="AM40" s="18" t="str">
        <x:v>Rescue analgesia</x:v>
      </x:c>
      <x:c r="AN40" s="18" t="str">
        <x:v>POD1 / approximate 24 h</x:v>
      </x:c>
      <x:c r="AO40" s="18" t="str">
        <x:v>CONDITIONAL</x:v>
      </x:c>
      <x:c r="AP40" s="18" t="str">
        <x:v>Source-grounded but carries a QC qualification.</x:v>
      </x:c>
      <x:c r="AQ40" s="18" t="str">
        <x:v>No</x:v>
      </x:c>
      <x:c r="AR40" s="18" t="str"/>
      <x:c r="AS40" s="18" t="str">
        <x:v>Binary effect measure (RR preferred per protocol)</x:v>
      </x:c>
      <x:c r="AT40" s="18" t="str">
        <x:v>Total sufentanil consumption</x:v>
      </x:c>
      <x:c r="AU40" s="18" t="str">
        <x:v>POD1 (~24 h)</x:v>
      </x:c>
      <x:c r="AV40" s="18" t="str">
        <x:v>High</x:v>
      </x:c>
      <x:c r="AW40" s="18" t="str">
        <x:v>Yes — selected RoB is for a different result/timepoint</x:v>
      </x:c>
      <x:c r="AX40" s="18" t="str">
        <x:v>Zhang 2025</x:v>
      </x:c>
      <x:c r="AY40" s="18" t="str">
        <x:v>Primary eligible contrast</x:v>
      </x:c>
      <x:c r="AZ40" s="18" t="str">
        <x:v>Count this study once per synthesis unless a valid multi-arm method is used.</x:v>
      </x:c>
    </x:row>
    <x:row r="41">
      <x:c r="A41" s="18" t="str">
        <x:v>Zhang 2025</x:v>
      </x:c>
      <x:c r="B41" s="18" t="str">
        <x:v>ZHANG25_TEAS_vs_SHAM_VISCERAL_POD1</x:v>
      </x:c>
      <x:c r="C41" s="18" t="str">
        <x:v>Perioperative TEAS</x:v>
      </x:c>
      <x:c r="D41" s="18" t="str">
        <x:v>Sub-sensory sham</x:v>
      </x:c>
      <x:c r="E41" s="18" t="str">
        <x:v>Pain</x:v>
      </x:c>
      <x:c r="F41" s="18" t="str">
        <x:v>Moderate-to-severe visceral pain</x:v>
      </x:c>
      <x:c r="G41" s="18" t="str">
        <x:v>POD1</x:v>
      </x:c>
      <x:c r="H41" s="18" t="str">
        <x:v>Events/total</x:v>
      </x:c>
      <x:c r="I41" s="18" t="n">
        <x:v>54</x:v>
      </x:c>
      <x:c r="J41" s="18" t="n">
        <x:v>54</x:v>
      </x:c>
      <x:c r="K41" s="18" t="n">
        <x:v>45</x:v>
      </x:c>
      <x:c r="L41" s="18" t="n">
        <x:v>48</x:v>
      </x:c>
      <x:c r="M41" s="18"/>
      <x:c r="N41" s="18"/>
      <x:c r="O41" s="18"/>
      <x:c r="P41" s="18"/>
      <x:c r="Q41" s="18"/>
      <x:c r="R41" s="18" t="n">
        <x:v>4</x:v>
      </x:c>
      <x:c r="S41" s="18"/>
      <x:c r="T41" s="18"/>
      <x:c r="U41" s="18"/>
      <x:c r="V41" s="18"/>
      <x:c r="W41" s="18"/>
      <x:c r="X41" s="18" t="n">
        <x:v>18</x:v>
      </x:c>
      <x:c r="Y41" s="18" t="str">
        <x:v>participants</x:v>
      </x:c>
      <x:c r="Z41" s="18" t="str">
        <x:v>0.001</x:v>
      </x:c>
      <x:c r="AA41" s="18" t="str">
        <x:v>Percentages directly reported; counts reconstructed exactly from denominators</x:v>
      </x:c>
      <x:c r="AB41" s="18" t="str">
        <x:v>Yes</x:v>
      </x:c>
      <x:c r="AC41" s="18" t="str">
        <x:v>RR</x:v>
      </x:c>
      <x:c r="AD41" s="18" t="n">
        <x:v>0.23703703703703705</x:v>
      </x:c>
      <x:c r="AE41" s="18" t="str">
        <x:v>No</x:v>
      </x:c>
      <x:c r="AF41" s="18" t="str">
        <x:v>No</x:v>
      </x:c>
      <x:c r="AG41" s="18" t="str">
        <x:v>Eligible for dichotomous visceral-pain analysis</x:v>
      </x:c>
      <x:c r="AH41" s="18" t="str">
        <x:v>No</x:v>
      </x:c>
      <x:c r="AI41" s="18" t="str">
        <x:v>Figure 3D reports 8.9% vs 37.5%; 4/45 and 18/48 are exact denominator reconstructions</x:v>
      </x:c>
      <x:c r="AJ41" s="18" t="str">
        <x:v>Figure 3D, p8</x:v>
      </x:c>
      <x:c r="AK41" s="18" t="str">
        <x:v>https://drive.google.com/file/d/1eHx6Hk16vmIfMgoiZ5eNae4zmCR5ktwJ/view?usp=drivesdk</x:v>
      </x:c>
      <x:c r="AL41" s="18" t="str">
        <x:v>SOURCE-VERIFIED / COUNTS DERIVED</x:v>
      </x:c>
      <x:c r="AM41" s="18" t="str">
        <x:v>Pain</x:v>
      </x:c>
      <x:c r="AN41" s="18" t="str">
        <x:v>POD1 / approximate 24 h</x:v>
      </x:c>
      <x:c r="AO41" s="18" t="str">
        <x:v>CONDITIONAL — POD1</x:v>
      </x:c>
      <x:c r="AP41" s="18" t="str">
        <x:v>POD1/day-after-surgery is not necessarily a clock-defined 24-h measurement; pool only if protocol permits.</x:v>
      </x:c>
      <x:c r="AQ41" s="18" t="str">
        <x:v>No</x:v>
      </x:c>
      <x:c r="AR41" s="18" t="str"/>
      <x:c r="AS41" s="18" t="str">
        <x:v>Binary effect measure (RR preferred per protocol)</x:v>
      </x:c>
      <x:c r="AT41" s="18" t="str">
        <x:v>Total sufentanil consumption</x:v>
      </x:c>
      <x:c r="AU41" s="18" t="str">
        <x:v>POD1 (~24 h)</x:v>
      </x:c>
      <x:c r="AV41" s="18" t="str">
        <x:v>High</x:v>
      </x:c>
      <x:c r="AW41" s="18" t="str">
        <x:v>Yes — selected RoB is for a different result/timepoint</x:v>
      </x:c>
      <x:c r="AX41" s="18" t="str">
        <x:v>Zhang 2025</x:v>
      </x:c>
      <x:c r="AY41" s="18" t="str">
        <x:v>Primary eligible contrast</x:v>
      </x:c>
      <x:c r="AZ41" s="18" t="str">
        <x:v>Count this study once per synthesis unless a valid multi-arm method is used.</x:v>
      </x:c>
    </x:row>
    <x:row r="42">
      <x:c r="A42" s="18" t="str">
        <x:v>Zhang 2023</x:v>
      </x:c>
      <x:c r="B42" s="18" t="str">
        <x:v>ZHANG23_TEAS_vs_SHAM_VOID</x:v>
      </x:c>
      <x:c r="C42" s="18" t="str">
        <x:v>TEAS</x:v>
      </x:c>
      <x:c r="D42" s="18" t="str">
        <x:v>Sham/no current</x:v>
      </x:c>
      <x:c r="E42" s="18" t="str">
        <x:v>Urinary recovery</x:v>
      </x:c>
      <x:c r="F42" s="18" t="str">
        <x:v>Time to first spontaneous void</x:v>
      </x:c>
      <x:c r="G42" s="18" t="str">
        <x:v>Postoperative</x:v>
      </x:c>
      <x:c r="H42" s="18" t="str">
        <x:v>Median/IQR</x:v>
      </x:c>
      <x:c r="I42" s="18" t="n">
        <x:v>975</x:v>
      </x:c>
      <x:c r="J42" s="18" t="n">
        <x:v>973</x:v>
      </x:c>
      <x:c r="K42" s="18" t="n">
        <x:v>922</x:v>
      </x:c>
      <x:c r="L42" s="18" t="n">
        <x:v>916</x:v>
      </x:c>
      <x:c r="M42" s="18"/>
      <x:c r="N42" s="18"/>
      <x:c r="O42" s="18" t="n">
        <x:v>5.6</x:v>
      </x:c>
      <x:c r="P42" s="18" t="n">
        <x:v>3.7</x:v>
      </x:c>
      <x:c r="Q42" s="18" t="n">
        <x:v>8</x:v>
      </x:c>
      <x:c r="R42" s="18"/>
      <x:c r="S42" s="18"/>
      <x:c r="T42" s="18"/>
      <x:c r="U42" s="18" t="n">
        <x:v>7.1</x:v>
      </x:c>
      <x:c r="V42" s="18" t="n">
        <x:v>4.7</x:v>
      </x:c>
      <x:c r="W42" s="18" t="n">
        <x:v>9.7</x:v>
      </x:c>
      <x:c r="X42" s="18"/>
      <x:c r="Y42" s="18" t="str">
        <x:v>hours</x:v>
      </x:c>
      <x:c r="Z42" s="18" t="str">
        <x:v>&lt;0.001</x:v>
      </x:c>
      <x:c r="AA42" s="18" t="str">
        <x:v>Yes</x:v>
      </x:c>
      <x:c r="AB42" s="18" t="str">
        <x:v>No</x:v>
      </x:c>
      <x:c r="AC42" s="18"/>
      <x:c r="AD42" s="18"/>
      <x:c r="AE42" s="18" t="str">
        <x:v>No</x:v>
      </x:c>
      <x:c r="AF42" s="18" t="str">
        <x:v>No</x:v>
      </x:c>
      <x:c r="AG42" s="18" t="str">
        <x:v>Eligible for urinary-recovery meta-analysis using median/IQR methods</x:v>
      </x:c>
      <x:c r="AH42" s="18" t="str">
        <x:v>No</x:v>
      </x:c>
      <x:c r="AI42" s="18" t="str">
        <x:v>110/1948 randomized participants were excluded from final analysis; abstract gives sham median 7.0 h but Table 2 gives 7.1 h—use table value</x:v>
      </x:c>
      <x:c r="AJ42" s="18" t="str">
        <x:v>Table 2 / primary spontaneous-void outcome</x:v>
      </x:c>
      <x:c r="AK42" s="18" t="str">
        <x:v>https://drive.google.com/file/d/1LXNXNhVJaOcYXBODulFUuMD4FQXC5dph/view?usp=drivesdk</x:v>
      </x:c>
      <x:c r="AL42" s="18" t="str">
        <x:v>SOURCE-VERIFIED / ATTRITION QC</x:v>
      </x:c>
      <x:c r="AM42" s="18" t="str">
        <x:v>Urinary recovery</x:v>
      </x:c>
      <x:c r="AN42" s="18" t="str">
        <x:v>Postoperative</x:v>
      </x:c>
      <x:c r="AO42" s="18" t="str">
        <x:v>CONDITIONAL</x:v>
      </x:c>
      <x:c r="AP42" s="18" t="str">
        <x:v>Source-grounded but carries a QC qualification.</x:v>
      </x:c>
      <x:c r="AQ42" s="18" t="str">
        <x:v>No</x:v>
      </x:c>
      <x:c r="AR42" s="18" t="str"/>
      <x:c r="AS42" s="18" t="str">
        <x:v>Use median/IQR-compatible meta-analysis method; do not relabel as mean/SD</x:v>
      </x:c>
      <x:c r="AT42" s="18" t="str">
        <x:v>Time to first spontaneous void</x:v>
      </x:c>
      <x:c r="AU42" s="18" t="str">
        <x:v>Postoperative</x:v>
      </x:c>
      <x:c r="AV42" s="18" t="str">
        <x:v>High</x:v>
      </x:c>
      <x:c r="AW42" s="18" t="str">
        <x:v>No — selected RoB matches this result</x:v>
      </x:c>
      <x:c r="AX42" s="18" t="str">
        <x:v>Zhang 2023</x:v>
      </x:c>
      <x:c r="AY42" s="18" t="str">
        <x:v>Primary eligible contrast</x:v>
      </x:c>
      <x:c r="AZ42" s="18" t="str">
        <x:v>Count this study once per synthesis unless a valid multi-arm method is used.</x:v>
      </x:c>
    </x:row>
    <x:row r="43">
      <x:c r="A43" s="18" t="str">
        <x:v>Zhang 2023</x:v>
      </x:c>
      <x:c r="B43" s="18" t="str">
        <x:v>ZHANG23_TEAS_vs_SHAM_DELAYED</x:v>
      </x:c>
      <x:c r="C43" s="18" t="str">
        <x:v>TEAS</x:v>
      </x:c>
      <x:c r="D43" s="18" t="str">
        <x:v>Sham/no current</x:v>
      </x:c>
      <x:c r="E43" s="18" t="str">
        <x:v>Urinary recovery</x:v>
      </x:c>
      <x:c r="F43" s="18" t="str">
        <x:v>Delayed urinary recovery (&gt;12 h without spontaneous void)</x:v>
      </x:c>
      <x:c r="G43" s="18" t="str">
        <x:v>Postoperative</x:v>
      </x:c>
      <x:c r="H43" s="18" t="str">
        <x:v>Events/total</x:v>
      </x:c>
      <x:c r="I43" s="18" t="n">
        <x:v>975</x:v>
      </x:c>
      <x:c r="J43" s="18" t="n">
        <x:v>973</x:v>
      </x:c>
      <x:c r="K43" s="18" t="n">
        <x:v>922</x:v>
      </x:c>
      <x:c r="L43" s="18" t="n">
        <x:v>916</x:v>
      </x:c>
      <x:c r="M43" s="18"/>
      <x:c r="N43" s="18"/>
      <x:c r="O43" s="18"/>
      <x:c r="P43" s="18"/>
      <x:c r="Q43" s="18"/>
      <x:c r="R43" s="18" t="n">
        <x:v>103</x:v>
      </x:c>
      <x:c r="S43" s="18"/>
      <x:c r="T43" s="18"/>
      <x:c r="U43" s="18"/>
      <x:c r="V43" s="18"/>
      <x:c r="W43" s="18"/>
      <x:c r="X43" s="18" t="n">
        <x:v>173</x:v>
      </x:c>
      <x:c r="Y43" s="18" t="str">
        <x:v>participants</x:v>
      </x:c>
      <x:c r="Z43" s="18" t="str">
        <x:v>&lt;0.001</x:v>
      </x:c>
      <x:c r="AA43" s="18" t="str">
        <x:v>Yes</x:v>
      </x:c>
      <x:c r="AB43" s="18" t="str">
        <x:v>No</x:v>
      </x:c>
      <x:c r="AC43" s="18" t="str">
        <x:v>RR</x:v>
      </x:c>
      <x:c r="AD43" s="18" t="n">
        <x:v>0.5915012601406844</x:v>
      </x:c>
      <x:c r="AE43" s="18" t="str">
        <x:v>No</x:v>
      </x:c>
      <x:c r="AF43" s="18" t="str">
        <x:v>No</x:v>
      </x:c>
      <x:c r="AG43" s="18" t="str">
        <x:v>Eligible for dichotomous delayed-voiding analysis</x:v>
      </x:c>
      <x:c r="AH43" s="18" t="str">
        <x:v>No</x:v>
      </x:c>
      <x:c r="AI43" s="18" t="str">
        <x:v>Use analyzed denominators 922 and 916, not randomized denominators</x:v>
      </x:c>
      <x:c r="AJ43" s="18" t="str">
        <x:v>Table 2 / delayed urinary recovery</x:v>
      </x:c>
      <x:c r="AK43" s="18" t="str">
        <x:v>https://drive.google.com/file/d/1LXNXNhVJaOcYXBODulFUuMD4FQXC5dph/view?usp=drivesdk</x:v>
      </x:c>
      <x:c r="AL43" s="18" t="str">
        <x:v>SOURCE-VERIFIED / ATTRITION QC</x:v>
      </x:c>
      <x:c r="AM43" s="18" t="str">
        <x:v>Urinary recovery</x:v>
      </x:c>
      <x:c r="AN43" s="18" t="str">
        <x:v>Postoperative</x:v>
      </x:c>
      <x:c r="AO43" s="18" t="str">
        <x:v>CONDITIONAL</x:v>
      </x:c>
      <x:c r="AP43" s="18" t="str">
        <x:v>Source-grounded but carries a QC qualification.</x:v>
      </x:c>
      <x:c r="AQ43" s="18" t="str">
        <x:v>No</x:v>
      </x:c>
      <x:c r="AR43" s="18" t="str"/>
      <x:c r="AS43" s="18" t="str">
        <x:v>Binary effect measure (RR preferred per protocol)</x:v>
      </x:c>
      <x:c r="AT43" s="18" t="str">
        <x:v>Time to first spontaneous void</x:v>
      </x:c>
      <x:c r="AU43" s="18" t="str">
        <x:v>Postoperative</x:v>
      </x:c>
      <x:c r="AV43" s="18" t="str">
        <x:v>High</x:v>
      </x:c>
      <x:c r="AW43" s="18" t="str">
        <x:v>Yes — selected RoB is for a different result/timepoint</x:v>
      </x:c>
      <x:c r="AX43" s="18" t="str">
        <x:v>Zhang 2023</x:v>
      </x:c>
      <x:c r="AY43" s="18" t="str">
        <x:v>Primary eligible contrast</x:v>
      </x:c>
      <x:c r="AZ43" s="18" t="str">
        <x:v>Count this study once per synthesis unless a valid multi-arm method is used.</x:v>
      </x:c>
    </x:row>
    <x:row r="44">
      <x:c r="A44" s="18" t="str">
        <x:v>Zhang 2023</x:v>
      </x:c>
      <x:c r="B44" s="18" t="str">
        <x:v>ZHANG23_TEAS_vs_SHAM_POUR</x:v>
      </x:c>
      <x:c r="C44" s="18" t="str">
        <x:v>TEAS</x:v>
      </x:c>
      <x:c r="D44" s="18" t="str">
        <x:v>Sham/no current</x:v>
      </x:c>
      <x:c r="E44" s="18" t="str">
        <x:v>Urinary recovery</x:v>
      </x:c>
      <x:c r="F44" s="18" t="str">
        <x:v>Postoperative urinary retention</x:v>
      </x:c>
      <x:c r="G44" s="18" t="str">
        <x:v>Postoperative</x:v>
      </x:c>
      <x:c r="H44" s="18" t="str">
        <x:v>Events/total</x:v>
      </x:c>
      <x:c r="I44" s="18" t="n">
        <x:v>975</x:v>
      </x:c>
      <x:c r="J44" s="18" t="n">
        <x:v>973</x:v>
      </x:c>
      <x:c r="K44" s="18" t="n">
        <x:v>922</x:v>
      </x:c>
      <x:c r="L44" s="18" t="n">
        <x:v>916</x:v>
      </x:c>
      <x:c r="M44" s="18"/>
      <x:c r="N44" s="18"/>
      <x:c r="O44" s="18"/>
      <x:c r="P44" s="18"/>
      <x:c r="Q44" s="18"/>
      <x:c r="R44" s="18" t="n">
        <x:v>75</x:v>
      </x:c>
      <x:c r="S44" s="18"/>
      <x:c r="T44" s="18"/>
      <x:c r="U44" s="18"/>
      <x:c r="V44" s="18"/>
      <x:c r="W44" s="18"/>
      <x:c r="X44" s="18" t="n">
        <x:v>104</x:v>
      </x:c>
      <x:c r="Y44" s="18" t="str">
        <x:v>participants</x:v>
      </x:c>
      <x:c r="Z44" s="18" t="str">
        <x:v>0.02</x:v>
      </x:c>
      <x:c r="AA44" s="18" t="str">
        <x:v>Yes</x:v>
      </x:c>
      <x:c r="AB44" s="18" t="str">
        <x:v>No</x:v>
      </x:c>
      <x:c r="AC44" s="18" t="str">
        <x:v>RR</x:v>
      </x:c>
      <x:c r="AD44" s="18" t="n">
        <x:v>0.7164608710161855</x:v>
      </x:c>
      <x:c r="AE44" s="18" t="str">
        <x:v>No</x:v>
      </x:c>
      <x:c r="AF44" s="18" t="str">
        <x:v>No</x:v>
      </x:c>
      <x:c r="AG44" s="18" t="str">
        <x:v>Eligible for dichotomous POUR analysis</x:v>
      </x:c>
      <x:c r="AH44" s="18" t="str">
        <x:v>No</x:v>
      </x:c>
      <x:c r="AI44" s="18" t="str">
        <x:v>Use analyzed denominators 922 and 916</x:v>
      </x:c>
      <x:c r="AJ44" s="18" t="str">
        <x:v>Table 2 / POUR result</x:v>
      </x:c>
      <x:c r="AK44" s="18" t="str">
        <x:v>https://drive.google.com/file/d/1LXNXNhVJaOcYXBODulFUuMD4FQXC5dph/view?usp=drivesdk</x:v>
      </x:c>
      <x:c r="AL44" s="18" t="str">
        <x:v>SOURCE-VERIFIED / ATTRITION QC</x:v>
      </x:c>
      <x:c r="AM44" s="18" t="str">
        <x:v>Urinary recovery</x:v>
      </x:c>
      <x:c r="AN44" s="18" t="str">
        <x:v>Postoperative</x:v>
      </x:c>
      <x:c r="AO44" s="18" t="str">
        <x:v>CONDITIONAL</x:v>
      </x:c>
      <x:c r="AP44" s="18" t="str">
        <x:v>Source-grounded but carries a QC qualification.</x:v>
      </x:c>
      <x:c r="AQ44" s="18" t="str">
        <x:v>No</x:v>
      </x:c>
      <x:c r="AR44" s="18" t="str"/>
      <x:c r="AS44" s="18" t="str">
        <x:v>Binary effect measure (RR preferred per protocol)</x:v>
      </x:c>
      <x:c r="AT44" s="18" t="str">
        <x:v>Time to first spontaneous void</x:v>
      </x:c>
      <x:c r="AU44" s="18" t="str">
        <x:v>Postoperative</x:v>
      </x:c>
      <x:c r="AV44" s="18" t="str">
        <x:v>High</x:v>
      </x:c>
      <x:c r="AW44" s="18" t="str">
        <x:v>Yes — selected RoB is for a different result/timepoint</x:v>
      </x:c>
      <x:c r="AX44" s="18" t="str">
        <x:v>Zhang 2023</x:v>
      </x:c>
      <x:c r="AY44" s="18" t="str">
        <x:v>Primary eligible contrast</x:v>
      </x:c>
      <x:c r="AZ44" s="18" t="str">
        <x:v>Count this study once per synthesis unless a valid multi-arm method is used.</x:v>
      </x:c>
    </x:row>
    <x:row r="45">
      <x:c r="A45" s="18" t="str">
        <x:v>Zhang 2023</x:v>
      </x:c>
      <x:c r="B45" s="18" t="str">
        <x:v>ZHANG23_TEAS_vs_SHAM_MME48</x:v>
      </x:c>
      <x:c r="C45" s="18" t="str">
        <x:v>TEAS</x:v>
      </x:c>
      <x:c r="D45" s="18" t="str">
        <x:v>Sham/no current</x:v>
      </x:c>
      <x:c r="E45" s="18" t="str">
        <x:v>Opioid consumption</x:v>
      </x:c>
      <x:c r="F45" s="18" t="str">
        <x:v>Postoperative IV morphine-equivalent consumption</x:v>
      </x:c>
      <x:c r="G45" s="18" t="str">
        <x:v>Within 48 h</x:v>
      </x:c>
      <x:c r="H45" s="18" t="str">
        <x:v>Median/IQR</x:v>
      </x:c>
      <x:c r="I45" s="18" t="n">
        <x:v>975</x:v>
      </x:c>
      <x:c r="J45" s="18" t="n">
        <x:v>973</x:v>
      </x:c>
      <x:c r="K45" s="18" t="n">
        <x:v>922</x:v>
      </x:c>
      <x:c r="L45" s="18" t="n">
        <x:v>916</x:v>
      </x:c>
      <x:c r="M45" s="18"/>
      <x:c r="N45" s="18"/>
      <x:c r="O45" s="18" t="n">
        <x:v>110</x:v>
      </x:c>
      <x:c r="P45" s="18" t="n">
        <x:v>80</x:v>
      </x:c>
      <x:c r="Q45" s="18" t="n">
        <x:v>110</x:v>
      </x:c>
      <x:c r="R45" s="18"/>
      <x:c r="S45" s="18"/>
      <x:c r="T45" s="18"/>
      <x:c r="U45" s="18" t="n">
        <x:v>110</x:v>
      </x:c>
      <x:c r="V45" s="18" t="n">
        <x:v>90</x:v>
      </x:c>
      <x:c r="W45" s="18" t="n">
        <x:v>110</x:v>
      </x:c>
      <x:c r="X45" s="18"/>
      <x:c r="Y45" s="18" t="str">
        <x:v>mg IV morphine-equivalent</x:v>
      </x:c>
      <x:c r="Z45" s="18" t="str">
        <x:v>NR</x:v>
      </x:c>
      <x:c r="AA45" s="18" t="str">
        <x:v>Yes</x:v>
      </x:c>
      <x:c r="AB45" s="18" t="str">
        <x:v>Yes</x:v>
      </x:c>
      <x:c r="AC45" s="18"/>
      <x:c r="AD45" s="18"/>
      <x:c r="AE45" s="18" t="str">
        <x:v>No</x:v>
      </x:c>
      <x:c r="AF45" s="18" t="str">
        <x:v>No</x:v>
      </x:c>
      <x:c r="AG45" s="18" t="str">
        <x:v>Potentially eligible for 48-h opioid analysis if median/IQR endpoints are prespecified</x:v>
      </x:c>
      <x:c r="AH45" s="18" t="str">
        <x:v>No</x:v>
      </x:c>
      <x:c r="AI45" s="18" t="str">
        <x:v>Authors converted opioids using ClinCalc; exact 24-h postoperative dose is not reported</x:v>
      </x:c>
      <x:c r="AJ45" s="18" t="str">
        <x:v>Table 1 / postoperative opioid-equivalent result</x:v>
      </x:c>
      <x:c r="AK45" s="18" t="str">
        <x:v>https://drive.google.com/file/d/1LXNXNhVJaOcYXBODulFUuMD4FQXC5dph/view?usp=drivesdk</x:v>
      </x:c>
      <x:c r="AL45" s="18" t="str">
        <x:v>SOURCE-VERIFIED / 48H ONLY</x:v>
      </x:c>
      <x:c r="AM45" s="18" t="str">
        <x:v>Postoperative opioid consumption</x:v>
      </x:c>
      <x:c r="AN45" s="18" t="str">
        <x:v>48 h</x:v>
      </x:c>
      <x:c r="AO45" s="18" t="str">
        <x:v>EXCLUDE — NOT PRIMARY 24H OPIOID</x:v>
      </x:c>
      <x:c r="AP45" s="18" t="str">
        <x:v>Not a strict 0-24-h postoperative opioid-consumption endpoint.</x:v>
      </x:c>
      <x:c r="AQ45" s="18" t="str">
        <x:v>No</x:v>
      </x:c>
      <x:c r="AR45" s="18" t="str"/>
      <x:c r="AS45" s="18" t="str">
        <x:v>Use native IV morphine; convert to review-standard MME only per prespecified rule</x:v>
      </x:c>
      <x:c r="AT45" s="18" t="str">
        <x:v>Time to first spontaneous void</x:v>
      </x:c>
      <x:c r="AU45" s="18" t="str">
        <x:v>Postoperative</x:v>
      </x:c>
      <x:c r="AV45" s="18" t="str">
        <x:v>High</x:v>
      </x:c>
      <x:c r="AW45" s="18" t="str">
        <x:v>Yes — selected RoB is for a different result/timepoint</x:v>
      </x:c>
      <x:c r="AX45" s="18" t="str">
        <x:v>Zhang 2023</x:v>
      </x:c>
      <x:c r="AY45" s="18" t="str">
        <x:v>Primary eligible contrast</x:v>
      </x:c>
      <x:c r="AZ45" s="18" t="str">
        <x:v>Count this study once per synthesis unless a valid multi-arm method is used.</x:v>
      </x:c>
    </x:row>
    <x:row r="46">
      <x:c r="A46" s="18" t="str">
        <x:v>Zhang 2023</x:v>
      </x:c>
      <x:c r="B46" s="18" t="str">
        <x:v>ZHANG23_TEAS_vs_SHAM_OPIOID24</x:v>
      </x:c>
      <x:c r="C46" s="18" t="str">
        <x:v>TEAS</x:v>
      </x:c>
      <x:c r="D46" s="18" t="str">
        <x:v>Sham/no current</x:v>
      </x:c>
      <x:c r="E46" s="18" t="str">
        <x:v>Opioid consumption</x:v>
      </x:c>
      <x:c r="F46" s="18" t="str">
        <x:v>Exact cumulative postoperative opioid dose</x:v>
      </x:c>
      <x:c r="G46" s="18" t="str">
        <x:v>0-24 h</x:v>
      </x:c>
      <x:c r="H46" s="18" t="str">
        <x:v>Not reported</x:v>
      </x:c>
      <x:c r="I46" s="18" t="n">
        <x:v>975</x:v>
      </x:c>
      <x:c r="J46" s="18" t="n">
        <x:v>973</x:v>
      </x:c>
      <x:c r="K46" s="18" t="n">
        <x:v>922</x:v>
      </x:c>
      <x:c r="L46" s="18" t="n">
        <x:v>916</x:v>
      </x:c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 t="str">
        <x:v>mg IV morphine-equivalent</x:v>
      </x:c>
      <x:c r="Z46" s="18"/>
      <x:c r="AA46" s="18" t="str">
        <x:v>No</x:v>
      </x:c>
      <x:c r="AB46" s="18" t="str">
        <x:v>No</x:v>
      </x:c>
      <x:c r="AC46" s="18"/>
      <x:c r="AD46" s="18"/>
      <x:c r="AE46" s="18" t="str">
        <x:v>No</x:v>
      </x:c>
      <x:c r="AF46" s="18" t="str">
        <x:v>No</x:v>
      </x:c>
      <x:c r="AG46" s="18" t="str">
        <x:v>Not eligible for strict continuous 24-h opioid meta-analysis</x:v>
      </x:c>
      <x:c r="AH46" s="18" t="str">
        <x:v>No</x:v>
      </x:c>
      <x:c r="AI46" s="18" t="str">
        <x:v>Only a postoperative 48-h opioid-equivalent endpoint is reported</x:v>
      </x:c>
      <x:c r="AJ46" s="18" t="str">
        <x:v>Exact 24-h endpoint absent</x:v>
      </x:c>
      <x:c r="AK46" s="18" t="str">
        <x:v>https://drive.google.com/file/d/1LXNXNhVJaOcYXBODulFUuMD4FQXC5dph/view?usp=drivesdk</x:v>
      </x:c>
      <x:c r="AL46" s="18" t="str">
        <x:v>MISSING / NOT REPORTED</x:v>
      </x:c>
      <x:c r="AM46" s="18" t="str">
        <x:v>Postoperative opioid consumption</x:v>
      </x:c>
      <x:c r="AN46" s="18" t="str">
        <x:v>Exact/explicit 24 h</x:v>
      </x:c>
      <x:c r="AO46" s="18" t="str">
        <x:v>EXCLUDE — DATA UNAVAILABLE</x:v>
      </x:c>
      <x:c r="AP46" s="18" t="str">
        <x:v>The source does not provide a defensible quantitative value for this analysis.</x:v>
      </x:c>
      <x:c r="AQ46" s="18" t="str">
        <x:v>No</x:v>
      </x:c>
      <x:c r="AR46" s="18" t="str"/>
      <x:c r="AS46" s="18" t="str">
        <x:v>Use native IV morphine; convert to review-standard MME only per prespecified rule</x:v>
      </x:c>
      <x:c r="AT46" s="18" t="str">
        <x:v>Time to first spontaneous void</x:v>
      </x:c>
      <x:c r="AU46" s="18" t="str">
        <x:v>Postoperative</x:v>
      </x:c>
      <x:c r="AV46" s="18" t="str">
        <x:v>High</x:v>
      </x:c>
      <x:c r="AW46" s="18" t="str">
        <x:v>Yes — selected RoB is for a different result/timepoint</x:v>
      </x:c>
      <x:c r="AX46" s="18" t="str">
        <x:v>Zhang 2023</x:v>
      </x:c>
      <x:c r="AY46" s="18" t="str">
        <x:v>Primary eligible contrast</x:v>
      </x:c>
      <x:c r="AZ46" s="18" t="str">
        <x:v>Count this study once per synthesis unless a valid multi-arm method is used.</x:v>
      </x:c>
    </x:row>
    <x:row r="47">
      <x:c r="A47" s="18" t="str">
        <x:v>Zhang 2014</x:v>
      </x:c>
      <x:c r="B47" s="18" t="str">
        <x:v>ZHANG14_TEAS_vs_SHAM_RR</x:v>
      </x:c>
      <x:c r="C47" s="18" t="str">
        <x:v>Preoperative TEAS</x:v>
      </x:c>
      <x:c r="D47" s="18" t="str">
        <x:v>Sham/no current</x:v>
      </x:c>
      <x:c r="E47" s="18" t="str">
        <x:v>Recovery</x:v>
      </x:c>
      <x:c r="F47" s="18" t="str">
        <x:v>Recovery-room stay</x:v>
      </x:c>
      <x:c r="G47" s="18" t="str">
        <x:v>Recovery-room discharge</x:v>
      </x:c>
      <x:c r="H47" s="18" t="str">
        <x:v>Mean/SD</x:v>
      </x:c>
      <x:c r="I47" s="18" t="n">
        <x:v>33</x:v>
      </x:c>
      <x:c r="J47" s="18" t="n">
        <x:v>32</x:v>
      </x:c>
      <x:c r="K47" s="18" t="n">
        <x:v>33</x:v>
      </x:c>
      <x:c r="L47" s="18" t="n">
        <x:v>32</x:v>
      </x:c>
      <x:c r="M47" s="18" t="n">
        <x:v>35.6</x:v>
      </x:c>
      <x:c r="N47" s="18" t="n">
        <x:v>12.9</x:v>
      </x:c>
      <x:c r="O47" s="18"/>
      <x:c r="P47" s="18"/>
      <x:c r="Q47" s="18"/>
      <x:c r="R47" s="18"/>
      <x:c r="S47" s="18" t="n">
        <x:v>48.3</x:v>
      </x:c>
      <x:c r="T47" s="18" t="n">
        <x:v>16.3</x:v>
      </x:c>
      <x:c r="U47" s="18"/>
      <x:c r="V47" s="18"/>
      <x:c r="W47" s="18"/>
      <x:c r="X47" s="18"/>
      <x:c r="Y47" s="18" t="str">
        <x:v>minutes</x:v>
      </x:c>
      <x:c r="Z47" s="18" t="str">
        <x:v>0.01</x:v>
      </x:c>
      <x:c r="AA47" s="18" t="str">
        <x:v>Yes</x:v>
      </x:c>
      <x:c r="AB47" s="18" t="str">
        <x:v>No</x:v>
      </x:c>
      <x:c r="AC47" s="18" t="str">
        <x:v>MD</x:v>
      </x:c>
      <x:c r="AD47" s="18" t="n">
        <x:v>-12.699999999999996</x:v>
      </x:c>
      <x:c r="AE47" s="18" t="str">
        <x:v>No</x:v>
      </x:c>
      <x:c r="AF47" s="18" t="str">
        <x:v>No</x:v>
      </x:c>
      <x:c r="AG47" s="18" t="str">
        <x:v>Eligible for recovery-time analysis</x:v>
      </x:c>
      <x:c r="AH47" s="18" t="str">
        <x:v>No</x:v>
      </x:c>
      <x:c r="AI47" s="18" t="str">
        <x:v>Abstract incorrectly states 72 randomized; detailed flowchart/tables show 65 randomized and analyzed</x:v>
      </x:c>
      <x:c r="AJ47" s="18" t="str">
        <x:v>Primary outcome / recovery-room stay</x:v>
      </x:c>
      <x:c r="AK47" s="18" t="str">
        <x:v>https://drive.google.com/file/d/1lws1zFpIE-wbLY8X9ewYyTuIP-WySa-c/view?usp=drivesdk</x:v>
      </x:c>
      <x:c r="AL47" s="18" t="str">
        <x:v>SOURCE-VERIFIED</x:v>
      </x:c>
      <x:c r="AM47" s="18" t="str">
        <x:v>Recovery</x:v>
      </x:c>
      <x:c r="AN47" s="18" t="str">
        <x:v>Recovery-room discharge</x:v>
      </x:c>
      <x:c r="AO47" s="18" t="str">
        <x:v>INCLUDE — SECONDARY</x:v>
      </x:c>
      <x:c r="AP47" s="18" t="str">
        <x:v>Source-verified outcome suitable for its matching secondary analysis.</x:v>
      </x:c>
      <x:c r="AQ47" s="18" t="str">
        <x:v>No</x:v>
      </x:c>
      <x:c r="AR47" s="18" t="str"/>
      <x:c r="AS47" s="18" t="str">
        <x:v>None</x:v>
      </x:c>
      <x:c r="AT47" s="18" t="str">
        <x:v>Recovery-room stay</x:v>
      </x:c>
      <x:c r="AU47" s="18" t="str">
        <x:v>Recovery-room discharge</x:v>
      </x:c>
      <x:c r="AV47" s="18" t="str">
        <x:v>Some concerns</x:v>
      </x:c>
      <x:c r="AW47" s="18" t="str">
        <x:v>No — selected RoB matches this result</x:v>
      </x:c>
      <x:c r="AX47" s="18" t="str">
        <x:v>Zhang 2014</x:v>
      </x:c>
      <x:c r="AY47" s="18" t="str">
        <x:v>Primary eligible contrast</x:v>
      </x:c>
      <x:c r="AZ47" s="18" t="str">
        <x:v>Count this study once per synthesis unless a valid multi-arm method is used.</x:v>
      </x:c>
    </x:row>
    <x:row r="48">
      <x:c r="A48" s="18" t="str">
        <x:v>Zhang 2014</x:v>
      </x:c>
      <x:c r="B48" s="18" t="str">
        <x:v>ZHANG14_TEAS_vs_SHAM_REMI</x:v>
      </x:c>
      <x:c r="C48" s="18" t="str">
        <x:v>Preoperative TEAS</x:v>
      </x:c>
      <x:c r="D48" s="18" t="str">
        <x:v>Sham/no current</x:v>
      </x:c>
      <x:c r="E48" s="18" t="str">
        <x:v>Intraoperative opioid</x:v>
      </x:c>
      <x:c r="F48" s="18" t="str">
        <x:v>Remifentanil consumption rate</x:v>
      </x:c>
      <x:c r="G48" s="18" t="str">
        <x:v>Intraoperative</x:v>
      </x:c>
      <x:c r="H48" s="18" t="str">
        <x:v>Mean/SD</x:v>
      </x:c>
      <x:c r="I48" s="18" t="n">
        <x:v>33</x:v>
      </x:c>
      <x:c r="J48" s="18" t="n">
        <x:v>32</x:v>
      </x:c>
      <x:c r="K48" s="18" t="n">
        <x:v>33</x:v>
      </x:c>
      <x:c r="L48" s="18" t="n">
        <x:v>32</x:v>
      </x:c>
      <x:c r="M48" s="18" t="n">
        <x:v>0.06</x:v>
      </x:c>
      <x:c r="N48" s="18" t="n">
        <x:v>0.02</x:v>
      </x:c>
      <x:c r="O48" s="18"/>
      <x:c r="P48" s="18"/>
      <x:c r="Q48" s="18"/>
      <x:c r="R48" s="18"/>
      <x:c r="S48" s="18" t="n">
        <x:v>0.09</x:v>
      </x:c>
      <x:c r="T48" s="18" t="n">
        <x:v>0.03</x:v>
      </x:c>
      <x:c r="U48" s="18"/>
      <x:c r="V48" s="18"/>
      <x:c r="W48" s="18"/>
      <x:c r="X48" s="18"/>
      <x:c r="Y48" s="18" t="str">
        <x:v>µg/kg/min</x:v>
      </x:c>
      <x:c r="Z48" s="18" t="str">
        <x:v>0.01</x:v>
      </x:c>
      <x:c r="AA48" s="18" t="str">
        <x:v>Yes</x:v>
      </x:c>
      <x:c r="AB48" s="18" t="str">
        <x:v>No</x:v>
      </x:c>
      <x:c r="AC48" s="18" t="str">
        <x:v>MD</x:v>
      </x:c>
      <x:c r="AD48" s="18" t="n">
        <x:v>-0.03</x:v>
      </x:c>
      <x:c r="AE48" s="18" t="str">
        <x:v>No</x:v>
      </x:c>
      <x:c r="AF48" s="18" t="str">
        <x:v>No</x:v>
      </x:c>
      <x:c r="AG48" s="18" t="str">
        <x:v>Eligible for intraoperative opioid-sparing analysis only</x:v>
      </x:c>
      <x:c r="AH48" s="18" t="str">
        <x:v>No</x:v>
      </x:c>
      <x:c r="AI48" s="18" t="str">
        <x:v>Weight/time-normalized consumption, not absolute remifentanil dose</x:v>
      </x:c>
      <x:c r="AJ48" s="18" t="str">
        <x:v>Table 2 / intraoperative remifentanil</x:v>
      </x:c>
      <x:c r="AK48" s="18" t="str">
        <x:v>https://drive.google.com/file/d/1lws1zFpIE-wbLY8X9ewYyTuIP-WySa-c/view?usp=drivesdk</x:v>
      </x:c>
      <x:c r="AL48" s="18" t="str">
        <x:v>SOURCE-VERIFIED</x:v>
      </x:c>
      <x:c r="AM48" s="18" t="str">
        <x:v>Intraoperative opioid</x:v>
      </x:c>
      <x:c r="AN48" s="18" t="str">
        <x:v>Intraoperative</x:v>
      </x:c>
      <x:c r="AO48" s="18" t="str">
        <x:v>INCLUDE — INTRAOPERATIVE</x:v>
      </x:c>
      <x:c r="AP48" s="18" t="str">
        <x:v>Valid intraoperative opioid endpoint; must remain separate from postoperative opioid consumption.</x:v>
      </x:c>
      <x:c r="AQ48" s="18" t="str">
        <x:v>No</x:v>
      </x:c>
      <x:c r="AR48" s="18" t="str"/>
      <x:c r="AS48" s="18" t="str">
        <x:v>None</x:v>
      </x:c>
      <x:c r="AT48" s="18" t="str">
        <x:v>Recovery-room stay</x:v>
      </x:c>
      <x:c r="AU48" s="18" t="str">
        <x:v>Recovery-room discharge</x:v>
      </x:c>
      <x:c r="AV48" s="18" t="str">
        <x:v>Some concerns</x:v>
      </x:c>
      <x:c r="AW48" s="18" t="str">
        <x:v>Yes — selected RoB is for a different result/timepoint</x:v>
      </x:c>
      <x:c r="AX48" s="18" t="str">
        <x:v>Zhang 2014</x:v>
      </x:c>
      <x:c r="AY48" s="18" t="str">
        <x:v>Primary eligible contrast</x:v>
      </x:c>
      <x:c r="AZ48" s="18" t="str">
        <x:v>Count this study once per synthesis unless a valid multi-arm method is used.</x:v>
      </x:c>
    </x:row>
    <x:row r="49">
      <x:c r="A49" s="18" t="str">
        <x:v>Zhang 2014</x:v>
      </x:c>
      <x:c r="B49" s="18" t="str">
        <x:v>ZHANG14_TEAS_vs_SHAM_NAUSEA</x:v>
      </x:c>
      <x:c r="C49" s="18" t="str">
        <x:v>Preoperative TEAS</x:v>
      </x:c>
      <x:c r="D49" s="18" t="str">
        <x:v>Sham/no current</x:v>
      </x:c>
      <x:c r="E49" s="18" t="str">
        <x:v>PONV</x:v>
      </x:c>
      <x:c r="F49" s="18" t="str">
        <x:v>Postoperative nausea</x:v>
      </x:c>
      <x:c r="G49" s="18" t="str">
        <x:v>Postoperative</x:v>
      </x:c>
      <x:c r="H49" s="18" t="str">
        <x:v>Events/total</x:v>
      </x:c>
      <x:c r="I49" s="18" t="n">
        <x:v>33</x:v>
      </x:c>
      <x:c r="J49" s="18" t="n">
        <x:v>32</x:v>
      </x:c>
      <x:c r="K49" s="18" t="n">
        <x:v>33</x:v>
      </x:c>
      <x:c r="L49" s="18" t="n">
        <x:v>32</x:v>
      </x:c>
      <x:c r="M49" s="18"/>
      <x:c r="N49" s="18"/>
      <x:c r="O49" s="18"/>
      <x:c r="P49" s="18"/>
      <x:c r="Q49" s="18"/>
      <x:c r="R49" s="18" t="n">
        <x:v>7</x:v>
      </x:c>
      <x:c r="S49" s="18"/>
      <x:c r="T49" s="18"/>
      <x:c r="U49" s="18"/>
      <x:c r="V49" s="18"/>
      <x:c r="W49" s="18"/>
      <x:c r="X49" s="18" t="n">
        <x:v>15</x:v>
      </x:c>
      <x:c r="Y49" s="18" t="str">
        <x:v>participants</x:v>
      </x:c>
      <x:c r="Z49" s="18" t="str">
        <x:v>0.03</x:v>
      </x:c>
      <x:c r="AA49" s="18" t="str">
        <x:v>Yes</x:v>
      </x:c>
      <x:c r="AB49" s="18" t="str">
        <x:v>No</x:v>
      </x:c>
      <x:c r="AC49" s="18" t="str">
        <x:v>RR</x:v>
      </x:c>
      <x:c r="AD49" s="18" t="n">
        <x:v>0.45252525252525255</x:v>
      </x:c>
      <x:c r="AE49" s="18" t="str">
        <x:v>No</x:v>
      </x:c>
      <x:c r="AF49" s="18" t="str">
        <x:v>No</x:v>
      </x:c>
      <x:c r="AG49" s="18" t="str">
        <x:v>Eligible for dichotomous nausea analysis</x:v>
      </x:c>
      <x:c r="AH49" s="18" t="str">
        <x:v>No</x:v>
      </x:c>
      <x:c r="AI49" s="18" t="str">
        <x:v>No exact narrower time window reported in the extraction</x:v>
      </x:c>
      <x:c r="AJ49" s="18" t="str">
        <x:v>Table 3 / postoperative side effects</x:v>
      </x:c>
      <x:c r="AK49" s="18" t="str">
        <x:v>https://drive.google.com/file/d/1lws1zFpIE-wbLY8X9ewYyTuIP-WySa-c/view?usp=drivesdk</x:v>
      </x:c>
      <x:c r="AL49" s="18" t="str">
        <x:v>SOURCE-VERIFIED</x:v>
      </x:c>
      <x:c r="AM49" s="18" t="str">
        <x:v>PONV</x:v>
      </x:c>
      <x:c r="AN49" s="18" t="str">
        <x:v>Postoperative</x:v>
      </x:c>
      <x:c r="AO49" s="18" t="str">
        <x:v>CONDITIONAL</x:v>
      </x:c>
      <x:c r="AP49" s="18" t="str">
        <x:v>Valid PONV result, but the postoperative observation window should be matched to the intended synthesis.</x:v>
      </x:c>
      <x:c r="AQ49" s="18" t="str">
        <x:v>No</x:v>
      </x:c>
      <x:c r="AR49" s="18" t="str"/>
      <x:c r="AS49" s="18" t="str">
        <x:v>Binary effect measure (RR preferred per protocol)</x:v>
      </x:c>
      <x:c r="AT49" s="18" t="str">
        <x:v>Recovery-room stay</x:v>
      </x:c>
      <x:c r="AU49" s="18" t="str">
        <x:v>Recovery-room discharge</x:v>
      </x:c>
      <x:c r="AV49" s="18" t="str">
        <x:v>Some concerns</x:v>
      </x:c>
      <x:c r="AW49" s="18" t="str">
        <x:v>Yes — selected RoB is for a different result/timepoint</x:v>
      </x:c>
      <x:c r="AX49" s="18" t="str">
        <x:v>Zhang 2014</x:v>
      </x:c>
      <x:c r="AY49" s="18" t="str">
        <x:v>Primary eligible contrast</x:v>
      </x:c>
      <x:c r="AZ49" s="18" t="str">
        <x:v>Count this study once per synthesis unless a valid multi-arm method is used.</x:v>
      </x:c>
    </x:row>
    <x:row r="50">
      <x:c r="A50" s="18" t="str">
        <x:v>Zhang 2014</x:v>
      </x:c>
      <x:c r="B50" s="18" t="str">
        <x:v>ZHANG14_TEAS_vs_SHAM_VOMIT</x:v>
      </x:c>
      <x:c r="C50" s="18" t="str">
        <x:v>Preoperative TEAS</x:v>
      </x:c>
      <x:c r="D50" s="18" t="str">
        <x:v>Sham/no current</x:v>
      </x:c>
      <x:c r="E50" s="18" t="str">
        <x:v>PONV</x:v>
      </x:c>
      <x:c r="F50" s="18" t="str">
        <x:v>Postoperative vomiting</x:v>
      </x:c>
      <x:c r="G50" s="18" t="str">
        <x:v>Postoperative</x:v>
      </x:c>
      <x:c r="H50" s="18" t="str">
        <x:v>Events/total</x:v>
      </x:c>
      <x:c r="I50" s="18" t="n">
        <x:v>33</x:v>
      </x:c>
      <x:c r="J50" s="18" t="n">
        <x:v>32</x:v>
      </x:c>
      <x:c r="K50" s="18" t="n">
        <x:v>33</x:v>
      </x:c>
      <x:c r="L50" s="18" t="n">
        <x:v>32</x:v>
      </x:c>
      <x:c r="M50" s="18"/>
      <x:c r="N50" s="18"/>
      <x:c r="O50" s="18"/>
      <x:c r="P50" s="18"/>
      <x:c r="Q50" s="18"/>
      <x:c r="R50" s="18" t="n">
        <x:v>4</x:v>
      </x:c>
      <x:c r="S50" s="18"/>
      <x:c r="T50" s="18"/>
      <x:c r="U50" s="18"/>
      <x:c r="V50" s="18"/>
      <x:c r="W50" s="18"/>
      <x:c r="X50" s="18" t="n">
        <x:v>11</x:v>
      </x:c>
      <x:c r="Y50" s="18" t="str">
        <x:v>participants</x:v>
      </x:c>
      <x:c r="Z50" s="18" t="str">
        <x:v>0.03</x:v>
      </x:c>
      <x:c r="AA50" s="18" t="str">
        <x:v>Yes</x:v>
      </x:c>
      <x:c r="AB50" s="18" t="str">
        <x:v>No</x:v>
      </x:c>
      <x:c r="AC50" s="18" t="str">
        <x:v>RR</x:v>
      </x:c>
      <x:c r="AD50" s="18" t="n">
        <x:v>0.3526170798898072</x:v>
      </x:c>
      <x:c r="AE50" s="18" t="str">
        <x:v>No</x:v>
      </x:c>
      <x:c r="AF50" s="18" t="str">
        <x:v>No</x:v>
      </x:c>
      <x:c r="AG50" s="18" t="str">
        <x:v>Eligible for dichotomous vomiting analysis</x:v>
      </x:c>
      <x:c r="AH50" s="18" t="str">
        <x:v>No</x:v>
      </x:c>
      <x:c r="AI50" s="18" t="str">
        <x:v>No exact narrower time window reported in the extraction</x:v>
      </x:c>
      <x:c r="AJ50" s="18" t="str">
        <x:v>Table 3 / postoperative side effects</x:v>
      </x:c>
      <x:c r="AK50" s="18" t="str">
        <x:v>https://drive.google.com/file/d/1lws1zFpIE-wbLY8X9ewYyTuIP-WySa-c/view?usp=drivesdk</x:v>
      </x:c>
      <x:c r="AL50" s="18" t="str">
        <x:v>SOURCE-VERIFIED</x:v>
      </x:c>
      <x:c r="AM50" s="18" t="str">
        <x:v>PONV</x:v>
      </x:c>
      <x:c r="AN50" s="18" t="str">
        <x:v>Postoperative</x:v>
      </x:c>
      <x:c r="AO50" s="18" t="str">
        <x:v>CONDITIONAL</x:v>
      </x:c>
      <x:c r="AP50" s="18" t="str">
        <x:v>Valid PONV result, but the postoperative observation window should be matched to the intended synthesis.</x:v>
      </x:c>
      <x:c r="AQ50" s="18" t="str">
        <x:v>No</x:v>
      </x:c>
      <x:c r="AR50" s="18" t="str"/>
      <x:c r="AS50" s="18" t="str">
        <x:v>Binary effect measure (RR preferred per protocol)</x:v>
      </x:c>
      <x:c r="AT50" s="18" t="str">
        <x:v>Recovery-room stay</x:v>
      </x:c>
      <x:c r="AU50" s="18" t="str">
        <x:v>Recovery-room discharge</x:v>
      </x:c>
      <x:c r="AV50" s="18" t="str">
        <x:v>Some concerns</x:v>
      </x:c>
      <x:c r="AW50" s="18" t="str">
        <x:v>Yes — selected RoB is for a different result/timepoint</x:v>
      </x:c>
      <x:c r="AX50" s="18" t="str">
        <x:v>Zhang 2014</x:v>
      </x:c>
      <x:c r="AY50" s="18" t="str">
        <x:v>Primary eligible contrast</x:v>
      </x:c>
      <x:c r="AZ50" s="18" t="str">
        <x:v>Count this study once per synthesis unless a valid multi-arm method is used.</x:v>
      </x:c>
    </x:row>
    <x:row r="51">
      <x:c r="A51" s="18" t="str">
        <x:v>Zhang 2014</x:v>
      </x:c>
      <x:c r="B51" s="18" t="str">
        <x:v>ZHANG14_TEAS_vs_SHAM_OPIOID24</x:v>
      </x:c>
      <x:c r="C51" s="18" t="str">
        <x:v>Preoperative TEAS</x:v>
      </x:c>
      <x:c r="D51" s="18" t="str">
        <x:v>Sham/no current</x:v>
      </x:c>
      <x:c r="E51" s="18" t="str">
        <x:v>Opioid consumption</x:v>
      </x:c>
      <x:c r="F51" s="18" t="str">
        <x:v>Exact cumulative postoperative opioid dose</x:v>
      </x:c>
      <x:c r="G51" s="18" t="str">
        <x:v>0-24 h</x:v>
      </x:c>
      <x:c r="H51" s="18" t="str">
        <x:v>Not reported</x:v>
      </x:c>
      <x:c r="I51" s="18" t="n">
        <x:v>33</x:v>
      </x:c>
      <x:c r="J51" s="18" t="n">
        <x:v>32</x:v>
      </x:c>
      <x:c r="K51" s="18" t="n">
        <x:v>33</x:v>
      </x:c>
      <x:c r="L51" s="18" t="n">
        <x:v>32</x:v>
      </x:c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 t="str">
        <x:v>mg/µg</x:v>
      </x:c>
      <x:c r="Z51" s="18"/>
      <x:c r="AA51" s="18" t="str">
        <x:v>No</x:v>
      </x:c>
      <x:c r="AB51" s="18" t="str">
        <x:v>No</x:v>
      </x:c>
      <x:c r="AC51" s="18"/>
      <x:c r="AD51" s="18"/>
      <x:c r="AE51" s="18" t="str">
        <x:v>No</x:v>
      </x:c>
      <x:c r="AF51" s="18" t="str">
        <x:v>No</x:v>
      </x:c>
      <x:c r="AG51" s="18" t="str">
        <x:v>Not eligible for continuous 24-h postoperative opioid meta-analysis</x:v>
      </x:c>
      <x:c r="AH51" s="18" t="str">
        <x:v>No</x:v>
      </x:c>
      <x:c r="AI51" s="18" t="str">
        <x:v>Study reports intraoperative remifentanil rate but no exact postoperative opioid-consumption total</x:v>
      </x:c>
      <x:c r="AJ51" s="18" t="str">
        <x:v>Postoperative analgesic section</x:v>
      </x:c>
      <x:c r="AK51" s="18" t="str">
        <x:v>https://drive.google.com/file/d/1lws1zFpIE-wbLY8X9ewYyTuIP-WySa-c/view?usp=drivesdk</x:v>
      </x:c>
      <x:c r="AL51" s="18" t="str">
        <x:v>MISSING / NOT REPORTED</x:v>
      </x:c>
      <x:c r="AM51" s="18" t="str">
        <x:v>Postoperative opioid consumption</x:v>
      </x:c>
      <x:c r="AN51" s="18" t="str">
        <x:v>Exact/explicit 24 h</x:v>
      </x:c>
      <x:c r="AO51" s="18" t="str">
        <x:v>EXCLUDE — DATA UNAVAILABLE</x:v>
      </x:c>
      <x:c r="AP51" s="18" t="str">
        <x:v>The source does not provide a defensible quantitative value for this analysis.</x:v>
      </x:c>
      <x:c r="AQ51" s="18" t="str">
        <x:v>No</x:v>
      </x:c>
      <x:c r="AR51" s="18" t="str"/>
      <x:c r="AS51" s="18" t="str">
        <x:v>None</x:v>
      </x:c>
      <x:c r="AT51" s="18" t="str">
        <x:v>Recovery-room stay</x:v>
      </x:c>
      <x:c r="AU51" s="18" t="str">
        <x:v>Recovery-room discharge</x:v>
      </x:c>
      <x:c r="AV51" s="18" t="str">
        <x:v>Some concerns</x:v>
      </x:c>
      <x:c r="AW51" s="18" t="str">
        <x:v>Yes — selected RoB is for a different result/timepoint</x:v>
      </x:c>
      <x:c r="AX51" s="18" t="str">
        <x:v>Zhang 2014</x:v>
      </x:c>
      <x:c r="AY51" s="18" t="str">
        <x:v>Primary eligible contrast</x:v>
      </x:c>
      <x:c r="AZ51" s="18" t="str">
        <x:v>Count this study once per synthesis unless a valid multi-arm method is used.</x:v>
      </x:c>
    </x:row>
    <x:row r="52">
      <x:c r="A52" s="18" t="str">
        <x:v>Yang 2024</x:v>
      </x:c>
      <x:c r="B52" s="18" t="str">
        <x:v>YANG24_EA_vs_UC_MORPH24</x:v>
      </x:c>
      <x:c r="C52" s="18" t="str">
        <x:v>Perioperative EA + usual care</x:v>
      </x:c>
      <x:c r="D52" s="18" t="str">
        <x:v>Usual care</x:v>
      </x:c>
      <x:c r="E52" s="18" t="str">
        <x:v>Opioid consumption</x:v>
      </x:c>
      <x:c r="F52" s="18" t="str">
        <x:v>Morphine use via IV PCA</x:v>
      </x:c>
      <x:c r="G52" s="18" t="str">
        <x:v>First 24 h / POD1</x:v>
      </x:c>
      <x:c r="H52" s="18" t="str">
        <x:v>Mean/SD</x:v>
      </x:c>
      <x:c r="I52" s="18" t="n">
        <x:v>90</x:v>
      </x:c>
      <x:c r="J52" s="18" t="n">
        <x:v>90</x:v>
      </x:c>
      <x:c r="K52" s="18" t="n">
        <x:v>90</x:v>
      </x:c>
      <x:c r="L52" s="18" t="n">
        <x:v>90</x:v>
      </x:c>
      <x:c r="M52" s="18" t="n">
        <x:v>43.7</x:v>
      </x:c>
      <x:c r="N52" s="18" t="n">
        <x:v>4.7</x:v>
      </x:c>
      <x:c r="O52" s="18"/>
      <x:c r="P52" s="18"/>
      <x:c r="Q52" s="18"/>
      <x:c r="R52" s="18"/>
      <x:c r="S52" s="18" t="n">
        <x:v>44</x:v>
      </x:c>
      <x:c r="T52" s="18" t="n">
        <x:v>4.9</x:v>
      </x:c>
      <x:c r="U52" s="18"/>
      <x:c r="V52" s="18"/>
      <x:c r="W52" s="18"/>
      <x:c r="X52" s="18"/>
      <x:c r="Y52" s="18" t="str">
        <x:v>mg morphine</x:v>
      </x:c>
      <x:c r="Z52" s="18" t="str">
        <x:v>0.733</x:v>
      </x:c>
      <x:c r="AA52" s="18" t="str">
        <x:v>Yes</x:v>
      </x:c>
      <x:c r="AB52" s="18" t="str">
        <x:v>No</x:v>
      </x:c>
      <x:c r="AC52" s="18" t="str">
        <x:v>MD</x:v>
      </x:c>
      <x:c r="AD52" s="18" t="n">
        <x:v>-0.29999999999999716</x:v>
      </x:c>
      <x:c r="AE52" s="18" t="str">
        <x:v>Yes</x:v>
      </x:c>
      <x:c r="AF52" s="18" t="str">
        <x:v>Yes</x:v>
      </x:c>
      <x:c r="AG52" s="18" t="str">
        <x:v>Primary continuous 24-h opioid outcome</x:v>
      </x:c>
      <x:c r="AH52" s="18" t="str">
        <x:v>No</x:v>
      </x:c>
      <x:c r="AI52" s="18" t="str">
        <x:v>All 180 randomized participants retained in ITT; open-label patients but objective PCA drug-use record</x:v>
      </x:c>
      <x:c r="AJ52" s="18" t="str">
        <x:v>Table 3 / Morphine use on POD1</x:v>
      </x:c>
      <x:c r="AK52" s="18" t="str">
        <x:v>https://drive.google.com/file/d/160N3psd5tLEphwXHJzUEZ3uJfaIXcs5V/view?usp=drivesdk</x:v>
      </x:c>
      <x:c r="AL52" s="18" t="str">
        <x:v>SOURCE-VERIFIED</x:v>
      </x:c>
      <x:c r="AM52" s="18" t="str">
        <x:v>Postoperative opioid consumption</x:v>
      </x:c>
      <x:c r="AN52" s="18" t="str">
        <x:v>Exact/explicit 24 h</x:v>
      </x:c>
      <x:c r="AO52" s="18" t="str">
        <x:v>INCLUDE</x:v>
      </x:c>
      <x:c r="AP52" s="18" t="str">
        <x:v>Explicit 0-24-h postoperative opioid endpoint and marked eligible in the reconciled source data.</x:v>
      </x:c>
      <x:c r="AQ52" s="18" t="str">
        <x:v>Yes</x:v>
      </x:c>
      <x:c r="AR52" s="18" t="str"/>
      <x:c r="AS52" s="18" t="str">
        <x:v>None</x:v>
      </x:c>
      <x:c r="AT52" s="18" t="str">
        <x:v>Morphine use via IV PCA</x:v>
      </x:c>
      <x:c r="AU52" s="18" t="str">
        <x:v>First 24 h / POD1</x:v>
      </x:c>
      <x:c r="AV52" s="18" t="str">
        <x:v>Some concerns</x:v>
      </x:c>
      <x:c r="AW52" s="18" t="str">
        <x:v>No — selected RoB matches this result</x:v>
      </x:c>
      <x:c r="AX52" s="18" t="str">
        <x:v>Yang 2024</x:v>
      </x:c>
      <x:c r="AY52" s="18" t="str">
        <x:v>Primary eligible contrast</x:v>
      </x:c>
      <x:c r="AZ52" s="18" t="str">
        <x:v>Count this study once per synthesis unless a valid multi-arm method is used.</x:v>
      </x:c>
    </x:row>
    <x:row r="53">
      <x:c r="A53" s="18" t="str">
        <x:v>Yang 2024</x:v>
      </x:c>
      <x:c r="B53" s="18" t="str">
        <x:v>YANG24_EA_vs_UC_FLATUS</x:v>
      </x:c>
      <x:c r="C53" s="18" t="str">
        <x:v>Perioperative EA + usual care</x:v>
      </x:c>
      <x:c r="D53" s="18" t="str">
        <x:v>Usual care</x:v>
      </x:c>
      <x:c r="E53" s="18" t="str">
        <x:v>GI recovery</x:v>
      </x:c>
      <x:c r="F53" s="18" t="str">
        <x:v>Time to first flatus</x:v>
      </x:c>
      <x:c r="G53" s="18" t="str">
        <x:v>Postoperative</x:v>
      </x:c>
      <x:c r="H53" s="18" t="str">
        <x:v>Mean/SD</x:v>
      </x:c>
      <x:c r="I53" s="18" t="n">
        <x:v>90</x:v>
      </x:c>
      <x:c r="J53" s="18" t="n">
        <x:v>90</x:v>
      </x:c>
      <x:c r="K53" s="18" t="n">
        <x:v>90</x:v>
      </x:c>
      <x:c r="L53" s="18" t="n">
        <x:v>90</x:v>
      </x:c>
      <x:c r="M53" s="18" t="n">
        <x:v>15.4</x:v>
      </x:c>
      <x:c r="N53" s="18" t="n">
        <x:v>3.2</x:v>
      </x:c>
      <x:c r="O53" s="18"/>
      <x:c r="P53" s="18"/>
      <x:c r="Q53" s="18"/>
      <x:c r="R53" s="18"/>
      <x:c r="S53" s="18" t="n">
        <x:v>17</x:v>
      </x:c>
      <x:c r="T53" s="18" t="n">
        <x:v>3.7</x:v>
      </x:c>
      <x:c r="U53" s="18"/>
      <x:c r="V53" s="18"/>
      <x:c r="W53" s="18"/>
      <x:c r="X53" s="18"/>
      <x:c r="Y53" s="18" t="str">
        <x:v>hours</x:v>
      </x:c>
      <x:c r="Z53" s="18" t="str">
        <x:v>0.004</x:v>
      </x:c>
      <x:c r="AA53" s="18" t="str">
        <x:v>Yes</x:v>
      </x:c>
      <x:c r="AB53" s="18" t="str">
        <x:v>No</x:v>
      </x:c>
      <x:c r="AC53" s="18" t="str">
        <x:v>MD</x:v>
      </x:c>
      <x:c r="AD53" s="18" t="n">
        <x:v>-1.5999999999999996</x:v>
      </x:c>
      <x:c r="AE53" s="18" t="str">
        <x:v>No</x:v>
      </x:c>
      <x:c r="AF53" s="18" t="str">
        <x:v>No</x:v>
      </x:c>
      <x:c r="AG53" s="18" t="str">
        <x:v>Eligible for GI-recovery meta-analysis</x:v>
      </x:c>
      <x:c r="AH53" s="18" t="str">
        <x:v>No</x:v>
      </x:c>
      <x:c r="AI53" s="18" t="str">
        <x:v>Open-label participants; outcome assessor blinded</x:v>
      </x:c>
      <x:c r="AJ53" s="18" t="str">
        <x:v>Table 2 / primary first-flatus outcome</x:v>
      </x:c>
      <x:c r="AK53" s="18" t="str">
        <x:v>https://drive.google.com/file/d/160N3psd5tLEphwXHJzUEZ3uJfaIXcs5V/view?usp=drivesdk</x:v>
      </x:c>
      <x:c r="AL53" s="18" t="str">
        <x:v>SOURCE-VERIFIED</x:v>
      </x:c>
      <x:c r="AM53" s="18" t="str">
        <x:v>GI recovery</x:v>
      </x:c>
      <x:c r="AN53" s="18" t="str">
        <x:v>Postoperative</x:v>
      </x:c>
      <x:c r="AO53" s="18" t="str">
        <x:v>INCLUDE</x:v>
      </x:c>
      <x:c r="AP53" s="18" t="str">
        <x:v>Source-valid first-flatus/ileus endpoint; retain reported distribution (mean/SD, median/IQR, or events).</x:v>
      </x:c>
      <x:c r="AQ53" s="18" t="str">
        <x:v>Yes</x:v>
      </x:c>
      <x:c r="AR53" s="18" t="str"/>
      <x:c r="AS53" s="18" t="str">
        <x:v>None</x:v>
      </x:c>
      <x:c r="AT53" s="18" t="str">
        <x:v>Morphine use via IV PCA</x:v>
      </x:c>
      <x:c r="AU53" s="18" t="str">
        <x:v>First 24 h / POD1</x:v>
      </x:c>
      <x:c r="AV53" s="18" t="str">
        <x:v>Some concerns</x:v>
      </x:c>
      <x:c r="AW53" s="18" t="str">
        <x:v>Yes — selected RoB is for a different result/timepoint</x:v>
      </x:c>
      <x:c r="AX53" s="18" t="str">
        <x:v>Yang 2024</x:v>
      </x:c>
      <x:c r="AY53" s="18" t="str">
        <x:v>Primary eligible contrast</x:v>
      </x:c>
      <x:c r="AZ53" s="18" t="str">
        <x:v>Count this study once per synthesis unless a valid multi-arm method is used.</x:v>
      </x:c>
    </x:row>
    <x:row r="54">
      <x:c r="A54" s="18" t="str">
        <x:v>Yang 2024</x:v>
      </x:c>
      <x:c r="B54" s="18" t="str">
        <x:v>YANG24_EA_vs_UC_DEFEC</x:v>
      </x:c>
      <x:c r="C54" s="18" t="str">
        <x:v>Perioperative EA + usual care</x:v>
      </x:c>
      <x:c r="D54" s="18" t="str">
        <x:v>Usual care</x:v>
      </x:c>
      <x:c r="E54" s="18" t="str">
        <x:v>GI recovery</x:v>
      </x:c>
      <x:c r="F54" s="18" t="str">
        <x:v>Time to first defecation</x:v>
      </x:c>
      <x:c r="G54" s="18" t="str">
        <x:v>Postoperative</x:v>
      </x:c>
      <x:c r="H54" s="18" t="str">
        <x:v>Mean/SD</x:v>
      </x:c>
      <x:c r="I54" s="18" t="n">
        <x:v>90</x:v>
      </x:c>
      <x:c r="J54" s="18" t="n">
        <x:v>90</x:v>
      </x:c>
      <x:c r="K54" s="18" t="n">
        <x:v>90</x:v>
      </x:c>
      <x:c r="L54" s="18" t="n">
        <x:v>90</x:v>
      </x:c>
      <x:c r="M54" s="18" t="n">
        <x:v>75.9</x:v>
      </x:c>
      <x:c r="N54" s="18" t="n">
        <x:v>7.9</x:v>
      </x:c>
      <x:c r="O54" s="18"/>
      <x:c r="P54" s="18"/>
      <x:c r="Q54" s="18"/>
      <x:c r="R54" s="18"/>
      <x:c r="S54" s="18" t="n">
        <x:v>79.7</x:v>
      </x:c>
      <x:c r="T54" s="18" t="n">
        <x:v>8.1</x:v>
      </x:c>
      <x:c r="U54" s="18"/>
      <x:c r="V54" s="18"/>
      <x:c r="W54" s="18"/>
      <x:c r="X54" s="18"/>
      <x:c r="Y54" s="18" t="str">
        <x:v>hours</x:v>
      </x:c>
      <x:c r="Z54" s="18" t="str">
        <x:v>0.002</x:v>
      </x:c>
      <x:c r="AA54" s="18" t="str">
        <x:v>Yes</x:v>
      </x:c>
      <x:c r="AB54" s="18" t="str">
        <x:v>No</x:v>
      </x:c>
      <x:c r="AC54" s="18" t="str">
        <x:v>MD</x:v>
      </x:c>
      <x:c r="AD54" s="18" t="n">
        <x:v>-3.799999999999997</x:v>
      </x:c>
      <x:c r="AE54" s="18" t="str">
        <x:v>No</x:v>
      </x:c>
      <x:c r="AF54" s="18" t="str">
        <x:v>No</x:v>
      </x:c>
      <x:c r="AG54" s="18" t="str">
        <x:v>Eligible for GI-recovery meta-analysis</x:v>
      </x:c>
      <x:c r="AH54" s="18" t="str">
        <x:v>No</x:v>
      </x:c>
      <x:c r="AI54" s="18" t="str">
        <x:v>Open-label participants; outcome assessor blinded</x:v>
      </x:c>
      <x:c r="AJ54" s="18" t="str">
        <x:v>Table 2 / primary first-defecation outcome</x:v>
      </x:c>
      <x:c r="AK54" s="18" t="str">
        <x:v>https://drive.google.com/file/d/160N3psd5tLEphwXHJzUEZ3uJfaIXcs5V/view?usp=drivesdk</x:v>
      </x:c>
      <x:c r="AL54" s="18" t="str">
        <x:v>SOURCE-VERIFIED</x:v>
      </x:c>
      <x:c r="AM54" s="18" t="str">
        <x:v>GI recovery</x:v>
      </x:c>
      <x:c r="AN54" s="18" t="str">
        <x:v>Postoperative</x:v>
      </x:c>
      <x:c r="AO54" s="18" t="str">
        <x:v>INCLUDE — SECONDARY GI</x:v>
      </x:c>
      <x:c r="AP54" s="18" t="str">
        <x:v>Source-valid GI recovery outcome; analyze separately by outcome definition.</x:v>
      </x:c>
      <x:c r="AQ54" s="18" t="str">
        <x:v>No</x:v>
      </x:c>
      <x:c r="AR54" s="18" t="str"/>
      <x:c r="AS54" s="18" t="str">
        <x:v>None</x:v>
      </x:c>
      <x:c r="AT54" s="18" t="str">
        <x:v>Morphine use via IV PCA</x:v>
      </x:c>
      <x:c r="AU54" s="18" t="str">
        <x:v>First 24 h / POD1</x:v>
      </x:c>
      <x:c r="AV54" s="18" t="str">
        <x:v>Some concerns</x:v>
      </x:c>
      <x:c r="AW54" s="18" t="str">
        <x:v>Yes — selected RoB is for a different result/timepoint</x:v>
      </x:c>
      <x:c r="AX54" s="18" t="str">
        <x:v>Yang 2024</x:v>
      </x:c>
      <x:c r="AY54" s="18" t="str">
        <x:v>Primary eligible contrast</x:v>
      </x:c>
      <x:c r="AZ54" s="18" t="str">
        <x:v>Count this study once per synthesis unless a valid multi-arm method is used.</x:v>
      </x:c>
    </x:row>
    <x:row r="55">
      <x:c r="A55" s="18" t="str">
        <x:v>Yang 2024</x:v>
      </x:c>
      <x:c r="B55" s="18" t="str">
        <x:v>YANG24_EA_vs_UC_VOMIT</x:v>
      </x:c>
      <x:c r="C55" s="18" t="str">
        <x:v>Perioperative EA + usual care</x:v>
      </x:c>
      <x:c r="D55" s="18" t="str">
        <x:v>Usual care</x:v>
      </x:c>
      <x:c r="E55" s="18" t="str">
        <x:v>PONV</x:v>
      </x:c>
      <x:c r="F55" s="18" t="str">
        <x:v>Postoperative vomiting</x:v>
      </x:c>
      <x:c r="G55" s="18" t="str">
        <x:v>Within 72 h</x:v>
      </x:c>
      <x:c r="H55" s="18" t="str">
        <x:v>Events/total</x:v>
      </x:c>
      <x:c r="I55" s="18" t="n">
        <x:v>90</x:v>
      </x:c>
      <x:c r="J55" s="18" t="n">
        <x:v>90</x:v>
      </x:c>
      <x:c r="K55" s="18" t="n">
        <x:v>90</x:v>
      </x:c>
      <x:c r="L55" s="18" t="n">
        <x:v>90</x:v>
      </x:c>
      <x:c r="M55" s="18"/>
      <x:c r="N55" s="18"/>
      <x:c r="O55" s="18"/>
      <x:c r="P55" s="18"/>
      <x:c r="Q55" s="18"/>
      <x:c r="R55" s="18" t="n">
        <x:v>12</x:v>
      </x:c>
      <x:c r="S55" s="18"/>
      <x:c r="T55" s="18"/>
      <x:c r="U55" s="18"/>
      <x:c r="V55" s="18"/>
      <x:c r="W55" s="18"/>
      <x:c r="X55" s="18" t="n">
        <x:v>25</x:v>
      </x:c>
      <x:c r="Y55" s="18" t="str">
        <x:v>participants</x:v>
      </x:c>
      <x:c r="Z55" s="18" t="str">
        <x:v>0.016</x:v>
      </x:c>
      <x:c r="AA55" s="18" t="str">
        <x:v>Yes</x:v>
      </x:c>
      <x:c r="AB55" s="18" t="str">
        <x:v>No</x:v>
      </x:c>
      <x:c r="AC55" s="18" t="str">
        <x:v>RR</x:v>
      </x:c>
      <x:c r="AD55" s="18" t="n">
        <x:v>0.48</x:v>
      </x:c>
      <x:c r="AE55" s="18" t="str">
        <x:v>No</x:v>
      </x:c>
      <x:c r="AF55" s="18" t="str">
        <x:v>No</x:v>
      </x:c>
      <x:c r="AG55" s="18" t="str">
        <x:v>Eligible for dichotomous vomiting analysis at matching follow-up</x:v>
      </x:c>
      <x:c r="AH55" s="18" t="str">
        <x:v>No</x:v>
      </x:c>
      <x:c r="AI55" s="18" t="str">
        <x:v>No sham acupuncture; patient knowledge could affect subjective nausea but vomiting is more objective</x:v>
      </x:c>
      <x:c r="AJ55" s="18" t="str">
        <x:v>Secondary outcomes / PONV</x:v>
      </x:c>
      <x:c r="AK55" s="18" t="str">
        <x:v>https://drive.google.com/file/d/160N3psd5tLEphwXHJzUEZ3uJfaIXcs5V/view?usp=drivesdk</x:v>
      </x:c>
      <x:c r="AL55" s="18" t="str">
        <x:v>SOURCE-VERIFIED</x:v>
      </x:c>
      <x:c r="AM55" s="18" t="str">
        <x:v>PONV</x:v>
      </x:c>
      <x:c r="AN55" s="18" t="str">
        <x:v>72 h</x:v>
      </x:c>
      <x:c r="AO55" s="18" t="str">
        <x:v>INCLUDE — SEPARATE TIME WINDOW</x:v>
      </x:c>
      <x:c r="AP55" s="18" t="str">
        <x:v>Valid 72 h PONV endpoint; analyze separately from 24-h PONV.</x:v>
      </x:c>
      <x:c r="AQ55" s="18" t="str">
        <x:v>No</x:v>
      </x:c>
      <x:c r="AR55" s="18" t="str"/>
      <x:c r="AS55" s="18" t="str">
        <x:v>Binary effect measure (RR preferred per protocol)</x:v>
      </x:c>
      <x:c r="AT55" s="18" t="str">
        <x:v>Morphine use via IV PCA</x:v>
      </x:c>
      <x:c r="AU55" s="18" t="str">
        <x:v>First 24 h / POD1</x:v>
      </x:c>
      <x:c r="AV55" s="18" t="str">
        <x:v>Some concerns</x:v>
      </x:c>
      <x:c r="AW55" s="18" t="str">
        <x:v>Yes — selected RoB is for a different result/timepoint</x:v>
      </x:c>
      <x:c r="AX55" s="18" t="str">
        <x:v>Yang 2024</x:v>
      </x:c>
      <x:c r="AY55" s="18" t="str">
        <x:v>Primary eligible contrast</x:v>
      </x:c>
      <x:c r="AZ55" s="18" t="str">
        <x:v>Count this study once per synthesis unless a valid multi-arm method is used.</x:v>
      </x:c>
    </x:row>
    <x:row r="56">
      <x:c r="A56" s="18" t="str">
        <x:v>Xiong 2021</x:v>
      </x:c>
      <x:c r="B56" s="18" t="str">
        <x:v>XIONG21_TEAS_vs_CTRL_PONV48</x:v>
      </x:c>
      <x:c r="C56" s="18" t="str">
        <x:v>TEAS + dexamethasone + tropisetron</x:v>
      </x:c>
      <x:c r="D56" s="18" t="str">
        <x:v>Dexamethasone + tropisetron</x:v>
      </x:c>
      <x:c r="E56" s="18" t="str">
        <x:v>PONV</x:v>
      </x:c>
      <x:c r="F56" s="18" t="str">
        <x:v>Any PONV</x:v>
      </x:c>
      <x:c r="G56" s="18" t="str">
        <x:v>Within 48 h</x:v>
      </x:c>
      <x:c r="H56" s="18" t="str">
        <x:v>Events/total</x:v>
      </x:c>
      <x:c r="I56" s="18" t="n">
        <x:v>31</x:v>
      </x:c>
      <x:c r="J56" s="18" t="n">
        <x:v>31</x:v>
      </x:c>
      <x:c r="K56" s="18" t="n">
        <x:v>31</x:v>
      </x:c>
      <x:c r="L56" s="18" t="n">
        <x:v>31</x:v>
      </x:c>
      <x:c r="M56" s="18"/>
      <x:c r="N56" s="18"/>
      <x:c r="O56" s="18"/>
      <x:c r="P56" s="18"/>
      <x:c r="Q56" s="18"/>
      <x:c r="R56" s="18" t="n">
        <x:v>13</x:v>
      </x:c>
      <x:c r="S56" s="18"/>
      <x:c r="T56" s="18"/>
      <x:c r="U56" s="18"/>
      <x:c r="V56" s="18"/>
      <x:c r="W56" s="18"/>
      <x:c r="X56" s="18" t="n">
        <x:v>24</x:v>
      </x:c>
      <x:c r="Y56" s="18" t="str">
        <x:v>participants</x:v>
      </x:c>
      <x:c r="Z56" s="18" t="str">
        <x:v>0.004</x:v>
      </x:c>
      <x:c r="AA56" s="18" t="str">
        <x:v>Yes</x:v>
      </x:c>
      <x:c r="AB56" s="18" t="str">
        <x:v>No</x:v>
      </x:c>
      <x:c r="AC56" s="18" t="str">
        <x:v>RR</x:v>
      </x:c>
      <x:c r="AD56" s="18" t="n">
        <x:v>0.5416666666666667</x:v>
      </x:c>
      <x:c r="AE56" s="18" t="str">
        <x:v>No</x:v>
      </x:c>
      <x:c r="AF56" s="18" t="str">
        <x:v>No</x:v>
      </x:c>
      <x:c r="AG56" s="18" t="str">
        <x:v>Eligible for dichotomous 48-h PONV analysis</x:v>
      </x:c>
      <x:c r="AH56" s="18" t="str">
        <x:v>No</x:v>
      </x:c>
      <x:c r="AI56" s="18" t="str">
        <x:v>Participant blinding intended but active postoperative tingling may have revealed allocation</x:v>
      </x:c>
      <x:c r="AJ56" s="18" t="str">
        <x:v>Abstract / 48-h PONV result</x:v>
      </x:c>
      <x:c r="AK56" s="18" t="str">
        <x:v>https://drive.google.com/file/d/1sNaquYeWpsts7_e3XYP9c0CwM-tbQS6T/view?usp=drivesdk</x:v>
      </x:c>
      <x:c r="AL56" s="18" t="str">
        <x:v>SOURCE-VERIFIED</x:v>
      </x:c>
      <x:c r="AM56" s="18" t="str">
        <x:v>PONV</x:v>
      </x:c>
      <x:c r="AN56" s="18" t="str">
        <x:v>48 h</x:v>
      </x:c>
      <x:c r="AO56" s="18" t="str">
        <x:v>INCLUDE — SEPARATE TIME WINDOW</x:v>
      </x:c>
      <x:c r="AP56" s="18" t="str">
        <x:v>Valid 48 h PONV endpoint; analyze separately from 24-h PONV.</x:v>
      </x:c>
      <x:c r="AQ56" s="18" t="str">
        <x:v>No</x:v>
      </x:c>
      <x:c r="AR56" s="18" t="str"/>
      <x:c r="AS56" s="18" t="str">
        <x:v>Binary effect measure (RR preferred per protocol)</x:v>
      </x:c>
      <x:c r="AT56" s="18" t="str">
        <x:v>Any PONV</x:v>
      </x:c>
      <x:c r="AU56" s="18" t="str">
        <x:v>Within 48 h</x:v>
      </x:c>
      <x:c r="AV56" s="18" t="str">
        <x:v>Some concerns</x:v>
      </x:c>
      <x:c r="AW56" s="18" t="str">
        <x:v>No — selected RoB matches this result</x:v>
      </x:c>
      <x:c r="AX56" s="18" t="str">
        <x:v>Xiong 2021</x:v>
      </x:c>
      <x:c r="AY56" s="18" t="str">
        <x:v>Primary eligible contrast</x:v>
      </x:c>
      <x:c r="AZ56" s="18" t="str">
        <x:v>Count this study once per synthesis unless a valid multi-arm method is used.</x:v>
      </x:c>
    </x:row>
    <x:row r="57">
      <x:c r="A57" s="18" t="str">
        <x:v>Xiong 2021</x:v>
      </x:c>
      <x:c r="B57" s="18" t="str">
        <x:v>XIONG21_TEAS_vs_CTRL_CIPONV</x:v>
      </x:c>
      <x:c r="C57" s="18" t="str">
        <x:v>TEAS + dexamethasone + tropisetron</x:v>
      </x:c>
      <x:c r="D57" s="18" t="str">
        <x:v>Dexamethasone + tropisetron</x:v>
      </x:c>
      <x:c r="E57" s="18" t="str">
        <x:v>PONV</x:v>
      </x:c>
      <x:c r="F57" s="18" t="str">
        <x:v>Clinically important PONV</x:v>
      </x:c>
      <x:c r="G57" s="18" t="str">
        <x:v>Within 48 h</x:v>
      </x:c>
      <x:c r="H57" s="18" t="str">
        <x:v>Events/total</x:v>
      </x:c>
      <x:c r="I57" s="18" t="n">
        <x:v>31</x:v>
      </x:c>
      <x:c r="J57" s="18" t="n">
        <x:v>31</x:v>
      </x:c>
      <x:c r="K57" s="18" t="n">
        <x:v>31</x:v>
      </x:c>
      <x:c r="L57" s="18" t="n">
        <x:v>31</x:v>
      </x:c>
      <x:c r="M57" s="18"/>
      <x:c r="N57" s="18"/>
      <x:c r="O57" s="18"/>
      <x:c r="P57" s="18"/>
      <x:c r="Q57" s="18"/>
      <x:c r="R57" s="18" t="n">
        <x:v>5</x:v>
      </x:c>
      <x:c r="S57" s="18"/>
      <x:c r="T57" s="18"/>
      <x:c r="U57" s="18"/>
      <x:c r="V57" s="18"/>
      <x:c r="W57" s="18"/>
      <x:c r="X57" s="18" t="n">
        <x:v>15</x:v>
      </x:c>
      <x:c r="Y57" s="18" t="str">
        <x:v>participants</x:v>
      </x:c>
      <x:c r="Z57" s="18" t="str">
        <x:v>0.007</x:v>
      </x:c>
      <x:c r="AA57" s="18" t="str">
        <x:v>Yes</x:v>
      </x:c>
      <x:c r="AB57" s="18" t="str">
        <x:v>No</x:v>
      </x:c>
      <x:c r="AC57" s="18" t="str">
        <x:v>RR</x:v>
      </x:c>
      <x:c r="AD57" s="18" t="n">
        <x:v>0.3333333333333333</x:v>
      </x:c>
      <x:c r="AE57" s="18" t="str">
        <x:v>No</x:v>
      </x:c>
      <x:c r="AF57" s="18" t="str">
        <x:v>No</x:v>
      </x:c>
      <x:c r="AG57" s="18" t="str">
        <x:v>Eligible for dichotomous clinically-important PONV analysis</x:v>
      </x:c>
      <x:c r="AH57" s="18" t="str">
        <x:v>No</x:v>
      </x:c>
      <x:c r="AI57" s="18" t="str">
        <x:v>Patient-reported symptom severity; sensory blinding may be imperfect</x:v>
      </x:c>
      <x:c r="AJ57" s="18" t="str">
        <x:v>Abstract / clinically important PONV</x:v>
      </x:c>
      <x:c r="AK57" s="18" t="str">
        <x:v>https://drive.google.com/file/d/1sNaquYeWpsts7_e3XYP9c0CwM-tbQS6T/view?usp=drivesdk</x:v>
      </x:c>
      <x:c r="AL57" s="18" t="str">
        <x:v>SOURCE-VERIFIED</x:v>
      </x:c>
      <x:c r="AM57" s="18" t="str">
        <x:v>PONV</x:v>
      </x:c>
      <x:c r="AN57" s="18" t="str">
        <x:v>48 h</x:v>
      </x:c>
      <x:c r="AO57" s="18" t="str">
        <x:v>INCLUDE — SEPARATE TIME WINDOW</x:v>
      </x:c>
      <x:c r="AP57" s="18" t="str">
        <x:v>Valid 48 h PONV endpoint; analyze separately from 24-h PONV.</x:v>
      </x:c>
      <x:c r="AQ57" s="18" t="str">
        <x:v>No</x:v>
      </x:c>
      <x:c r="AR57" s="18" t="str"/>
      <x:c r="AS57" s="18" t="str">
        <x:v>Binary effect measure (RR preferred per protocol)</x:v>
      </x:c>
      <x:c r="AT57" s="18" t="str">
        <x:v>Any PONV</x:v>
      </x:c>
      <x:c r="AU57" s="18" t="str">
        <x:v>Within 48 h</x:v>
      </x:c>
      <x:c r="AV57" s="18" t="str">
        <x:v>Some concerns</x:v>
      </x:c>
      <x:c r="AW57" s="18" t="str">
        <x:v>Yes — selected RoB is for a different result/timepoint</x:v>
      </x:c>
      <x:c r="AX57" s="18" t="str">
        <x:v>Xiong 2021</x:v>
      </x:c>
      <x:c r="AY57" s="18" t="str">
        <x:v>Primary eligible contrast</x:v>
      </x:c>
      <x:c r="AZ57" s="18" t="str">
        <x:v>Count this study once per synthesis unless a valid multi-arm method is used.</x:v>
      </x:c>
    </x:row>
    <x:row r="58">
      <x:c r="A58" s="18" t="str">
        <x:v>Xiong 2021</x:v>
      </x:c>
      <x:c r="B58" s="18" t="str">
        <x:v>XIONG21_TEAS_vs_CTRL_RESCUEAE</x:v>
      </x:c>
      <x:c r="C58" s="18" t="str">
        <x:v>TEAS + dexamethasone + tropisetron</x:v>
      </x:c>
      <x:c r="D58" s="18" t="str">
        <x:v>Dexamethasone + tropisetron</x:v>
      </x:c>
      <x:c r="E58" s="18" t="str">
        <x:v>Rescue antiemetic</x:v>
      </x:c>
      <x:c r="F58" s="18" t="str">
        <x:v>Any rescue antiemetic medication</x:v>
      </x:c>
      <x:c r="G58" s="18" t="str">
        <x:v>Within 48 h</x:v>
      </x:c>
      <x:c r="H58" s="18" t="str">
        <x:v>Events/total</x:v>
      </x:c>
      <x:c r="I58" s="18" t="n">
        <x:v>31</x:v>
      </x:c>
      <x:c r="J58" s="18" t="n">
        <x:v>31</x:v>
      </x:c>
      <x:c r="K58" s="18" t="n">
        <x:v>31</x:v>
      </x:c>
      <x:c r="L58" s="18" t="n">
        <x:v>31</x:v>
      </x:c>
      <x:c r="M58" s="18"/>
      <x:c r="N58" s="18"/>
      <x:c r="O58" s="18"/>
      <x:c r="P58" s="18"/>
      <x:c r="Q58" s="18"/>
      <x:c r="R58" s="18" t="n">
        <x:v>9</x:v>
      </x:c>
      <x:c r="S58" s="18"/>
      <x:c r="T58" s="18"/>
      <x:c r="U58" s="18"/>
      <x:c r="V58" s="18"/>
      <x:c r="W58" s="18"/>
      <x:c r="X58" s="18" t="n">
        <x:v>18</x:v>
      </x:c>
      <x:c r="Y58" s="18" t="str">
        <x:v>participants</x:v>
      </x:c>
      <x:c r="Z58" s="18" t="str">
        <x:v>0.021</x:v>
      </x:c>
      <x:c r="AA58" s="18" t="str">
        <x:v>Percentages directly reported; counts exactly reconstructed from 29.0% and 58.1%</x:v>
      </x:c>
      <x:c r="AB58" s="18" t="str">
        <x:v>Yes</x:v>
      </x:c>
      <x:c r="AC58" s="18" t="str">
        <x:v>RR</x:v>
      </x:c>
      <x:c r="AD58" s="18" t="n">
        <x:v>0.5</x:v>
      </x:c>
      <x:c r="AE58" s="18" t="str">
        <x:v>No</x:v>
      </x:c>
      <x:c r="AF58" s="18" t="str">
        <x:v>No</x:v>
      </x:c>
      <x:c r="AG58" s="18" t="str">
        <x:v>Eligible for dichotomous rescue-antiemetic analysis</x:v>
      </x:c>
      <x:c r="AH58" s="18" t="str">
        <x:v>No</x:v>
      </x:c>
      <x:c r="AI58" s="18" t="str">
        <x:v>Counts reconstructed exactly from group denominator 31</x:v>
      </x:c>
      <x:c r="AJ58" s="18" t="str">
        <x:v>Abstract / rescue antiemetic result</x:v>
      </x:c>
      <x:c r="AK58" s="18" t="str">
        <x:v>https://drive.google.com/file/d/1sNaquYeWpsts7_e3XYP9c0CwM-tbQS6T/view?usp=drivesdk</x:v>
      </x:c>
      <x:c r="AL58" s="18" t="str">
        <x:v>SOURCE-VERIFIED / COUNTS DERIVED</x:v>
      </x:c>
      <x:c r="AM58" s="18" t="str">
        <x:v>Rescue antiemetic</x:v>
      </x:c>
      <x:c r="AN58" s="18" t="str">
        <x:v>48 h</x:v>
      </x:c>
      <x:c r="AO58" s="18" t="str">
        <x:v>CONDITIONAL</x:v>
      </x:c>
      <x:c r="AP58" s="18" t="str">
        <x:v>Source-grounded but carries a QC qualification.</x:v>
      </x:c>
      <x:c r="AQ58" s="18" t="str">
        <x:v>No</x:v>
      </x:c>
      <x:c r="AR58" s="18" t="str"/>
      <x:c r="AS58" s="18" t="str">
        <x:v>Binary effect measure (RR preferred per protocol)</x:v>
      </x:c>
      <x:c r="AT58" s="18" t="str">
        <x:v>Any PONV</x:v>
      </x:c>
      <x:c r="AU58" s="18" t="str">
        <x:v>Within 48 h</x:v>
      </x:c>
      <x:c r="AV58" s="18" t="str">
        <x:v>Some concerns</x:v>
      </x:c>
      <x:c r="AW58" s="18" t="str">
        <x:v>Yes — selected RoB is for a different result/timepoint</x:v>
      </x:c>
      <x:c r="AX58" s="18" t="str">
        <x:v>Xiong 2021</x:v>
      </x:c>
      <x:c r="AY58" s="18" t="str">
        <x:v>Primary eligible contrast</x:v>
      </x:c>
      <x:c r="AZ58" s="18" t="str">
        <x:v>Count this study once per synthesis unless a valid multi-arm method is used.</x:v>
      </x:c>
    </x:row>
    <x:row r="59">
      <x:c r="A59" s="18" t="str">
        <x:v>Xiong 2021</x:v>
      </x:c>
      <x:c r="B59" s="18" t="str">
        <x:v>XIONG21_TEAS_vs_CTRL_POSTOPMME</x:v>
      </x:c>
      <x:c r="C59" s="18" t="str">
        <x:v>TEAS + dexamethasone + tropisetron</x:v>
      </x:c>
      <x:c r="D59" s="18" t="str">
        <x:v>Dexamethasone + tropisetron</x:v>
      </x:c>
      <x:c r="E59" s="18" t="str">
        <x:v>Opioid consumption</x:v>
      </x:c>
      <x:c r="F59" s="18" t="str">
        <x:v>Postoperative opioid consumption</x:v>
      </x:c>
      <x:c r="G59" s="18" t="str">
        <x:v>Postoperative window unclear</x:v>
      </x:c>
      <x:c r="H59" s="18" t="str">
        <x:v>Mean/SD</x:v>
      </x:c>
      <x:c r="I59" s="18" t="n">
        <x:v>31</x:v>
      </x:c>
      <x:c r="J59" s="18" t="n">
        <x:v>31</x:v>
      </x:c>
      <x:c r="K59" s="18" t="n">
        <x:v>31</x:v>
      </x:c>
      <x:c r="L59" s="18" t="n">
        <x:v>31</x:v>
      </x:c>
      <x:c r="M59" s="18" t="n">
        <x:v>0.6</x:v>
      </x:c>
      <x:c r="N59" s="18" t="n">
        <x:v>0.2</x:v>
      </x:c>
      <x:c r="O59" s="18"/>
      <x:c r="P59" s="18"/>
      <x:c r="Q59" s="18"/>
      <x:c r="R59" s="18"/>
      <x:c r="S59" s="18" t="n">
        <x:v>0.6</x:v>
      </x:c>
      <x:c r="T59" s="18" t="n">
        <x:v>0.1</x:v>
      </x:c>
      <x:c r="U59" s="18"/>
      <x:c r="V59" s="18"/>
      <x:c r="W59" s="18"/>
      <x:c r="X59" s="18"/>
      <x:c r="Y59" s="18" t="str">
        <x:v>mg morphine-equivalent/kg</x:v>
      </x:c>
      <x:c r="Z59" s="18" t="str">
        <x:v>0.908</x:v>
      </x:c>
      <x:c r="AA59" s="18" t="str">
        <x:v>Yes</x:v>
      </x:c>
      <x:c r="AB59" s="18" t="str">
        <x:v>Yes</x:v>
      </x:c>
      <x:c r="AC59" s="18" t="str">
        <x:v>MD</x:v>
      </x:c>
      <x:c r="AD59" s="18" t="n">
        <x:v>0</x:v>
      </x:c>
      <x:c r="AE59" s="18" t="str">
        <x:v>No</x:v>
      </x:c>
      <x:c r="AF59" s="18" t="str">
        <x:v>No</x:v>
      </x:c>
      <x:c r="AG59" s="18" t="str">
        <x:v>Not eligible for strict 0-24-h opioid meta-analysis until time window is clarified</x:v>
      </x:c>
      <x:c r="AH59" s="18" t="str">
        <x:v>No</x:v>
      </x:c>
      <x:c r="AI59" s="18" t="str">
        <x:v>Exact postoperative interval is not stated; route terminology in Results is internally inconsistent</x:v>
      </x:c>
      <x:c r="AJ59" s="18" t="str">
        <x:v>Table 1 / postoperative opioid consumption</x:v>
      </x:c>
      <x:c r="AK59" s="18" t="str">
        <x:v>https://drive.google.com/file/d/1sNaquYeWpsts7_e3XYP9c0CwM-tbQS6T/view?usp=drivesdk</x:v>
      </x:c>
      <x:c r="AL59" s="18" t="str">
        <x:v>SOURCE-VERIFIED / WINDOW QC</x:v>
      </x:c>
      <x:c r="AM59" s="18" t="str">
        <x:v>Postoperative opioid consumption</x:v>
      </x:c>
      <x:c r="AN59" s="18" t="str">
        <x:v>Postoperative window unclear</x:v>
      </x:c>
      <x:c r="AO59" s="18" t="str">
        <x:v>EXCLUDE — NOT PRIMARY 24H OPIOID</x:v>
      </x:c>
      <x:c r="AP59" s="18" t="str">
        <x:v>Not a strict 0-24-h postoperative opioid-consumption endpoint.</x:v>
      </x:c>
      <x:c r="AQ59" s="18" t="str">
        <x:v>No</x:v>
      </x:c>
      <x:c r="AR59" s="18" t="str"/>
      <x:c r="AS59" s="18" t="str">
        <x:v>Use native IV morphine; convert to review-standard MME only per prespecified rule</x:v>
      </x:c>
      <x:c r="AT59" s="18" t="str">
        <x:v>Any PONV</x:v>
      </x:c>
      <x:c r="AU59" s="18" t="str">
        <x:v>Within 48 h</x:v>
      </x:c>
      <x:c r="AV59" s="18" t="str">
        <x:v>Some concerns</x:v>
      </x:c>
      <x:c r="AW59" s="18" t="str">
        <x:v>Yes — selected RoB is for a different result/timepoint</x:v>
      </x:c>
      <x:c r="AX59" s="18" t="str">
        <x:v>Xiong 2021</x:v>
      </x:c>
      <x:c r="AY59" s="18" t="str">
        <x:v>Primary eligible contrast</x:v>
      </x:c>
      <x:c r="AZ59" s="18" t="str">
        <x:v>Count this study once per synthesis unless a valid multi-arm method is used.</x:v>
      </x:c>
    </x:row>
    <x:row r="60">
      <x:c r="A60" s="18" t="str">
        <x:v>Xiong 2021</x:v>
      </x:c>
      <x:c r="B60" s="18" t="str">
        <x:v>XIONG21_TEAS_vs_CTRL_OPIOID24</x:v>
      </x:c>
      <x:c r="C60" s="18" t="str">
        <x:v>TEAS + dexamethasone + tropisetron</x:v>
      </x:c>
      <x:c r="D60" s="18" t="str">
        <x:v>Dexamethasone + tropisetron</x:v>
      </x:c>
      <x:c r="E60" s="18" t="str">
        <x:v>Opioid consumption</x:v>
      </x:c>
      <x:c r="F60" s="18" t="str">
        <x:v>Exact cumulative postoperative opioid dose</x:v>
      </x:c>
      <x:c r="G60" s="18" t="str">
        <x:v>0-24 h</x:v>
      </x:c>
      <x:c r="H60" s="18" t="str">
        <x:v>Not reported</x:v>
      </x:c>
      <x:c r="I60" s="18" t="n">
        <x:v>31</x:v>
      </x:c>
      <x:c r="J60" s="18" t="n">
        <x:v>31</x:v>
      </x:c>
      <x:c r="K60" s="18" t="n">
        <x:v>31</x:v>
      </x:c>
      <x:c r="L60" s="18" t="n">
        <x:v>31</x:v>
      </x:c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 t="str">
        <x:v>mg morphine-equivalent/kg</x:v>
      </x:c>
      <x:c r="Z60" s="18"/>
      <x:c r="AA60" s="18" t="str">
        <x:v>No</x:v>
      </x:c>
      <x:c r="AB60" s="18" t="str">
        <x:v>No</x:v>
      </x:c>
      <x:c r="AC60" s="18"/>
      <x:c r="AD60" s="18"/>
      <x:c r="AE60" s="18" t="str">
        <x:v>No</x:v>
      </x:c>
      <x:c r="AF60" s="18" t="str">
        <x:v>No</x:v>
      </x:c>
      <x:c r="AG60" s="18" t="str">
        <x:v>Not eligible for continuous 24-h opioid meta-analysis</x:v>
      </x:c>
      <x:c r="AH60" s="18" t="str">
        <x:v>No</x:v>
      </x:c>
      <x:c r="AI60" s="18" t="str">
        <x:v>Published opioid-equivalent result lacks a fixed time window</x:v>
      </x:c>
      <x:c r="AJ60" s="18" t="str">
        <x:v>Exact 24-h endpoint absent</x:v>
      </x:c>
      <x:c r="AK60" s="18" t="str">
        <x:v>https://drive.google.com/file/d/1sNaquYeWpsts7_e3XYP9c0CwM-tbQS6T/view?usp=drivesdk</x:v>
      </x:c>
      <x:c r="AL60" s="18" t="str">
        <x:v>MISSING / WINDOW NOT REPORTED</x:v>
      </x:c>
      <x:c r="AM60" s="18" t="str">
        <x:v>Postoperative opioid consumption</x:v>
      </x:c>
      <x:c r="AN60" s="18" t="str">
        <x:v>Exact/explicit 24 h</x:v>
      </x:c>
      <x:c r="AO60" s="18" t="str">
        <x:v>EXCLUDE — DATA UNAVAILABLE</x:v>
      </x:c>
      <x:c r="AP60" s="18" t="str">
        <x:v>The source does not provide a defensible quantitative value for this analysis.</x:v>
      </x:c>
      <x:c r="AQ60" s="18" t="str">
        <x:v>No</x:v>
      </x:c>
      <x:c r="AR60" s="18" t="str"/>
      <x:c r="AS60" s="18" t="str">
        <x:v>Use native IV morphine; convert to review-standard MME only per prespecified rule</x:v>
      </x:c>
      <x:c r="AT60" s="18" t="str">
        <x:v>Any PONV</x:v>
      </x:c>
      <x:c r="AU60" s="18" t="str">
        <x:v>Within 48 h</x:v>
      </x:c>
      <x:c r="AV60" s="18" t="str">
        <x:v>Some concerns</x:v>
      </x:c>
      <x:c r="AW60" s="18" t="str">
        <x:v>Yes — selected RoB is for a different result/timepoint</x:v>
      </x:c>
      <x:c r="AX60" s="18" t="str">
        <x:v>Xiong 2021</x:v>
      </x:c>
      <x:c r="AY60" s="18" t="str">
        <x:v>Primary eligible contrast</x:v>
      </x:c>
      <x:c r="AZ60" s="18" t="str">
        <x:v>Count this study once per synthesis unless a valid multi-arm method is used.</x:v>
      </x:c>
    </x:row>
    <x:row r="61">
      <x:c r="A61" s="18" t="str">
        <x:v>Xing 2022</x:v>
      </x:c>
      <x:c r="B61" s="18" t="str">
        <x:v>XING22_NTG_vs_NG_REMI</x:v>
      </x:c>
      <x:c r="C61" s="18" t="str">
        <x:v>TEAS + active TAPB</x:v>
      </x:c>
      <x:c r="D61" s="18" t="str">
        <x:v>Sham TEAS + active TAPB</x:v>
      </x:c>
      <x:c r="E61" s="18" t="str">
        <x:v>Intraoperative opioid</x:v>
      </x:c>
      <x:c r="F61" s="18" t="str">
        <x:v>Total remifentanil consumption</x:v>
      </x:c>
      <x:c r="G61" s="18" t="str">
        <x:v>Intraoperative</x:v>
      </x:c>
      <x:c r="H61" s="18" t="str">
        <x:v>Mean/SD</x:v>
      </x:c>
      <x:c r="I61" s="18" t="n">
        <x:v>30</x:v>
      </x:c>
      <x:c r="J61" s="18" t="n">
        <x:v>30</x:v>
      </x:c>
      <x:c r="K61" s="18" t="n">
        <x:v>29</x:v>
      </x:c>
      <x:c r="L61" s="18" t="n">
        <x:v>29</x:v>
      </x:c>
      <x:c r="M61" s="18" t="n">
        <x:v>1182.61</x:v>
      </x:c>
      <x:c r="N61" s="18" t="n">
        <x:v>253.61</x:v>
      </x:c>
      <x:c r="O61" s="18"/>
      <x:c r="P61" s="18"/>
      <x:c r="Q61" s="18"/>
      <x:c r="R61" s="18"/>
      <x:c r="S61" s="18" t="n">
        <x:v>1415.41</x:v>
      </x:c>
      <x:c r="T61" s="18" t="n">
        <x:v>295.67</x:v>
      </x:c>
      <x:c r="U61" s="18"/>
      <x:c r="V61" s="18"/>
      <x:c r="W61" s="18"/>
      <x:c r="X61" s="18"/>
      <x:c r="Y61" s="18" t="str">
        <x:v>µg remifentanil</x:v>
      </x:c>
      <x:c r="Z61" s="18" t="str">
        <x:v>&lt;0.05 pairwise</x:v>
      </x:c>
      <x:c r="AA61" s="18" t="str">
        <x:v>Yes</x:v>
      </x:c>
      <x:c r="AB61" s="18" t="str">
        <x:v>No</x:v>
      </x:c>
      <x:c r="AC61" s="18" t="str">
        <x:v>MD</x:v>
      </x:c>
      <x:c r="AD61" s="18" t="n">
        <x:v>-232.80000000000018</x:v>
      </x:c>
      <x:c r="AE61" s="18" t="str">
        <x:v>No</x:v>
      </x:c>
      <x:c r="AF61" s="18" t="str">
        <x:v>No</x:v>
      </x:c>
      <x:c r="AG61" s="18" t="str">
        <x:v>Eligible for incremental TEAS intraoperative opioid-sparing analysis</x:v>
      </x:c>
      <x:c r="AH61" s="18" t="str">
        <x:v>Yes</x:v>
      </x:c>
      <x:c r="AI61" s="18" t="str">
        <x:v>Direct TEAS contrast is NTG vs NG; do not attribute NTG-vs-G combined package entirely to TEAS</x:v>
      </x:c>
      <x:c r="AJ61" s="18" t="str">
        <x:v>Table 3, p10</x:v>
      </x:c>
      <x:c r="AK61" s="18" t="str">
        <x:v>https://drive.google.com/file/d/1h3IGpQ56nSh7H16xBEVyTzCBkWOXRSxK/view?usp=drivesdk</x:v>
      </x:c>
      <x:c r="AL61" s="18" t="str">
        <x:v>SOURCE-VERIFIED</x:v>
      </x:c>
      <x:c r="AM61" s="18" t="str">
        <x:v>Intraoperative opioid</x:v>
      </x:c>
      <x:c r="AN61" s="18" t="str">
        <x:v>Intraoperative</x:v>
      </x:c>
      <x:c r="AO61" s="18" t="str">
        <x:v>INCLUDE — INTRAOPERATIVE</x:v>
      </x:c>
      <x:c r="AP61" s="18" t="str">
        <x:v>Valid intraoperative opioid endpoint; must remain separate from postoperative opioid consumption.</x:v>
      </x:c>
      <x:c r="AQ61" s="18" t="str">
        <x:v>No</x:v>
      </x:c>
      <x:c r="AR61" s="18" t="str"/>
      <x:c r="AS61" s="18" t="str">
        <x:v>None</x:v>
      </x:c>
      <x:c r="AT61" s="18" t="str">
        <x:v>Total intraoperative remifentanil consumption</x:v>
      </x:c>
      <x:c r="AU61" s="18" t="str">
        <x:v>Intraoperative</x:v>
      </x:c>
      <x:c r="AV61" s="18" t="str">
        <x:v>Some concerns</x:v>
      </x:c>
      <x:c r="AW61" s="18" t="str">
        <x:v>Yes — selected RoB is for a different result/timepoint</x:v>
      </x:c>
      <x:c r="AX61" s="18" t="str">
        <x:v>Xing 2022</x:v>
      </x:c>
      <x:c r="AY61" s="18" t="str">
        <x:v>Shared-control / multi-arm contrast</x:v>
      </x:c>
      <x:c r="AZ61" s="18" t="str">
        <x:v>Shared comparator present; avoid double-counting controls.</x:v>
      </x:c>
    </x:row>
    <x:row r="62">
      <x:c r="A62" s="18" t="str">
        <x:v>Xing 2022</x:v>
      </x:c>
      <x:c r="B62" s="18" t="str">
        <x:v>XING22_NTG_vs_NG_FLATUS</x:v>
      </x:c>
      <x:c r="C62" s="18" t="str">
        <x:v>TEAS + active TAPB</x:v>
      </x:c>
      <x:c r="D62" s="18" t="str">
        <x:v>Sham TEAS + active TAPB</x:v>
      </x:c>
      <x:c r="E62" s="18" t="str">
        <x:v>GI recovery</x:v>
      </x:c>
      <x:c r="F62" s="18" t="str">
        <x:v>Time to first flatus</x:v>
      </x:c>
      <x:c r="G62" s="18" t="str">
        <x:v>Postoperative</x:v>
      </x:c>
      <x:c r="H62" s="18" t="str">
        <x:v>Mean/SD</x:v>
      </x:c>
      <x:c r="I62" s="18" t="n">
        <x:v>30</x:v>
      </x:c>
      <x:c r="J62" s="18" t="n">
        <x:v>30</x:v>
      </x:c>
      <x:c r="K62" s="18" t="n">
        <x:v>29</x:v>
      </x:c>
      <x:c r="L62" s="18" t="n">
        <x:v>29</x:v>
      </x:c>
      <x:c r="M62" s="18" t="n">
        <x:v>32.57</x:v>
      </x:c>
      <x:c r="N62" s="18" t="n">
        <x:v>6.94</x:v>
      </x:c>
      <x:c r="O62" s="18"/>
      <x:c r="P62" s="18"/>
      <x:c r="Q62" s="18"/>
      <x:c r="R62" s="18"/>
      <x:c r="S62" s="18" t="n">
        <x:v>36.83</x:v>
      </x:c>
      <x:c r="T62" s="18" t="n">
        <x:v>6.19</x:v>
      </x:c>
      <x:c r="U62" s="18"/>
      <x:c r="V62" s="18"/>
      <x:c r="W62" s="18"/>
      <x:c r="X62" s="18"/>
      <x:c r="Y62" s="18" t="str">
        <x:v>hours</x:v>
      </x:c>
      <x:c r="Z62" s="18" t="str">
        <x:v>&lt;0.05 pairwise</x:v>
      </x:c>
      <x:c r="AA62" s="18" t="str">
        <x:v>Yes</x:v>
      </x:c>
      <x:c r="AB62" s="18" t="str">
        <x:v>No</x:v>
      </x:c>
      <x:c r="AC62" s="18" t="str">
        <x:v>MD</x:v>
      </x:c>
      <x:c r="AD62" s="18" t="n">
        <x:v>-4.259999999999998</x:v>
      </x:c>
      <x:c r="AE62" s="18" t="str">
        <x:v>No</x:v>
      </x:c>
      <x:c r="AF62" s="18" t="str">
        <x:v>No</x:v>
      </x:c>
      <x:c r="AG62" s="18" t="str">
        <x:v>Eligible for GI-recovery analysis</x:v>
      </x:c>
      <x:c r="AH62" s="18" t="str">
        <x:v>Yes</x:v>
      </x:c>
      <x:c r="AI62" s="18" t="str">
        <x:v>Three-arm study; use NTG vs NG for incremental TEAS effect</x:v>
      </x:c>
      <x:c r="AJ62" s="18" t="str">
        <x:v>Postoperative recovery results</x:v>
      </x:c>
      <x:c r="AK62" s="18" t="str">
        <x:v>https://drive.google.com/file/d/1h3IGpQ56nSh7H16xBEVyTzCBkWOXRSxK/view?usp=drivesdk</x:v>
      </x:c>
      <x:c r="AL62" s="18" t="str">
        <x:v>SOURCE-VERIFIED</x:v>
      </x:c>
      <x:c r="AM62" s="18" t="str">
        <x:v>GI recovery</x:v>
      </x:c>
      <x:c r="AN62" s="18" t="str">
        <x:v>Postoperative</x:v>
      </x:c>
      <x:c r="AO62" s="18" t="str">
        <x:v>INCLUDE</x:v>
      </x:c>
      <x:c r="AP62" s="18" t="str">
        <x:v>Source-valid first-flatus/ileus endpoint; retain reported distribution (mean/SD, median/IQR, or events).</x:v>
      </x:c>
      <x:c r="AQ62" s="18" t="str">
        <x:v>Yes</x:v>
      </x:c>
      <x:c r="AR62" s="18" t="str"/>
      <x:c r="AS62" s="18" t="str">
        <x:v>None</x:v>
      </x:c>
      <x:c r="AT62" s="18" t="str">
        <x:v>Total intraoperative remifentanil consumption</x:v>
      </x:c>
      <x:c r="AU62" s="18" t="str">
        <x:v>Intraoperative</x:v>
      </x:c>
      <x:c r="AV62" s="18" t="str">
        <x:v>Some concerns</x:v>
      </x:c>
      <x:c r="AW62" s="18" t="str">
        <x:v>Yes — selected RoB is for a different result/timepoint</x:v>
      </x:c>
      <x:c r="AX62" s="18" t="str">
        <x:v>Xing 2022</x:v>
      </x:c>
      <x:c r="AY62" s="18" t="str">
        <x:v>Shared-control / multi-arm contrast</x:v>
      </x:c>
      <x:c r="AZ62" s="18" t="str">
        <x:v>Shared comparator present; avoid double-counting controls.</x:v>
      </x:c>
    </x:row>
    <x:row r="63">
      <x:c r="A63" s="18" t="str">
        <x:v>Xing 2022</x:v>
      </x:c>
      <x:c r="B63" s="18" t="str">
        <x:v>XING22_NTG_vs_NG_PONV</x:v>
      </x:c>
      <x:c r="C63" s="18" t="str">
        <x:v>TEAS + active TAPB</x:v>
      </x:c>
      <x:c r="D63" s="18" t="str">
        <x:v>Sham TEAS + active TAPB</x:v>
      </x:c>
      <x:c r="E63" s="18" t="str">
        <x:v>PONV</x:v>
      </x:c>
      <x:c r="F63" s="18" t="str">
        <x:v>PONV incidence</x:v>
      </x:c>
      <x:c r="G63" s="18" t="str">
        <x:v>Postoperative</x:v>
      </x:c>
      <x:c r="H63" s="18" t="str">
        <x:v>Events/total</x:v>
      </x:c>
      <x:c r="I63" s="18" t="n">
        <x:v>30</x:v>
      </x:c>
      <x:c r="J63" s="18" t="n">
        <x:v>30</x:v>
      </x:c>
      <x:c r="K63" s="18" t="n">
        <x:v>29</x:v>
      </x:c>
      <x:c r="L63" s="18" t="n">
        <x:v>29</x:v>
      </x:c>
      <x:c r="M63" s="18"/>
      <x:c r="N63" s="18"/>
      <x:c r="O63" s="18"/>
      <x:c r="P63" s="18"/>
      <x:c r="Q63" s="18"/>
      <x:c r="R63" s="18" t="n">
        <x:v>5</x:v>
      </x:c>
      <x:c r="S63" s="18"/>
      <x:c r="T63" s="18"/>
      <x:c r="U63" s="18"/>
      <x:c r="V63" s="18"/>
      <x:c r="W63" s="18"/>
      <x:c r="X63" s="18" t="n">
        <x:v>11</x:v>
      </x:c>
      <x:c r="Y63" s="18" t="str">
        <x:v>participants</x:v>
      </x:c>
      <x:c r="Z63" s="18" t="str">
        <x:v>&lt;0.05 pairwise</x:v>
      </x:c>
      <x:c r="AA63" s="18" t="str">
        <x:v>Percentages reported; counts exactly reconstructed from 17.24% and 37.93%</x:v>
      </x:c>
      <x:c r="AB63" s="18" t="str">
        <x:v>Yes</x:v>
      </x:c>
      <x:c r="AC63" s="18" t="str">
        <x:v>RR</x:v>
      </x:c>
      <x:c r="AD63" s="18" t="n">
        <x:v>0.4545454545454546</x:v>
      </x:c>
      <x:c r="AE63" s="18" t="str">
        <x:v>No</x:v>
      </x:c>
      <x:c r="AF63" s="18" t="str">
        <x:v>No</x:v>
      </x:c>
      <x:c r="AG63" s="18" t="str">
        <x:v>Eligible for dichotomous PONV analysis</x:v>
      </x:c>
      <x:c r="AH63" s="18" t="str">
        <x:v>Yes</x:v>
      </x:c>
      <x:c r="AI63" s="18" t="str">
        <x:v>Counts reconstructed from n=29 analyzed per arm</x:v>
      </x:c>
      <x:c r="AJ63" s="18" t="str">
        <x:v>Postoperative complications</x:v>
      </x:c>
      <x:c r="AK63" s="18" t="str">
        <x:v>https://drive.google.com/file/d/1h3IGpQ56nSh7H16xBEVyTzCBkWOXRSxK/view?usp=drivesdk</x:v>
      </x:c>
      <x:c r="AL63" s="18" t="str">
        <x:v>SOURCE-VERIFIED / COUNTS DERIVED</x:v>
      </x:c>
      <x:c r="AM63" s="18" t="str">
        <x:v>PONV</x:v>
      </x:c>
      <x:c r="AN63" s="18" t="str">
        <x:v>Postoperative</x:v>
      </x:c>
      <x:c r="AO63" s="18" t="str">
        <x:v>CONDITIONAL</x:v>
      </x:c>
      <x:c r="AP63" s="18" t="str">
        <x:v>Valid PONV result, but the postoperative observation window should be matched to the intended synthesis.</x:v>
      </x:c>
      <x:c r="AQ63" s="18" t="str">
        <x:v>No</x:v>
      </x:c>
      <x:c r="AR63" s="18" t="str"/>
      <x:c r="AS63" s="18" t="str">
        <x:v>Binary effect measure (RR preferred per protocol)</x:v>
      </x:c>
      <x:c r="AT63" s="18" t="str">
        <x:v>Total intraoperative remifentanil consumption</x:v>
      </x:c>
      <x:c r="AU63" s="18" t="str">
        <x:v>Intraoperative</x:v>
      </x:c>
      <x:c r="AV63" s="18" t="str">
        <x:v>Some concerns</x:v>
      </x:c>
      <x:c r="AW63" s="18" t="str">
        <x:v>Yes — selected RoB is for a different result/timepoint</x:v>
      </x:c>
      <x:c r="AX63" s="18" t="str">
        <x:v>Xing 2022</x:v>
      </x:c>
      <x:c r="AY63" s="18" t="str">
        <x:v>Shared-control / multi-arm contrast</x:v>
      </x:c>
      <x:c r="AZ63" s="18" t="str">
        <x:v>Shared comparator present; avoid double-counting controls.</x:v>
      </x:c>
    </x:row>
    <x:row r="64">
      <x:c r="A64" s="18" t="str">
        <x:v>Xing 2022</x:v>
      </x:c>
      <x:c r="B64" s="18" t="str">
        <x:v>XING22_NTG_vs_NG_RESTVAS24</x:v>
      </x:c>
      <x:c r="C64" s="18" t="str">
        <x:v>TEAS + active TAPB</x:v>
      </x:c>
      <x:c r="D64" s="18" t="str">
        <x:v>Sham TEAS + active TAPB</x:v>
      </x:c>
      <x:c r="E64" s="18" t="str">
        <x:v>Pain</x:v>
      </x:c>
      <x:c r="F64" s="18" t="str">
        <x:v>Rest pain VAS</x:v>
      </x:c>
      <x:c r="G64" s="18" t="str">
        <x:v>24 h</x:v>
      </x:c>
      <x:c r="H64" s="18" t="str">
        <x:v>Mean/SD</x:v>
      </x:c>
      <x:c r="I64" s="18" t="n">
        <x:v>30</x:v>
      </x:c>
      <x:c r="J64" s="18" t="n">
        <x:v>30</x:v>
      </x:c>
      <x:c r="K64" s="18" t="n">
        <x:v>29</x:v>
      </x:c>
      <x:c r="L64" s="18" t="n">
        <x:v>29</x:v>
      </x:c>
      <x:c r="M64" s="18" t="n">
        <x:v>1.18</x:v>
      </x:c>
      <x:c r="N64" s="18" t="n">
        <x:v>0.42</x:v>
      </x:c>
      <x:c r="O64" s="18"/>
      <x:c r="P64" s="18"/>
      <x:c r="Q64" s="18"/>
      <x:c r="R64" s="18"/>
      <x:c r="S64" s="18" t="n">
        <x:v>1.4</x:v>
      </x:c>
      <x:c r="T64" s="18" t="n">
        <x:v>0.52</x:v>
      </x:c>
      <x:c r="U64" s="18"/>
      <x:c r="V64" s="18"/>
      <x:c r="W64" s="18"/>
      <x:c r="X64" s="18"/>
      <x:c r="Y64" s="18" t="str">
        <x:v>VAS 0-10</x:v>
      </x:c>
      <x:c r="Z64" s="18" t="str">
        <x:v>NS for NTG vs NG at 24 h</x:v>
      </x:c>
      <x:c r="AA64" s="18" t="str">
        <x:v>Yes</x:v>
      </x:c>
      <x:c r="AB64" s="18" t="str">
        <x:v>No</x:v>
      </x:c>
      <x:c r="AC64" s="18" t="str">
        <x:v>MD</x:v>
      </x:c>
      <x:c r="AD64" s="18" t="n">
        <x:v>-0.21999999999999997</x:v>
      </x:c>
      <x:c r="AE64" s="18" t="str">
        <x:v>No</x:v>
      </x:c>
      <x:c r="AF64" s="18" t="str">
        <x:v>No</x:v>
      </x:c>
      <x:c r="AG64" s="18" t="str">
        <x:v>Eligible for 24-h pain analysis</x:v>
      </x:c>
      <x:c r="AH64" s="18" t="str">
        <x:v>Yes</x:v>
      </x:c>
      <x:c r="AI64" s="18" t="str">
        <x:v>At 24 h both TAPB groups improved versus G, but incremental NTG-vs-NG difference was not reported significant</x:v>
      </x:c>
      <x:c r="AJ64" s="18" t="str">
        <x:v>24-h pain result</x:v>
      </x:c>
      <x:c r="AK64" s="18" t="str">
        <x:v>https://drive.google.com/file/d/1h3IGpQ56nSh7H16xBEVyTzCBkWOXRSxK/view?usp=drivesdk</x:v>
      </x:c>
      <x:c r="AL64" s="18" t="str">
        <x:v>SOURCE-VERIFIED</x:v>
      </x:c>
      <x:c r="AM64" s="18" t="str">
        <x:v>Pain</x:v>
      </x:c>
      <x:c r="AN64" s="18" t="str">
        <x:v>Exact/explicit 24 h</x:v>
      </x:c>
      <x:c r="AO64" s="18" t="str">
        <x:v>INCLUDE</x:v>
      </x:c>
      <x:c r="AP64" s="18" t="str">
        <x:v>Explicit 24-h pain endpoint with quantitative source data.</x:v>
      </x:c>
      <x:c r="AQ64" s="18" t="str">
        <x:v>Yes</x:v>
      </x:c>
      <x:c r="AR64" s="18" t="str"/>
      <x:c r="AS64" s="18" t="str">
        <x:v>None</x:v>
      </x:c>
      <x:c r="AT64" s="18" t="str">
        <x:v>Total intraoperative remifentanil consumption</x:v>
      </x:c>
      <x:c r="AU64" s="18" t="str">
        <x:v>Intraoperative</x:v>
      </x:c>
      <x:c r="AV64" s="18" t="str">
        <x:v>Some concerns</x:v>
      </x:c>
      <x:c r="AW64" s="18" t="str">
        <x:v>Yes — selected RoB is for a different result/timepoint</x:v>
      </x:c>
      <x:c r="AX64" s="18" t="str">
        <x:v>Xing 2022</x:v>
      </x:c>
      <x:c r="AY64" s="18" t="str">
        <x:v>Shared-control / multi-arm contrast</x:v>
      </x:c>
      <x:c r="AZ64" s="18" t="str">
        <x:v>Shared comparator present; avoid double-counting controls.</x:v>
      </x:c>
    </x:row>
    <x:row r="65">
      <x:c r="A65" s="18" t="str">
        <x:v>Xing 2022</x:v>
      </x:c>
      <x:c r="B65" s="18" t="str">
        <x:v>XING22_NTG_vs_NG_PRESS</x:v>
      </x:c>
      <x:c r="C65" s="18" t="str">
        <x:v>TEAS + active TAPB</x:v>
      </x:c>
      <x:c r="D65" s="18" t="str">
        <x:v>Sham TEAS + active TAPB</x:v>
      </x:c>
      <x:c r="E65" s="18" t="str">
        <x:v>Opioid demand</x:v>
      </x:c>
      <x:c r="F65" s="18" t="str">
        <x:v>PCIA pump press count</x:v>
      </x:c>
      <x:c r="G65" s="18" t="str">
        <x:v>48-h / 2-day PCIA period</x:v>
      </x:c>
      <x:c r="H65" s="18" t="str">
        <x:v>Mean/SD</x:v>
      </x:c>
      <x:c r="I65" s="18" t="n">
        <x:v>30</x:v>
      </x:c>
      <x:c r="J65" s="18" t="n">
        <x:v>30</x:v>
      </x:c>
      <x:c r="K65" s="18" t="n">
        <x:v>29</x:v>
      </x:c>
      <x:c r="L65" s="18" t="n">
        <x:v>29</x:v>
      </x:c>
      <x:c r="M65" s="18" t="n">
        <x:v>6.55</x:v>
      </x:c>
      <x:c r="N65" s="18" t="n">
        <x:v>3.19</x:v>
      </x:c>
      <x:c r="O65" s="18"/>
      <x:c r="P65" s="18"/>
      <x:c r="Q65" s="18"/>
      <x:c r="R65" s="18"/>
      <x:c r="S65" s="18" t="n">
        <x:v>9.97</x:v>
      </x:c>
      <x:c r="T65" s="18" t="n">
        <x:v>3.8</x:v>
      </x:c>
      <x:c r="U65" s="18"/>
      <x:c r="V65" s="18"/>
      <x:c r="W65" s="18"/>
      <x:c r="X65" s="18"/>
      <x:c r="Y65" s="18" t="str">
        <x:v>presses</x:v>
      </x:c>
      <x:c r="Z65" s="18" t="str">
        <x:v>&lt;0.05 pairwise</x:v>
      </x:c>
      <x:c r="AA65" s="18" t="str">
        <x:v>Yes</x:v>
      </x:c>
      <x:c r="AB65" s="18" t="str">
        <x:v>No</x:v>
      </x:c>
      <x:c r="AC65" s="18" t="str">
        <x:v>MD</x:v>
      </x:c>
      <x:c r="AD65" s="18" t="n">
        <x:v>-3.420000000000001</x:v>
      </x:c>
      <x:c r="AE65" s="18" t="str">
        <x:v>No</x:v>
      </x:c>
      <x:c r="AF65" s="18" t="str">
        <x:v>No</x:v>
      </x:c>
      <x:c r="AG65" s="18" t="str">
        <x:v>Eligible only as PCA-demand outcome, not exact opioid consumption</x:v>
      </x:c>
      <x:c r="AH65" s="18" t="str">
        <x:v>Yes</x:v>
      </x:c>
      <x:c r="AI65" s="18" t="str">
        <x:v>Press attempts may not equal successful delivered boluses; do not multiply by 1 µg</x:v>
      </x:c>
      <x:c r="AJ65" s="18" t="str">
        <x:v>Table 3 / PCIA press count</x:v>
      </x:c>
      <x:c r="AK65" s="18" t="str">
        <x:v>https://drive.google.com/file/d/1h3IGpQ56nSh7H16xBEVyTzCBkWOXRSxK/view?usp=drivesdk</x:v>
      </x:c>
      <x:c r="AL65" s="18" t="str">
        <x:v>SOURCE-VERIFIED / DOSE NOT RECONSTRUCTABLE</x:v>
      </x:c>
      <x:c r="AM65" s="18" t="str">
        <x:v>PCA demand/proxy</x:v>
      </x:c>
      <x:c r="AN65" s="18" t="str">
        <x:v>48-h / 2-day PCIA period</x:v>
      </x:c>
      <x:c r="AO65" s="18" t="str">
        <x:v>CONDITIONAL</x:v>
      </x:c>
      <x:c r="AP65" s="18" t="str">
        <x:v>Source value is valid in its native metric but cannot be converted to the target opioid mass/MME without additional information.</x:v>
      </x:c>
      <x:c r="AQ65" s="18" t="str">
        <x:v>No</x:v>
      </x:c>
      <x:c r="AR65" s="18" t="str"/>
      <x:c r="AS65" s="18" t="str">
        <x:v>None</x:v>
      </x:c>
      <x:c r="AT65" s="18" t="str">
        <x:v>Total intraoperative remifentanil consumption</x:v>
      </x:c>
      <x:c r="AU65" s="18" t="str">
        <x:v>Intraoperative</x:v>
      </x:c>
      <x:c r="AV65" s="18" t="str">
        <x:v>Some concerns</x:v>
      </x:c>
      <x:c r="AW65" s="18" t="str">
        <x:v>Yes — selected RoB is for a different result/timepoint</x:v>
      </x:c>
      <x:c r="AX65" s="18" t="str">
        <x:v>Xing 2022</x:v>
      </x:c>
      <x:c r="AY65" s="18" t="str">
        <x:v>Shared-control / multi-arm contrast</x:v>
      </x:c>
      <x:c r="AZ65" s="18" t="str">
        <x:v>Shared comparator present; avoid double-counting controls.</x:v>
      </x:c>
    </x:row>
    <x:row r="66">
      <x:c r="A66" s="18" t="str">
        <x:v>Xing 2022</x:v>
      </x:c>
      <x:c r="B66" s="18" t="str">
        <x:v>XING22_NTG_vs_NG_OPIOID24</x:v>
      </x:c>
      <x:c r="C66" s="18" t="str">
        <x:v>TEAS + active TAPB</x:v>
      </x:c>
      <x:c r="D66" s="18" t="str">
        <x:v>Sham TEAS + active TAPB</x:v>
      </x:c>
      <x:c r="E66" s="18" t="str">
        <x:v>Opioid consumption</x:v>
      </x:c>
      <x:c r="F66" s="18" t="str">
        <x:v>Exact cumulative postoperative sufentanil delivered</x:v>
      </x:c>
      <x:c r="G66" s="18" t="str">
        <x:v>0-24 h</x:v>
      </x:c>
      <x:c r="H66" s="18" t="str">
        <x:v>Not reported</x:v>
      </x:c>
      <x:c r="I66" s="18" t="n">
        <x:v>30</x:v>
      </x:c>
      <x:c r="J66" s="18" t="n">
        <x:v>30</x:v>
      </x:c>
      <x:c r="K66" s="18" t="n">
        <x:v>29</x:v>
      </x:c>
      <x:c r="L66" s="18" t="n">
        <x:v>29</x:v>
      </x:c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 t="str">
        <x:v>µg sufentanil</x:v>
      </x:c>
      <x:c r="Z66" s="18"/>
      <x:c r="AA66" s="18" t="str">
        <x:v>No</x:v>
      </x:c>
      <x:c r="AB66" s="18" t="str">
        <x:v>No</x:v>
      </x:c>
      <x:c r="AC66" s="18"/>
      <x:c r="AD66" s="18"/>
      <x:c r="AE66" s="18" t="str">
        <x:v>No</x:v>
      </x:c>
      <x:c r="AF66" s="18" t="str">
        <x:v>No</x:v>
      </x:c>
      <x:c r="AG66" s="18" t="str">
        <x:v>Not eligible for continuous 24-h opioid meta-analysis without author data</x:v>
      </x:c>
      <x:c r="AH66" s="18" t="str">
        <x:v>Yes</x:v>
      </x:c>
      <x:c r="AI66" s="18" t="str">
        <x:v>PCIA wording is internally contradictory and only press counts are reported</x:v>
      </x:c>
      <x:c r="AJ66" s="18" t="str">
        <x:v>Exact 24-h endpoint absent</x:v>
      </x:c>
      <x:c r="AK66" s="18" t="str">
        <x:v>https://drive.google.com/file/d/1h3IGpQ56nSh7H16xBEVyTzCBkWOXRSxK/view?usp=drivesdk</x:v>
      </x:c>
      <x:c r="AL66" s="18" t="str">
        <x:v>MISSING / AUTHOR DATA NEEDED</x:v>
      </x:c>
      <x:c r="AM66" s="18" t="str">
        <x:v>Postoperative opioid consumption</x:v>
      </x:c>
      <x:c r="AN66" s="18" t="str">
        <x:v>Exact/explicit 24 h</x:v>
      </x:c>
      <x:c r="AO66" s="18" t="str">
        <x:v>EXCLUDE — DATA UNAVAILABLE</x:v>
      </x:c>
      <x:c r="AP66" s="18" t="str">
        <x:v>The source does not provide a defensible quantitative value for this analysis.</x:v>
      </x:c>
      <x:c r="AQ66" s="18" t="str">
        <x:v>No</x:v>
      </x:c>
      <x:c r="AR66" s="18" t="str"/>
      <x:c r="AS66" s="18" t="str">
        <x:v>Opioid/MME conversion required using prespecified review conversion</x:v>
      </x:c>
      <x:c r="AT66" s="18" t="str">
        <x:v>Total intraoperative remifentanil consumption</x:v>
      </x:c>
      <x:c r="AU66" s="18" t="str">
        <x:v>Intraoperative</x:v>
      </x:c>
      <x:c r="AV66" s="18" t="str">
        <x:v>Some concerns</x:v>
      </x:c>
      <x:c r="AW66" s="18" t="str">
        <x:v>Yes — selected RoB is for a different result/timepoint</x:v>
      </x:c>
      <x:c r="AX66" s="18" t="str">
        <x:v>Xing 2022</x:v>
      </x:c>
      <x:c r="AY66" s="18" t="str">
        <x:v>Shared-control / multi-arm contrast</x:v>
      </x:c>
      <x:c r="AZ66" s="18" t="str">
        <x:v>Shared comparator present; avoid double-counting controls.</x:v>
      </x:c>
    </x:row>
    <x:row r="67">
      <x:c r="A67" s="18" t="str">
        <x:v>Xie 2014</x:v>
      </x:c>
      <x:c r="B67" s="18" t="str">
        <x:v>XIE14_EAS_vs_SHAM_TOTALSUF</x:v>
      </x:c>
      <x:c r="C67" s="18" t="str">
        <x:v>Active EAS PC4/PC6</x:v>
      </x:c>
      <x:c r="D67" s="18" t="str">
        <x:v>Sham needling PC4/PC6</x:v>
      </x:c>
      <x:c r="E67" s="18" t="str">
        <x:v>Opioid consumption</x:v>
      </x:c>
      <x:c r="F67" s="18" t="str">
        <x:v>Total postoperative/perioperative sufentanil</x:v>
      </x:c>
      <x:c r="G67" s="18" t="str">
        <x:v>Study PCA period; exact fixed window unclear</x:v>
      </x:c>
      <x:c r="H67" s="18" t="str">
        <x:v>Mean/SD</x:v>
      </x:c>
      <x:c r="I67" s="18" t="n">
        <x:v>20</x:v>
      </x:c>
      <x:c r="J67" s="18" t="n">
        <x:v>20</x:v>
      </x:c>
      <x:c r="K67" s="18" t="n">
        <x:v>20</x:v>
      </x:c>
      <x:c r="L67" s="18" t="n">
        <x:v>20</x:v>
      </x:c>
      <x:c r="M67" s="18" t="n">
        <x:v>115</x:v>
      </x:c>
      <x:c r="N67" s="18" t="n">
        <x:v>6</x:v>
      </x:c>
      <x:c r="O67" s="18"/>
      <x:c r="P67" s="18"/>
      <x:c r="Q67" s="18"/>
      <x:c r="R67" s="18"/>
      <x:c r="S67" s="18" t="n">
        <x:v>133</x:v>
      </x:c>
      <x:c r="T67" s="18" t="n">
        <x:v>7</x:v>
      </x:c>
      <x:c r="U67" s="18"/>
      <x:c r="V67" s="18"/>
      <x:c r="W67" s="18"/>
      <x:c r="X67" s="18"/>
      <x:c r="Y67" s="18" t="str">
        <x:v>µg sufentanil</x:v>
      </x:c>
      <x:c r="Z67" s="18" t="str">
        <x:v>&lt;0.05</x:v>
      </x:c>
      <x:c r="AA67" s="18" t="str">
        <x:v>Yes</x:v>
      </x:c>
      <x:c r="AB67" s="18" t="str">
        <x:v>No</x:v>
      </x:c>
      <x:c r="AC67" s="18" t="str">
        <x:v>MD</x:v>
      </x:c>
      <x:c r="AD67" s="18" t="n">
        <x:v>-18</x:v>
      </x:c>
      <x:c r="AE67" s="18" t="str">
        <x:v>No</x:v>
      </x:c>
      <x:c r="AF67" s="18" t="str">
        <x:v>No</x:v>
      </x:c>
      <x:c r="AG67" s="18" t="str">
        <x:v>Potentially usable only for non-24-h opioid analysis after time-window adjudication</x:v>
      </x:c>
      <x:c r="AH67" s="18" t="str">
        <x:v>Yes</x:v>
      </x:c>
      <x:c r="AI67" s="18" t="str">
        <x:v>Infusion described through POD3; Discussion mentions lower use through 48 h; Table 2 does not define fixed window</x:v>
      </x:c>
      <x:c r="AJ67" s="18" t="str">
        <x:v>Table 2 / total sufentanil</x:v>
      </x:c>
      <x:c r="AK67" s="18" t="str">
        <x:v>https://drive.google.com/file/d/17faY_h0rMJTuhjPOC5PL_S59jYmHDPee/view?usp=drivesdk</x:v>
      </x:c>
      <x:c r="AL67" s="18" t="str">
        <x:v>SOURCE-VERIFIED / WINDOW QC</x:v>
      </x:c>
      <x:c r="AM67" s="18" t="str">
        <x:v>Postoperative opioid consumption</x:v>
      </x:c>
      <x:c r="AN67" s="18" t="str">
        <x:v>Study PCA period; exact fixed window unclear</x:v>
      </x:c>
      <x:c r="AO67" s="18" t="str">
        <x:v>EXCLUDE — NOT PRIMARY 24H OPIOID</x:v>
      </x:c>
      <x:c r="AP67" s="18" t="str">
        <x:v>Not a strict 0-24-h postoperative opioid-consumption endpoint.</x:v>
      </x:c>
      <x:c r="AQ67" s="18" t="str">
        <x:v>No</x:v>
      </x:c>
      <x:c r="AR67" s="18" t="str"/>
      <x:c r="AS67" s="18" t="str">
        <x:v>Opioid/MME conversion required using prespecified review conversion</x:v>
      </x:c>
      <x:c r="AT67" s="18" t="str">
        <x:v>Total postoperative/perioperative sufentanil</x:v>
      </x:c>
      <x:c r="AU67" s="18" t="str">
        <x:v>Study PCA period; exact fixed window unclear</x:v>
      </x:c>
      <x:c r="AV67" s="18" t="str">
        <x:v>Some concerns</x:v>
      </x:c>
      <x:c r="AW67" s="18" t="str">
        <x:v>No — selected RoB matches this result</x:v>
      </x:c>
      <x:c r="AX67" s="18" t="str">
        <x:v>Xie 2014</x:v>
      </x:c>
      <x:c r="AY67" s="18" t="str">
        <x:v>Shared-control / multi-arm contrast</x:v>
      </x:c>
      <x:c r="AZ67" s="18" t="str">
        <x:v>Shared comparator present; avoid double-counting controls.</x:v>
      </x:c>
    </x:row>
    <x:row r="68">
      <x:c r="A68" s="18" t="str">
        <x:v>Xie 2014</x:v>
      </x:c>
      <x:c r="B68" s="18" t="str">
        <x:v>XIE14_EAS_vs_CONTROL_TOTALSUF</x:v>
      </x:c>
      <x:c r="C68" s="18" t="str">
        <x:v>Active EAS PC4/PC6</x:v>
      </x:c>
      <x:c r="D68" s="18" t="str">
        <x:v>General-anesthesia control</x:v>
      </x:c>
      <x:c r="E68" s="18" t="str">
        <x:v>Opioid consumption</x:v>
      </x:c>
      <x:c r="F68" s="18" t="str">
        <x:v>Total postoperative/perioperative sufentanil</x:v>
      </x:c>
      <x:c r="G68" s="18" t="str">
        <x:v>Study PCA period; exact fixed window unclear</x:v>
      </x:c>
      <x:c r="H68" s="18" t="str">
        <x:v>Mean/SD</x:v>
      </x:c>
      <x:c r="I68" s="18" t="n">
        <x:v>20</x:v>
      </x:c>
      <x:c r="J68" s="18" t="n">
        <x:v>20</x:v>
      </x:c>
      <x:c r="K68" s="18" t="n">
        <x:v>20</x:v>
      </x:c>
      <x:c r="L68" s="18" t="n">
        <x:v>20</x:v>
      </x:c>
      <x:c r="M68" s="18" t="n">
        <x:v>115</x:v>
      </x:c>
      <x:c r="N68" s="18" t="n">
        <x:v>6</x:v>
      </x:c>
      <x:c r="O68" s="18"/>
      <x:c r="P68" s="18"/>
      <x:c r="Q68" s="18"/>
      <x:c r="R68" s="18"/>
      <x:c r="S68" s="18" t="n">
        <x:v>134</x:v>
      </x:c>
      <x:c r="T68" s="18" t="n">
        <x:v>5.9</x:v>
      </x:c>
      <x:c r="U68" s="18"/>
      <x:c r="V68" s="18"/>
      <x:c r="W68" s="18"/>
      <x:c r="X68" s="18"/>
      <x:c r="Y68" s="18" t="str">
        <x:v>µg sufentanil</x:v>
      </x:c>
      <x:c r="Z68" s="18" t="str">
        <x:v>&lt;0.05</x:v>
      </x:c>
      <x:c r="AA68" s="18" t="str">
        <x:v>Yes</x:v>
      </x:c>
      <x:c r="AB68" s="18" t="str">
        <x:v>No</x:v>
      </x:c>
      <x:c r="AC68" s="18" t="str">
        <x:v>MD</x:v>
      </x:c>
      <x:c r="AD68" s="18" t="n">
        <x:v>-19</x:v>
      </x:c>
      <x:c r="AE68" s="18" t="str">
        <x:v>No</x:v>
      </x:c>
      <x:c r="AF68" s="18" t="str">
        <x:v>No</x:v>
      </x:c>
      <x:c r="AG68" s="18" t="str">
        <x:v>Potentially usable only for non-24-h opioid analysis after time-window adjudication</x:v>
      </x:c>
      <x:c r="AH68" s="18" t="str">
        <x:v>Yes</x:v>
      </x:c>
      <x:c r="AI68" s="18" t="str">
        <x:v>Three-arm shared-intervention structure; exact fixed observation window not established</x:v>
      </x:c>
      <x:c r="AJ68" s="18" t="str">
        <x:v>Table 2 / total sufentanil</x:v>
      </x:c>
      <x:c r="AK68" s="18" t="str">
        <x:v>https://drive.google.com/file/d/17faY_h0rMJTuhjPOC5PL_S59jYmHDPee/view?usp=drivesdk</x:v>
      </x:c>
      <x:c r="AL68" s="18" t="str">
        <x:v>SOURCE-VERIFIED / WINDOW QC</x:v>
      </x:c>
      <x:c r="AM68" s="18" t="str">
        <x:v>Postoperative opioid consumption</x:v>
      </x:c>
      <x:c r="AN68" s="18" t="str">
        <x:v>Study PCA period; exact fixed window unclear</x:v>
      </x:c>
      <x:c r="AO68" s="18" t="str">
        <x:v>EXCLUDE — NOT PRIMARY 24H OPIOID</x:v>
      </x:c>
      <x:c r="AP68" s="18" t="str">
        <x:v>Not a strict 0-24-h postoperative opioid-consumption endpoint.</x:v>
      </x:c>
      <x:c r="AQ68" s="18" t="str">
        <x:v>No</x:v>
      </x:c>
      <x:c r="AR68" s="18" t="str"/>
      <x:c r="AS68" s="18" t="str">
        <x:v>Opioid/MME conversion required using prespecified review conversion</x:v>
      </x:c>
      <x:c r="AT68" s="18" t="str">
        <x:v>Total postoperative/perioperative sufentanil</x:v>
      </x:c>
      <x:c r="AU68" s="18" t="str">
        <x:v>Study PCA period; exact fixed window unclear</x:v>
      </x:c>
      <x:c r="AV68" s="18" t="str">
        <x:v>Some concerns</x:v>
      </x:c>
      <x:c r="AW68" s="18" t="str">
        <x:v>No — selected RoB matches this result</x:v>
      </x:c>
      <x:c r="AX68" s="18" t="str">
        <x:v>Xie 2014</x:v>
      </x:c>
      <x:c r="AY68" s="18" t="str">
        <x:v>Shared-control / multi-arm contrast</x:v>
      </x:c>
      <x:c r="AZ68" s="18" t="str">
        <x:v>Shared comparator present; avoid double-counting controls.</x:v>
      </x:c>
    </x:row>
    <x:row r="69">
      <x:c r="A69" s="18" t="str">
        <x:v>Xie 2014</x:v>
      </x:c>
      <x:c r="B69" s="18" t="str">
        <x:v>XIE14_EAS_vs_SHAM_PCADEMAND</x:v>
      </x:c>
      <x:c r="C69" s="18" t="str">
        <x:v>Active EAS PC4/PC6</x:v>
      </x:c>
      <x:c r="D69" s="18" t="str">
        <x:v>Sham needling PC4/PC6</x:v>
      </x:c>
      <x:c r="E69" s="18" t="str">
        <x:v>Opioid demand</x:v>
      </x:c>
      <x:c r="F69" s="18" t="str">
        <x:v>Patient-controlled analgesia demand count</x:v>
      </x:c>
      <x:c r="G69" s="18" t="str">
        <x:v>Study PCA period</x:v>
      </x:c>
      <x:c r="H69" s="18" t="str">
        <x:v>Mean/SD</x:v>
      </x:c>
      <x:c r="I69" s="18" t="n">
        <x:v>20</x:v>
      </x:c>
      <x:c r="J69" s="18" t="n">
        <x:v>20</x:v>
      </x:c>
      <x:c r="K69" s="18" t="n">
        <x:v>20</x:v>
      </x:c>
      <x:c r="L69" s="18" t="n">
        <x:v>20</x:v>
      </x:c>
      <x:c r="M69" s="18" t="n">
        <x:v>16</x:v>
      </x:c>
      <x:c r="N69" s="18" t="n">
        <x:v>3</x:v>
      </x:c>
      <x:c r="O69" s="18"/>
      <x:c r="P69" s="18"/>
      <x:c r="Q69" s="18"/>
      <x:c r="R69" s="18"/>
      <x:c r="S69" s="18" t="n">
        <x:v>43</x:v>
      </x:c>
      <x:c r="T69" s="18" t="n">
        <x:v>3</x:v>
      </x:c>
      <x:c r="U69" s="18"/>
      <x:c r="V69" s="18"/>
      <x:c r="W69" s="18"/>
      <x:c r="X69" s="18"/>
      <x:c r="Y69" s="18" t="str">
        <x:v>demands</x:v>
      </x:c>
      <x:c r="Z69" s="18" t="str">
        <x:v>&lt;0.05</x:v>
      </x:c>
      <x:c r="AA69" s="18" t="str">
        <x:v>Yes</x:v>
      </x:c>
      <x:c r="AB69" s="18" t="str">
        <x:v>No</x:v>
      </x:c>
      <x:c r="AC69" s="18" t="str">
        <x:v>MD</x:v>
      </x:c>
      <x:c r="AD69" s="18" t="n">
        <x:v>-27</x:v>
      </x:c>
      <x:c r="AE69" s="18" t="str">
        <x:v>No</x:v>
      </x:c>
      <x:c r="AF69" s="18" t="str">
        <x:v>No</x:v>
      </x:c>
      <x:c r="AG69" s="18" t="str">
        <x:v>Eligible as analgesic-demand outcome only</x:v>
      </x:c>
      <x:c r="AH69" s="18" t="str">
        <x:v>Yes</x:v>
      </x:c>
      <x:c r="AI69" s="18" t="str">
        <x:v>Demand count should not be converted into delivered sufentanil without confirmation</x:v>
      </x:c>
      <x:c r="AJ69" s="18" t="str">
        <x:v>Table 2 / patient demand</x:v>
      </x:c>
      <x:c r="AK69" s="18" t="str">
        <x:v>https://drive.google.com/file/d/17faY_h0rMJTuhjPOC5PL_S59jYmHDPee/view?usp=drivesdk</x:v>
      </x:c>
      <x:c r="AL69" s="18" t="str">
        <x:v>SOURCE-VERIFIED / DOSE NOT RECONSTRUCTABLE</x:v>
      </x:c>
      <x:c r="AM69" s="18" t="str">
        <x:v>PCA demand/proxy</x:v>
      </x:c>
      <x:c r="AN69" s="18" t="str">
        <x:v>Study PCA period</x:v>
      </x:c>
      <x:c r="AO69" s="18" t="str">
        <x:v>CONDITIONAL</x:v>
      </x:c>
      <x:c r="AP69" s="18" t="str">
        <x:v>Source value is valid in its native metric but cannot be converted to the target opioid mass/MME without additional information.</x:v>
      </x:c>
      <x:c r="AQ69" s="18" t="str">
        <x:v>No</x:v>
      </x:c>
      <x:c r="AR69" s="18" t="str"/>
      <x:c r="AS69" s="18" t="str">
        <x:v>None</x:v>
      </x:c>
      <x:c r="AT69" s="18" t="str">
        <x:v>Total postoperative/perioperative sufentanil</x:v>
      </x:c>
      <x:c r="AU69" s="18" t="str">
        <x:v>Study PCA period; exact fixed window unclear</x:v>
      </x:c>
      <x:c r="AV69" s="18" t="str">
        <x:v>Some concerns</x:v>
      </x:c>
      <x:c r="AW69" s="18" t="str">
        <x:v>Yes — selected RoB is for a different result/timepoint</x:v>
      </x:c>
      <x:c r="AX69" s="18" t="str">
        <x:v>Xie 2014</x:v>
      </x:c>
      <x:c r="AY69" s="18" t="str">
        <x:v>Shared-control / multi-arm contrast</x:v>
      </x:c>
      <x:c r="AZ69" s="18" t="str">
        <x:v>Shared comparator present; avoid double-counting controls.</x:v>
      </x:c>
    </x:row>
    <x:row r="70">
      <x:c r="A70" s="18" t="str">
        <x:v>Xie 2014</x:v>
      </x:c>
      <x:c r="B70" s="18" t="str">
        <x:v>XIE14_EAS_vs_SHAM_OPIOID24</x:v>
      </x:c>
      <x:c r="C70" s="18" t="str">
        <x:v>Active EAS PC4/PC6</x:v>
      </x:c>
      <x:c r="D70" s="18" t="str">
        <x:v>Sham needling PC4/PC6</x:v>
      </x:c>
      <x:c r="E70" s="18" t="str">
        <x:v>Opioid consumption</x:v>
      </x:c>
      <x:c r="F70" s="18" t="str">
        <x:v>Exact cumulative postoperative sufentanil</x:v>
      </x:c>
      <x:c r="G70" s="18" t="str">
        <x:v>0-24 h</x:v>
      </x:c>
      <x:c r="H70" s="18" t="str">
        <x:v>Not reported</x:v>
      </x:c>
      <x:c r="I70" s="18" t="n">
        <x:v>20</x:v>
      </x:c>
      <x:c r="J70" s="18" t="n">
        <x:v>20</x:v>
      </x:c>
      <x:c r="K70" s="18" t="n">
        <x:v>20</x:v>
      </x:c>
      <x:c r="L70" s="18" t="n">
        <x:v>20</x:v>
      </x:c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 t="str">
        <x:v>µg sufentanil</x:v>
      </x:c>
      <x:c r="Z70" s="18"/>
      <x:c r="AA70" s="18" t="str">
        <x:v>No</x:v>
      </x:c>
      <x:c r="AB70" s="18" t="str">
        <x:v>No</x:v>
      </x:c>
      <x:c r="AC70" s="18"/>
      <x:c r="AD70" s="18"/>
      <x:c r="AE70" s="18" t="str">
        <x:v>No</x:v>
      </x:c>
      <x:c r="AF70" s="18" t="str">
        <x:v>No</x:v>
      </x:c>
      <x:c r="AG70" s="18" t="str">
        <x:v>Not eligible for strict continuous 24-h opioid meta-analysis</x:v>
      </x:c>
      <x:c r="AH70" s="18" t="str">
        <x:v>Yes</x:v>
      </x:c>
      <x:c r="AI70" s="18" t="str">
        <x:v>Directly reported total cannot be assigned to a fixed 24-h window</x:v>
      </x:c>
      <x:c r="AJ70" s="18" t="str">
        <x:v>Exact 24-h endpoint absent</x:v>
      </x:c>
      <x:c r="AK70" s="18" t="str">
        <x:v>https://drive.google.com/file/d/17faY_h0rMJTuhjPOC5PL_S59jYmHDPee/view?usp=drivesdk</x:v>
      </x:c>
      <x:c r="AL70" s="18" t="str">
        <x:v>MISSING / TIME WINDOW UNRESOLVED</x:v>
      </x:c>
      <x:c r="AM70" s="18" t="str">
        <x:v>Postoperative opioid consumption</x:v>
      </x:c>
      <x:c r="AN70" s="18" t="str">
        <x:v>Exact/explicit 24 h</x:v>
      </x:c>
      <x:c r="AO70" s="18" t="str">
        <x:v>EXCLUDE — DATA UNAVAILABLE</x:v>
      </x:c>
      <x:c r="AP70" s="18" t="str">
        <x:v>The source does not provide a defensible quantitative value for this analysis.</x:v>
      </x:c>
      <x:c r="AQ70" s="18" t="str">
        <x:v>No</x:v>
      </x:c>
      <x:c r="AR70" s="18" t="str"/>
      <x:c r="AS70" s="18" t="str">
        <x:v>Opioid/MME conversion required using prespecified review conversion</x:v>
      </x:c>
      <x:c r="AT70" s="18" t="str">
        <x:v>Total postoperative/perioperative sufentanil</x:v>
      </x:c>
      <x:c r="AU70" s="18" t="str">
        <x:v>Study PCA period; exact fixed window unclear</x:v>
      </x:c>
      <x:c r="AV70" s="18" t="str">
        <x:v>Some concerns</x:v>
      </x:c>
      <x:c r="AW70" s="18" t="str">
        <x:v>Yes — selected RoB is for a different result/timepoint</x:v>
      </x:c>
      <x:c r="AX70" s="18" t="str">
        <x:v>Xie 2014</x:v>
      </x:c>
      <x:c r="AY70" s="18" t="str">
        <x:v>Shared-control / multi-arm contrast</x:v>
      </x:c>
      <x:c r="AZ70" s="18" t="str">
        <x:v>Shared comparator present; avoid double-counting controls.</x:v>
      </x:c>
    </x:row>
    <x:row r="71">
      <x:c r="A71" s="18" t="str">
        <x:v>Wu 2022</x:v>
      </x:c>
      <x:c r="B71" s="18" t="str">
        <x:v>WU22_PTEAS_vs_CTRL_PAINPOD1</x:v>
      </x:c>
      <x:c r="C71" s="18" t="str">
        <x:v>Perioperative pTEAS</x:v>
      </x:c>
      <x:c r="D71" s="18" t="str">
        <x:v>No-current control</x:v>
      </x:c>
      <x:c r="E71" s="18" t="str">
        <x:v>Pain</x:v>
      </x:c>
      <x:c r="F71" s="18" t="str">
        <x:v>VAS pain intensity</x:v>
      </x:c>
      <x:c r="G71" s="18" t="str">
        <x:v>POD1</x:v>
      </x:c>
      <x:c r="H71" s="18" t="str">
        <x:v>Mean/SD</x:v>
      </x:c>
      <x:c r="I71" s="18" t="n">
        <x:v>45</x:v>
      </x:c>
      <x:c r="J71" s="18" t="n">
        <x:v>45</x:v>
      </x:c>
      <x:c r="K71" s="18" t="n">
        <x:v>44</x:v>
      </x:c>
      <x:c r="L71" s="18" t="n">
        <x:v>40</x:v>
      </x:c>
      <x:c r="M71" s="18" t="n">
        <x:v>1.77</x:v>
      </x:c>
      <x:c r="N71" s="18" t="n">
        <x:v>0.91</x:v>
      </x:c>
      <x:c r="O71" s="18"/>
      <x:c r="P71" s="18"/>
      <x:c r="Q71" s="18"/>
      <x:c r="R71" s="18"/>
      <x:c r="S71" s="18" t="n">
        <x:v>2.25</x:v>
      </x:c>
      <x:c r="T71" s="18" t="n">
        <x:v>0.71</x:v>
      </x:c>
      <x:c r="U71" s="18"/>
      <x:c r="V71" s="18"/>
      <x:c r="W71" s="18"/>
      <x:c r="X71" s="18"/>
      <x:c r="Y71" s="18" t="str">
        <x:v>VAS 0-10</x:v>
      </x:c>
      <x:c r="Z71" s="18" t="str">
        <x:v>0.009</x:v>
      </x:c>
      <x:c r="AA71" s="18" t="str">
        <x:v>Yes</x:v>
      </x:c>
      <x:c r="AB71" s="18" t="str">
        <x:v>No</x:v>
      </x:c>
      <x:c r="AC71" s="18" t="str">
        <x:v>MD</x:v>
      </x:c>
      <x:c r="AD71" s="18" t="n">
        <x:v>-0.48</x:v>
      </x:c>
      <x:c r="AE71" s="18" t="str">
        <x:v>No</x:v>
      </x:c>
      <x:c r="AF71" s="18" t="str">
        <x:v>No</x:v>
      </x:c>
      <x:c r="AG71" s="18" t="str">
        <x:v>Eligible for POD1 pain analysis</x:v>
      </x:c>
      <x:c r="AH71" s="18" t="str">
        <x:v>No</x:v>
      </x:c>
      <x:c r="AI71" s="18" t="str">
        <x:v>Asymmetric post-randomization exclusions: 1/45 pTEAS vs 5/45 control; participant sensory blinding not convincing</x:v>
      </x:c>
      <x:c r="AJ71" s="18" t="str">
        <x:v>Table 3 / POD1 pain</x:v>
      </x:c>
      <x:c r="AK71" s="18" t="str">
        <x:v>https://drive.google.com/file/d/1XR_8qmeHR7ulwV7NaaI0CeYbpwKdc_ym/view?usp=drivesdk</x:v>
      </x:c>
      <x:c r="AL71" s="18" t="str">
        <x:v>SOURCE-VERIFIED / ATTRITION QC</x:v>
      </x:c>
      <x:c r="AM71" s="18" t="str">
        <x:v>Pain</x:v>
      </x:c>
      <x:c r="AN71" s="18" t="str">
        <x:v>POD1 / approximate 24 h</x:v>
      </x:c>
      <x:c r="AO71" s="18" t="str">
        <x:v>CONDITIONAL — POD1</x:v>
      </x:c>
      <x:c r="AP71" s="18" t="str">
        <x:v>POD1/day-after-surgery is not necessarily a clock-defined 24-h measurement; pool only if protocol permits.</x:v>
      </x:c>
      <x:c r="AQ71" s="18" t="str">
        <x:v>No</x:v>
      </x:c>
      <x:c r="AR71" s="18" t="str"/>
      <x:c r="AS71" s="18" t="str">
        <x:v>None</x:v>
      </x:c>
      <x:c r="AT71" s="18" t="str">
        <x:v>VAS pain intensity</x:v>
      </x:c>
      <x:c r="AU71" s="18" t="str">
        <x:v>POD1</x:v>
      </x:c>
      <x:c r="AV71" s="18" t="str">
        <x:v>High</x:v>
      </x:c>
      <x:c r="AW71" s="18" t="str">
        <x:v>No — selected RoB matches this result</x:v>
      </x:c>
      <x:c r="AX71" s="18" t="str">
        <x:v>Wu 2022</x:v>
      </x:c>
      <x:c r="AY71" s="18" t="str">
        <x:v>Primary eligible contrast</x:v>
      </x:c>
      <x:c r="AZ71" s="18" t="str">
        <x:v>Count this study once per synthesis unless a valid multi-arm method is used.</x:v>
      </x:c>
    </x:row>
    <x:row r="72">
      <x:c r="A72" s="18" t="str">
        <x:v>Wu 2022</x:v>
      </x:c>
      <x:c r="B72" s="18" t="str">
        <x:v>WU22_PTEAS_vs_CTRL_REMI</x:v>
      </x:c>
      <x:c r="C72" s="18" t="str">
        <x:v>Perioperative pTEAS</x:v>
      </x:c>
      <x:c r="D72" s="18" t="str">
        <x:v>No-current control</x:v>
      </x:c>
      <x:c r="E72" s="18" t="str">
        <x:v>Intraoperative opioid</x:v>
      </x:c>
      <x:c r="F72" s="18" t="str">
        <x:v>Cumulative remifentanil</x:v>
      </x:c>
      <x:c r="G72" s="18" t="str">
        <x:v>Intraoperative</x:v>
      </x:c>
      <x:c r="H72" s="18" t="str">
        <x:v>Mean/SD</x:v>
      </x:c>
      <x:c r="I72" s="18" t="n">
        <x:v>45</x:v>
      </x:c>
      <x:c r="J72" s="18" t="n">
        <x:v>45</x:v>
      </x:c>
      <x:c r="K72" s="18" t="n">
        <x:v>44</x:v>
      </x:c>
      <x:c r="L72" s="18" t="n">
        <x:v>40</x:v>
      </x:c>
      <x:c r="M72" s="18" t="n">
        <x:v>1383</x:v>
      </x:c>
      <x:c r="N72" s="18" t="n">
        <x:v>494</x:v>
      </x:c>
      <x:c r="O72" s="18"/>
      <x:c r="P72" s="18"/>
      <x:c r="Q72" s="18"/>
      <x:c r="R72" s="18"/>
      <x:c r="S72" s="18" t="n">
        <x:v>1637</x:v>
      </x:c>
      <x:c r="T72" s="18" t="n">
        <x:v>630</x:v>
      </x:c>
      <x:c r="U72" s="18"/>
      <x:c r="V72" s="18"/>
      <x:c r="W72" s="18"/>
      <x:c r="X72" s="18"/>
      <x:c r="Y72" s="18" t="str">
        <x:v>µg remifentanil</x:v>
      </x:c>
      <x:c r="Z72" s="18" t="str">
        <x:v>0.042</x:v>
      </x:c>
      <x:c r="AA72" s="18" t="str">
        <x:v>Yes</x:v>
      </x:c>
      <x:c r="AB72" s="18" t="str">
        <x:v>No</x:v>
      </x:c>
      <x:c r="AC72" s="18" t="str">
        <x:v>MD</x:v>
      </x:c>
      <x:c r="AD72" s="18" t="n">
        <x:v>-254</x:v>
      </x:c>
      <x:c r="AE72" s="18" t="str">
        <x:v>No</x:v>
      </x:c>
      <x:c r="AF72" s="18" t="str">
        <x:v>No</x:v>
      </x:c>
      <x:c r="AG72" s="18" t="str">
        <x:v>Eligible for intraoperative opioid-sparing analysis</x:v>
      </x:c>
      <x:c r="AH72" s="18" t="str">
        <x:v>No</x:v>
      </x:c>
      <x:c r="AI72" s="18" t="str">
        <x:v>Complete-case analysis with asymmetric attrition</x:v>
      </x:c>
      <x:c r="AJ72" s="18" t="str">
        <x:v>Table 2 / cumulative remifentanil</x:v>
      </x:c>
      <x:c r="AK72" s="18" t="str">
        <x:v>https://drive.google.com/file/d/1XR_8qmeHR7ulwV7NaaI0CeYbpwKdc_ym/view?usp=drivesdk</x:v>
      </x:c>
      <x:c r="AL72" s="18" t="str">
        <x:v>SOURCE-VERIFIED</x:v>
      </x:c>
      <x:c r="AM72" s="18" t="str">
        <x:v>Intraoperative opioid</x:v>
      </x:c>
      <x:c r="AN72" s="18" t="str">
        <x:v>Intraoperative</x:v>
      </x:c>
      <x:c r="AO72" s="18" t="str">
        <x:v>INCLUDE — INTRAOPERATIVE</x:v>
      </x:c>
      <x:c r="AP72" s="18" t="str">
        <x:v>Valid intraoperative opioid endpoint; must remain separate from postoperative opioid consumption.</x:v>
      </x:c>
      <x:c r="AQ72" s="18" t="str">
        <x:v>No</x:v>
      </x:c>
      <x:c r="AR72" s="18" t="str"/>
      <x:c r="AS72" s="18" t="str">
        <x:v>None</x:v>
      </x:c>
      <x:c r="AT72" s="18" t="str">
        <x:v>VAS pain intensity</x:v>
      </x:c>
      <x:c r="AU72" s="18" t="str">
        <x:v>POD1</x:v>
      </x:c>
      <x:c r="AV72" s="18" t="str">
        <x:v>High</x:v>
      </x:c>
      <x:c r="AW72" s="18" t="str">
        <x:v>Yes — selected RoB is for a different result/timepoint</x:v>
      </x:c>
      <x:c r="AX72" s="18" t="str">
        <x:v>Wu 2022</x:v>
      </x:c>
      <x:c r="AY72" s="18" t="str">
        <x:v>Primary eligible contrast</x:v>
      </x:c>
      <x:c r="AZ72" s="18" t="str">
        <x:v>Count this study once per synthesis unless a valid multi-arm method is used.</x:v>
      </x:c>
    </x:row>
    <x:row r="73">
      <x:c r="A73" s="18" t="str">
        <x:v>Wu 2022</x:v>
      </x:c>
      <x:c r="B73" s="18" t="str">
        <x:v>WU22_PTEAS_vs_CTRL_REMIINDEX</x:v>
      </x:c>
      <x:c r="C73" s="18" t="str">
        <x:v>Perioperative pTEAS</x:v>
      </x:c>
      <x:c r="D73" s="18" t="str">
        <x:v>No-current control</x:v>
      </x:c>
      <x:c r="E73" s="18" t="str">
        <x:v>Intraoperative opioid</x:v>
      </x:c>
      <x:c r="F73" s="18" t="str">
        <x:v>Remifentanil dose index</x:v>
      </x:c>
      <x:c r="G73" s="18" t="str">
        <x:v>Intraoperative</x:v>
      </x:c>
      <x:c r="H73" s="18" t="str">
        <x:v>Mean/SD</x:v>
      </x:c>
      <x:c r="I73" s="18" t="n">
        <x:v>45</x:v>
      </x:c>
      <x:c r="J73" s="18" t="n">
        <x:v>45</x:v>
      </x:c>
      <x:c r="K73" s="18" t="n">
        <x:v>44</x:v>
      </x:c>
      <x:c r="L73" s="18" t="n">
        <x:v>40</x:v>
      </x:c>
      <x:c r="M73" s="18" t="n">
        <x:v>0.084</x:v>
      </x:c>
      <x:c r="N73" s="18" t="n">
        <x:v>0.018</x:v>
      </x:c>
      <x:c r="O73" s="18"/>
      <x:c r="P73" s="18"/>
      <x:c r="Q73" s="18"/>
      <x:c r="R73" s="18"/>
      <x:c r="S73" s="18" t="n">
        <x:v>0.114</x:v>
      </x:c>
      <x:c r="T73" s="18" t="n">
        <x:v>0.09</x:v>
      </x:c>
      <x:c r="U73" s="18"/>
      <x:c r="V73" s="18"/>
      <x:c r="W73" s="18"/>
      <x:c r="X73" s="18"/>
      <x:c r="Y73" s="18" t="str">
        <x:v>µg/min/kg</x:v>
      </x:c>
      <x:c r="Z73" s="18" t="str">
        <x:v>0.045</x:v>
      </x:c>
      <x:c r="AA73" s="18" t="str">
        <x:v>Yes</x:v>
      </x:c>
      <x:c r="AB73" s="18" t="str">
        <x:v>No</x:v>
      </x:c>
      <x:c r="AC73" s="18" t="str">
        <x:v>MD</x:v>
      </x:c>
      <x:c r="AD73" s="18" t="n">
        <x:v>-0.03</x:v>
      </x:c>
      <x:c r="AE73" s="18" t="str">
        <x:v>No</x:v>
      </x:c>
      <x:c r="AF73" s="18" t="str">
        <x:v>No</x:v>
      </x:c>
      <x:c r="AG73" s="18" t="str">
        <x:v>Eligible for intraoperative dose-index analysis</x:v>
      </x:c>
      <x:c r="AH73" s="18" t="str">
        <x:v>No</x:v>
      </x:c>
      <x:c r="AI73" s="18" t="str">
        <x:v>Preserve source units as reported</x:v>
      </x:c>
      <x:c r="AJ73" s="18" t="str">
        <x:v>Table 2 / remifentanil index</x:v>
      </x:c>
      <x:c r="AK73" s="18" t="str">
        <x:v>https://drive.google.com/file/d/1XR_8qmeHR7ulwV7NaaI0CeYbpwKdc_ym/view?usp=drivesdk</x:v>
      </x:c>
      <x:c r="AL73" s="18" t="str">
        <x:v>SOURCE-VERIFIED</x:v>
      </x:c>
      <x:c r="AM73" s="18" t="str">
        <x:v>Intraoperative opioid</x:v>
      </x:c>
      <x:c r="AN73" s="18" t="str">
        <x:v>Intraoperative</x:v>
      </x:c>
      <x:c r="AO73" s="18" t="str">
        <x:v>INCLUDE — INTRAOPERATIVE</x:v>
      </x:c>
      <x:c r="AP73" s="18" t="str">
        <x:v>Valid intraoperative opioid endpoint; must remain separate from postoperative opioid consumption.</x:v>
      </x:c>
      <x:c r="AQ73" s="18" t="str">
        <x:v>No</x:v>
      </x:c>
      <x:c r="AR73" s="18" t="str"/>
      <x:c r="AS73" s="18" t="str">
        <x:v>None</x:v>
      </x:c>
      <x:c r="AT73" s="18" t="str">
        <x:v>VAS pain intensity</x:v>
      </x:c>
      <x:c r="AU73" s="18" t="str">
        <x:v>POD1</x:v>
      </x:c>
      <x:c r="AV73" s="18" t="str">
        <x:v>High</x:v>
      </x:c>
      <x:c r="AW73" s="18" t="str">
        <x:v>Yes — selected RoB is for a different result/timepoint</x:v>
      </x:c>
      <x:c r="AX73" s="18" t="str">
        <x:v>Wu 2022</x:v>
      </x:c>
      <x:c r="AY73" s="18" t="str">
        <x:v>Primary eligible contrast</x:v>
      </x:c>
      <x:c r="AZ73" s="18" t="str">
        <x:v>Count this study once per synthesis unless a valid multi-arm method is used.</x:v>
      </x:c>
    </x:row>
    <x:row r="74">
      <x:c r="A74" s="18" t="str">
        <x:v>Wu 2022</x:v>
      </x:c>
      <x:c r="B74" s="18" t="str">
        <x:v>WU22_PTEAS_vs_CTRL_OPIOID24</x:v>
      </x:c>
      <x:c r="C74" s="18" t="str">
        <x:v>Perioperative pTEAS</x:v>
      </x:c>
      <x:c r="D74" s="18" t="str">
        <x:v>No-current control</x:v>
      </x:c>
      <x:c r="E74" s="18" t="str">
        <x:v>Opioid consumption</x:v>
      </x:c>
      <x:c r="F74" s="18" t="str">
        <x:v>Exact cumulative postoperative opioid consumption</x:v>
      </x:c>
      <x:c r="G74" s="18" t="str">
        <x:v>0-24 h</x:v>
      </x:c>
      <x:c r="H74" s="18" t="str">
        <x:v>Not reported</x:v>
      </x:c>
      <x:c r="I74" s="18" t="n">
        <x:v>45</x:v>
      </x:c>
      <x:c r="J74" s="18" t="n">
        <x:v>45</x:v>
      </x:c>
      <x:c r="K74" s="18" t="n">
        <x:v>44</x:v>
      </x:c>
      <x:c r="L74" s="18" t="n">
        <x:v>40</x:v>
      </x:c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 t="str">
        <x:v>mg/µg</x:v>
      </x:c>
      <x:c r="Z74" s="18"/>
      <x:c r="AA74" s="18" t="str">
        <x:v>No</x:v>
      </x:c>
      <x:c r="AB74" s="18" t="str">
        <x:v>No</x:v>
      </x:c>
      <x:c r="AC74" s="18"/>
      <x:c r="AD74" s="18"/>
      <x:c r="AE74" s="18" t="str">
        <x:v>No</x:v>
      </x:c>
      <x:c r="AF74" s="18" t="str">
        <x:v>No</x:v>
      </x:c>
      <x:c r="AG74" s="18" t="str">
        <x:v>Not eligible for continuous 24-h postoperative opioid meta-analysis</x:v>
      </x:c>
      <x:c r="AH74" s="18" t="str">
        <x:v>No</x:v>
      </x:c>
      <x:c r="AI74" s="18" t="str">
        <x:v>Standard end-of-surgery tramadol/fentanyl are reported, but no randomized group-specific 0-24-h opioid total is provided</x:v>
      </x:c>
      <x:c r="AJ74" s="18" t="str">
        <x:v>Postoperative analgesia section</x:v>
      </x:c>
      <x:c r="AK74" s="18" t="str">
        <x:v>https://drive.google.com/file/d/1XR_8qmeHR7ulwV7NaaI0CeYbpwKdc_ym/view?usp=drivesdk</x:v>
      </x:c>
      <x:c r="AL74" s="18" t="str">
        <x:v>MISSING / NOT REPORTED</x:v>
      </x:c>
      <x:c r="AM74" s="18" t="str">
        <x:v>Postoperative opioid consumption</x:v>
      </x:c>
      <x:c r="AN74" s="18" t="str">
        <x:v>Exact/explicit 24 h</x:v>
      </x:c>
      <x:c r="AO74" s="18" t="str">
        <x:v>EXCLUDE — DATA UNAVAILABLE</x:v>
      </x:c>
      <x:c r="AP74" s="18" t="str">
        <x:v>The source does not provide a defensible quantitative value for this analysis.</x:v>
      </x:c>
      <x:c r="AQ74" s="18" t="str">
        <x:v>No</x:v>
      </x:c>
      <x:c r="AR74" s="18" t="str"/>
      <x:c r="AS74" s="18" t="str">
        <x:v>None</x:v>
      </x:c>
      <x:c r="AT74" s="18" t="str">
        <x:v>VAS pain intensity</x:v>
      </x:c>
      <x:c r="AU74" s="18" t="str">
        <x:v>POD1</x:v>
      </x:c>
      <x:c r="AV74" s="18" t="str">
        <x:v>High</x:v>
      </x:c>
      <x:c r="AW74" s="18" t="str">
        <x:v>Yes — selected RoB is for a different result/timepoint</x:v>
      </x:c>
      <x:c r="AX74" s="18" t="str">
        <x:v>Wu 2022</x:v>
      </x:c>
      <x:c r="AY74" s="18" t="str">
        <x:v>Primary eligible contrast</x:v>
      </x:c>
      <x:c r="AZ74" s="18" t="str">
        <x:v>Count this study once per synthesis unless a valid multi-arm method is used.</x:v>
      </x:c>
    </x:row>
    <x:row r="75">
      <x:c r="A75" s="18" t="str">
        <x:v>Wu 2025</x:v>
      </x:c>
      <x:c r="B75" s="18" t="str">
        <x:v>WU25_TEAS_vs_SHAM_VAS24</x:v>
      </x:c>
      <x:c r="C75" s="18" t="str">
        <x:v>PACU TEAS</x:v>
      </x:c>
      <x:c r="D75" s="18" t="str">
        <x:v>Sham/no current</x:v>
      </x:c>
      <x:c r="E75" s="18" t="str">
        <x:v>Pain</x:v>
      </x:c>
      <x:c r="F75" s="18" t="str">
        <x:v>VAS pain intensity</x:v>
      </x:c>
      <x:c r="G75" s="18" t="str">
        <x:v>24 h</x:v>
      </x:c>
      <x:c r="H75" s="18" t="str">
        <x:v>Mean/SD</x:v>
      </x:c>
      <x:c r="I75" s="18" t="n">
        <x:v>50</x:v>
      </x:c>
      <x:c r="J75" s="18" t="n">
        <x:v>50</x:v>
      </x:c>
      <x:c r="K75" s="18" t="n">
        <x:v>50</x:v>
      </x:c>
      <x:c r="L75" s="18" t="n">
        <x:v>50</x:v>
      </x:c>
      <x:c r="M75" s="18" t="n">
        <x:v>1.7</x:v>
      </x:c>
      <x:c r="N75" s="18" t="n">
        <x:v>0.9</x:v>
      </x:c>
      <x:c r="O75" s="18"/>
      <x:c r="P75" s="18"/>
      <x:c r="Q75" s="18"/>
      <x:c r="R75" s="18"/>
      <x:c r="S75" s="18" t="n">
        <x:v>4</x:v>
      </x:c>
      <x:c r="T75" s="18" t="n">
        <x:v>1.4</x:v>
      </x:c>
      <x:c r="U75" s="18"/>
      <x:c r="V75" s="18"/>
      <x:c r="W75" s="18"/>
      <x:c r="X75" s="18"/>
      <x:c r="Y75" s="18" t="str">
        <x:v>VAS 0-10</x:v>
      </x:c>
      <x:c r="Z75" s="18" t="str">
        <x:v>&lt;0.001</x:v>
      </x:c>
      <x:c r="AA75" s="18" t="str">
        <x:v>Yes</x:v>
      </x:c>
      <x:c r="AB75" s="18" t="str">
        <x:v>No</x:v>
      </x:c>
      <x:c r="AC75" s="18" t="str">
        <x:v>MD</x:v>
      </x:c>
      <x:c r="AD75" s="18" t="n">
        <x:v>-2.3</x:v>
      </x:c>
      <x:c r="AE75" s="18" t="str">
        <x:v>No</x:v>
      </x:c>
      <x:c r="AF75" s="18" t="str">
        <x:v>No</x:v>
      </x:c>
      <x:c r="AG75" s="18" t="str">
        <x:v>Eligible for 24-h pain meta-analysis</x:v>
      </x:c>
      <x:c r="AH75" s="18" t="str">
        <x:v>No</x:v>
      </x:c>
      <x:c r="AI75" s="18" t="str">
        <x:v>Three patients could not be contacted at 24 h, yet all 100 were included in ITT; imputation/handling method is not explained</x:v>
      </x:c>
      <x:c r="AJ75" s="18" t="str">
        <x:v>Table 2 / primary 24-h VAS</x:v>
      </x:c>
      <x:c r="AK75" s="18" t="str">
        <x:v>https://drive.google.com/file/d/1ZV6JFjevGSPqnISdX61KPdcC_yEtq3vf/view?usp=drivesdk</x:v>
      </x:c>
      <x:c r="AL75" s="18" t="str">
        <x:v>SOURCE-VERIFIED / MISSING-DATA METHOD QC</x:v>
      </x:c>
      <x:c r="AM75" s="18" t="str">
        <x:v>Pain</x:v>
      </x:c>
      <x:c r="AN75" s="18" t="str">
        <x:v>Exact/explicit 24 h</x:v>
      </x:c>
      <x:c r="AO75" s="18" t="str">
        <x:v>EXCLUDE — DATA UNAVAILABLE</x:v>
      </x:c>
      <x:c r="AP75" s="18" t="str">
        <x:v>The source does not provide a defensible quantitative value for this analysis.</x:v>
      </x:c>
      <x:c r="AQ75" s="18" t="str">
        <x:v>No</x:v>
      </x:c>
      <x:c r="AR75" s="18" t="str"/>
      <x:c r="AS75" s="18" t="str">
        <x:v>None</x:v>
      </x:c>
      <x:c r="AT75" s="18" t="str">
        <x:v>VAS pain intensity</x:v>
      </x:c>
      <x:c r="AU75" s="18" t="str">
        <x:v>24 h</x:v>
      </x:c>
      <x:c r="AV75" s="18" t="str">
        <x:v>High</x:v>
      </x:c>
      <x:c r="AW75" s="18" t="str">
        <x:v>No — selected RoB matches this result</x:v>
      </x:c>
      <x:c r="AX75" s="18" t="str">
        <x:v>Wu 2025</x:v>
      </x:c>
      <x:c r="AY75" s="18" t="str">
        <x:v>Primary eligible contrast</x:v>
      </x:c>
      <x:c r="AZ75" s="18" t="str">
        <x:v>Count this study once per synthesis unless a valid multi-arm method is used.</x:v>
      </x:c>
    </x:row>
    <x:row r="76">
      <x:c r="A76" s="18" t="str">
        <x:v>Wu 2025</x:v>
      </x:c>
      <x:c r="B76" s="18" t="str">
        <x:v>WU25_TEAS_vs_SHAM_MODPAIN12</x:v>
      </x:c>
      <x:c r="C76" s="18" t="str">
        <x:v>PACU TEAS</x:v>
      </x:c>
      <x:c r="D76" s="18" t="str">
        <x:v>Sham/no current</x:v>
      </x:c>
      <x:c r="E76" s="18" t="str">
        <x:v>Pain</x:v>
      </x:c>
      <x:c r="F76" s="18" t="str">
        <x:v>Moderate-to-severe pain (VAS &gt;4)</x:v>
      </x:c>
      <x:c r="G76" s="18" t="str">
        <x:v>Within 12 h</x:v>
      </x:c>
      <x:c r="H76" s="18" t="str">
        <x:v>Events/total</x:v>
      </x:c>
      <x:c r="I76" s="18" t="n">
        <x:v>50</x:v>
      </x:c>
      <x:c r="J76" s="18" t="n">
        <x:v>50</x:v>
      </x:c>
      <x:c r="K76" s="18" t="n">
        <x:v>50</x:v>
      </x:c>
      <x:c r="L76" s="18" t="n">
        <x:v>50</x:v>
      </x:c>
      <x:c r="M76" s="18"/>
      <x:c r="N76" s="18"/>
      <x:c r="O76" s="18"/>
      <x:c r="P76" s="18"/>
      <x:c r="Q76" s="18"/>
      <x:c r="R76" s="18" t="n">
        <x:v>6</x:v>
      </x:c>
      <x:c r="S76" s="18"/>
      <x:c r="T76" s="18"/>
      <x:c r="U76" s="18"/>
      <x:c r="V76" s="18"/>
      <x:c r="W76" s="18"/>
      <x:c r="X76" s="18" t="n">
        <x:v>37</x:v>
      </x:c>
      <x:c r="Y76" s="18" t="str">
        <x:v>participants</x:v>
      </x:c>
      <x:c r="Z76" s="18" t="str">
        <x:v>&lt;0.001</x:v>
      </x:c>
      <x:c r="AA76" s="18" t="str">
        <x:v>Yes</x:v>
      </x:c>
      <x:c r="AB76" s="18" t="str">
        <x:v>No</x:v>
      </x:c>
      <x:c r="AC76" s="18" t="str">
        <x:v>RR</x:v>
      </x:c>
      <x:c r="AD76" s="18" t="n">
        <x:v>0.16216216216216217</x:v>
      </x:c>
      <x:c r="AE76" s="18" t="str">
        <x:v>No</x:v>
      </x:c>
      <x:c r="AF76" s="18" t="str">
        <x:v>No</x:v>
      </x:c>
      <x:c r="AG76" s="18" t="str">
        <x:v>Eligible for dichotomous early postoperative pain analysis</x:v>
      </x:c>
      <x:c r="AH76" s="18" t="str">
        <x:v>No</x:v>
      </x:c>
      <x:c r="AI76" s="18" t="str">
        <x:v>Very large subjective effect; interpret with incomplete sensory blinding</x:v>
      </x:c>
      <x:c r="AJ76" s="18" t="str">
        <x:v>Moderate-to-severe pain outcome</x:v>
      </x:c>
      <x:c r="AK76" s="18" t="str">
        <x:v>https://drive.google.com/file/d/1ZV6JFjevGSPqnISdX61KPdcC_yEtq3vf/view?usp=drivesdk</x:v>
      </x:c>
      <x:c r="AL76" s="18" t="str">
        <x:v>SOURCE-VERIFIED</x:v>
      </x:c>
      <x:c r="AM76" s="18" t="str">
        <x:v>Pain</x:v>
      </x:c>
      <x:c r="AN76" s="18" t="str">
        <x:v>Within 12 h</x:v>
      </x:c>
      <x:c r="AO76" s="18" t="str">
        <x:v>INCLUDE — OTHER TIMEPOINT</x:v>
      </x:c>
      <x:c r="AP76" s="18" t="str">
        <x:v>Source-valid pain outcome for a non-24-h analysis.</x:v>
      </x:c>
      <x:c r="AQ76" s="18" t="str">
        <x:v>No</x:v>
      </x:c>
      <x:c r="AR76" s="18" t="str"/>
      <x:c r="AS76" s="18" t="str">
        <x:v>Binary effect measure (RR preferred per protocol)</x:v>
      </x:c>
      <x:c r="AT76" s="18" t="str">
        <x:v>VAS pain intensity</x:v>
      </x:c>
      <x:c r="AU76" s="18" t="str">
        <x:v>24 h</x:v>
      </x:c>
      <x:c r="AV76" s="18" t="str">
        <x:v>High</x:v>
      </x:c>
      <x:c r="AW76" s="18" t="str">
        <x:v>Yes — selected RoB is for a different result/timepoint</x:v>
      </x:c>
      <x:c r="AX76" s="18" t="str">
        <x:v>Wu 2025</x:v>
      </x:c>
      <x:c r="AY76" s="18" t="str">
        <x:v>Primary eligible contrast</x:v>
      </x:c>
      <x:c r="AZ76" s="18" t="str">
        <x:v>Count this study once per synthesis unless a valid multi-arm method is used.</x:v>
      </x:c>
    </x:row>
    <x:row r="77">
      <x:c r="A77" s="18" t="str">
        <x:v>Wu 2025</x:v>
      </x:c>
      <x:c r="B77" s="18" t="str">
        <x:v>WU25_TEAS_vs_SHAM_INTRAOPSUF</x:v>
      </x:c>
      <x:c r="C77" s="18" t="str">
        <x:v>PACU TEAS</x:v>
      </x:c>
      <x:c r="D77" s="18" t="str">
        <x:v>Sham/no current</x:v>
      </x:c>
      <x:c r="E77" s="18" t="str">
        <x:v>Intraoperative opioid</x:v>
      </x:c>
      <x:c r="F77" s="18" t="str">
        <x:v>Sufentanil consumption</x:v>
      </x:c>
      <x:c r="G77" s="18" t="str">
        <x:v>Intraoperative</x:v>
      </x:c>
      <x:c r="H77" s="18" t="str">
        <x:v>Mean/SD</x:v>
      </x:c>
      <x:c r="I77" s="18" t="n">
        <x:v>50</x:v>
      </x:c>
      <x:c r="J77" s="18" t="n">
        <x:v>50</x:v>
      </x:c>
      <x:c r="K77" s="18" t="n">
        <x:v>50</x:v>
      </x:c>
      <x:c r="L77" s="18" t="n">
        <x:v>50</x:v>
      </x:c>
      <x:c r="M77" s="18" t="n">
        <x:v>24.2</x:v>
      </x:c>
      <x:c r="N77" s="18" t="n">
        <x:v>9.5</x:v>
      </x:c>
      <x:c r="O77" s="18"/>
      <x:c r="P77" s="18"/>
      <x:c r="Q77" s="18"/>
      <x:c r="R77" s="18"/>
      <x:c r="S77" s="18" t="n">
        <x:v>24.3</x:v>
      </x:c>
      <x:c r="T77" s="18" t="n">
        <x:v>10.9</x:v>
      </x:c>
      <x:c r="U77" s="18"/>
      <x:c r="V77" s="18"/>
      <x:c r="W77" s="18"/>
      <x:c r="X77" s="18"/>
      <x:c r="Y77" s="18" t="str">
        <x:v>µg sufentanil</x:v>
      </x:c>
      <x:c r="Z77" s="18" t="str">
        <x:v>0.953</x:v>
      </x:c>
      <x:c r="AA77" s="18" t="str">
        <x:v>Yes</x:v>
      </x:c>
      <x:c r="AB77" s="18" t="str">
        <x:v>No</x:v>
      </x:c>
      <x:c r="AC77" s="18" t="str">
        <x:v>MD</x:v>
      </x:c>
      <x:c r="AD77" s="18" t="n">
        <x:v>-0.10000000000000142</x:v>
      </x:c>
      <x:c r="AE77" s="18" t="str">
        <x:v>No</x:v>
      </x:c>
      <x:c r="AF77" s="18" t="str">
        <x:v>No</x:v>
      </x:c>
      <x:c r="AG77" s="18" t="str">
        <x:v>Eligible for intraoperative opioid analysis</x:v>
      </x:c>
      <x:c r="AH77" s="18" t="str">
        <x:v>No</x:v>
      </x:c>
      <x:c r="AI77" s="18" t="str">
        <x:v>No intraoperative opioid-sparing effect</x:v>
      </x:c>
      <x:c r="AJ77" s="18" t="str">
        <x:v>Table 1 / sufentanil</x:v>
      </x:c>
      <x:c r="AK77" s="18" t="str">
        <x:v>https://drive.google.com/file/d/1ZV6JFjevGSPqnISdX61KPdcC_yEtq3vf/view?usp=drivesdk</x:v>
      </x:c>
      <x:c r="AL77" s="18" t="str">
        <x:v>SOURCE-VERIFIED</x:v>
      </x:c>
      <x:c r="AM77" s="18" t="str">
        <x:v>Intraoperative opioid</x:v>
      </x:c>
      <x:c r="AN77" s="18" t="str">
        <x:v>Intraoperative</x:v>
      </x:c>
      <x:c r="AO77" s="18" t="str">
        <x:v>INCLUDE — INTRAOPERATIVE</x:v>
      </x:c>
      <x:c r="AP77" s="18" t="str">
        <x:v>Valid intraoperative opioid endpoint; must remain separate from postoperative opioid consumption.</x:v>
      </x:c>
      <x:c r="AQ77" s="18" t="str">
        <x:v>No</x:v>
      </x:c>
      <x:c r="AR77" s="18" t="str"/>
      <x:c r="AS77" s="18" t="str">
        <x:v>None</x:v>
      </x:c>
      <x:c r="AT77" s="18" t="str">
        <x:v>VAS pain intensity</x:v>
      </x:c>
      <x:c r="AU77" s="18" t="str">
        <x:v>24 h</x:v>
      </x:c>
      <x:c r="AV77" s="18" t="str">
        <x:v>High</x:v>
      </x:c>
      <x:c r="AW77" s="18" t="str">
        <x:v>Yes — selected RoB is for a different result/timepoint</x:v>
      </x:c>
      <x:c r="AX77" s="18" t="str">
        <x:v>Wu 2025</x:v>
      </x:c>
      <x:c r="AY77" s="18" t="str">
        <x:v>Primary eligible contrast</x:v>
      </x:c>
      <x:c r="AZ77" s="18" t="str">
        <x:v>Count this study once per synthesis unless a valid multi-arm method is used.</x:v>
      </x:c>
    </x:row>
    <x:row r="78">
      <x:c r="A78" s="18" t="str">
        <x:v>Wu 2025</x:v>
      </x:c>
      <x:c r="B78" s="18" t="str">
        <x:v>WU25_TEAS_vs_SHAM_INTRAOPREMI</x:v>
      </x:c>
      <x:c r="C78" s="18" t="str">
        <x:v>PACU TEAS</x:v>
      </x:c>
      <x:c r="D78" s="18" t="str">
        <x:v>Sham/no current</x:v>
      </x:c>
      <x:c r="E78" s="18" t="str">
        <x:v>Intraoperative opioid</x:v>
      </x:c>
      <x:c r="F78" s="18" t="str">
        <x:v>Remifentanil consumption</x:v>
      </x:c>
      <x:c r="G78" s="18" t="str">
        <x:v>Intraoperative</x:v>
      </x:c>
      <x:c r="H78" s="18" t="str">
        <x:v>Mean/SD</x:v>
      </x:c>
      <x:c r="I78" s="18" t="n">
        <x:v>50</x:v>
      </x:c>
      <x:c r="J78" s="18" t="n">
        <x:v>50</x:v>
      </x:c>
      <x:c r="K78" s="18" t="n">
        <x:v>50</x:v>
      </x:c>
      <x:c r="L78" s="18" t="n">
        <x:v>50</x:v>
      </x:c>
      <x:c r="M78" s="18" t="n">
        <x:v>489.4</x:v>
      </x:c>
      <x:c r="N78" s="18" t="n">
        <x:v>226</x:v>
      </x:c>
      <x:c r="O78" s="18"/>
      <x:c r="P78" s="18"/>
      <x:c r="Q78" s="18"/>
      <x:c r="R78" s="18"/>
      <x:c r="S78" s="18" t="n">
        <x:v>533.8</x:v>
      </x:c>
      <x:c r="T78" s="18" t="n">
        <x:v>263.6</x:v>
      </x:c>
      <x:c r="U78" s="18"/>
      <x:c r="V78" s="18"/>
      <x:c r="W78" s="18"/>
      <x:c r="X78" s="18"/>
      <x:c r="Y78" s="18" t="str">
        <x:v>µg remifentanil</x:v>
      </x:c>
      <x:c r="Z78" s="18" t="str">
        <x:v>0.368</x:v>
      </x:c>
      <x:c r="AA78" s="18" t="str">
        <x:v>Yes</x:v>
      </x:c>
      <x:c r="AB78" s="18" t="str">
        <x:v>No</x:v>
      </x:c>
      <x:c r="AC78" s="18" t="str">
        <x:v>MD</x:v>
      </x:c>
      <x:c r="AD78" s="18" t="n">
        <x:v>-44.39999999999998</x:v>
      </x:c>
      <x:c r="AE78" s="18" t="str">
        <x:v>No</x:v>
      </x:c>
      <x:c r="AF78" s="18" t="str">
        <x:v>No</x:v>
      </x:c>
      <x:c r="AG78" s="18" t="str">
        <x:v>Eligible for intraoperative opioid analysis</x:v>
      </x:c>
      <x:c r="AH78" s="18" t="str">
        <x:v>No</x:v>
      </x:c>
      <x:c r="AI78" s="18" t="str">
        <x:v>No significant intraoperative opioid-sparing effect</x:v>
      </x:c>
      <x:c r="AJ78" s="18" t="str">
        <x:v>Table 1 / remifentanil</x:v>
      </x:c>
      <x:c r="AK78" s="18" t="str">
        <x:v>https://drive.google.com/file/d/1ZV6JFjevGSPqnISdX61KPdcC_yEtq3vf/view?usp=drivesdk</x:v>
      </x:c>
      <x:c r="AL78" s="18" t="str">
        <x:v>SOURCE-VERIFIED</x:v>
      </x:c>
      <x:c r="AM78" s="18" t="str">
        <x:v>Intraoperative opioid</x:v>
      </x:c>
      <x:c r="AN78" s="18" t="str">
        <x:v>Intraoperative</x:v>
      </x:c>
      <x:c r="AO78" s="18" t="str">
        <x:v>INCLUDE — INTRAOPERATIVE</x:v>
      </x:c>
      <x:c r="AP78" s="18" t="str">
        <x:v>Valid intraoperative opioid endpoint; must remain separate from postoperative opioid consumption.</x:v>
      </x:c>
      <x:c r="AQ78" s="18" t="str">
        <x:v>No</x:v>
      </x:c>
      <x:c r="AR78" s="18" t="str"/>
      <x:c r="AS78" s="18" t="str">
        <x:v>None</x:v>
      </x:c>
      <x:c r="AT78" s="18" t="str">
        <x:v>VAS pain intensity</x:v>
      </x:c>
      <x:c r="AU78" s="18" t="str">
        <x:v>24 h</x:v>
      </x:c>
      <x:c r="AV78" s="18" t="str">
        <x:v>High</x:v>
      </x:c>
      <x:c r="AW78" s="18" t="str">
        <x:v>Yes — selected RoB is for a different result/timepoint</x:v>
      </x:c>
      <x:c r="AX78" s="18" t="str">
        <x:v>Wu 2025</x:v>
      </x:c>
      <x:c r="AY78" s="18" t="str">
        <x:v>Primary eligible contrast</x:v>
      </x:c>
      <x:c r="AZ78" s="18" t="str">
        <x:v>Count this study once per synthesis unless a valid multi-arm method is used.</x:v>
      </x:c>
    </x:row>
    <x:row r="79">
      <x:c r="A79" s="18" t="str">
        <x:v>Wu 2025</x:v>
      </x:c>
      <x:c r="B79" s="18" t="str">
        <x:v>WU25_TEAS_vs_SHAM_OPIOID24</x:v>
      </x:c>
      <x:c r="C79" s="18" t="str">
        <x:v>PACU TEAS</x:v>
      </x:c>
      <x:c r="D79" s="18" t="str">
        <x:v>Sham/no current</x:v>
      </x:c>
      <x:c r="E79" s="18" t="str">
        <x:v>Opioid consumption</x:v>
      </x:c>
      <x:c r="F79" s="18" t="str">
        <x:v>Exact postoperative opioid/MME consumption</x:v>
      </x:c>
      <x:c r="G79" s="18" t="str">
        <x:v>0-24 h</x:v>
      </x:c>
      <x:c r="H79" s="18" t="str">
        <x:v>Not calculable</x:v>
      </x:c>
      <x:c r="I79" s="18" t="n">
        <x:v>50</x:v>
      </x:c>
      <x:c r="J79" s="18" t="n">
        <x:v>50</x:v>
      </x:c>
      <x:c r="K79" s="18" t="n">
        <x:v>50</x:v>
      </x:c>
      <x:c r="L79" s="18" t="n">
        <x:v>50</x:v>
      </x:c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 t="str">
        <x:v>MME</x:v>
      </x:c>
      <x:c r="Z79" s="18"/>
      <x:c r="AA79" s="18" t="str">
        <x:v>No</x:v>
      </x:c>
      <x:c r="AB79" s="18" t="str">
        <x:v>No</x:v>
      </x:c>
      <x:c r="AC79" s="18"/>
      <x:c r="AD79" s="18"/>
      <x:c r="AE79" s="18" t="str">
        <x:v>No</x:v>
      </x:c>
      <x:c r="AF79" s="18" t="str">
        <x:v>No</x:v>
      </x:c>
      <x:c r="AG79" s="18" t="str">
        <x:v>Not eligible for continuous 24-h opioid meta-analysis</x:v>
      </x:c>
      <x:c r="AH79" s="18" t="str">
        <x:v>No</x:v>
      </x:c>
      <x:c r="AI79" s="18" t="str">
        <x:v>Oxycodone/acetaminophen rescue strength is not reported; rescue regimen is mixed opioid/non-opioid</x:v>
      </x:c>
      <x:c r="AJ79" s="18" t="str">
        <x:v>Postoperative rescue-analgesia section</x:v>
      </x:c>
      <x:c r="AK79" s="18" t="str">
        <x:v>https://drive.google.com/file/d/1ZV6JFjevGSPqnISdX61KPdcC_yEtq3vf/view?usp=drivesdk</x:v>
      </x:c>
      <x:c r="AL79" s="18" t="str">
        <x:v>MISSING / MME NOT CALCULABLE</x:v>
      </x:c>
      <x:c r="AM79" s="18" t="str">
        <x:v>Postoperative opioid consumption</x:v>
      </x:c>
      <x:c r="AN79" s="18" t="str">
        <x:v>Exact/explicit 24 h</x:v>
      </x:c>
      <x:c r="AO79" s="18" t="str">
        <x:v>EXCLUDE — DATA UNAVAILABLE</x:v>
      </x:c>
      <x:c r="AP79" s="18" t="str">
        <x:v>The source does not provide a defensible quantitative value for this analysis.</x:v>
      </x:c>
      <x:c r="AQ79" s="18" t="str">
        <x:v>No</x:v>
      </x:c>
      <x:c r="AR79" s="18" t="str"/>
      <x:c r="AS79" s="18" t="str">
        <x:v>None</x:v>
      </x:c>
      <x:c r="AT79" s="18" t="str">
        <x:v>VAS pain intensity</x:v>
      </x:c>
      <x:c r="AU79" s="18" t="str">
        <x:v>24 h</x:v>
      </x:c>
      <x:c r="AV79" s="18" t="str">
        <x:v>High</x:v>
      </x:c>
      <x:c r="AW79" s="18" t="str">
        <x:v>Yes — selected RoB is for a different result/timepoint</x:v>
      </x:c>
      <x:c r="AX79" s="18" t="str">
        <x:v>Wu 2025</x:v>
      </x:c>
      <x:c r="AY79" s="18" t="str">
        <x:v>Primary eligible contrast</x:v>
      </x:c>
      <x:c r="AZ79" s="18" t="str">
        <x:v>Count this study once per synthesis unless a valid multi-arm method is used.</x:v>
      </x:c>
    </x:row>
    <x:row r="80">
      <x:c r="A80" s="18" t="str">
        <x:v>Wang 2023</x:v>
      </x:c>
      <x:c r="B80" s="18" t="str">
        <x:v>WANG23_TEAS_vs_SHAM_SLEEPD1</x:v>
      </x:c>
      <x:c r="C80" s="18" t="str">
        <x:v>Nighttime TEAS</x:v>
      </x:c>
      <x:c r="D80" s="18" t="str">
        <x:v>Sham/no current</x:v>
      </x:c>
      <x:c r="E80" s="18" t="str">
        <x:v>Sleep quality</x:v>
      </x:c>
      <x:c r="F80" s="18" t="str">
        <x:v>PSQI and AIS postoperative sleep quality</x:v>
      </x:c>
      <x:c r="G80" s="18" t="str">
        <x:v>POD1</x:v>
      </x:c>
      <x:c r="H80" s="18" t="str">
        <x:v>Graph-only continuous data</x:v>
      </x:c>
      <x:c r="I80" s="18" t="n">
        <x:v>43</x:v>
      </x:c>
      <x:c r="J80" s="18" t="n">
        <x:v>45</x:v>
      </x:c>
      <x:c r="K80" s="18" t="n">
        <x:v>40</x:v>
      </x:c>
      <x:c r="L80" s="18" t="n">
        <x:v>43</x:v>
      </x:c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 t="str">
        <x:v>PSQI/AIS points</x:v>
      </x:c>
      <x:c r="Z80" s="18" t="str">
        <x:v>&lt;0.05 between groups</x:v>
      </x:c>
      <x:c r="AA80" s="18" t="str">
        <x:v>No</x:v>
      </x:c>
      <x:c r="AB80" s="18" t="str">
        <x:v>No</x:v>
      </x:c>
      <x:c r="AC80" s="18"/>
      <x:c r="AD80" s="18"/>
      <x:c r="AE80" s="18" t="str">
        <x:v>No</x:v>
      </x:c>
      <x:c r="AF80" s="18" t="str">
        <x:v>No</x:v>
      </x:c>
      <x:c r="AG80" s="18" t="str">
        <x:v>Not ready for continuous meta-analysis without formal graph digitization or author data</x:v>
      </x:c>
      <x:c r="AH80" s="18" t="str">
        <x:v>No</x:v>
      </x:c>
      <x:c r="AI80" s="18" t="str">
        <x:v>Exact POD1 means/SDs are figure-only; do not use fabricated exact AIS/PSQI values</x:v>
      </x:c>
      <x:c r="AJ80" s="18" t="str">
        <x:v>Figure 3, p8</x:v>
      </x:c>
      <x:c r="AK80" s="18" t="str">
        <x:v>https://drive.google.com/file/d/177A4aH42GD90DhsvvtD-VOBSChBBpIWL/view?usp=drivesdk</x:v>
      </x:c>
      <x:c r="AL80" s="18" t="str">
        <x:v>FIGURE ONLY / DIGITIZATION NEEDED</x:v>
      </x:c>
      <x:c r="AM80" s="18" t="str">
        <x:v>Sleep</x:v>
      </x:c>
      <x:c r="AN80" s="18" t="str">
        <x:v>POD1 / approximate 24 h</x:v>
      </x:c>
      <x:c r="AO80" s="18" t="str">
        <x:v>DIGITIZATION NEEDED</x:v>
      </x:c>
      <x:c r="AP80" s="18" t="str">
        <x:v>Exact numeric result is not tabulated; formal graph digitization or author data is required before quantitative pooling.</x:v>
      </x:c>
      <x:c r="AQ80" s="18" t="str">
        <x:v>No</x:v>
      </x:c>
      <x:c r="AR80" s="18" t="str"/>
      <x:c r="AS80" s="18" t="str">
        <x:v>None</x:v>
      </x:c>
      <x:c r="AT80" s="18" t="str">
        <x:v>Postoperative sleep quality (PSQI/AIS)</x:v>
      </x:c>
      <x:c r="AU80" s="18" t="str">
        <x:v>POD1</x:v>
      </x:c>
      <x:c r="AV80" s="18" t="str">
        <x:v>High</x:v>
      </x:c>
      <x:c r="AW80" s="18" t="str">
        <x:v>Yes — selected RoB is for a different result/timepoint</x:v>
      </x:c>
      <x:c r="AX80" s="18" t="str">
        <x:v>Wang 2023</x:v>
      </x:c>
      <x:c r="AY80" s="18" t="str">
        <x:v>Primary eligible contrast</x:v>
      </x:c>
      <x:c r="AZ80" s="18" t="str">
        <x:v>Count this study once per synthesis unless a valid multi-arm method is used.</x:v>
      </x:c>
    </x:row>
    <x:row r="81">
      <x:c r="A81" s="18" t="str">
        <x:v>Wang 2023</x:v>
      </x:c>
      <x:c r="B81" s="18" t="str">
        <x:v>WANG23_TEAS_vs_SHAM_RESCUEDOSE</x:v>
      </x:c>
      <x:c r="C81" s="18" t="str">
        <x:v>Nighttime TEAS</x:v>
      </x:c>
      <x:c r="D81" s="18" t="str">
        <x:v>Sham/no current</x:v>
      </x:c>
      <x:c r="E81" s="18" t="str">
        <x:v>Rescue analgesia</x:v>
      </x:c>
      <x:c r="F81" s="18" t="str">
        <x:v>Cumulative number of additional rescue-analgesia doses</x:v>
      </x:c>
      <x:c r="G81" s="18" t="str">
        <x:v>0-72 h</x:v>
      </x:c>
      <x:c r="H81" s="18" t="str">
        <x:v>Mean/SD</x:v>
      </x:c>
      <x:c r="I81" s="18" t="n">
        <x:v>43</x:v>
      </x:c>
      <x:c r="J81" s="18" t="n">
        <x:v>45</x:v>
      </x:c>
      <x:c r="K81" s="18" t="n">
        <x:v>40</x:v>
      </x:c>
      <x:c r="L81" s="18" t="n">
        <x:v>43</x:v>
      </x:c>
      <x:c r="M81" s="18" t="n">
        <x:v>0.53</x:v>
      </x:c>
      <x:c r="N81" s="18" t="n">
        <x:v>0.55</x:v>
      </x:c>
      <x:c r="O81" s="18"/>
      <x:c r="P81" s="18"/>
      <x:c r="Q81" s="18"/>
      <x:c r="R81" s="18"/>
      <x:c r="S81" s="18" t="n">
        <x:v>0.98</x:v>
      </x:c>
      <x:c r="T81" s="18" t="n">
        <x:v>0.96</x:v>
      </x:c>
      <x:c r="U81" s="18"/>
      <x:c r="V81" s="18"/>
      <x:c r="W81" s="18"/>
      <x:c r="X81" s="18"/>
      <x:c r="Y81" s="18" t="str">
        <x:v>rescue doses</x:v>
      </x:c>
      <x:c r="Z81" s="18" t="str">
        <x:v>0.011</x:v>
      </x:c>
      <x:c r="AA81" s="18" t="str">
        <x:v>Yes</x:v>
      </x:c>
      <x:c r="AB81" s="18" t="str">
        <x:v>No</x:v>
      </x:c>
      <x:c r="AC81" s="18" t="str">
        <x:v>MD</x:v>
      </x:c>
      <x:c r="AD81" s="18" t="n">
        <x:v>-0.44999999999999996</x:v>
      </x:c>
      <x:c r="AE81" s="18" t="str">
        <x:v>No</x:v>
      </x:c>
      <x:c r="AF81" s="18" t="str">
        <x:v>No</x:v>
      </x:c>
      <x:c r="AG81" s="18" t="str">
        <x:v>Eligible as rescue-analgesia frequency outcome only</x:v>
      </x:c>
      <x:c r="AH81" s="18" t="str">
        <x:v>No</x:v>
      </x:c>
      <x:c r="AI81" s="18" t="str">
        <x:v>Rescue drug, dose, route and opioid/non-opioid identity are not specified in the main article</x:v>
      </x:c>
      <x:c r="AJ81" s="18" t="str">
        <x:v>Table 2 / rescue analgesia</x:v>
      </x:c>
      <x:c r="AK81" s="18" t="str">
        <x:v>https://drive.google.com/file/d/177A4aH42GD90DhsvvtD-VOBSChBBpIWL/view?usp=drivesdk</x:v>
      </x:c>
      <x:c r="AL81" s="18" t="str">
        <x:v>SOURCE-VERIFIED / DRUG IDENTITY MISSING</x:v>
      </x:c>
      <x:c r="AM81" s="18" t="str">
        <x:v>Rescue analgesia</x:v>
      </x:c>
      <x:c r="AN81" s="18" t="str">
        <x:v>72 h</x:v>
      </x:c>
      <x:c r="AO81" s="18" t="str">
        <x:v>EXCLUDE — DATA UNAVAILABLE</x:v>
      </x:c>
      <x:c r="AP81" s="18" t="str">
        <x:v>The source does not provide a defensible quantitative value for this analysis.</x:v>
      </x:c>
      <x:c r="AQ81" s="18" t="str">
        <x:v>No</x:v>
      </x:c>
      <x:c r="AR81" s="18" t="str"/>
      <x:c r="AS81" s="18" t="str">
        <x:v>None</x:v>
      </x:c>
      <x:c r="AT81" s="18" t="str">
        <x:v>Postoperative sleep quality (PSQI/AIS)</x:v>
      </x:c>
      <x:c r="AU81" s="18" t="str">
        <x:v>POD1</x:v>
      </x:c>
      <x:c r="AV81" s="18" t="str">
        <x:v>High</x:v>
      </x:c>
      <x:c r="AW81" s="18" t="str">
        <x:v>Yes — selected RoB is for a different result/timepoint</x:v>
      </x:c>
      <x:c r="AX81" s="18" t="str">
        <x:v>Wang 2023</x:v>
      </x:c>
      <x:c r="AY81" s="18" t="str">
        <x:v>Primary eligible contrast</x:v>
      </x:c>
      <x:c r="AZ81" s="18" t="str">
        <x:v>Count this study once per synthesis unless a valid multi-arm method is used.</x:v>
      </x:c>
    </x:row>
    <x:row r="82">
      <x:c r="A82" s="18" t="str">
        <x:v>Wang 2023</x:v>
      </x:c>
      <x:c r="B82" s="18" t="str">
        <x:v>WANG23_TEAS_vs_SHAM_FLATUS</x:v>
      </x:c>
      <x:c r="C82" s="18" t="str">
        <x:v>Nighttime TEAS</x:v>
      </x:c>
      <x:c r="D82" s="18" t="str">
        <x:v>Sham/no current</x:v>
      </x:c>
      <x:c r="E82" s="18" t="str">
        <x:v>GI recovery</x:v>
      </x:c>
      <x:c r="F82" s="18" t="str">
        <x:v>Time to first flatus</x:v>
      </x:c>
      <x:c r="G82" s="18" t="str">
        <x:v>Postoperative</x:v>
      </x:c>
      <x:c r="H82" s="18" t="str">
        <x:v>Mean/SD</x:v>
      </x:c>
      <x:c r="I82" s="18" t="n">
        <x:v>43</x:v>
      </x:c>
      <x:c r="J82" s="18" t="n">
        <x:v>45</x:v>
      </x:c>
      <x:c r="K82" s="18" t="n">
        <x:v>40</x:v>
      </x:c>
      <x:c r="L82" s="18" t="n">
        <x:v>43</x:v>
      </x:c>
      <x:c r="M82" s="18" t="n">
        <x:v>54.57</x:v>
      </x:c>
      <x:c r="N82" s="18" t="n">
        <x:v>16.62</x:v>
      </x:c>
      <x:c r="O82" s="18"/>
      <x:c r="P82" s="18"/>
      <x:c r="Q82" s="18"/>
      <x:c r="R82" s="18"/>
      <x:c r="S82" s="18" t="n">
        <x:v>60.7</x:v>
      </x:c>
      <x:c r="T82" s="18" t="n">
        <x:v>19.1</x:v>
      </x:c>
      <x:c r="U82" s="18"/>
      <x:c r="V82" s="18"/>
      <x:c r="W82" s="18"/>
      <x:c r="X82" s="18"/>
      <x:c r="Y82" s="18" t="str">
        <x:v>hours</x:v>
      </x:c>
      <x:c r="Z82" s="18" t="str">
        <x:v>0.124</x:v>
      </x:c>
      <x:c r="AA82" s="18" t="str">
        <x:v>Yes</x:v>
      </x:c>
      <x:c r="AB82" s="18" t="str">
        <x:v>No</x:v>
      </x:c>
      <x:c r="AC82" s="18" t="str">
        <x:v>MD</x:v>
      </x:c>
      <x:c r="AD82" s="18" t="n">
        <x:v>-6.130000000000003</x:v>
      </x:c>
      <x:c r="AE82" s="18" t="str">
        <x:v>No</x:v>
      </x:c>
      <x:c r="AF82" s="18" t="str">
        <x:v>No</x:v>
      </x:c>
      <x:c r="AG82" s="18" t="str">
        <x:v>Eligible for GI-recovery analysis</x:v>
      </x:c>
      <x:c r="AH82" s="18" t="str">
        <x:v>No</x:v>
      </x:c>
      <x:c r="AI82" s="18" t="str">
        <x:v>5/88 randomized participants excluded for protocol breaches; no full ITT</x:v>
      </x:c>
      <x:c r="AJ82" s="18" t="str">
        <x:v>Table 1 / postoperative first flatus</x:v>
      </x:c>
      <x:c r="AK82" s="18" t="str">
        <x:v>https://drive.google.com/file/d/177A4aH42GD90DhsvvtD-VOBSChBBpIWL/view?usp=drivesdk</x:v>
      </x:c>
      <x:c r="AL82" s="18" t="str">
        <x:v>SOURCE-VERIFIED / ATTRITION QC</x:v>
      </x:c>
      <x:c r="AM82" s="18" t="str">
        <x:v>GI recovery</x:v>
      </x:c>
      <x:c r="AN82" s="18" t="str">
        <x:v>Postoperative</x:v>
      </x:c>
      <x:c r="AO82" s="18" t="str">
        <x:v>INCLUDE</x:v>
      </x:c>
      <x:c r="AP82" s="18" t="str">
        <x:v>Source-valid first-flatus/ileus endpoint; retain reported distribution (mean/SD, median/IQR, or events).</x:v>
      </x:c>
      <x:c r="AQ82" s="18" t="str">
        <x:v>Yes</x:v>
      </x:c>
      <x:c r="AR82" s="18" t="str"/>
      <x:c r="AS82" s="18" t="str">
        <x:v>None</x:v>
      </x:c>
      <x:c r="AT82" s="18" t="str">
        <x:v>Postoperative sleep quality (PSQI/AIS)</x:v>
      </x:c>
      <x:c r="AU82" s="18" t="str">
        <x:v>POD1</x:v>
      </x:c>
      <x:c r="AV82" s="18" t="str">
        <x:v>High</x:v>
      </x:c>
      <x:c r="AW82" s="18" t="str">
        <x:v>Yes — selected RoB is for a different result/timepoint</x:v>
      </x:c>
      <x:c r="AX82" s="18" t="str">
        <x:v>Wang 2023</x:v>
      </x:c>
      <x:c r="AY82" s="18" t="str">
        <x:v>Primary eligible contrast</x:v>
      </x:c>
      <x:c r="AZ82" s="18" t="str">
        <x:v>Count this study once per synthesis unless a valid multi-arm method is used.</x:v>
      </x:c>
    </x:row>
    <x:row r="83">
      <x:c r="A83" s="18" t="str">
        <x:v>Wang 2023</x:v>
      </x:c>
      <x:c r="B83" s="18" t="str">
        <x:v>WANG23_TEAS_vs_SHAM_PAIN24</x:v>
      </x:c>
      <x:c r="C83" s="18" t="str">
        <x:v>Nighttime TEAS</x:v>
      </x:c>
      <x:c r="D83" s="18" t="str">
        <x:v>Sham/no current</x:v>
      </x:c>
      <x:c r="E83" s="18" t="str">
        <x:v>Pain</x:v>
      </x:c>
      <x:c r="F83" s="18" t="str">
        <x:v>Activity pain VAS</x:v>
      </x:c>
      <x:c r="G83" s="18" t="str">
        <x:v>24 h</x:v>
      </x:c>
      <x:c r="H83" s="18" t="str">
        <x:v>Graph-only mean/SD</x:v>
      </x:c>
      <x:c r="I83" s="18" t="n">
        <x:v>43</x:v>
      </x:c>
      <x:c r="J83" s="18" t="n">
        <x:v>45</x:v>
      </x:c>
      <x:c r="K83" s="18" t="n">
        <x:v>40</x:v>
      </x:c>
      <x:c r="L83" s="18" t="n">
        <x:v>43</x:v>
      </x:c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 t="str">
        <x:v>VAS 0-10</x:v>
      </x:c>
      <x:c r="Z83" s="18" t="str">
        <x:v>&lt;0.05</x:v>
      </x:c>
      <x:c r="AA83" s="18" t="str">
        <x:v>No</x:v>
      </x:c>
      <x:c r="AB83" s="18" t="str">
        <x:v>No</x:v>
      </x:c>
      <x:c r="AC83" s="18"/>
      <x:c r="AD83" s="18"/>
      <x:c r="AE83" s="18" t="str">
        <x:v>No</x:v>
      </x:c>
      <x:c r="AF83" s="18" t="str">
        <x:v>No</x:v>
      </x:c>
      <x:c r="AG83" s="18" t="str">
        <x:v>Not ready for quantitative pooling without formal digitization or author data</x:v>
      </x:c>
      <x:c r="AH83" s="18" t="str">
        <x:v>No</x:v>
      </x:c>
      <x:c r="AI83" s="18" t="str">
        <x:v>Exact 24-h activity VAS values are only shown graphically; stored derivative exact values were fabricated</x:v>
      </x:c>
      <x:c r="AJ83" s="18" t="str">
        <x:v>Figure 4, p8</x:v>
      </x:c>
      <x:c r="AK83" s="18" t="str">
        <x:v>https://drive.google.com/file/d/177A4aH42GD90DhsvvtD-VOBSChBBpIWL/view?usp=drivesdk</x:v>
      </x:c>
      <x:c r="AL83" s="18" t="str">
        <x:v>FIGURE ONLY / DIGITIZATION NEEDED</x:v>
      </x:c>
      <x:c r="AM83" s="18" t="str">
        <x:v>Pain</x:v>
      </x:c>
      <x:c r="AN83" s="18" t="str">
        <x:v>Exact/explicit 24 h</x:v>
      </x:c>
      <x:c r="AO83" s="18" t="str">
        <x:v>DIGITIZATION NEEDED</x:v>
      </x:c>
      <x:c r="AP83" s="18" t="str">
        <x:v>Exact numeric result is not tabulated; formal graph digitization or author data is required before quantitative pooling.</x:v>
      </x:c>
      <x:c r="AQ83" s="18" t="str">
        <x:v>No</x:v>
      </x:c>
      <x:c r="AR83" s="18" t="str"/>
      <x:c r="AS83" s="18" t="str">
        <x:v>None</x:v>
      </x:c>
      <x:c r="AT83" s="18" t="str">
        <x:v>Postoperative sleep quality (PSQI/AIS)</x:v>
      </x:c>
      <x:c r="AU83" s="18" t="str">
        <x:v>POD1</x:v>
      </x:c>
      <x:c r="AV83" s="18" t="str">
        <x:v>High</x:v>
      </x:c>
      <x:c r="AW83" s="18" t="str">
        <x:v>Yes — selected RoB is for a different result/timepoint</x:v>
      </x:c>
      <x:c r="AX83" s="18" t="str">
        <x:v>Wang 2023</x:v>
      </x:c>
      <x:c r="AY83" s="18" t="str">
        <x:v>Primary eligible contrast</x:v>
      </x:c>
      <x:c r="AZ83" s="18" t="str">
        <x:v>Count this study once per synthesis unless a valid multi-arm method is used.</x:v>
      </x:c>
    </x:row>
    <x:row r="84">
      <x:c r="A84" s="18" t="str">
        <x:v>Wang 2023</x:v>
      </x:c>
      <x:c r="B84" s="18" t="str">
        <x:v>WANG23_TEAS_vs_SHAM_OPIOID24</x:v>
      </x:c>
      <x:c r="C84" s="18" t="str">
        <x:v>Nighttime TEAS</x:v>
      </x:c>
      <x:c r="D84" s="18" t="str">
        <x:v>Sham/no current</x:v>
      </x:c>
      <x:c r="E84" s="18" t="str">
        <x:v>Opioid consumption</x:v>
      </x:c>
      <x:c r="F84" s="18" t="str">
        <x:v>Exact cumulative postoperative opioid dose</x:v>
      </x:c>
      <x:c r="G84" s="18" t="str">
        <x:v>0-24 h</x:v>
      </x:c>
      <x:c r="H84" s="18" t="str">
        <x:v>Not reported</x:v>
      </x:c>
      <x:c r="I84" s="18" t="n">
        <x:v>43</x:v>
      </x:c>
      <x:c r="J84" s="18" t="n">
        <x:v>45</x:v>
      </x:c>
      <x:c r="K84" s="18" t="n">
        <x:v>40</x:v>
      </x:c>
      <x:c r="L84" s="18" t="n">
        <x:v>43</x:v>
      </x:c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 t="str">
        <x:v>mg/µg</x:v>
      </x:c>
      <x:c r="Z84" s="18"/>
      <x:c r="AA84" s="18" t="str">
        <x:v>No</x:v>
      </x:c>
      <x:c r="AB84" s="18" t="str">
        <x:v>No</x:v>
      </x:c>
      <x:c r="AC84" s="18"/>
      <x:c r="AD84" s="18"/>
      <x:c r="AE84" s="18" t="str">
        <x:v>No</x:v>
      </x:c>
      <x:c r="AF84" s="18" t="str">
        <x:v>No</x:v>
      </x:c>
      <x:c r="AG84" s="18" t="str">
        <x:v>Not eligible for continuous 24-h opioid meta-analysis</x:v>
      </x:c>
      <x:c r="AH84" s="18" t="str">
        <x:v>No</x:v>
      </x:c>
      <x:c r="AI84" s="18" t="str">
        <x:v>Only rescue-dose counts are reported and the rescue drug is not identified</x:v>
      </x:c>
      <x:c r="AJ84" s="18" t="str">
        <x:v>Postoperative analgesia outcomes</x:v>
      </x:c>
      <x:c r="AK84" s="18" t="str">
        <x:v>https://drive.google.com/file/d/177A4aH42GD90DhsvvtD-VOBSChBBpIWL/view?usp=drivesdk</x:v>
      </x:c>
      <x:c r="AL84" s="18" t="str">
        <x:v>MISSING / DRUG IDENTITY NOT REPORTED</x:v>
      </x:c>
      <x:c r="AM84" s="18" t="str">
        <x:v>Postoperative opioid consumption</x:v>
      </x:c>
      <x:c r="AN84" s="18" t="str">
        <x:v>Exact/explicit 24 h</x:v>
      </x:c>
      <x:c r="AO84" s="18" t="str">
        <x:v>EXCLUDE — DATA UNAVAILABLE</x:v>
      </x:c>
      <x:c r="AP84" s="18" t="str">
        <x:v>The source does not provide a defensible quantitative value for this analysis.</x:v>
      </x:c>
      <x:c r="AQ84" s="18" t="str">
        <x:v>No</x:v>
      </x:c>
      <x:c r="AR84" s="18" t="str"/>
      <x:c r="AS84" s="18" t="str">
        <x:v>None</x:v>
      </x:c>
      <x:c r="AT84" s="18" t="str">
        <x:v>Postoperative sleep quality (PSQI/AIS)</x:v>
      </x:c>
      <x:c r="AU84" s="18" t="str">
        <x:v>POD1</x:v>
      </x:c>
      <x:c r="AV84" s="18" t="str">
        <x:v>High</x:v>
      </x:c>
      <x:c r="AW84" s="18" t="str">
        <x:v>Yes — selected RoB is for a different result/timepoint</x:v>
      </x:c>
      <x:c r="AX84" s="18" t="str">
        <x:v>Wang 2023</x:v>
      </x:c>
      <x:c r="AY84" s="18" t="str">
        <x:v>Primary eligible contrast</x:v>
      </x:c>
      <x:c r="AZ84" s="18" t="str">
        <x:v>Count this study once per synthesis unless a valid multi-arm method is used.</x:v>
      </x:c>
    </x:row>
    <x:row r="85">
      <x:c r="A85" s="18" t="str">
        <x:v>Wang 2024</x:v>
      </x:c>
      <x:c r="B85" s="18" t="str">
        <x:v>WANG24_SNVP_ODT_vs_OD_PONV6_12</x:v>
      </x:c>
      <x:c r="C85" s="18" t="str">
        <x:v>SNVP: ondansetron+dexamethasone+TEAS</x:v>
      </x:c>
      <x:c r="D85" s="18" t="str">
        <x:v>SNVP: ondansetron+dexamethasone</x:v>
      </x:c>
      <x:c r="E85" s="18" t="str">
        <x:v>PONV</x:v>
      </x:c>
      <x:c r="F85" s="18" t="str">
        <x:v>PONV incidence</x:v>
      </x:c>
      <x:c r="G85" s="18" t="str">
        <x:v>6-12 h</x:v>
      </x:c>
      <x:c r="H85" s="18" t="str">
        <x:v>Events/total</x:v>
      </x:c>
      <x:c r="I85" s="18" t="n">
        <x:v>35</x:v>
      </x:c>
      <x:c r="J85" s="18" t="n">
        <x:v>35</x:v>
      </x:c>
      <x:c r="K85" s="18" t="n">
        <x:v>33</x:v>
      </x:c>
      <x:c r="L85" s="18" t="n">
        <x:v>35</x:v>
      </x:c>
      <x:c r="M85" s="18"/>
      <x:c r="N85" s="18"/>
      <x:c r="O85" s="18"/>
      <x:c r="P85" s="18"/>
      <x:c r="Q85" s="18"/>
      <x:c r="R85" s="18" t="n">
        <x:v>7</x:v>
      </x:c>
      <x:c r="S85" s="18"/>
      <x:c r="T85" s="18"/>
      <x:c r="U85" s="18"/>
      <x:c r="V85" s="18"/>
      <x:c r="W85" s="18"/>
      <x:c r="X85" s="18" t="n">
        <x:v>16</x:v>
      </x:c>
      <x:c r="Y85" s="18" t="str">
        <x:v>participants</x:v>
      </x:c>
      <x:c r="Z85" s="18" t="str">
        <x:v>0.033</x:v>
      </x:c>
      <x:c r="AA85" s="18" t="str">
        <x:v>Yes</x:v>
      </x:c>
      <x:c r="AB85" s="18" t="str">
        <x:v>No</x:v>
      </x:c>
      <x:c r="AC85" s="18" t="str">
        <x:v>RR</x:v>
      </x:c>
      <x:c r="AD85" s="18" t="n">
        <x:v>0.46401515151515155</x:v>
      </x:c>
      <x:c r="AE85" s="18" t="str">
        <x:v>No</x:v>
      </x:c>
      <x:c r="AF85" s="18" t="str">
        <x:v>No</x:v>
      </x:c>
      <x:c r="AG85" s="18" t="str">
        <x:v>Eligible for stratum-specific dichotomous PONV analysis</x:v>
      </x:c>
      <x:c r="AH85" s="18" t="str">
        <x:v>No</x:v>
      </x:c>
      <x:c r="AI85" s="18" t="str">
        <x:v>Do not pool across SNVP/MNVP as if strata were randomized; 2 ODT patients excluded after randomization due postoperative fever</x:v>
      </x:c>
      <x:c r="AJ85" s="18" t="str">
        <x:v>Table 3 / SNVP randomized contrast</x:v>
      </x:c>
      <x:c r="AK85" s="18" t="str">
        <x:v>https://drive.google.com/file/d/1U8tkq6mKFO0IkA2glfgLjN4Krwku3FZn/view?usp=drivesdk</x:v>
      </x:c>
      <x:c r="AL85" s="18" t="str">
        <x:v>SOURCE-VERIFIED / STRATIFIED RCT</x:v>
      </x:c>
      <x:c r="AM85" s="18" t="str">
        <x:v>PONV</x:v>
      </x:c>
      <x:c r="AN85" s="18" t="str">
        <x:v>6-12 h</x:v>
      </x:c>
      <x:c r="AO85" s="18" t="str">
        <x:v>CONDITIONAL</x:v>
      </x:c>
      <x:c r="AP85" s="18" t="str">
        <x:v>Valid PONV result, but the postoperative observation window should be matched to the intended synthesis.</x:v>
      </x:c>
      <x:c r="AQ85" s="18" t="str">
        <x:v>No</x:v>
      </x:c>
      <x:c r="AR85" s="18" t="str"/>
      <x:c r="AS85" s="18" t="str">
        <x:v>Binary effect measure (RR preferred per protocol)</x:v>
      </x:c>
      <x:c r="AT85" s="18" t="str">
        <x:v>PONV incidence</x:v>
      </x:c>
      <x:c r="AU85" s="18" t="str">
        <x:v>12-24 h</x:v>
      </x:c>
      <x:c r="AV85" s="18" t="str">
        <x:v>High</x:v>
      </x:c>
      <x:c r="AW85" s="18" t="str">
        <x:v>No — selected RoB matches this result</x:v>
      </x:c>
      <x:c r="AX85" s="18" t="str">
        <x:v>Wang 2024</x:v>
      </x:c>
      <x:c r="AY85" s="18" t="str">
        <x:v>Risk-stratum randomized contrast</x:v>
      </x:c>
      <x:c r="AZ85" s="18" t="str">
        <x:v>SNVP and MNVP are separate randomized strata; do not pool across strata as one undifferentiated treatment contrast without a stratum-aware method.</x:v>
      </x:c>
    </x:row>
    <x:row r="86">
      <x:c r="A86" s="18" t="str">
        <x:v>Wang 2024</x:v>
      </x:c>
      <x:c r="B86" s="18" t="str">
        <x:v>WANG24_SNVP_ODT_vs_OD_PONV12_24</x:v>
      </x:c>
      <x:c r="C86" s="18" t="str">
        <x:v>SNVP: ondansetron+dexamethasone+TEAS</x:v>
      </x:c>
      <x:c r="D86" s="18" t="str">
        <x:v>SNVP: ondansetron+dexamethasone</x:v>
      </x:c>
      <x:c r="E86" s="18" t="str">
        <x:v>PONV</x:v>
      </x:c>
      <x:c r="F86" s="18" t="str">
        <x:v>PONV incidence</x:v>
      </x:c>
      <x:c r="G86" s="18" t="str">
        <x:v>12-24 h</x:v>
      </x:c>
      <x:c r="H86" s="18" t="str">
        <x:v>Events/total</x:v>
      </x:c>
      <x:c r="I86" s="18" t="n">
        <x:v>35</x:v>
      </x:c>
      <x:c r="J86" s="18" t="n">
        <x:v>35</x:v>
      </x:c>
      <x:c r="K86" s="18" t="n">
        <x:v>33</x:v>
      </x:c>
      <x:c r="L86" s="18" t="n">
        <x:v>35</x:v>
      </x:c>
      <x:c r="M86" s="18"/>
      <x:c r="N86" s="18"/>
      <x:c r="O86" s="18"/>
      <x:c r="P86" s="18"/>
      <x:c r="Q86" s="18"/>
      <x:c r="R86" s="18" t="n">
        <x:v>2</x:v>
      </x:c>
      <x:c r="S86" s="18"/>
      <x:c r="T86" s="18"/>
      <x:c r="U86" s="18"/>
      <x:c r="V86" s="18"/>
      <x:c r="W86" s="18"/>
      <x:c r="X86" s="18" t="n">
        <x:v>11</x:v>
      </x:c>
      <x:c r="Y86" s="18" t="str">
        <x:v>participants</x:v>
      </x:c>
      <x:c r="Z86" s="18" t="str">
        <x:v>0.008</x:v>
      </x:c>
      <x:c r="AA86" s="18" t="str">
        <x:v>Yes</x:v>
      </x:c>
      <x:c r="AB86" s="18" t="str">
        <x:v>No</x:v>
      </x:c>
      <x:c r="AC86" s="18" t="str">
        <x:v>RR</x:v>
      </x:c>
      <x:c r="AD86" s="18" t="n">
        <x:v>0.1928374655647383</x:v>
      </x:c>
      <x:c r="AE86" s="18" t="str">
        <x:v>No</x:v>
      </x:c>
      <x:c r="AF86" s="18" t="str">
        <x:v>No</x:v>
      </x:c>
      <x:c r="AG86" s="18" t="str">
        <x:v>Eligible for stratum-specific dichotomous PONV analysis</x:v>
      </x:c>
      <x:c r="AH86" s="18" t="str">
        <x:v>No</x:v>
      </x:c>
      <x:c r="AI86" s="18" t="str">
        <x:v>Two post-randomization ODT exclusions; marked surgical-procedure imbalance (radical mastectomy + axillary dissection 36.4% vs 71.4%)</x:v>
      </x:c>
      <x:c r="AJ86" s="18" t="str">
        <x:v>Table 3 / SNVP randomized contrast</x:v>
      </x:c>
      <x:c r="AK86" s="18" t="str">
        <x:v>https://drive.google.com/file/d/1U8tkq6mKFO0IkA2glfgLjN4Krwku3FZn/view?usp=drivesdk</x:v>
      </x:c>
      <x:c r="AL86" s="18" t="str">
        <x:v>SOURCE-VERIFIED / STRATIFIED RCT / ATTRITION QC</x:v>
      </x:c>
      <x:c r="AM86" s="18" t="str">
        <x:v>PONV</x:v>
      </x:c>
      <x:c r="AN86" s="18" t="str">
        <x:v>Contains 24 h but definition differs</x:v>
      </x:c>
      <x:c r="AO86" s="18" t="str">
        <x:v>CONDITIONAL</x:v>
      </x:c>
      <x:c r="AP86" s="18" t="str">
        <x:v>Valid PONV result, but the postoperative observation window should be matched to the intended synthesis.</x:v>
      </x:c>
      <x:c r="AQ86" s="18" t="str">
        <x:v>No</x:v>
      </x:c>
      <x:c r="AR86" s="18" t="str"/>
      <x:c r="AS86" s="18" t="str">
        <x:v>Binary effect measure (RR preferred per protocol)</x:v>
      </x:c>
      <x:c r="AT86" s="18" t="str">
        <x:v>PONV incidence</x:v>
      </x:c>
      <x:c r="AU86" s="18" t="str">
        <x:v>12-24 h</x:v>
      </x:c>
      <x:c r="AV86" s="18" t="str">
        <x:v>High</x:v>
      </x:c>
      <x:c r="AW86" s="18" t="str">
        <x:v>No — selected RoB matches this result</x:v>
      </x:c>
      <x:c r="AX86" s="18" t="str">
        <x:v>Wang 2024</x:v>
      </x:c>
      <x:c r="AY86" s="18" t="str">
        <x:v>Risk-stratum randomized contrast</x:v>
      </x:c>
      <x:c r="AZ86" s="18" t="str">
        <x:v>SNVP and MNVP are separate randomized strata; do not pool across strata as one undifferentiated treatment contrast without a stratum-aware method.</x:v>
      </x:c>
    </x:row>
    <x:row r="87">
      <x:c r="A87" s="18" t="str">
        <x:v>Wang 2024</x:v>
      </x:c>
      <x:c r="B87" s="18" t="str">
        <x:v>WANG24_SNVP_ODT_vs_OD_TOTALPONV</x:v>
      </x:c>
      <x:c r="C87" s="18" t="str">
        <x:v>SNVP: ondansetron+dexamethasone+TEAS</x:v>
      </x:c>
      <x:c r="D87" s="18" t="str">
        <x:v>SNVP: ondansetron+dexamethasone</x:v>
      </x:c>
      <x:c r="E87" s="18" t="str">
        <x:v>PONV</x:v>
      </x:c>
      <x:c r="F87" s="18" t="str">
        <x:v>Any PONV over reported follow-up</x:v>
      </x:c>
      <x:c r="G87" s="18" t="str">
        <x:v>0-36 h</x:v>
      </x:c>
      <x:c r="H87" s="18" t="str">
        <x:v>Events/total</x:v>
      </x:c>
      <x:c r="I87" s="18" t="n">
        <x:v>35</x:v>
      </x:c>
      <x:c r="J87" s="18" t="n">
        <x:v>35</x:v>
      </x:c>
      <x:c r="K87" s="18" t="n">
        <x:v>33</x:v>
      </x:c>
      <x:c r="L87" s="18" t="n">
        <x:v>35</x:v>
      </x:c>
      <x:c r="M87" s="18"/>
      <x:c r="N87" s="18"/>
      <x:c r="O87" s="18"/>
      <x:c r="P87" s="18"/>
      <x:c r="Q87" s="18"/>
      <x:c r="R87" s="18" t="n">
        <x:v>14</x:v>
      </x:c>
      <x:c r="S87" s="18"/>
      <x:c r="T87" s="18"/>
      <x:c r="U87" s="18"/>
      <x:c r="V87" s="18"/>
      <x:c r="W87" s="18"/>
      <x:c r="X87" s="18" t="n">
        <x:v>20</x:v>
      </x:c>
      <x:c r="Y87" s="18" t="str">
        <x:v>participants</x:v>
      </x:c>
      <x:c r="Z87" s="18" t="str">
        <x:v>0.225</x:v>
      </x:c>
      <x:c r="AA87" s="18" t="str">
        <x:v>Yes</x:v>
      </x:c>
      <x:c r="AB87" s="18" t="str">
        <x:v>No</x:v>
      </x:c>
      <x:c r="AC87" s="18" t="str">
        <x:v>RR</x:v>
      </x:c>
      <x:c r="AD87" s="18" t="n">
        <x:v>0.7424242424242424</x:v>
      </x:c>
      <x:c r="AE87" s="18" t="str">
        <x:v>No</x:v>
      </x:c>
      <x:c r="AF87" s="18" t="str">
        <x:v>No</x:v>
      </x:c>
      <x:c r="AG87" s="18" t="str">
        <x:v>Eligible for stratum-specific total-PONV analysis</x:v>
      </x:c>
      <x:c r="AH87" s="18" t="str">
        <x:v>No</x:v>
      </x:c>
      <x:c r="AI87" s="18" t="str">
        <x:v>No significant overall treatment effect despite time-specific benefits</x:v>
      </x:c>
      <x:c r="AJ87" s="18" t="str">
        <x:v>Table 3 / total PONV</x:v>
      </x:c>
      <x:c r="AK87" s="18" t="str">
        <x:v>https://drive.google.com/file/d/1U8tkq6mKFO0IkA2glfgLjN4Krwku3FZn/view?usp=drivesdk</x:v>
      </x:c>
      <x:c r="AL87" s="18" t="str">
        <x:v>SOURCE-VERIFIED / STRATIFIED RCT</x:v>
      </x:c>
      <x:c r="AM87" s="18" t="str">
        <x:v>PONV</x:v>
      </x:c>
      <x:c r="AN87" s="18" t="str">
        <x:v>0-36 h</x:v>
      </x:c>
      <x:c r="AO87" s="18" t="str">
        <x:v>CONDITIONAL</x:v>
      </x:c>
      <x:c r="AP87" s="18" t="str">
        <x:v>Valid PONV result, but the postoperative observation window should be matched to the intended synthesis.</x:v>
      </x:c>
      <x:c r="AQ87" s="18" t="str">
        <x:v>No</x:v>
      </x:c>
      <x:c r="AR87" s="18" t="str"/>
      <x:c r="AS87" s="18" t="str">
        <x:v>Binary effect measure (RR preferred per protocol)</x:v>
      </x:c>
      <x:c r="AT87" s="18" t="str">
        <x:v>PONV incidence</x:v>
      </x:c>
      <x:c r="AU87" s="18" t="str">
        <x:v>12-24 h</x:v>
      </x:c>
      <x:c r="AV87" s="18" t="str">
        <x:v>High</x:v>
      </x:c>
      <x:c r="AW87" s="18" t="str">
        <x:v>Yes — selected RoB is for a different result/timepoint</x:v>
      </x:c>
      <x:c r="AX87" s="18" t="str">
        <x:v>Wang 2024</x:v>
      </x:c>
      <x:c r="AY87" s="18" t="str">
        <x:v>Risk-stratum randomized contrast</x:v>
      </x:c>
      <x:c r="AZ87" s="18" t="str">
        <x:v>SNVP and MNVP are separate randomized strata; do not pool across strata as one undifferentiated treatment contrast without a stratum-aware method.</x:v>
      </x:c>
    </x:row>
    <x:row r="88">
      <x:c r="A88" s="18" t="str">
        <x:v>Wang 2024</x:v>
      </x:c>
      <x:c r="B88" s="18" t="str">
        <x:v>WANG24_MNVP_ODT_vs_OD_PONV0_2</x:v>
      </x:c>
      <x:c r="C88" s="18" t="str">
        <x:v>MNVP: ondansetron+dexamethasone+TEAS</x:v>
      </x:c>
      <x:c r="D88" s="18" t="str">
        <x:v>MNVP: ondansetron+dexamethasone</x:v>
      </x:c>
      <x:c r="E88" s="18" t="str">
        <x:v>PONV</x:v>
      </x:c>
      <x:c r="F88" s="18" t="str">
        <x:v>PONV incidence</x:v>
      </x:c>
      <x:c r="G88" s="18" t="str">
        <x:v>0-2 h</x:v>
      </x:c>
      <x:c r="H88" s="18" t="str">
        <x:v>Events/total</x:v>
      </x:c>
      <x:c r="I88" s="18" t="n">
        <x:v>35</x:v>
      </x:c>
      <x:c r="J88" s="18" t="n">
        <x:v>35</x:v>
      </x:c>
      <x:c r="K88" s="18" t="n">
        <x:v>35</x:v>
      </x:c>
      <x:c r="L88" s="18" t="n">
        <x:v>35</x:v>
      </x:c>
      <x:c r="M88" s="18"/>
      <x:c r="N88" s="18"/>
      <x:c r="O88" s="18"/>
      <x:c r="P88" s="18"/>
      <x:c r="Q88" s="18"/>
      <x:c r="R88" s="18" t="n">
        <x:v>2</x:v>
      </x:c>
      <x:c r="S88" s="18"/>
      <x:c r="T88" s="18"/>
      <x:c r="U88" s="18"/>
      <x:c r="V88" s="18"/>
      <x:c r="W88" s="18"/>
      <x:c r="X88" s="18" t="n">
        <x:v>9</x:v>
      </x:c>
      <x:c r="Y88" s="18" t="str">
        <x:v>participants</x:v>
      </x:c>
      <x:c r="Z88" s="18" t="str">
        <x:v>0.022</x:v>
      </x:c>
      <x:c r="AA88" s="18" t="str">
        <x:v>Yes</x:v>
      </x:c>
      <x:c r="AB88" s="18" t="str">
        <x:v>No</x:v>
      </x:c>
      <x:c r="AC88" s="18" t="str">
        <x:v>RR</x:v>
      </x:c>
      <x:c r="AD88" s="18" t="n">
        <x:v>0.22222222222222224</x:v>
      </x:c>
      <x:c r="AE88" s="18" t="str">
        <x:v>No</x:v>
      </x:c>
      <x:c r="AF88" s="18" t="str">
        <x:v>No</x:v>
      </x:c>
      <x:c r="AG88" s="18" t="str">
        <x:v>Eligible for stratum-specific dichotomous PONV analysis</x:v>
      </x:c>
      <x:c r="AH88" s="18" t="str">
        <x:v>No</x:v>
      </x:c>
      <x:c r="AI88" s="18" t="str">
        <x:v>Keep separate from SNVP; MNVP-ODT had more segmental mastectomy + axillary dissection (20.0% vs 2.9%)</x:v>
      </x:c>
      <x:c r="AJ88" s="18" t="str">
        <x:v>Table 3 / MNVP randomized contrast</x:v>
      </x:c>
      <x:c r="AK88" s="18" t="str">
        <x:v>https://drive.google.com/file/d/1U8tkq6mKFO0IkA2glfgLjN4Krwku3FZn/view?usp=drivesdk</x:v>
      </x:c>
      <x:c r="AL88" s="18" t="str">
        <x:v>SOURCE-VERIFIED / STRATIFIED RCT</x:v>
      </x:c>
      <x:c r="AM88" s="18" t="str">
        <x:v>PONV</x:v>
      </x:c>
      <x:c r="AN88" s="18" t="str">
        <x:v>0-2 h</x:v>
      </x:c>
      <x:c r="AO88" s="18" t="str">
        <x:v>CONDITIONAL</x:v>
      </x:c>
      <x:c r="AP88" s="18" t="str">
        <x:v>Valid PONV result, but the postoperative observation window should be matched to the intended synthesis.</x:v>
      </x:c>
      <x:c r="AQ88" s="18" t="str">
        <x:v>No</x:v>
      </x:c>
      <x:c r="AR88" s="18" t="str"/>
      <x:c r="AS88" s="18" t="str">
        <x:v>Binary effect measure (RR preferred per protocol)</x:v>
      </x:c>
      <x:c r="AT88" s="18" t="str">
        <x:v>PONV incidence</x:v>
      </x:c>
      <x:c r="AU88" s="18" t="str">
        <x:v>12-24 h</x:v>
      </x:c>
      <x:c r="AV88" s="18" t="str">
        <x:v>High</x:v>
      </x:c>
      <x:c r="AW88" s="18" t="str">
        <x:v>No — selected RoB matches this result</x:v>
      </x:c>
      <x:c r="AX88" s="18" t="str">
        <x:v>Wang 2024</x:v>
      </x:c>
      <x:c r="AY88" s="18" t="str">
        <x:v>Risk-stratum randomized contrast</x:v>
      </x:c>
      <x:c r="AZ88" s="18" t="str">
        <x:v>SNVP and MNVP are separate randomized strata; do not pool across strata as one undifferentiated treatment contrast without a stratum-aware method.</x:v>
      </x:c>
    </x:row>
    <x:row r="89">
      <x:c r="A89" s="18" t="str">
        <x:v>Wang 2024</x:v>
      </x:c>
      <x:c r="B89" s="18" t="str">
        <x:v>WANG24_MNVP_ODT_vs_OD_PONV2_6</x:v>
      </x:c>
      <x:c r="C89" s="18" t="str">
        <x:v>MNVP: ondansetron+dexamethasone+TEAS</x:v>
      </x:c>
      <x:c r="D89" s="18" t="str">
        <x:v>MNVP: ondansetron+dexamethasone</x:v>
      </x:c>
      <x:c r="E89" s="18" t="str">
        <x:v>PONV</x:v>
      </x:c>
      <x:c r="F89" s="18" t="str">
        <x:v>PONV incidence</x:v>
      </x:c>
      <x:c r="G89" s="18" t="str">
        <x:v>2-6 h</x:v>
      </x:c>
      <x:c r="H89" s="18" t="str">
        <x:v>Events/total</x:v>
      </x:c>
      <x:c r="I89" s="18" t="n">
        <x:v>35</x:v>
      </x:c>
      <x:c r="J89" s="18" t="n">
        <x:v>35</x:v>
      </x:c>
      <x:c r="K89" s="18" t="n">
        <x:v>35</x:v>
      </x:c>
      <x:c r="L89" s="18" t="n">
        <x:v>35</x:v>
      </x:c>
      <x:c r="M89" s="18"/>
      <x:c r="N89" s="18"/>
      <x:c r="O89" s="18"/>
      <x:c r="P89" s="18"/>
      <x:c r="Q89" s="18"/>
      <x:c r="R89" s="18" t="n">
        <x:v>2</x:v>
      </x:c>
      <x:c r="S89" s="18"/>
      <x:c r="T89" s="18"/>
      <x:c r="U89" s="18"/>
      <x:c r="V89" s="18"/>
      <x:c r="W89" s="18"/>
      <x:c r="X89" s="18" t="n">
        <x:v>8</x:v>
      </x:c>
      <x:c r="Y89" s="18" t="str">
        <x:v>participants</x:v>
      </x:c>
      <x:c r="Z89" s="18" t="str">
        <x:v>0.040</x:v>
      </x:c>
      <x:c r="AA89" s="18" t="str">
        <x:v>Yes</x:v>
      </x:c>
      <x:c r="AB89" s="18" t="str">
        <x:v>No</x:v>
      </x:c>
      <x:c r="AC89" s="18" t="str">
        <x:v>RR</x:v>
      </x:c>
      <x:c r="AD89" s="18" t="n">
        <x:v>0.25</x:v>
      </x:c>
      <x:c r="AE89" s="18" t="str">
        <x:v>No</x:v>
      </x:c>
      <x:c r="AF89" s="18" t="str">
        <x:v>No</x:v>
      </x:c>
      <x:c r="AG89" s="18" t="str">
        <x:v>Eligible for stratum-specific dichotomous PONV analysis</x:v>
      </x:c>
      <x:c r="AH89" s="18" t="str">
        <x:v>No</x:v>
      </x:c>
      <x:c r="AI89" s="18" t="str">
        <x:v>Keep separate from SNVP risk stratum</x:v>
      </x:c>
      <x:c r="AJ89" s="18" t="str">
        <x:v>Table 3 / MNVP randomized contrast</x:v>
      </x:c>
      <x:c r="AK89" s="18" t="str">
        <x:v>https://drive.google.com/file/d/1U8tkq6mKFO0IkA2glfgLjN4Krwku3FZn/view?usp=drivesdk</x:v>
      </x:c>
      <x:c r="AL89" s="18" t="str">
        <x:v>SOURCE-VERIFIED / STRATIFIED RCT</x:v>
      </x:c>
      <x:c r="AM89" s="18" t="str">
        <x:v>PONV</x:v>
      </x:c>
      <x:c r="AN89" s="18" t="str">
        <x:v>2-6 h</x:v>
      </x:c>
      <x:c r="AO89" s="18" t="str">
        <x:v>CONDITIONAL</x:v>
      </x:c>
      <x:c r="AP89" s="18" t="str">
        <x:v>Valid PONV result, but the postoperative observation window should be matched to the intended synthesis.</x:v>
      </x:c>
      <x:c r="AQ89" s="18" t="str">
        <x:v>No</x:v>
      </x:c>
      <x:c r="AR89" s="18" t="str"/>
      <x:c r="AS89" s="18" t="str">
        <x:v>Binary effect measure (RR preferred per protocol)</x:v>
      </x:c>
      <x:c r="AT89" s="18" t="str">
        <x:v>PONV incidence</x:v>
      </x:c>
      <x:c r="AU89" s="18" t="str">
        <x:v>12-24 h</x:v>
      </x:c>
      <x:c r="AV89" s="18" t="str">
        <x:v>High</x:v>
      </x:c>
      <x:c r="AW89" s="18" t="str">
        <x:v>No — selected RoB matches this result</x:v>
      </x:c>
      <x:c r="AX89" s="18" t="str">
        <x:v>Wang 2024</x:v>
      </x:c>
      <x:c r="AY89" s="18" t="str">
        <x:v>Risk-stratum randomized contrast</x:v>
      </x:c>
      <x:c r="AZ89" s="18" t="str">
        <x:v>SNVP and MNVP are separate randomized strata; do not pool across strata as one undifferentiated treatment contrast without a stratum-aware method.</x:v>
      </x:c>
    </x:row>
    <x:row r="90">
      <x:c r="A90" s="18" t="str">
        <x:v>Wang 2024</x:v>
      </x:c>
      <x:c r="B90" s="18" t="str">
        <x:v>WANG24_MNVP_ODT_vs_OD_TOTALPONV</x:v>
      </x:c>
      <x:c r="C90" s="18" t="str">
        <x:v>MNVP: ondansetron+dexamethasone+TEAS</x:v>
      </x:c>
      <x:c r="D90" s="18" t="str">
        <x:v>MNVP: ondansetron+dexamethasone</x:v>
      </x:c>
      <x:c r="E90" s="18" t="str">
        <x:v>PONV</x:v>
      </x:c>
      <x:c r="F90" s="18" t="str">
        <x:v>Any PONV over reported follow-up</x:v>
      </x:c>
      <x:c r="G90" s="18" t="str">
        <x:v>0-36 h</x:v>
      </x:c>
      <x:c r="H90" s="18" t="str">
        <x:v>Events/total</x:v>
      </x:c>
      <x:c r="I90" s="18" t="n">
        <x:v>35</x:v>
      </x:c>
      <x:c r="J90" s="18" t="n">
        <x:v>35</x:v>
      </x:c>
      <x:c r="K90" s="18" t="n">
        <x:v>35</x:v>
      </x:c>
      <x:c r="L90" s="18" t="n">
        <x:v>35</x:v>
      </x:c>
      <x:c r="M90" s="18"/>
      <x:c r="N90" s="18"/>
      <x:c r="O90" s="18"/>
      <x:c r="P90" s="18"/>
      <x:c r="Q90" s="18"/>
      <x:c r="R90" s="18" t="n">
        <x:v>5</x:v>
      </x:c>
      <x:c r="S90" s="18"/>
      <x:c r="T90" s="18"/>
      <x:c r="U90" s="18"/>
      <x:c r="V90" s="18"/>
      <x:c r="W90" s="18"/>
      <x:c r="X90" s="18" t="n">
        <x:v>10</x:v>
      </x:c>
      <x:c r="Y90" s="18" t="str">
        <x:v>participants</x:v>
      </x:c>
      <x:c r="Z90" s="18" t="str">
        <x:v>0.145</x:v>
      </x:c>
      <x:c r="AA90" s="18" t="str">
        <x:v>Yes</x:v>
      </x:c>
      <x:c r="AB90" s="18" t="str">
        <x:v>No</x:v>
      </x:c>
      <x:c r="AC90" s="18" t="str">
        <x:v>RR</x:v>
      </x:c>
      <x:c r="AD90" s="18" t="n">
        <x:v>0.5</x:v>
      </x:c>
      <x:c r="AE90" s="18" t="str">
        <x:v>No</x:v>
      </x:c>
      <x:c r="AF90" s="18" t="str">
        <x:v>No</x:v>
      </x:c>
      <x:c r="AG90" s="18" t="str">
        <x:v>Eligible for stratum-specific total-PONV analysis</x:v>
      </x:c>
      <x:c r="AH90" s="18" t="str">
        <x:v>No</x:v>
      </x:c>
      <x:c r="AI90" s="18" t="str">
        <x:v>No significant overall treatment effect despite early time-specific benefit</x:v>
      </x:c>
      <x:c r="AJ90" s="18" t="str">
        <x:v>Table 3 / total PONV</x:v>
      </x:c>
      <x:c r="AK90" s="18" t="str">
        <x:v>https://drive.google.com/file/d/1U8tkq6mKFO0IkA2glfgLjN4Krwku3FZn/view?usp=drivesdk</x:v>
      </x:c>
      <x:c r="AL90" s="18" t="str">
        <x:v>SOURCE-VERIFIED / STRATIFIED RCT</x:v>
      </x:c>
      <x:c r="AM90" s="18" t="str">
        <x:v>PONV</x:v>
      </x:c>
      <x:c r="AN90" s="18" t="str">
        <x:v>0-36 h</x:v>
      </x:c>
      <x:c r="AO90" s="18" t="str">
        <x:v>CONDITIONAL</x:v>
      </x:c>
      <x:c r="AP90" s="18" t="str">
        <x:v>Valid PONV result, but the postoperative observation window should be matched to the intended synthesis.</x:v>
      </x:c>
      <x:c r="AQ90" s="18" t="str">
        <x:v>No</x:v>
      </x:c>
      <x:c r="AR90" s="18" t="str"/>
      <x:c r="AS90" s="18" t="str">
        <x:v>Binary effect measure (RR preferred per protocol)</x:v>
      </x:c>
      <x:c r="AT90" s="18" t="str">
        <x:v>PONV incidence</x:v>
      </x:c>
      <x:c r="AU90" s="18" t="str">
        <x:v>12-24 h</x:v>
      </x:c>
      <x:c r="AV90" s="18" t="str">
        <x:v>High</x:v>
      </x:c>
      <x:c r="AW90" s="18" t="str">
        <x:v>Yes — selected RoB is for a different result/timepoint</x:v>
      </x:c>
      <x:c r="AX90" s="18" t="str">
        <x:v>Wang 2024</x:v>
      </x:c>
      <x:c r="AY90" s="18" t="str">
        <x:v>Risk-stratum randomized contrast</x:v>
      </x:c>
      <x:c r="AZ90" s="18" t="str">
        <x:v>SNVP and MNVP are separate randomized strata; do not pool across strata as one undifferentiated treatment contrast without a stratum-aware method.</x:v>
      </x:c>
    </x:row>
    <x:row r="91">
      <x:c r="A91" s="18" t="str">
        <x:v>Wang 2024</x:v>
      </x:c>
      <x:c r="B91" s="18" t="str">
        <x:v>WANG24_SNVP_ODT_vs_OD_INTRAOPSUF</x:v>
      </x:c>
      <x:c r="C91" s="18" t="str">
        <x:v>SNVP: ondansetron+dexamethasone+TEAS</x:v>
      </x:c>
      <x:c r="D91" s="18" t="str">
        <x:v>SNVP: ondansetron+dexamethasone</x:v>
      </x:c>
      <x:c r="E91" s="18" t="str">
        <x:v>Intraoperative opioid</x:v>
      </x:c>
      <x:c r="F91" s="18" t="str">
        <x:v>Total sufentanil</x:v>
      </x:c>
      <x:c r="G91" s="18" t="str">
        <x:v>Intraoperative</x:v>
      </x:c>
      <x:c r="H91" s="18" t="str">
        <x:v>Mean/SD</x:v>
      </x:c>
      <x:c r="I91" s="18" t="n">
        <x:v>35</x:v>
      </x:c>
      <x:c r="J91" s="18" t="n">
        <x:v>35</x:v>
      </x:c>
      <x:c r="K91" s="18" t="n">
        <x:v>33</x:v>
      </x:c>
      <x:c r="L91" s="18" t="n">
        <x:v>35</x:v>
      </x:c>
      <x:c r="M91" s="18" t="n">
        <x:v>21.2</x:v>
      </x:c>
      <x:c r="N91" s="18" t="n">
        <x:v>3.1</x:v>
      </x:c>
      <x:c r="O91" s="18"/>
      <x:c r="P91" s="18"/>
      <x:c r="Q91" s="18"/>
      <x:c r="R91" s="18"/>
      <x:c r="S91" s="18" t="n">
        <x:v>21.9</x:v>
      </x:c>
      <x:c r="T91" s="18" t="n">
        <x:v>3.2</x:v>
      </x:c>
      <x:c r="U91" s="18"/>
      <x:c r="V91" s="18"/>
      <x:c r="W91" s="18"/>
      <x:c r="X91" s="18"/>
      <x:c r="Y91" s="18" t="str">
        <x:v>µg sufentanil</x:v>
      </x:c>
      <x:c r="Z91" s="18" t="str">
        <x:v>0.402</x:v>
      </x:c>
      <x:c r="AA91" s="18" t="str">
        <x:v>Yes</x:v>
      </x:c>
      <x:c r="AB91" s="18" t="str">
        <x:v>No</x:v>
      </x:c>
      <x:c r="AC91" s="18" t="str">
        <x:v>MD</x:v>
      </x:c>
      <x:c r="AD91" s="18" t="n">
        <x:v>-0.6999999999999993</x:v>
      </x:c>
      <x:c r="AE91" s="18" t="str">
        <x:v>No</x:v>
      </x:c>
      <x:c r="AF91" s="18" t="str">
        <x:v>No</x:v>
      </x:c>
      <x:c r="AG91" s="18" t="str">
        <x:v>Eligible for intraoperative opioid analysis</x:v>
      </x:c>
      <x:c r="AH91" s="18" t="str">
        <x:v>No</x:v>
      </x:c>
      <x:c r="AI91" s="18" t="str">
        <x:v>No intraoperative opioid-sparing effect</x:v>
      </x:c>
      <x:c r="AJ91" s="18" t="str">
        <x:v>Table 1 / SNVP sufentanil</x:v>
      </x:c>
      <x:c r="AK91" s="18" t="str">
        <x:v>https://drive.google.com/file/d/1U8tkq6mKFO0IkA2glfgLjN4Krwku3FZn/view?usp=drivesdk</x:v>
      </x:c>
      <x:c r="AL91" s="18" t="str">
        <x:v>SOURCE-VERIFIED</x:v>
      </x:c>
      <x:c r="AM91" s="18" t="str">
        <x:v>Intraoperative opioid</x:v>
      </x:c>
      <x:c r="AN91" s="18" t="str">
        <x:v>Intraoperative</x:v>
      </x:c>
      <x:c r="AO91" s="18" t="str">
        <x:v>INCLUDE — INTRAOPERATIVE</x:v>
      </x:c>
      <x:c r="AP91" s="18" t="str">
        <x:v>Valid intraoperative opioid endpoint; must remain separate from postoperative opioid consumption.</x:v>
      </x:c>
      <x:c r="AQ91" s="18" t="str">
        <x:v>No</x:v>
      </x:c>
      <x:c r="AR91" s="18" t="str"/>
      <x:c r="AS91" s="18" t="str">
        <x:v>None</x:v>
      </x:c>
      <x:c r="AT91" s="18" t="str">
        <x:v>PONV incidence</x:v>
      </x:c>
      <x:c r="AU91" s="18" t="str">
        <x:v>12-24 h</x:v>
      </x:c>
      <x:c r="AV91" s="18" t="str">
        <x:v>High</x:v>
      </x:c>
      <x:c r="AW91" s="18" t="str">
        <x:v>Yes — selected RoB is for a different result/timepoint</x:v>
      </x:c>
      <x:c r="AX91" s="18" t="str">
        <x:v>Wang 2024</x:v>
      </x:c>
      <x:c r="AY91" s="18" t="str">
        <x:v>Risk-stratum randomized contrast</x:v>
      </x:c>
      <x:c r="AZ91" s="18" t="str">
        <x:v>SNVP and MNVP are separate randomized strata; do not pool across strata as one undifferentiated treatment contrast without a stratum-aware method.</x:v>
      </x:c>
    </x:row>
    <x:row r="92">
      <x:c r="A92" s="18" t="str">
        <x:v>Wang 2024</x:v>
      </x:c>
      <x:c r="B92" s="18" t="str">
        <x:v>WANG24_MNVP_ODT_vs_OD_INTRAOPSUF</x:v>
      </x:c>
      <x:c r="C92" s="18" t="str">
        <x:v>MNVP: ondansetron+dexamethasone+TEAS</x:v>
      </x:c>
      <x:c r="D92" s="18" t="str">
        <x:v>MNVP: ondansetron+dexamethasone</x:v>
      </x:c>
      <x:c r="E92" s="18" t="str">
        <x:v>Intraoperative opioid</x:v>
      </x:c>
      <x:c r="F92" s="18" t="str">
        <x:v>Total sufentanil</x:v>
      </x:c>
      <x:c r="G92" s="18" t="str">
        <x:v>Intraoperative</x:v>
      </x:c>
      <x:c r="H92" s="18" t="str">
        <x:v>Mean/SD</x:v>
      </x:c>
      <x:c r="I92" s="18" t="n">
        <x:v>35</x:v>
      </x:c>
      <x:c r="J92" s="18" t="n">
        <x:v>35</x:v>
      </x:c>
      <x:c r="K92" s="18" t="n">
        <x:v>35</x:v>
      </x:c>
      <x:c r="L92" s="18" t="n">
        <x:v>35</x:v>
      </x:c>
      <x:c r="M92" s="18" t="n">
        <x:v>21</x:v>
      </x:c>
      <x:c r="N92" s="18" t="n">
        <x:v>3.4</x:v>
      </x:c>
      <x:c r="O92" s="18"/>
      <x:c r="P92" s="18"/>
      <x:c r="Q92" s="18"/>
      <x:c r="R92" s="18"/>
      <x:c r="S92" s="18" t="n">
        <x:v>20.9</x:v>
      </x:c>
      <x:c r="T92" s="18" t="n">
        <x:v>3.1</x:v>
      </x:c>
      <x:c r="U92" s="18"/>
      <x:c r="V92" s="18"/>
      <x:c r="W92" s="18"/>
      <x:c r="X92" s="18"/>
      <x:c r="Y92" s="18" t="str">
        <x:v>µg sufentanil</x:v>
      </x:c>
      <x:c r="Z92" s="18" t="str">
        <x:v>0.854</x:v>
      </x:c>
      <x:c r="AA92" s="18" t="str">
        <x:v>Yes</x:v>
      </x:c>
      <x:c r="AB92" s="18" t="str">
        <x:v>No</x:v>
      </x:c>
      <x:c r="AC92" s="18" t="str">
        <x:v>MD</x:v>
      </x:c>
      <x:c r="AD92" s="18" t="n">
        <x:v>0.10000000000000142</x:v>
      </x:c>
      <x:c r="AE92" s="18" t="str">
        <x:v>No</x:v>
      </x:c>
      <x:c r="AF92" s="18" t="str">
        <x:v>No</x:v>
      </x:c>
      <x:c r="AG92" s="18" t="str">
        <x:v>Eligible for intraoperative opioid analysis</x:v>
      </x:c>
      <x:c r="AH92" s="18" t="str">
        <x:v>No</x:v>
      </x:c>
      <x:c r="AI92" s="18" t="str">
        <x:v>No intraoperative opioid-sparing effect</x:v>
      </x:c>
      <x:c r="AJ92" s="18" t="str">
        <x:v>Table 1 / MNVP sufentanil</x:v>
      </x:c>
      <x:c r="AK92" s="18" t="str">
        <x:v>https://drive.google.com/file/d/1U8tkq6mKFO0IkA2glfgLjN4Krwku3FZn/view?usp=drivesdk</x:v>
      </x:c>
      <x:c r="AL92" s="18" t="str">
        <x:v>SOURCE-VERIFIED</x:v>
      </x:c>
      <x:c r="AM92" s="18" t="str">
        <x:v>Intraoperative opioid</x:v>
      </x:c>
      <x:c r="AN92" s="18" t="str">
        <x:v>Intraoperative</x:v>
      </x:c>
      <x:c r="AO92" s="18" t="str">
        <x:v>INCLUDE — INTRAOPERATIVE</x:v>
      </x:c>
      <x:c r="AP92" s="18" t="str">
        <x:v>Valid intraoperative opioid endpoint; must remain separate from postoperative opioid consumption.</x:v>
      </x:c>
      <x:c r="AQ92" s="18" t="str">
        <x:v>No</x:v>
      </x:c>
      <x:c r="AR92" s="18" t="str"/>
      <x:c r="AS92" s="18" t="str">
        <x:v>None</x:v>
      </x:c>
      <x:c r="AT92" s="18" t="str">
        <x:v>PONV incidence</x:v>
      </x:c>
      <x:c r="AU92" s="18" t="str">
        <x:v>12-24 h</x:v>
      </x:c>
      <x:c r="AV92" s="18" t="str">
        <x:v>High</x:v>
      </x:c>
      <x:c r="AW92" s="18" t="str">
        <x:v>Yes — selected RoB is for a different result/timepoint</x:v>
      </x:c>
      <x:c r="AX92" s="18" t="str">
        <x:v>Wang 2024</x:v>
      </x:c>
      <x:c r="AY92" s="18" t="str">
        <x:v>Risk-stratum randomized contrast</x:v>
      </x:c>
      <x:c r="AZ92" s="18" t="str">
        <x:v>SNVP and MNVP are separate randomized strata; do not pool across strata as one undifferentiated treatment contrast without a stratum-aware method.</x:v>
      </x:c>
    </x:row>
    <x:row r="93">
      <x:c r="A93" s="18" t="str">
        <x:v>Wang 2024</x:v>
      </x:c>
      <x:c r="B93" s="18" t="str">
        <x:v>WANG24_POSTOP_OPIOID24</x:v>
      </x:c>
      <x:c r="C93" s="18" t="str">
        <x:v>TEAS within risk strata</x:v>
      </x:c>
      <x:c r="D93" s="18" t="str">
        <x:v>OD within risk strata</x:v>
      </x:c>
      <x:c r="E93" s="18" t="str">
        <x:v>Opioid consumption</x:v>
      </x:c>
      <x:c r="F93" s="18" t="str">
        <x:v>Postoperative opioid consumption</x:v>
      </x:c>
      <x:c r="G93" s="18" t="str">
        <x:v>0-24 h</x:v>
      </x:c>
      <x:c r="H93" s="18" t="str">
        <x:v>Not reported</x:v>
      </x:c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 t="str">
        <x:v>mg/µg</x:v>
      </x:c>
      <x:c r="Z93" s="18"/>
      <x:c r="AA93" s="18" t="str">
        <x:v>No</x:v>
      </x:c>
      <x:c r="AB93" s="18" t="str">
        <x:v>No</x:v>
      </x:c>
      <x:c r="AC93" s="18"/>
      <x:c r="AD93" s="18"/>
      <x:c r="AE93" s="18" t="str">
        <x:v>No</x:v>
      </x:c>
      <x:c r="AF93" s="18" t="str">
        <x:v>No</x:v>
      </x:c>
      <x:c r="AG93" s="18" t="str">
        <x:v>Not eligible for postoperative 24-h opioid meta-analysis</x:v>
      </x:c>
      <x:c r="AH93" s="18" t="str">
        <x:v>No</x:v>
      </x:c>
      <x:c r="AI93" s="18" t="str">
        <x:v>Postoperative rescue analgesia was non-opioid flurbiprofen; no postoperative opioid-consumption endpoint</x:v>
      </x:c>
      <x:c r="AJ93" s="18" t="str">
        <x:v>Postoperative analgesia section</x:v>
      </x:c>
      <x:c r="AK93" s="18" t="str">
        <x:v>https://drive.google.com/file/d/1U8tkq6mKFO0IkA2glfgLjN4Krwku3FZn/view?usp=drivesdk</x:v>
      </x:c>
      <x:c r="AL93" s="18" t="str">
        <x:v>NOT REPORTED / NO POSTOP OPIOID ENDPOINT</x:v>
      </x:c>
      <x:c r="AM93" s="18" t="str">
        <x:v>Postoperative opioid consumption</x:v>
      </x:c>
      <x:c r="AN93" s="18" t="str">
        <x:v>Exact/explicit 24 h</x:v>
      </x:c>
      <x:c r="AO93" s="18" t="str">
        <x:v>EXCLUDE — DATA UNAVAILABLE</x:v>
      </x:c>
      <x:c r="AP93" s="18" t="str">
        <x:v>The source does not provide a defensible quantitative value for this analysis.</x:v>
      </x:c>
      <x:c r="AQ93" s="18" t="str">
        <x:v>No</x:v>
      </x:c>
      <x:c r="AR93" s="18" t="str"/>
      <x:c r="AS93" s="18" t="str">
        <x:v>None</x:v>
      </x:c>
      <x:c r="AT93" s="18" t="str">
        <x:v>PONV incidence</x:v>
      </x:c>
      <x:c r="AU93" s="18" t="str">
        <x:v>12-24 h</x:v>
      </x:c>
      <x:c r="AV93" s="18" t="str">
        <x:v>High</x:v>
      </x:c>
      <x:c r="AW93" s="18" t="str">
        <x:v>Yes — selected RoB is for a different result/timepoint</x:v>
      </x:c>
      <x:c r="AX93" s="18" t="str">
        <x:v>Wang 2024</x:v>
      </x:c>
      <x:c r="AY93" s="18" t="str">
        <x:v>Risk-stratum randomized contrast</x:v>
      </x:c>
      <x:c r="AZ93" s="18" t="str">
        <x:v>SNVP and MNVP are separate randomized strata; do not pool across strata as one undifferentiated treatment contrast without a stratum-aware method.</x:v>
      </x:c>
    </x:row>
    <x:row r="94">
      <x:c r="A94" s="18" t="str">
        <x:v>Tu 2024</x:v>
      </x:c>
      <x:c r="B94" s="18" t="str">
        <x:v>TU24_TEAS_vs_SHAM_VOMIT2_6</x:v>
      </x:c>
      <x:c r="C94" s="18" t="str">
        <x:v>Postoperative TEAS</x:v>
      </x:c>
      <x:c r="D94" s="18" t="str">
        <x:v>Sham/no current</x:v>
      </x:c>
      <x:c r="E94" s="18" t="str">
        <x:v>PONV</x:v>
      </x:c>
      <x:c r="F94" s="18" t="str">
        <x:v>Vomiting incidence</x:v>
      </x:c>
      <x:c r="G94" s="18" t="str">
        <x:v>2-6 h</x:v>
      </x:c>
      <x:c r="H94" s="18" t="str">
        <x:v>Events/total</x:v>
      </x:c>
      <x:c r="I94" s="18" t="n">
        <x:v>60</x:v>
      </x:c>
      <x:c r="J94" s="18" t="n">
        <x:v>60</x:v>
      </x:c>
      <x:c r="K94" s="18" t="n">
        <x:v>57</x:v>
      </x:c>
      <x:c r="L94" s="18" t="n">
        <x:v>58</x:v>
      </x:c>
      <x:c r="M94" s="18"/>
      <x:c r="N94" s="18"/>
      <x:c r="O94" s="18"/>
      <x:c r="P94" s="18"/>
      <x:c r="Q94" s="18"/>
      <x:c r="R94" s="18" t="n">
        <x:v>8</x:v>
      </x:c>
      <x:c r="S94" s="18"/>
      <x:c r="T94" s="18"/>
      <x:c r="U94" s="18"/>
      <x:c r="V94" s="18"/>
      <x:c r="W94" s="18"/>
      <x:c r="X94" s="18" t="n">
        <x:v>17</x:v>
      </x:c>
      <x:c r="Y94" s="18" t="str">
        <x:v>participants</x:v>
      </x:c>
      <x:c r="Z94" s="18" t="str">
        <x:v>0.047</x:v>
      </x:c>
      <x:c r="AA94" s="18" t="str">
        <x:v>Yes</x:v>
      </x:c>
      <x:c r="AB94" s="18" t="str">
        <x:v>No</x:v>
      </x:c>
      <x:c r="AC94" s="18" t="str">
        <x:v>RR</x:v>
      </x:c>
      <x:c r="AD94" s="18" t="n">
        <x:v>0.478844169246646</x:v>
      </x:c>
      <x:c r="AE94" s="18" t="str">
        <x:v>No</x:v>
      </x:c>
      <x:c r="AF94" s="18" t="str">
        <x:v>No</x:v>
      </x:c>
      <x:c r="AG94" s="18" t="str">
        <x:v>Eligible for dichotomous vomiting analysis</x:v>
      </x:c>
      <x:c r="AH94" s="18" t="str">
        <x:v>No</x:v>
      </x:c>
      <x:c r="AI94" s="18" t="str">
        <x:v>Five post-randomization exclusions include one sham participant excluded specifically for vomiting caused by intracranial hypertension</x:v>
      </x:c>
      <x:c r="AJ94" s="18" t="str">
        <x:v>Table 3 / vomiting 2-6 h</x:v>
      </x:c>
      <x:c r="AK94" s="18" t="str">
        <x:v>https://drive.google.com/file/d/1xQ9SbXVZblphUrb0-T9xpnAXk-_z5nBX/view?usp=drivesdk</x:v>
      </x:c>
      <x:c r="AL94" s="18" t="str">
        <x:v>SOURCE-VERIFIED / MISSINGNESS QC</x:v>
      </x:c>
      <x:c r="AM94" s="18" t="str">
        <x:v>PONV</x:v>
      </x:c>
      <x:c r="AN94" s="18" t="str">
        <x:v>2-6 h</x:v>
      </x:c>
      <x:c r="AO94" s="18" t="str">
        <x:v>EXCLUDE — DATA UNAVAILABLE</x:v>
      </x:c>
      <x:c r="AP94" s="18" t="str">
        <x:v>The source does not provide a defensible quantitative value for this analysis.</x:v>
      </x:c>
      <x:c r="AQ94" s="18" t="str">
        <x:v>No</x:v>
      </x:c>
      <x:c r="AR94" s="18" t="str"/>
      <x:c r="AS94" s="18" t="str">
        <x:v>Binary effect measure (RR preferred per protocol)</x:v>
      </x:c>
      <x:c r="AT94" s="18" t="str">
        <x:v>Vomiting incidence</x:v>
      </x:c>
      <x:c r="AU94" s="18" t="str">
        <x:v>2-6 h</x:v>
      </x:c>
      <x:c r="AV94" s="18" t="str">
        <x:v>High</x:v>
      </x:c>
      <x:c r="AW94" s="18" t="str">
        <x:v>No — selected RoB matches this result</x:v>
      </x:c>
      <x:c r="AX94" s="18" t="str">
        <x:v>Tu 2024</x:v>
      </x:c>
      <x:c r="AY94" s="18" t="str">
        <x:v>Primary eligible contrast</x:v>
      </x:c>
      <x:c r="AZ94" s="18" t="str">
        <x:v>Count this study once per synthesis unless a valid multi-arm method is used.</x:v>
      </x:c>
    </x:row>
    <x:row r="95">
      <x:c r="A95" s="18" t="str">
        <x:v>Tu 2024</x:v>
      </x:c>
      <x:c r="B95" s="18" t="str">
        <x:v>TU24_TEAS_vs_SHAM_VOMIT6_24</x:v>
      </x:c>
      <x:c r="C95" s="18" t="str">
        <x:v>Postoperative TEAS</x:v>
      </x:c>
      <x:c r="D95" s="18" t="str">
        <x:v>Sham/no current</x:v>
      </x:c>
      <x:c r="E95" s="18" t="str">
        <x:v>PONV</x:v>
      </x:c>
      <x:c r="F95" s="18" t="str">
        <x:v>Vomiting incidence</x:v>
      </x:c>
      <x:c r="G95" s="18" t="str">
        <x:v>6-24 h</x:v>
      </x:c>
      <x:c r="H95" s="18" t="str">
        <x:v>Events/total</x:v>
      </x:c>
      <x:c r="I95" s="18" t="n">
        <x:v>60</x:v>
      </x:c>
      <x:c r="J95" s="18" t="n">
        <x:v>60</x:v>
      </x:c>
      <x:c r="K95" s="18" t="n">
        <x:v>57</x:v>
      </x:c>
      <x:c r="L95" s="18" t="n">
        <x:v>58</x:v>
      </x:c>
      <x:c r="M95" s="18"/>
      <x:c r="N95" s="18"/>
      <x:c r="O95" s="18"/>
      <x:c r="P95" s="18"/>
      <x:c r="Q95" s="18"/>
      <x:c r="R95" s="18" t="n">
        <x:v>11</x:v>
      </x:c>
      <x:c r="S95" s="18"/>
      <x:c r="T95" s="18"/>
      <x:c r="U95" s="18"/>
      <x:c r="V95" s="18"/>
      <x:c r="W95" s="18"/>
      <x:c r="X95" s="18" t="n">
        <x:v>15</x:v>
      </x:c>
      <x:c r="Y95" s="18" t="str">
        <x:v>participants</x:v>
      </x:c>
      <x:c r="Z95" s="18" t="str">
        <x:v>0.405</x:v>
      </x:c>
      <x:c r="AA95" s="18" t="str">
        <x:v>Yes</x:v>
      </x:c>
      <x:c r="AB95" s="18" t="str">
        <x:v>No</x:v>
      </x:c>
      <x:c r="AC95" s="18" t="str">
        <x:v>RR</x:v>
      </x:c>
      <x:c r="AD95" s="18" t="n">
        <x:v>0.7461988304093566</x:v>
      </x:c>
      <x:c r="AE95" s="18" t="str">
        <x:v>No</x:v>
      </x:c>
      <x:c r="AF95" s="18" t="str">
        <x:v>No</x:v>
      </x:c>
      <x:c r="AG95" s="18" t="str">
        <x:v>Eligible for dichotomous vomiting analysis</x:v>
      </x:c>
      <x:c r="AH95" s="18" t="str">
        <x:v>No</x:v>
      </x:c>
      <x:c r="AI95" s="18" t="str">
        <x:v>Same post-randomization exclusion concern</x:v>
      </x:c>
      <x:c r="AJ95" s="18" t="str">
        <x:v>Table 3 / vomiting 6-24 h</x:v>
      </x:c>
      <x:c r="AK95" s="18" t="str">
        <x:v>https://drive.google.com/file/d/1xQ9SbXVZblphUrb0-T9xpnAXk-_z5nBX/view?usp=drivesdk</x:v>
      </x:c>
      <x:c r="AL95" s="18" t="str">
        <x:v>SOURCE-VERIFIED / MISSINGNESS QC</x:v>
      </x:c>
      <x:c r="AM95" s="18" t="str">
        <x:v>PONV</x:v>
      </x:c>
      <x:c r="AN95" s="18" t="str">
        <x:v>Contains 24 h but definition differs</x:v>
      </x:c>
      <x:c r="AO95" s="18" t="str">
        <x:v>EXCLUDE — DATA UNAVAILABLE</x:v>
      </x:c>
      <x:c r="AP95" s="18" t="str">
        <x:v>The source does not provide a defensible quantitative value for this analysis.</x:v>
      </x:c>
      <x:c r="AQ95" s="18" t="str">
        <x:v>No</x:v>
      </x:c>
      <x:c r="AR95" s="18" t="str"/>
      <x:c r="AS95" s="18" t="str">
        <x:v>Binary effect measure (RR preferred per protocol)</x:v>
      </x:c>
      <x:c r="AT95" s="18" t="str">
        <x:v>Vomiting incidence</x:v>
      </x:c>
      <x:c r="AU95" s="18" t="str">
        <x:v>2-6 h</x:v>
      </x:c>
      <x:c r="AV95" s="18" t="str">
        <x:v>High</x:v>
      </x:c>
      <x:c r="AW95" s="18" t="str">
        <x:v>No — selected RoB matches this result</x:v>
      </x:c>
      <x:c r="AX95" s="18" t="str">
        <x:v>Tu 2024</x:v>
      </x:c>
      <x:c r="AY95" s="18" t="str">
        <x:v>Primary eligible contrast</x:v>
      </x:c>
      <x:c r="AZ95" s="18" t="str">
        <x:v>Count this study once per synthesis unless a valid multi-arm method is used.</x:v>
      </x:c>
    </x:row>
    <x:row r="96">
      <x:c r="A96" s="18" t="str">
        <x:v>Tu 2024</x:v>
      </x:c>
      <x:c r="B96" s="18" t="str">
        <x:v>TU24_TEAS_vs_SHAM_PAIN6_24</x:v>
      </x:c>
      <x:c r="C96" s="18" t="str">
        <x:v>Postoperative TEAS</x:v>
      </x:c>
      <x:c r="D96" s="18" t="str">
        <x:v>Sham/no current</x:v>
      </x:c>
      <x:c r="E96" s="18" t="str">
        <x:v>Pain</x:v>
      </x:c>
      <x:c r="F96" s="18" t="str">
        <x:v>VAS pain intensity</x:v>
      </x:c>
      <x:c r="G96" s="18" t="str">
        <x:v>6-24 h</x:v>
      </x:c>
      <x:c r="H96" s="18" t="str">
        <x:v>Median/IQR</x:v>
      </x:c>
      <x:c r="I96" s="18" t="n">
        <x:v>60</x:v>
      </x:c>
      <x:c r="J96" s="18" t="n">
        <x:v>60</x:v>
      </x:c>
      <x:c r="K96" s="18" t="n">
        <x:v>57</x:v>
      </x:c>
      <x:c r="L96" s="18" t="n">
        <x:v>58</x:v>
      </x:c>
      <x:c r="M96" s="18"/>
      <x:c r="N96" s="18"/>
      <x:c r="O96" s="18" t="n">
        <x:v>2</x:v>
      </x:c>
      <x:c r="P96" s="18" t="n">
        <x:v>0.5</x:v>
      </x:c>
      <x:c r="Q96" s="18" t="n">
        <x:v>3</x:v>
      </x:c>
      <x:c r="R96" s="18"/>
      <x:c r="S96" s="18"/>
      <x:c r="T96" s="18"/>
      <x:c r="U96" s="18" t="n">
        <x:v>4</x:v>
      </x:c>
      <x:c r="V96" s="18" t="n">
        <x:v>3</x:v>
      </x:c>
      <x:c r="W96" s="18" t="n">
        <x:v>4</x:v>
      </x:c>
      <x:c r="X96" s="18"/>
      <x:c r="Y96" s="18" t="str">
        <x:v>VAS 0-10</x:v>
      </x:c>
      <x:c r="Z96" s="18" t="str">
        <x:v>0.001</x:v>
      </x:c>
      <x:c r="AA96" s="18" t="str">
        <x:v>Yes</x:v>
      </x:c>
      <x:c r="AB96" s="18" t="str">
        <x:v>No</x:v>
      </x:c>
      <x:c r="AC96" s="18"/>
      <x:c r="AD96" s="18"/>
      <x:c r="AE96" s="18" t="str">
        <x:v>No</x:v>
      </x:c>
      <x:c r="AF96" s="18" t="str">
        <x:v>No</x:v>
      </x:c>
      <x:c r="AG96" s="18" t="str">
        <x:v>Eligible for pain analysis using median/IQR methods</x:v>
      </x:c>
      <x:c r="AH96" s="18" t="str">
        <x:v>No</x:v>
      </x:c>
      <x:c r="AI96" s="18" t="str">
        <x:v>Subjective outcome; sensory difference between active de qi and no-current sham may affect participant masking</x:v>
      </x:c>
      <x:c r="AJ96" s="18" t="str">
        <x:v>Pain outcome 6-24 h</x:v>
      </x:c>
      <x:c r="AK96" s="18" t="str">
        <x:v>https://drive.google.com/file/d/1xQ9SbXVZblphUrb0-T9xpnAXk-_z5nBX/view?usp=drivesdk</x:v>
      </x:c>
      <x:c r="AL96" s="18" t="str">
        <x:v>SOURCE-VERIFIED / SUBJECTIVE OUTCOME QC</x:v>
      </x:c>
      <x:c r="AM96" s="18" t="str">
        <x:v>Pain</x:v>
      </x:c>
      <x:c r="AN96" s="18" t="str">
        <x:v>Contains 24 h but definition differs</x:v>
      </x:c>
      <x:c r="AO96" s="18" t="str">
        <x:v>CONDITIONAL</x:v>
      </x:c>
      <x:c r="AP96" s="18" t="str">
        <x:v>Contains a 24-h measurement but timepoint definition differs from the strict analysis.</x:v>
      </x:c>
      <x:c r="AQ96" s="18" t="str">
        <x:v>No</x:v>
      </x:c>
      <x:c r="AR96" s="18" t="str"/>
      <x:c r="AS96" s="18" t="str">
        <x:v>Use median/IQR-compatible meta-analysis method; do not relabel as mean/SD</x:v>
      </x:c>
      <x:c r="AT96" s="18" t="str">
        <x:v>Vomiting incidence</x:v>
      </x:c>
      <x:c r="AU96" s="18" t="str">
        <x:v>2-6 h</x:v>
      </x:c>
      <x:c r="AV96" s="18" t="str">
        <x:v>High</x:v>
      </x:c>
      <x:c r="AW96" s="18" t="str">
        <x:v>Yes — selected RoB is for a different result/timepoint</x:v>
      </x:c>
      <x:c r="AX96" s="18" t="str">
        <x:v>Tu 2024</x:v>
      </x:c>
      <x:c r="AY96" s="18" t="str">
        <x:v>Primary eligible contrast</x:v>
      </x:c>
      <x:c r="AZ96" s="18" t="str">
        <x:v>Count this study once per synthesis unless a valid multi-arm method is used.</x:v>
      </x:c>
    </x:row>
    <x:row r="97">
      <x:c r="A97" s="18" t="str">
        <x:v>Tu 2024</x:v>
      </x:c>
      <x:c r="B97" s="18" t="str">
        <x:v>TU24_TEAS_vs_SHAM_TRAMADOL</x:v>
      </x:c>
      <x:c r="C97" s="18" t="str">
        <x:v>Postoperative TEAS</x:v>
      </x:c>
      <x:c r="D97" s="18" t="str">
        <x:v>Sham/no current</x:v>
      </x:c>
      <x:c r="E97" s="18" t="str">
        <x:v>Rescue opioid use</x:v>
      </x:c>
      <x:c r="F97" s="18" t="str">
        <x:v>Any rescue tramadol use</x:v>
      </x:c>
      <x:c r="G97" s="18" t="str">
        <x:v>Within 24 h</x:v>
      </x:c>
      <x:c r="H97" s="18" t="str">
        <x:v>Events/total</x:v>
      </x:c>
      <x:c r="I97" s="18" t="n">
        <x:v>60</x:v>
      </x:c>
      <x:c r="J97" s="18" t="n">
        <x:v>60</x:v>
      </x:c>
      <x:c r="K97" s="18" t="n">
        <x:v>57</x:v>
      </x:c>
      <x:c r="L97" s="18" t="n">
        <x:v>58</x:v>
      </x:c>
      <x:c r="M97" s="18"/>
      <x:c r="N97" s="18"/>
      <x:c r="O97" s="18"/>
      <x:c r="P97" s="18"/>
      <x:c r="Q97" s="18"/>
      <x:c r="R97" s="18" t="n">
        <x:v>3</x:v>
      </x:c>
      <x:c r="S97" s="18"/>
      <x:c r="T97" s="18"/>
      <x:c r="U97" s="18"/>
      <x:c r="V97" s="18"/>
      <x:c r="W97" s="18"/>
      <x:c r="X97" s="18" t="n">
        <x:v>6</x:v>
      </x:c>
      <x:c r="Y97" s="18" t="str">
        <x:v>participants</x:v>
      </x:c>
      <x:c r="Z97" s="18" t="str">
        <x:v>0.315</x:v>
      </x:c>
      <x:c r="AA97" s="18" t="str">
        <x:v>Yes</x:v>
      </x:c>
      <x:c r="AB97" s="18" t="str">
        <x:v>No</x:v>
      </x:c>
      <x:c r="AC97" s="18" t="str">
        <x:v>RR</x:v>
      </x:c>
      <x:c r="AD97" s="18" t="n">
        <x:v>0.5087719298245614</x:v>
      </x:c>
      <x:c r="AE97" s="18" t="str">
        <x:v>No</x:v>
      </x:c>
      <x:c r="AF97" s="18" t="str">
        <x:v>No</x:v>
      </x:c>
      <x:c r="AG97" s="18" t="str">
        <x:v>Eligible only for binary rescue-opioid-use analysis</x:v>
      </x:c>
      <x:c r="AH97" s="18" t="str">
        <x:v>No</x:v>
      </x:c>
      <x:c r="AI97" s="18" t="str">
        <x:v>Tramadol was 10 mg IM for VAS &gt;6; number of doses/cumulative tramadol per patient is not reported</x:v>
      </x:c>
      <x:c r="AJ97" s="18" t="str">
        <x:v>Rescue analgesia outcome</x:v>
      </x:c>
      <x:c r="AK97" s="18" t="str">
        <x:v>https://drive.google.com/file/d/1xQ9SbXVZblphUrb0-T9xpnAXk-_z5nBX/view?usp=drivesdk</x:v>
      </x:c>
      <x:c r="AL97" s="18" t="str">
        <x:v>SOURCE-VERIFIED / DOSE MISSING</x:v>
      </x:c>
      <x:c r="AM97" s="18" t="str">
        <x:v>Rescue opioid use</x:v>
      </x:c>
      <x:c r="AN97" s="18" t="str">
        <x:v>Contains 24 h but definition differs</x:v>
      </x:c>
      <x:c r="AO97" s="18" t="str">
        <x:v>EXCLUDE — DATA UNAVAILABLE</x:v>
      </x:c>
      <x:c r="AP97" s="18" t="str">
        <x:v>The source does not provide a defensible quantitative value for this analysis.</x:v>
      </x:c>
      <x:c r="AQ97" s="18" t="str">
        <x:v>No</x:v>
      </x:c>
      <x:c r="AR97" s="18" t="str"/>
      <x:c r="AS97" s="18" t="str">
        <x:v>Binary effect measure (RR preferred per protocol)</x:v>
      </x:c>
      <x:c r="AT97" s="18" t="str">
        <x:v>Vomiting incidence</x:v>
      </x:c>
      <x:c r="AU97" s="18" t="str">
        <x:v>2-6 h</x:v>
      </x:c>
      <x:c r="AV97" s="18" t="str">
        <x:v>High</x:v>
      </x:c>
      <x:c r="AW97" s="18" t="str">
        <x:v>Yes — selected RoB is for a different result/timepoint</x:v>
      </x:c>
      <x:c r="AX97" s="18" t="str">
        <x:v>Tu 2024</x:v>
      </x:c>
      <x:c r="AY97" s="18" t="str">
        <x:v>Primary eligible contrast</x:v>
      </x:c>
      <x:c r="AZ97" s="18" t="str">
        <x:v>Count this study once per synthesis unless a valid multi-arm method is used.</x:v>
      </x:c>
    </x:row>
    <x:row r="98">
      <x:c r="A98" s="18" t="str">
        <x:v>Tu 2024</x:v>
      </x:c>
      <x:c r="B98" s="18" t="str">
        <x:v>TU24_TEAS_vs_SHAM_OPIOID24</x:v>
      </x:c>
      <x:c r="C98" s="18" t="str">
        <x:v>Postoperative TEAS</x:v>
      </x:c>
      <x:c r="D98" s="18" t="str">
        <x:v>Sham/no current</x:v>
      </x:c>
      <x:c r="E98" s="18" t="str">
        <x:v>Opioid consumption</x:v>
      </x:c>
      <x:c r="F98" s="18" t="str">
        <x:v>Cumulative rescue tramadol consumption</x:v>
      </x:c>
      <x:c r="G98" s="18" t="str">
        <x:v>0-24 h</x:v>
      </x:c>
      <x:c r="H98" s="18" t="str">
        <x:v>Not reported</x:v>
      </x:c>
      <x:c r="I98" s="18" t="n">
        <x:v>60</x:v>
      </x:c>
      <x:c r="J98" s="18" t="n">
        <x:v>60</x:v>
      </x:c>
      <x:c r="K98" s="18" t="n">
        <x:v>57</x:v>
      </x:c>
      <x:c r="L98" s="18" t="n">
        <x:v>58</x:v>
      </x:c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 t="str">
        <x:v>mg tramadol</x:v>
      </x:c>
      <x:c r="Z98" s="18"/>
      <x:c r="AA98" s="18" t="str">
        <x:v>No</x:v>
      </x:c>
      <x:c r="AB98" s="18" t="str">
        <x:v>No</x:v>
      </x:c>
      <x:c r="AC98" s="18"/>
      <x:c r="AD98" s="18"/>
      <x:c r="AE98" s="18" t="str">
        <x:v>No</x:v>
      </x:c>
      <x:c r="AF98" s="18" t="str">
        <x:v>No</x:v>
      </x:c>
      <x:c r="AG98" s="18" t="str">
        <x:v>Not eligible for continuous 24-h opioid meta-analysis</x:v>
      </x:c>
      <x:c r="AH98" s="18" t="str">
        <x:v>No</x:v>
      </x:c>
      <x:c r="AI98" s="18" t="str">
        <x:v>Only number of patients receiving rescue tramadol is reported; cumulative dose is unavailable</x:v>
      </x:c>
      <x:c r="AJ98" s="18" t="str">
        <x:v>Rescue analgesia section</x:v>
      </x:c>
      <x:c r="AK98" s="18" t="str">
        <x:v>https://drive.google.com/file/d/1xQ9SbXVZblphUrb0-T9xpnAXk-_z5nBX/view?usp=drivesdk</x:v>
      </x:c>
      <x:c r="AL98" s="18" t="str">
        <x:v>MISSING / CUMULATIVE DOSE NOT REPORTED</x:v>
      </x:c>
      <x:c r="AM98" s="18" t="str">
        <x:v>Postoperative opioid consumption</x:v>
      </x:c>
      <x:c r="AN98" s="18" t="str">
        <x:v>Exact/explicit 24 h</x:v>
      </x:c>
      <x:c r="AO98" s="18" t="str">
        <x:v>EXCLUDE — DATA UNAVAILABLE</x:v>
      </x:c>
      <x:c r="AP98" s="18" t="str">
        <x:v>The source does not provide a defensible quantitative value for this analysis.</x:v>
      </x:c>
      <x:c r="AQ98" s="18" t="str">
        <x:v>No</x:v>
      </x:c>
      <x:c r="AR98" s="18" t="str"/>
      <x:c r="AS98" s="18" t="str">
        <x:v>Opioid/MME conversion required using prespecified review conversion</x:v>
      </x:c>
      <x:c r="AT98" s="18" t="str">
        <x:v>Vomiting incidence</x:v>
      </x:c>
      <x:c r="AU98" s="18" t="str">
        <x:v>2-6 h</x:v>
      </x:c>
      <x:c r="AV98" s="18" t="str">
        <x:v>High</x:v>
      </x:c>
      <x:c r="AW98" s="18" t="str">
        <x:v>Yes — selected RoB is for a different result/timepoint</x:v>
      </x:c>
      <x:c r="AX98" s="18" t="str">
        <x:v>Tu 2024</x:v>
      </x:c>
      <x:c r="AY98" s="18" t="str">
        <x:v>Primary eligible contrast</x:v>
      </x:c>
      <x:c r="AZ98" s="18" t="str">
        <x:v>Count this study once per synthesis unless a valid multi-arm method is used.</x:v>
      </x:c>
    </x:row>
    <x:row r="99">
      <x:c r="A99" s="18" t="str">
        <x:v>Sun 2017</x:v>
      </x:c>
      <x:c r="B99" s="18" t="str">
        <x:v>SUN17_TSS_vs_SSS_ACTIVITY24</x:v>
      </x:c>
      <x:c r="C99" s="18" t="str">
        <x:v>Preoperative true TEAS only</x:v>
      </x:c>
      <x:c r="D99" s="18" t="str">
        <x:v>All-period sham TEAS (SSS)</x:v>
      </x:c>
      <x:c r="E99" s="18" t="str">
        <x:v>Pain</x:v>
      </x:c>
      <x:c r="F99" s="18" t="str">
        <x:v>Activity-evoked VAS</x:v>
      </x:c>
      <x:c r="G99" s="18" t="str">
        <x:v>24 h</x:v>
      </x:c>
      <x:c r="H99" s="18" t="str">
        <x:v>Median/IQR</x:v>
      </x:c>
      <x:c r="I99" s="18" t="n">
        <x:v>95</x:v>
      </x:c>
      <x:c r="J99" s="18" t="n">
        <x:v>95</x:v>
      </x:c>
      <x:c r="K99" s="18" t="n">
        <x:v>91</x:v>
      </x:c>
      <x:c r="L99" s="18" t="n">
        <x:v>90</x:v>
      </x:c>
      <x:c r="M99" s="18"/>
      <x:c r="N99" s="18"/>
      <x:c r="O99" s="18" t="n">
        <x:v>4</x:v>
      </x:c>
      <x:c r="P99" s="18" t="n">
        <x:v>4</x:v>
      </x:c>
      <x:c r="Q99" s="18" t="n">
        <x:v>5</x:v>
      </x:c>
      <x:c r="R99" s="18"/>
      <x:c r="S99" s="18"/>
      <x:c r="T99" s="18"/>
      <x:c r="U99" s="18" t="n">
        <x:v>4</x:v>
      </x:c>
      <x:c r="V99" s="18" t="n">
        <x:v>3.8</x:v>
      </x:c>
      <x:c r="W99" s="18" t="n">
        <x:v>5</x:v>
      </x:c>
      <x:c r="X99" s="18"/>
      <x:c r="Y99" s="18" t="str">
        <x:v>VAS 0-10</x:v>
      </x:c>
      <x:c r="Z99" s="18" t="str">
        <x:v>&lt;0.001 reported comparisons</x:v>
      </x:c>
      <x:c r="AA99" s="18" t="str">
        <x:v>Yes</x:v>
      </x:c>
      <x:c r="AB99" s="18" t="str">
        <x:v>No</x:v>
      </x:c>
      <x:c r="AC99" s="18"/>
      <x:c r="AD99" s="18"/>
      <x:c r="AE99" s="18" t="str">
        <x:v>No</x:v>
      </x:c>
      <x:c r="AF99" s="18" t="str">
        <x:v>No</x:v>
      </x:c>
      <x:c r="AG99" s="18" t="str">
        <x:v>Eligible for 24-h movement-pain analysis with multi-arm/shared-control adjustment</x:v>
      </x:c>
      <x:c r="AH99" s="18" t="str">
        <x:v>Yes</x:v>
      </x:c>
      <x:c r="AI99" s="18" t="str">
        <x:v>Four-arm timing trial; sham received 5 min perceptible low-current stimulation, not electrically inert</x:v>
      </x:c>
      <x:c r="AJ99" s="18" t="str">
        <x:v>Primary activity-pain outcome, 24 h</x:v>
      </x:c>
      <x:c r="AK99" s="18" t="str">
        <x:v>https://drive.google.com/file/d/1lELlw0IpkhqoB8OuintAI22fxKfNEcEd/view?usp=drivesdk</x:v>
      </x:c>
      <x:c r="AL99" s="18" t="str">
        <x:v>SOURCE-VERIFIED</x:v>
      </x:c>
      <x:c r="AM99" s="18" t="str">
        <x:v>Pain</x:v>
      </x:c>
      <x:c r="AN99" s="18" t="str">
        <x:v>Exact/explicit 24 h</x:v>
      </x:c>
      <x:c r="AO99" s="18" t="str">
        <x:v>INCLUDE</x:v>
      </x:c>
      <x:c r="AP99" s="18" t="str">
        <x:v>Explicit 24-h pain endpoint with quantitative source data.</x:v>
      </x:c>
      <x:c r="AQ99" s="18" t="str">
        <x:v>Yes</x:v>
      </x:c>
      <x:c r="AR99" s="18" t="str"/>
      <x:c r="AS99" s="18" t="str">
        <x:v>Use median/IQR-compatible meta-analysis method; do not relabel as mean/SD</x:v>
      </x:c>
      <x:c r="AT99" s="18" t="str">
        <x:v>Activity-evoked VAS</x:v>
      </x:c>
      <x:c r="AU99" s="18" t="str">
        <x:v>24 h</x:v>
      </x:c>
      <x:c r="AV99" s="18" t="str">
        <x:v>Some concerns</x:v>
      </x:c>
      <x:c r="AW99" s="18" t="str">
        <x:v>No — selected RoB matches this result</x:v>
      </x:c>
      <x:c r="AX99" s="18" t="str">
        <x:v>Sun 2017</x:v>
      </x:c>
      <x:c r="AY99" s="18" t="str">
        <x:v>TEAS timing-arm contrast</x:v>
      </x:c>
      <x:c r="AZ99" s="18" t="str">
        <x:v>Four-arm timing trial with shared sham; do not count timing arms as independent studies.</x:v>
      </x:c>
    </x:row>
    <x:row r="100">
      <x:c r="A100" s="18" t="str">
        <x:v>Sun 2017</x:v>
      </x:c>
      <x:c r="B100" s="18" t="str">
        <x:v>SUN17_TTS_vs_SSS_ACTIVITY24</x:v>
      </x:c>
      <x:c r="C100" s="18" t="str">
        <x:v>Preoperative + intraoperative true TEAS</x:v>
      </x:c>
      <x:c r="D100" s="18" t="str">
        <x:v>All-period sham TEAS (SSS)</x:v>
      </x:c>
      <x:c r="E100" s="18" t="str">
        <x:v>Pain</x:v>
      </x:c>
      <x:c r="F100" s="18" t="str">
        <x:v>Activity-evoked VAS</x:v>
      </x:c>
      <x:c r="G100" s="18" t="str">
        <x:v>24 h</x:v>
      </x:c>
      <x:c r="H100" s="18" t="str">
        <x:v>Median/IQR</x:v>
      </x:c>
      <x:c r="I100" s="18" t="n">
        <x:v>95</x:v>
      </x:c>
      <x:c r="J100" s="18" t="n">
        <x:v>95</x:v>
      </x:c>
      <x:c r="K100" s="18" t="n">
        <x:v>91</x:v>
      </x:c>
      <x:c r="L100" s="18" t="n">
        <x:v>90</x:v>
      </x:c>
      <x:c r="M100" s="18"/>
      <x:c r="N100" s="18"/>
      <x:c r="O100" s="18" t="n">
        <x:v>4</x:v>
      </x:c>
      <x:c r="P100" s="18" t="n">
        <x:v>3</x:v>
      </x:c>
      <x:c r="Q100" s="18" t="n">
        <x:v>4</x:v>
      </x:c>
      <x:c r="R100" s="18"/>
      <x:c r="S100" s="18"/>
      <x:c r="T100" s="18"/>
      <x:c r="U100" s="18" t="n">
        <x:v>4</x:v>
      </x:c>
      <x:c r="V100" s="18" t="n">
        <x:v>3.8</x:v>
      </x:c>
      <x:c r="W100" s="18" t="n">
        <x:v>5</x:v>
      </x:c>
      <x:c r="X100" s="18"/>
      <x:c r="Y100" s="18" t="str">
        <x:v>VAS 0-10</x:v>
      </x:c>
      <x:c r="Z100" s="18" t="str">
        <x:v>&lt;0.001 reported comparisons</x:v>
      </x:c>
      <x:c r="AA100" s="18" t="str">
        <x:v>Yes</x:v>
      </x:c>
      <x:c r="AB100" s="18" t="str">
        <x:v>No</x:v>
      </x:c>
      <x:c r="AC100" s="18"/>
      <x:c r="AD100" s="18"/>
      <x:c r="AE100" s="18" t="str">
        <x:v>No</x:v>
      </x:c>
      <x:c r="AF100" s="18" t="str">
        <x:v>No</x:v>
      </x:c>
      <x:c r="AG100" s="18" t="str">
        <x:v>Eligible for 24-h movement-pain analysis with multi-arm/shared-control adjustment</x:v>
      </x:c>
      <x:c r="AH100" s="18" t="str">
        <x:v>Yes</x:v>
      </x:c>
      <x:c r="AI100" s="18" t="str">
        <x:v>Four-arm timing trial; sham received 5 min perceptible low-current stimulation, not electrically inert</x:v>
      </x:c>
      <x:c r="AJ100" s="18" t="str">
        <x:v>Primary activity-pain outcome, 24 h</x:v>
      </x:c>
      <x:c r="AK100" s="18" t="str">
        <x:v>https://drive.google.com/file/d/1lELlw0IpkhqoB8OuintAI22fxKfNEcEd/view?usp=drivesdk</x:v>
      </x:c>
      <x:c r="AL100" s="18" t="str">
        <x:v>SOURCE-VERIFIED</x:v>
      </x:c>
      <x:c r="AM100" s="18" t="str">
        <x:v>Pain</x:v>
      </x:c>
      <x:c r="AN100" s="18" t="str">
        <x:v>Exact/explicit 24 h</x:v>
      </x:c>
      <x:c r="AO100" s="18" t="str">
        <x:v>INCLUDE</x:v>
      </x:c>
      <x:c r="AP100" s="18" t="str">
        <x:v>Explicit 24-h pain endpoint with quantitative source data.</x:v>
      </x:c>
      <x:c r="AQ100" s="18" t="str">
        <x:v>Yes</x:v>
      </x:c>
      <x:c r="AR100" s="18" t="str"/>
      <x:c r="AS100" s="18" t="str">
        <x:v>Use median/IQR-compatible meta-analysis method; do not relabel as mean/SD</x:v>
      </x:c>
      <x:c r="AT100" s="18" t="str">
        <x:v>Activity-evoked VAS</x:v>
      </x:c>
      <x:c r="AU100" s="18" t="str">
        <x:v>24 h</x:v>
      </x:c>
      <x:c r="AV100" s="18" t="str">
        <x:v>Some concerns</x:v>
      </x:c>
      <x:c r="AW100" s="18" t="str">
        <x:v>No — selected RoB matches this result</x:v>
      </x:c>
      <x:c r="AX100" s="18" t="str">
        <x:v>Sun 2017</x:v>
      </x:c>
      <x:c r="AY100" s="18" t="str">
        <x:v>TEAS timing-arm contrast</x:v>
      </x:c>
      <x:c r="AZ100" s="18" t="str">
        <x:v>Four-arm timing trial with shared sham; do not count timing arms as independent studies.</x:v>
      </x:c>
    </x:row>
    <x:row r="101">
      <x:c r="A101" s="18" t="str">
        <x:v>Sun 2017</x:v>
      </x:c>
      <x:c r="B101" s="18" t="str">
        <x:v>SUN17_TST_vs_SSS_ACTIVITY24</x:v>
      </x:c>
      <x:c r="C101" s="18" t="str">
        <x:v>Preoperative + postoperative true TEAS</x:v>
      </x:c>
      <x:c r="D101" s="18" t="str">
        <x:v>All-period sham TEAS (SSS)</x:v>
      </x:c>
      <x:c r="E101" s="18" t="str">
        <x:v>Pain</x:v>
      </x:c>
      <x:c r="F101" s="18" t="str">
        <x:v>Activity-evoked VAS</x:v>
      </x:c>
      <x:c r="G101" s="18" t="str">
        <x:v>24 h</x:v>
      </x:c>
      <x:c r="H101" s="18" t="str">
        <x:v>Median/IQR</x:v>
      </x:c>
      <x:c r="I101" s="18" t="n">
        <x:v>95</x:v>
      </x:c>
      <x:c r="J101" s="18" t="n">
        <x:v>95</x:v>
      </x:c>
      <x:c r="K101" s="18" t="n">
        <x:v>89</x:v>
      </x:c>
      <x:c r="L101" s="18" t="n">
        <x:v>90</x:v>
      </x:c>
      <x:c r="M101" s="18"/>
      <x:c r="N101" s="18"/>
      <x:c r="O101" s="18" t="n">
        <x:v>3</x:v>
      </x:c>
      <x:c r="P101" s="18" t="n">
        <x:v>3</x:v>
      </x:c>
      <x:c r="Q101" s="18" t="n">
        <x:v>4</x:v>
      </x:c>
      <x:c r="R101" s="18"/>
      <x:c r="S101" s="18"/>
      <x:c r="T101" s="18"/>
      <x:c r="U101" s="18" t="n">
        <x:v>4</x:v>
      </x:c>
      <x:c r="V101" s="18" t="n">
        <x:v>3.8</x:v>
      </x:c>
      <x:c r="W101" s="18" t="n">
        <x:v>5</x:v>
      </x:c>
      <x:c r="X101" s="18"/>
      <x:c r="Y101" s="18" t="str">
        <x:v>VAS 0-10</x:v>
      </x:c>
      <x:c r="Z101" s="18" t="str">
        <x:v>&lt;0.001 reported comparisons</x:v>
      </x:c>
      <x:c r="AA101" s="18" t="str">
        <x:v>Yes</x:v>
      </x:c>
      <x:c r="AB101" s="18" t="str">
        <x:v>No</x:v>
      </x:c>
      <x:c r="AC101" s="18"/>
      <x:c r="AD101" s="18"/>
      <x:c r="AE101" s="18" t="str">
        <x:v>No</x:v>
      </x:c>
      <x:c r="AF101" s="18" t="str">
        <x:v>No</x:v>
      </x:c>
      <x:c r="AG101" s="18" t="str">
        <x:v>Eligible for 24-h movement-pain analysis with multi-arm/shared-control adjustment</x:v>
      </x:c>
      <x:c r="AH101" s="18" t="str">
        <x:v>Yes</x:v>
      </x:c>
      <x:c r="AI101" s="18" t="str">
        <x:v>Four-arm timing trial; sham received 5 min perceptible low-current stimulation, not electrically inert</x:v>
      </x:c>
      <x:c r="AJ101" s="18" t="str">
        <x:v>Primary activity-pain outcome, 24 h</x:v>
      </x:c>
      <x:c r="AK101" s="18" t="str">
        <x:v>https://drive.google.com/file/d/1lELlw0IpkhqoB8OuintAI22fxKfNEcEd/view?usp=drivesdk</x:v>
      </x:c>
      <x:c r="AL101" s="18" t="str">
        <x:v>SOURCE-VERIFIED</x:v>
      </x:c>
      <x:c r="AM101" s="18" t="str">
        <x:v>Pain</x:v>
      </x:c>
      <x:c r="AN101" s="18" t="str">
        <x:v>Exact/explicit 24 h</x:v>
      </x:c>
      <x:c r="AO101" s="18" t="str">
        <x:v>INCLUDE</x:v>
      </x:c>
      <x:c r="AP101" s="18" t="str">
        <x:v>Explicit 24-h pain endpoint with quantitative source data.</x:v>
      </x:c>
      <x:c r="AQ101" s="18" t="str">
        <x:v>Yes</x:v>
      </x:c>
      <x:c r="AR101" s="18" t="str"/>
      <x:c r="AS101" s="18" t="str">
        <x:v>Use median/IQR-compatible meta-analysis method; do not relabel as mean/SD</x:v>
      </x:c>
      <x:c r="AT101" s="18" t="str">
        <x:v>Activity-evoked VAS</x:v>
      </x:c>
      <x:c r="AU101" s="18" t="str">
        <x:v>24 h</x:v>
      </x:c>
      <x:c r="AV101" s="18" t="str">
        <x:v>Some concerns</x:v>
      </x:c>
      <x:c r="AW101" s="18" t="str">
        <x:v>No — selected RoB matches this result</x:v>
      </x:c>
      <x:c r="AX101" s="18" t="str">
        <x:v>Sun 2017</x:v>
      </x:c>
      <x:c r="AY101" s="18" t="str">
        <x:v>TEAS timing-arm contrast</x:v>
      </x:c>
      <x:c r="AZ101" s="18" t="str">
        <x:v>Four-arm timing trial with shared sham; do not count timing arms as independent studies.</x:v>
      </x:c>
    </x:row>
    <x:row r="102">
      <x:c r="A102" s="18" t="str">
        <x:v>Sun 2017</x:v>
      </x:c>
      <x:c r="B102" s="18" t="str">
        <x:v>SUN17_TSS_vs_SSS_NSAID48</x:v>
      </x:c>
      <x:c r="C102" s="18" t="str">
        <x:v>Preoperative true TEAS only</x:v>
      </x:c>
      <x:c r="D102" s="18" t="str">
        <x:v>All-period sham TEAS (SSS)</x:v>
      </x:c>
      <x:c r="E102" s="18" t="str">
        <x:v>Rescue analgesia</x:v>
      </x:c>
      <x:c r="F102" s="18" t="str">
        <x:v>Supplemental flurbiprofen axetil requirement</x:v>
      </x:c>
      <x:c r="G102" s="18" t="str">
        <x:v>Within 48 h</x:v>
      </x:c>
      <x:c r="H102" s="18" t="str">
        <x:v>Published percentage</x:v>
      </x:c>
      <x:c r="I102" s="18" t="n">
        <x:v>95</x:v>
      </x:c>
      <x:c r="J102" s="18" t="n">
        <x:v>95</x:v>
      </x:c>
      <x:c r="K102" s="18" t="n">
        <x:v>91</x:v>
      </x:c>
      <x:c r="L102" s="18" t="n">
        <x:v>90</x:v>
      </x:c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 t="str">
        <x:v>11.0% intervention vs 23.3% SSS</x:v>
      </x:c>
      <x:c r="Z102" s="18" t="str">
        <x:v>0.020 overall; TST vs SSS significant</x:v>
      </x:c>
      <x:c r="AA102" s="18" t="str">
        <x:v>Yes</x:v>
      </x:c>
      <x:c r="AB102" s="18" t="str">
        <x:v>No</x:v>
      </x:c>
      <x:c r="AC102" s="18"/>
      <x:c r="AD102" s="18"/>
      <x:c r="AE102" s="18" t="str">
        <x:v>No</x:v>
      </x:c>
      <x:c r="AF102" s="18" t="str">
        <x:v>No</x:v>
      </x:c>
      <x:c r="AG102" s="18" t="str">
        <x:v>Eligible for 48-h non-opioid rescue-analgesia analysis; not an opioid outcome</x:v>
      </x:c>
      <x:c r="AH102" s="18" t="str">
        <x:v>Yes</x:v>
      </x:c>
      <x:c r="AI102" s="18" t="str">
        <x:v>Do not convert printed percentages to exact event counts without confirmation</x:v>
      </x:c>
      <x:c r="AJ102" s="18" t="str">
        <x:v>Table 2 / supplemental analgesic requirement</x:v>
      </x:c>
      <x:c r="AK102" s="18" t="str">
        <x:v>https://drive.google.com/file/d/1lELlw0IpkhqoB8OuintAI22fxKfNEcEd/view?usp=drivesdk</x:v>
      </x:c>
      <x:c r="AL102" s="18" t="str">
        <x:v>SOURCE-VERIFIED / PERCENTAGES ONLY</x:v>
      </x:c>
      <x:c r="AM102" s="18" t="str">
        <x:v>Rescue analgesia</x:v>
      </x:c>
      <x:c r="AN102" s="18" t="str">
        <x:v>48 h</x:v>
      </x:c>
      <x:c r="AO102" s="18" t="str">
        <x:v>CONDITIONAL</x:v>
      </x:c>
      <x:c r="AP102" s="18" t="str">
        <x:v>Source-grounded but carries a QC qualification.</x:v>
      </x:c>
      <x:c r="AQ102" s="18" t="str">
        <x:v>No</x:v>
      </x:c>
      <x:c r="AR102" s="18" t="str"/>
      <x:c r="AS102" s="18" t="str">
        <x:v>None</x:v>
      </x:c>
      <x:c r="AT102" s="18" t="str">
        <x:v>Activity-evoked VAS</x:v>
      </x:c>
      <x:c r="AU102" s="18" t="str">
        <x:v>24 h</x:v>
      </x:c>
      <x:c r="AV102" s="18" t="str">
        <x:v>Some concerns</x:v>
      </x:c>
      <x:c r="AW102" s="18" t="str">
        <x:v>Yes — selected RoB is for a different result/timepoint</x:v>
      </x:c>
      <x:c r="AX102" s="18" t="str">
        <x:v>Sun 2017</x:v>
      </x:c>
      <x:c r="AY102" s="18" t="str">
        <x:v>TEAS timing-arm contrast</x:v>
      </x:c>
      <x:c r="AZ102" s="18" t="str">
        <x:v>Four-arm timing trial with shared sham; do not count timing arms as independent studies.</x:v>
      </x:c>
    </x:row>
    <x:row r="103">
      <x:c r="A103" s="18" t="str">
        <x:v>Sun 2017</x:v>
      </x:c>
      <x:c r="B103" s="18" t="str">
        <x:v>SUN17_TTS_vs_SSS_NSAID48</x:v>
      </x:c>
      <x:c r="C103" s="18" t="str">
        <x:v>Preoperative + intraoperative true TEAS</x:v>
      </x:c>
      <x:c r="D103" s="18" t="str">
        <x:v>All-period sham TEAS (SSS)</x:v>
      </x:c>
      <x:c r="E103" s="18" t="str">
        <x:v>Rescue analgesia</x:v>
      </x:c>
      <x:c r="F103" s="18" t="str">
        <x:v>Supplemental flurbiprofen axetil requirement</x:v>
      </x:c>
      <x:c r="G103" s="18" t="str">
        <x:v>Within 48 h</x:v>
      </x:c>
      <x:c r="H103" s="18" t="str">
        <x:v>Published percentage</x:v>
      </x:c>
      <x:c r="I103" s="18" t="n">
        <x:v>95</x:v>
      </x:c>
      <x:c r="J103" s="18" t="n">
        <x:v>95</x:v>
      </x:c>
      <x:c r="K103" s="18" t="n">
        <x:v>91</x:v>
      </x:c>
      <x:c r="L103" s="18" t="n">
        <x:v>90</x:v>
      </x:c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 t="str">
        <x:v>15.4% intervention vs 23.3% SSS</x:v>
      </x:c>
      <x:c r="Z103" s="18" t="str">
        <x:v>0.020 overall; TST vs SSS significant</x:v>
      </x:c>
      <x:c r="AA103" s="18" t="str">
        <x:v>Yes</x:v>
      </x:c>
      <x:c r="AB103" s="18" t="str">
        <x:v>No</x:v>
      </x:c>
      <x:c r="AC103" s="18"/>
      <x:c r="AD103" s="18"/>
      <x:c r="AE103" s="18" t="str">
        <x:v>No</x:v>
      </x:c>
      <x:c r="AF103" s="18" t="str">
        <x:v>No</x:v>
      </x:c>
      <x:c r="AG103" s="18" t="str">
        <x:v>Eligible for 48-h non-opioid rescue-analgesia analysis; not an opioid outcome</x:v>
      </x:c>
      <x:c r="AH103" s="18" t="str">
        <x:v>Yes</x:v>
      </x:c>
      <x:c r="AI103" s="18" t="str">
        <x:v>Do not convert printed percentages to exact event counts without confirmation</x:v>
      </x:c>
      <x:c r="AJ103" s="18" t="str">
        <x:v>Table 2 / supplemental analgesic requirement</x:v>
      </x:c>
      <x:c r="AK103" s="18" t="str">
        <x:v>https://drive.google.com/file/d/1lELlw0IpkhqoB8OuintAI22fxKfNEcEd/view?usp=drivesdk</x:v>
      </x:c>
      <x:c r="AL103" s="18" t="str">
        <x:v>SOURCE-VERIFIED / PERCENTAGES ONLY</x:v>
      </x:c>
      <x:c r="AM103" s="18" t="str">
        <x:v>Rescue analgesia</x:v>
      </x:c>
      <x:c r="AN103" s="18" t="str">
        <x:v>48 h</x:v>
      </x:c>
      <x:c r="AO103" s="18" t="str">
        <x:v>CONDITIONAL</x:v>
      </x:c>
      <x:c r="AP103" s="18" t="str">
        <x:v>Source-grounded but carries a QC qualification.</x:v>
      </x:c>
      <x:c r="AQ103" s="18" t="str">
        <x:v>No</x:v>
      </x:c>
      <x:c r="AR103" s="18" t="str"/>
      <x:c r="AS103" s="18" t="str">
        <x:v>None</x:v>
      </x:c>
      <x:c r="AT103" s="18" t="str">
        <x:v>Activity-evoked VAS</x:v>
      </x:c>
      <x:c r="AU103" s="18" t="str">
        <x:v>24 h</x:v>
      </x:c>
      <x:c r="AV103" s="18" t="str">
        <x:v>Some concerns</x:v>
      </x:c>
      <x:c r="AW103" s="18" t="str">
        <x:v>Yes — selected RoB is for a different result/timepoint</x:v>
      </x:c>
      <x:c r="AX103" s="18" t="str">
        <x:v>Sun 2017</x:v>
      </x:c>
      <x:c r="AY103" s="18" t="str">
        <x:v>TEAS timing-arm contrast</x:v>
      </x:c>
      <x:c r="AZ103" s="18" t="str">
        <x:v>Four-arm timing trial with shared sham; do not count timing arms as independent studies.</x:v>
      </x:c>
    </x:row>
    <x:row r="104">
      <x:c r="A104" s="18" t="str">
        <x:v>Sun 2017</x:v>
      </x:c>
      <x:c r="B104" s="18" t="str">
        <x:v>SUN17_TST_vs_SSS_NSAID48</x:v>
      </x:c>
      <x:c r="C104" s="18" t="str">
        <x:v>Preoperative + postoperative true TEAS</x:v>
      </x:c>
      <x:c r="D104" s="18" t="str">
        <x:v>All-period sham TEAS (SSS)</x:v>
      </x:c>
      <x:c r="E104" s="18" t="str">
        <x:v>Rescue analgesia</x:v>
      </x:c>
      <x:c r="F104" s="18" t="str">
        <x:v>Supplemental flurbiprofen axetil requirement</x:v>
      </x:c>
      <x:c r="G104" s="18" t="str">
        <x:v>Within 48 h</x:v>
      </x:c>
      <x:c r="H104" s="18" t="str">
        <x:v>Published percentage</x:v>
      </x:c>
      <x:c r="I104" s="18" t="n">
        <x:v>95</x:v>
      </x:c>
      <x:c r="J104" s="18" t="n">
        <x:v>95</x:v>
      </x:c>
      <x:c r="K104" s="18" t="n">
        <x:v>89</x:v>
      </x:c>
      <x:c r="L104" s="18" t="n">
        <x:v>90</x:v>
      </x:c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 t="str">
        <x:v>7.9% intervention vs 23.3% SSS</x:v>
      </x:c>
      <x:c r="Z104" s="18" t="str">
        <x:v>0.020 overall; TST vs SSS significant</x:v>
      </x:c>
      <x:c r="AA104" s="18" t="str">
        <x:v>Yes</x:v>
      </x:c>
      <x:c r="AB104" s="18" t="str">
        <x:v>No</x:v>
      </x:c>
      <x:c r="AC104" s="18"/>
      <x:c r="AD104" s="18"/>
      <x:c r="AE104" s="18" t="str">
        <x:v>No</x:v>
      </x:c>
      <x:c r="AF104" s="18" t="str">
        <x:v>No</x:v>
      </x:c>
      <x:c r="AG104" s="18" t="str">
        <x:v>Eligible for 48-h non-opioid rescue-analgesia analysis; not an opioid outcome</x:v>
      </x:c>
      <x:c r="AH104" s="18" t="str">
        <x:v>Yes</x:v>
      </x:c>
      <x:c r="AI104" s="18" t="str">
        <x:v>Do not convert printed percentages to exact event counts without confirmation</x:v>
      </x:c>
      <x:c r="AJ104" s="18" t="str">
        <x:v>Table 2 / supplemental analgesic requirement</x:v>
      </x:c>
      <x:c r="AK104" s="18" t="str">
        <x:v>https://drive.google.com/file/d/1lELlw0IpkhqoB8OuintAI22fxKfNEcEd/view?usp=drivesdk</x:v>
      </x:c>
      <x:c r="AL104" s="18" t="str">
        <x:v>SOURCE-VERIFIED / PERCENTAGES ONLY</x:v>
      </x:c>
      <x:c r="AM104" s="18" t="str">
        <x:v>Rescue analgesia</x:v>
      </x:c>
      <x:c r="AN104" s="18" t="str">
        <x:v>48 h</x:v>
      </x:c>
      <x:c r="AO104" s="18" t="str">
        <x:v>CONDITIONAL</x:v>
      </x:c>
      <x:c r="AP104" s="18" t="str">
        <x:v>Source-grounded but carries a QC qualification.</x:v>
      </x:c>
      <x:c r="AQ104" s="18" t="str">
        <x:v>No</x:v>
      </x:c>
      <x:c r="AR104" s="18" t="str"/>
      <x:c r="AS104" s="18" t="str">
        <x:v>None</x:v>
      </x:c>
      <x:c r="AT104" s="18" t="str">
        <x:v>Activity-evoked VAS</x:v>
      </x:c>
      <x:c r="AU104" s="18" t="str">
        <x:v>24 h</x:v>
      </x:c>
      <x:c r="AV104" s="18" t="str">
        <x:v>Some concerns</x:v>
      </x:c>
      <x:c r="AW104" s="18" t="str">
        <x:v>Yes — selected RoB is for a different result/timepoint</x:v>
      </x:c>
      <x:c r="AX104" s="18" t="str">
        <x:v>Sun 2017</x:v>
      </x:c>
      <x:c r="AY104" s="18" t="str">
        <x:v>TEAS timing-arm contrast</x:v>
      </x:c>
      <x:c r="AZ104" s="18" t="str">
        <x:v>Four-arm timing trial with shared sham; do not count timing arms as independent studies.</x:v>
      </x:c>
    </x:row>
    <x:row r="105">
      <x:c r="A105" s="18" t="str">
        <x:v>Sun 2017</x:v>
      </x:c>
      <x:c r="B105" s="18" t="str">
        <x:v>SUN17_INTRAOP_MORPH_EQUIV</x:v>
      </x:c>
      <x:c r="C105" s="18" t="str">
        <x:v>Pre/intraoperative TEAS timing arms</x:v>
      </x:c>
      <x:c r="D105" s="18" t="str">
        <x:v>All-period sham TEAS</x:v>
      </x:c>
      <x:c r="E105" s="18" t="str">
        <x:v>Intraoperative opioid</x:v>
      </x:c>
      <x:c r="F105" s="18" t="str">
        <x:v>Author-defined intraoperative morphine-equivalent exposure</x:v>
      </x:c>
      <x:c r="G105" s="18" t="str">
        <x:v>Intraoperative</x:v>
      </x:c>
      <x:c r="H105" s="18" t="str">
        <x:v>Study-defined converted metric</x:v>
      </x:c>
      <x:c r="I105" s="18" t="n">
        <x:v>95</x:v>
      </x:c>
      <x:c r="J105" s="18" t="n">
        <x:v>95</x:v>
      </x:c>
      <x:c r="K105" s="18" t="n">
        <x:v>91</x:v>
      </x:c>
      <x:c r="L105" s="18" t="n">
        <x:v>90</x:v>
      </x:c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 t="str">
        <x:v>mg/kg morphine-equivalent</x:v>
      </x:c>
      <x:c r="Z105" s="18" t="str">
        <x:v>0.303</x:v>
      </x:c>
      <x:c r="AA105" s="18" t="str">
        <x:v>Yes</x:v>
      </x:c>
      <x:c r="AB105" s="18" t="str">
        <x:v>Yes</x:v>
      </x:c>
      <x:c r="AC105" s="18"/>
      <x:c r="AD105" s="18"/>
      <x:c r="AE105" s="18" t="str">
        <x:v>No</x:v>
      </x:c>
      <x:c r="AF105" s="18" t="str">
        <x:v>No</x:v>
      </x:c>
      <x:c r="AG105" s="18" t="str">
        <x:v>Not directly harmonized to review MME until conversion method is adjudicated</x:v>
      </x:c>
      <x:c r="AH105" s="18" t="str">
        <x:v>Yes</x:v>
      </x:c>
      <x:c r="AI105" s="18" t="str">
        <x:v>Values ~1.5-1.6 mg/kg across all four groups; study-specific conversion of sufentanil/remifentanil</x:v>
      </x:c>
      <x:c r="AJ105" s="18" t="str">
        <x:v>Table 2 / intraoperative anesthetic consumption</x:v>
      </x:c>
      <x:c r="AK105" s="18" t="str">
        <x:v>https://drive.google.com/file/d/1lELlw0IpkhqoB8OuintAI22fxKfNEcEd/view?usp=drivesdk</x:v>
      </x:c>
      <x:c r="AL105" s="18" t="str">
        <x:v>SOURCE-VERIFIED / STUDY-DEFINED CONVERSION</x:v>
      </x:c>
      <x:c r="AM105" s="18" t="str">
        <x:v>Intraoperative opioid</x:v>
      </x:c>
      <x:c r="AN105" s="18" t="str">
        <x:v>Intraoperative</x:v>
      </x:c>
      <x:c r="AO105" s="18" t="str">
        <x:v>INCLUDE — INTRAOPERATIVE</x:v>
      </x:c>
      <x:c r="AP105" s="18" t="str">
        <x:v>Valid intraoperative opioid endpoint; must remain separate from postoperative opioid consumption.</x:v>
      </x:c>
      <x:c r="AQ105" s="18" t="str">
        <x:v>No</x:v>
      </x:c>
      <x:c r="AR105" s="18" t="str"/>
      <x:c r="AS105" s="18" t="str">
        <x:v>None</x:v>
      </x:c>
      <x:c r="AT105" s="18" t="str">
        <x:v>Activity-evoked VAS</x:v>
      </x:c>
      <x:c r="AU105" s="18" t="str">
        <x:v>24 h</x:v>
      </x:c>
      <x:c r="AV105" s="18" t="str">
        <x:v>Some concerns</x:v>
      </x:c>
      <x:c r="AW105" s="18" t="str">
        <x:v>Yes — selected RoB is for a different result/timepoint</x:v>
      </x:c>
      <x:c r="AX105" s="18" t="str">
        <x:v>Sun 2017</x:v>
      </x:c>
      <x:c r="AY105" s="18" t="str">
        <x:v>TEAS timing-arm contrast</x:v>
      </x:c>
      <x:c r="AZ105" s="18" t="str">
        <x:v>Four-arm timing trial with shared sham; do not count timing arms as independent studies.</x:v>
      </x:c>
    </x:row>
    <x:row r="106">
      <x:c r="A106" s="18" t="str">
        <x:v>Sun 2017</x:v>
      </x:c>
      <x:c r="B106" s="18" t="str">
        <x:v>SUN17_POSTOP_OPIOID24</x:v>
      </x:c>
      <x:c r="C106" s="18" t="str">
        <x:v>True TEAS timing arms</x:v>
      </x:c>
      <x:c r="D106" s="18" t="str">
        <x:v>All-period sham TEAS</x:v>
      </x:c>
      <x:c r="E106" s="18" t="str">
        <x:v>Opioid consumption</x:v>
      </x:c>
      <x:c r="F106" s="18" t="str">
        <x:v>Postoperative opioid consumption</x:v>
      </x:c>
      <x:c r="G106" s="18" t="str">
        <x:v>0-24 h</x:v>
      </x:c>
      <x:c r="H106" s="18" t="str">
        <x:v>Not applicable / not reported</x:v>
      </x:c>
      <x:c r="I106" s="18" t="n">
        <x:v>95</x:v>
      </x:c>
      <x:c r="J106" s="18" t="n">
        <x:v>95</x:v>
      </x:c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 t="str">
        <x:v>mg/µg</x:v>
      </x:c>
      <x:c r="Z106" s="18"/>
      <x:c r="AA106" s="18" t="str">
        <x:v>No</x:v>
      </x:c>
      <x:c r="AB106" s="18" t="str">
        <x:v>No</x:v>
      </x:c>
      <x:c r="AC106" s="18"/>
      <x:c r="AD106" s="18"/>
      <x:c r="AE106" s="18" t="str">
        <x:v>No</x:v>
      </x:c>
      <x:c r="AF106" s="18" t="str">
        <x:v>No</x:v>
      </x:c>
      <x:c r="AG106" s="18" t="str">
        <x:v>Not eligible for postoperative opioid meta-analysis</x:v>
      </x:c>
      <x:c r="AH106" s="18" t="str">
        <x:v>Yes</x:v>
      </x:c>
      <x:c r="AI106" s="18" t="str">
        <x:v>Postoperative rescue analgesia was flurbiprofen axetil (NSAID), not an opioid</x:v>
      </x:c>
      <x:c r="AJ106" s="18" t="str">
        <x:v>Postoperative analgesia protocol</x:v>
      </x:c>
      <x:c r="AK106" s="18" t="str">
        <x:v>https://drive.google.com/file/d/1lELlw0IpkhqoB8OuintAI22fxKfNEcEd/view?usp=drivesdk</x:v>
      </x:c>
      <x:c r="AL106" s="18" t="str">
        <x:v>NO POSTOPERATIVE OPIOID OUTCOME</x:v>
      </x:c>
      <x:c r="AM106" s="18" t="str">
        <x:v>Postoperative opioid consumption</x:v>
      </x:c>
      <x:c r="AN106" s="18" t="str">
        <x:v>Exact/explicit 24 h</x:v>
      </x:c>
      <x:c r="AO106" s="18" t="str">
        <x:v>EXCLUDE — NOT PRIMARY 24H OPIOID</x:v>
      </x:c>
      <x:c r="AP106" s="18" t="str">
        <x:v>Not a strict 0-24-h postoperative opioid-consumption endpoint.</x:v>
      </x:c>
      <x:c r="AQ106" s="18" t="str">
        <x:v>No</x:v>
      </x:c>
      <x:c r="AR106" s="18" t="str"/>
      <x:c r="AS106" s="18" t="str">
        <x:v>None</x:v>
      </x:c>
      <x:c r="AT106" s="18" t="str">
        <x:v>Activity-evoked VAS</x:v>
      </x:c>
      <x:c r="AU106" s="18" t="str">
        <x:v>24 h</x:v>
      </x:c>
      <x:c r="AV106" s="18" t="str">
        <x:v>Some concerns</x:v>
      </x:c>
      <x:c r="AW106" s="18" t="str">
        <x:v>Yes — selected RoB is for a different result/timepoint</x:v>
      </x:c>
      <x:c r="AX106" s="18" t="str">
        <x:v>Sun 2017</x:v>
      </x:c>
      <x:c r="AY106" s="18" t="str">
        <x:v>TEAS timing-arm contrast</x:v>
      </x:c>
      <x:c r="AZ106" s="18" t="str">
        <x:v>Four-arm timing trial with shared sham; do not count timing arms as independent studies.</x:v>
      </x:c>
    </x:row>
    <x:row r="107">
      <x:c r="A107" s="18" t="str">
        <x:v>Sim 2002</x:v>
      </x:c>
      <x:c r="B107" s="18" t="str">
        <x:v>SIM02_PREOP_vs_PLACEBO_MORPH24</x:v>
      </x:c>
      <x:c r="C107" s="18" t="str">
        <x:v>Preoperative EA</x:v>
      </x:c>
      <x:c r="D107" s="18" t="str">
        <x:v>Placebo EA</x:v>
      </x:c>
      <x:c r="E107" s="18" t="str">
        <x:v>Opioid consumption</x:v>
      </x:c>
      <x:c r="F107" s="18" t="str">
        <x:v>Cumulative postoperative IV PCA morphine</x:v>
      </x:c>
      <x:c r="G107" s="18" t="str">
        <x:v>0-24 h</x:v>
      </x:c>
      <x:c r="H107" s="18" t="str">
        <x:v>Mean/SD</x:v>
      </x:c>
      <x:c r="I107" s="18" t="n">
        <x:v>30</x:v>
      </x:c>
      <x:c r="J107" s="18" t="n">
        <x:v>30</x:v>
      </x:c>
      <x:c r="K107" s="18" t="n">
        <x:v>30</x:v>
      </x:c>
      <x:c r="L107" s="18" t="n">
        <x:v>30</x:v>
      </x:c>
      <x:c r="M107" s="18" t="n">
        <x:v>0.52</x:v>
      </x:c>
      <x:c r="N107" s="18" t="n">
        <x:v>0.19</x:v>
      </x:c>
      <x:c r="O107" s="18"/>
      <x:c r="P107" s="18"/>
      <x:c r="Q107" s="18"/>
      <x:c r="R107" s="18"/>
      <x:c r="S107" s="18" t="n">
        <x:v>0.68</x:v>
      </x:c>
      <x:c r="T107" s="18" t="n">
        <x:v>0.38</x:v>
      </x:c>
      <x:c r="U107" s="18"/>
      <x:c r="V107" s="18"/>
      <x:c r="W107" s="18"/>
      <x:c r="X107" s="18"/>
      <x:c r="Y107" s="18" t="str">
        <x:v>mg/kg morphine</x:v>
      </x:c>
      <x:c r="Z107" s="18" t="str">
        <x:v>NS overall 24-h cumulative comparison</x:v>
      </x:c>
      <x:c r="AA107" s="18" t="str">
        <x:v>Yes</x:v>
      </x:c>
      <x:c r="AB107" s="18" t="str">
        <x:v>No</x:v>
      </x:c>
      <x:c r="AC107" s="18" t="str">
        <x:v>MD</x:v>
      </x:c>
      <x:c r="AD107" s="18" t="n">
        <x:v>-0.16000000000000003</x:v>
      </x:c>
      <x:c r="AE107" s="18" t="str">
        <x:v>Yes</x:v>
      </x:c>
      <x:c r="AF107" s="18" t="str">
        <x:v>Conditional</x:v>
      </x:c>
      <x:c r="AG107" s="18" t="str">
        <x:v>Direct weight-normalized 24-h morphine endpoint; pool only if protocol permits mg/kg or a prespecified standardization method</x:v>
      </x:c>
      <x:c r="AH107" s="18" t="str">
        <x:v>Yes</x:v>
      </x:c>
      <x:c r="AI107" s="18" t="str">
        <x:v>Do not convert mg/kg to absolute mg using group mean body weight; aggregate means cannot reconstruct individual absolute dose</x:v>
      </x:c>
      <x:c r="AJ107" s="18" t="str">
        <x:v>Figure 4 / cumulative 24-h morphine</x:v>
      </x:c>
      <x:c r="AK107" s="18" t="str">
        <x:v>https://drive.google.com/file/d/1YsNHL-J3Kgfu8mCanRrNu_bHk_roj0w6/view?usp=drivesdk</x:v>
      </x:c>
      <x:c r="AL107" s="18" t="str">
        <x:v>SOURCE-VERIFIED</x:v>
      </x:c>
      <x:c r="AM107" s="18" t="str">
        <x:v>Postoperative opioid consumption</x:v>
      </x:c>
      <x:c r="AN107" s="18" t="str">
        <x:v>Exact/explicit 24 h</x:v>
      </x:c>
      <x:c r="AO107" s="18" t="str">
        <x:v>CONDITIONAL</x:v>
      </x:c>
      <x:c r="AP107" s="18" t="str">
        <x:v>24-h opioid endpoint exists but requires a prespecified route/unit/time-window or derived-value rule.</x:v>
      </x:c>
      <x:c r="AQ107" s="18" t="str">
        <x:v>No</x:v>
      </x:c>
      <x:c r="AR107" s="18" t="str"/>
      <x:c r="AS107" s="18" t="str">
        <x:v>Weight-normalized endpoint; do not reconstruct absolute dose from group mean weight</x:v>
      </x:c>
      <x:c r="AT107" s="18" t="str">
        <x:v>Cumulative postoperative IV PCA morphine</x:v>
      </x:c>
      <x:c r="AU107" s="18" t="str">
        <x:v>0-24 h</x:v>
      </x:c>
      <x:c r="AV107" s="18" t="str">
        <x:v>Some concerns</x:v>
      </x:c>
      <x:c r="AW107" s="18" t="str">
        <x:v>No — selected RoB matches this result</x:v>
      </x:c>
      <x:c r="AX107" s="18" t="str">
        <x:v>Sim 2002</x:v>
      </x:c>
      <x:c r="AY107" s="18" t="str">
        <x:v>Timing-arm contrast</x:v>
      </x:c>
      <x:c r="AZ107" s="18" t="str">
        <x:v>Three-arm trial with shared placebo; preop and postop EA are not independent studies.</x:v>
      </x:c>
    </x:row>
    <x:row r="108">
      <x:c r="A108" s="18" t="str">
        <x:v>Sim 2002</x:v>
      </x:c>
      <x:c r="B108" s="18" t="str">
        <x:v>SIM02_POSTOP_vs_PLACEBO_MORPH24</x:v>
      </x:c>
      <x:c r="C108" s="18" t="str">
        <x:v>Postoperative EA</x:v>
      </x:c>
      <x:c r="D108" s="18" t="str">
        <x:v>Placebo EA</x:v>
      </x:c>
      <x:c r="E108" s="18" t="str">
        <x:v>Opioid consumption</x:v>
      </x:c>
      <x:c r="F108" s="18" t="str">
        <x:v>Cumulative postoperative IV PCA morphine</x:v>
      </x:c>
      <x:c r="G108" s="18" t="str">
        <x:v>0-24 h</x:v>
      </x:c>
      <x:c r="H108" s="18" t="str">
        <x:v>Mean/SD</x:v>
      </x:c>
      <x:c r="I108" s="18" t="n">
        <x:v>30</x:v>
      </x:c>
      <x:c r="J108" s="18" t="n">
        <x:v>30</x:v>
      </x:c>
      <x:c r="K108" s="18" t="n">
        <x:v>30</x:v>
      </x:c>
      <x:c r="L108" s="18" t="n">
        <x:v>30</x:v>
      </x:c>
      <x:c r="M108" s="18" t="n">
        <x:v>0.58</x:v>
      </x:c>
      <x:c r="N108" s="18" t="n">
        <x:v>0.27</x:v>
      </x:c>
      <x:c r="O108" s="18"/>
      <x:c r="P108" s="18"/>
      <x:c r="Q108" s="18"/>
      <x:c r="R108" s="18"/>
      <x:c r="S108" s="18" t="n">
        <x:v>0.68</x:v>
      </x:c>
      <x:c r="T108" s="18" t="n">
        <x:v>0.38</x:v>
      </x:c>
      <x:c r="U108" s="18"/>
      <x:c r="V108" s="18"/>
      <x:c r="W108" s="18"/>
      <x:c r="X108" s="18"/>
      <x:c r="Y108" s="18" t="str">
        <x:v>mg/kg morphine</x:v>
      </x:c>
      <x:c r="Z108" s="18" t="str">
        <x:v>NS overall 24-h cumulative comparison</x:v>
      </x:c>
      <x:c r="AA108" s="18" t="str">
        <x:v>Yes</x:v>
      </x:c>
      <x:c r="AB108" s="18" t="str">
        <x:v>No</x:v>
      </x:c>
      <x:c r="AC108" s="18" t="str">
        <x:v>MD</x:v>
      </x:c>
      <x:c r="AD108" s="18" t="n">
        <x:v>-0.10000000000000009</x:v>
      </x:c>
      <x:c r="AE108" s="18" t="str">
        <x:v>Yes</x:v>
      </x:c>
      <x:c r="AF108" s="18" t="str">
        <x:v>Conditional</x:v>
      </x:c>
      <x:c r="AG108" s="18" t="str">
        <x:v>Timing-comparator 24-h morphine endpoint</x:v>
      </x:c>
      <x:c r="AH108" s="18" t="str">
        <x:v>Yes</x:v>
      </x:c>
      <x:c r="AI108" s="18" t="str">
        <x:v>Postoperative EA is a distinct randomized timing arm and must not be merged with preoperative EA</x:v>
      </x:c>
      <x:c r="AJ108" s="18" t="str">
        <x:v>Figure 4 / cumulative 24-h morphine</x:v>
      </x:c>
      <x:c r="AK108" s="18" t="str">
        <x:v>https://drive.google.com/file/d/1YsNHL-J3Kgfu8mCanRrNu_bHk_roj0w6/view?usp=drivesdk</x:v>
      </x:c>
      <x:c r="AL108" s="18" t="str">
        <x:v>SOURCE-VERIFIED</x:v>
      </x:c>
      <x:c r="AM108" s="18" t="str">
        <x:v>Postoperative opioid consumption</x:v>
      </x:c>
      <x:c r="AN108" s="18" t="str">
        <x:v>Exact/explicit 24 h</x:v>
      </x:c>
      <x:c r="AO108" s="18" t="str">
        <x:v>CONDITIONAL</x:v>
      </x:c>
      <x:c r="AP108" s="18" t="str">
        <x:v>24-h opioid endpoint exists but requires a prespecified route/unit/time-window or derived-value rule.</x:v>
      </x:c>
      <x:c r="AQ108" s="18" t="str">
        <x:v>No</x:v>
      </x:c>
      <x:c r="AR108" s="18" t="str"/>
      <x:c r="AS108" s="18" t="str">
        <x:v>Weight-normalized endpoint; do not reconstruct absolute dose from group mean weight</x:v>
      </x:c>
      <x:c r="AT108" s="18" t="str">
        <x:v>Cumulative postoperative IV PCA morphine</x:v>
      </x:c>
      <x:c r="AU108" s="18" t="str">
        <x:v>0-24 h</x:v>
      </x:c>
      <x:c r="AV108" s="18" t="str">
        <x:v>Some concerns</x:v>
      </x:c>
      <x:c r="AW108" s="18" t="str">
        <x:v>No — selected RoB matches this result</x:v>
      </x:c>
      <x:c r="AX108" s="18" t="str">
        <x:v>Sim 2002</x:v>
      </x:c>
      <x:c r="AY108" s="18" t="str">
        <x:v>Timing-arm contrast</x:v>
      </x:c>
      <x:c r="AZ108" s="18" t="str">
        <x:v>Three-arm trial with shared placebo; preop and postop EA are not independent studies.</x:v>
      </x:c>
    </x:row>
    <x:row r="109">
      <x:c r="A109" s="18" t="str">
        <x:v>Sim 2002</x:v>
      </x:c>
      <x:c r="B109" s="18" t="str">
        <x:v>SIM02_PREOP_vs_PLACEBO_MORPH6_12</x:v>
      </x:c>
      <x:c r="C109" s="18" t="str">
        <x:v>Preoperative EA</x:v>
      </x:c>
      <x:c r="D109" s="18" t="str">
        <x:v>Placebo EA</x:v>
      </x:c>
      <x:c r="E109" s="18" t="str">
        <x:v>Opioid consumption</x:v>
      </x:c>
      <x:c r="F109" s="18" t="str">
        <x:v>Postoperative IV PCA morphine</x:v>
      </x:c>
      <x:c r="G109" s="18" t="str">
        <x:v>6-12 h</x:v>
      </x:c>
      <x:c r="H109" s="18" t="str">
        <x:v>Median/IQR</x:v>
      </x:c>
      <x:c r="I109" s="18" t="n">
        <x:v>30</x:v>
      </x:c>
      <x:c r="J109" s="18" t="n">
        <x:v>30</x:v>
      </x:c>
      <x:c r="K109" s="18" t="n">
        <x:v>30</x:v>
      </x:c>
      <x:c r="L109" s="18" t="n">
        <x:v>30</x:v>
      </x:c>
      <x:c r="M109" s="18"/>
      <x:c r="N109" s="18"/>
      <x:c r="O109" s="18" t="n">
        <x:v>0.03</x:v>
      </x:c>
      <x:c r="P109" s="18"/>
      <x:c r="Q109" s="18"/>
      <x:c r="R109" s="18"/>
      <x:c r="S109" s="18"/>
      <x:c r="T109" s="18"/>
      <x:c r="U109" s="18" t="n">
        <x:v>0.1</x:v>
      </x:c>
      <x:c r="V109" s="18"/>
      <x:c r="W109" s="18"/>
      <x:c r="X109" s="18"/>
      <x:c r="Y109" s="18" t="str">
        <x:v>mg/kg morphine</x:v>
      </x:c>
      <x:c r="Z109" s="18" t="str">
        <x:v>0.015</x:v>
      </x:c>
      <x:c r="AA109" s="18" t="str">
        <x:v>Yes</x:v>
      </x:c>
      <x:c r="AB109" s="18" t="str">
        <x:v>No</x:v>
      </x:c>
      <x:c r="AC109" s="18"/>
      <x:c r="AD109" s="18"/>
      <x:c r="AE109" s="18" t="str">
        <x:v>No</x:v>
      </x:c>
      <x:c r="AF109" s="18" t="str">
        <x:v>No</x:v>
      </x:c>
      <x:c r="AG109" s="18" t="str">
        <x:v>Eligible for interval-specific opioid analysis only</x:v>
      </x:c>
      <x:c r="AH109" s="18" t="str">
        <x:v>Yes</x:v>
      </x:c>
      <x:c r="AI109" s="18" t="str">
        <x:v>Source reports median (IQR) as 0.03 (0.05) vs 0.10 (0.11); IQR is reported as a single width rather than Q1/Q3</x:v>
      </x:c>
      <x:c r="AJ109" s="18" t="str">
        <x:v>6-12-h morphine interval</x:v>
      </x:c>
      <x:c r="AK109" s="18" t="str">
        <x:v>https://drive.google.com/file/d/1YsNHL-J3Kgfu8mCanRrNu_bHk_roj0w6/view?usp=drivesdk</x:v>
      </x:c>
      <x:c r="AL109" s="18" t="str">
        <x:v>SOURCE-VERIFIED / IQR FORMAT QC</x:v>
      </x:c>
      <x:c r="AM109" s="18" t="str">
        <x:v>Postoperative opioid consumption</x:v>
      </x:c>
      <x:c r="AN109" s="18" t="str">
        <x:v>6-12 h</x:v>
      </x:c>
      <x:c r="AO109" s="18" t="str">
        <x:v>EXCLUDE — NOT PRIMARY 24H OPIOID</x:v>
      </x:c>
      <x:c r="AP109" s="18" t="str">
        <x:v>Not a strict 0-24-h postoperative opioid-consumption endpoint.</x:v>
      </x:c>
      <x:c r="AQ109" s="18" t="str">
        <x:v>No</x:v>
      </x:c>
      <x:c r="AR109" s="18" t="str"/>
      <x:c r="AS109" s="18" t="str">
        <x:v>Weight-normalized endpoint; do not reconstruct absolute dose from group mean weight</x:v>
      </x:c>
      <x:c r="AT109" s="18" t="str">
        <x:v>Cumulative postoperative IV PCA morphine</x:v>
      </x:c>
      <x:c r="AU109" s="18" t="str">
        <x:v>0-24 h</x:v>
      </x:c>
      <x:c r="AV109" s="18" t="str">
        <x:v>Some concerns</x:v>
      </x:c>
      <x:c r="AW109" s="18" t="str">
        <x:v>Yes — selected RoB is for a different result/timepoint</x:v>
      </x:c>
      <x:c r="AX109" s="18" t="str">
        <x:v>Sim 2002</x:v>
      </x:c>
      <x:c r="AY109" s="18" t="str">
        <x:v>Timing-arm contrast</x:v>
      </x:c>
      <x:c r="AZ109" s="18" t="str">
        <x:v>Three-arm trial with shared placebo; preop and postop EA are not independent studies.</x:v>
      </x:c>
    </x:row>
    <x:row r="110">
      <x:c r="A110" s="18" t="str">
        <x:v>Sim 2002</x:v>
      </x:c>
      <x:c r="B110" s="18" t="str">
        <x:v>SIM02_PREOP_vs_PLACEBO_ALFENT</x:v>
      </x:c>
      <x:c r="C110" s="18" t="str">
        <x:v>Preoperative EA</x:v>
      </x:c>
      <x:c r="D110" s="18" t="str">
        <x:v>Placebo EA</x:v>
      </x:c>
      <x:c r="E110" s="18" t="str">
        <x:v>Intraoperative opioid</x:v>
      </x:c>
      <x:c r="F110" s="18" t="str">
        <x:v>Alfentanil requirement rate</x:v>
      </x:c>
      <x:c r="G110" s="18" t="str">
        <x:v>Intraoperative</x:v>
      </x:c>
      <x:c r="H110" s="18" t="str">
        <x:v>Mean/SD</x:v>
      </x:c>
      <x:c r="I110" s="18" t="n">
        <x:v>30</x:v>
      </x:c>
      <x:c r="J110" s="18" t="n">
        <x:v>30</x:v>
      </x:c>
      <x:c r="K110" s="18" t="n">
        <x:v>30</x:v>
      </x:c>
      <x:c r="L110" s="18" t="n">
        <x:v>30</x:v>
      </x:c>
      <x:c r="M110" s="18" t="n">
        <x:v>0.44</x:v>
      </x:c>
      <x:c r="N110" s="18" t="n">
        <x:v>0.15</x:v>
      </x:c>
      <x:c r="O110" s="18"/>
      <x:c r="P110" s="18"/>
      <x:c r="Q110" s="18"/>
      <x:c r="R110" s="18"/>
      <x:c r="S110" s="18" t="n">
        <x:v>0.51</x:v>
      </x:c>
      <x:c r="T110" s="18" t="n">
        <x:v>0.21</x:v>
      </x:c>
      <x:c r="U110" s="18"/>
      <x:c r="V110" s="18"/>
      <x:c r="W110" s="18"/>
      <x:c r="X110" s="18"/>
      <x:c r="Y110" s="18" t="str">
        <x:v>µg/kg/min</x:v>
      </x:c>
      <x:c r="Z110" s="18" t="str">
        <x:v>0.472</x:v>
      </x:c>
      <x:c r="AA110" s="18" t="str">
        <x:v>Yes</x:v>
      </x:c>
      <x:c r="AB110" s="18" t="str">
        <x:v>No</x:v>
      </x:c>
      <x:c r="AC110" s="18" t="str">
        <x:v>MD</x:v>
      </x:c>
      <x:c r="AD110" s="18" t="n">
        <x:v>-0.07</x:v>
      </x:c>
      <x:c r="AE110" s="18" t="str">
        <x:v>No</x:v>
      </x:c>
      <x:c r="AF110" s="18" t="str">
        <x:v>No</x:v>
      </x:c>
      <x:c r="AG110" s="18" t="str">
        <x:v>Eligible for intraoperative opioid analysis</x:v>
      </x:c>
      <x:c r="AH110" s="18" t="str">
        <x:v>Yes</x:v>
      </x:c>
      <x:c r="AI110" s="18" t="str">
        <x:v>No significant placebo-controlled intraoperative opioid-sparing effect</x:v>
      </x:c>
      <x:c r="AJ110" s="18" t="str">
        <x:v>Figure 2 / alfentanil requirement</x:v>
      </x:c>
      <x:c r="AK110" s="18" t="str">
        <x:v>https://drive.google.com/file/d/1YsNHL-J3Kgfu8mCanRrNu_bHk_roj0w6/view?usp=drivesdk</x:v>
      </x:c>
      <x:c r="AL110" s="18" t="str">
        <x:v>SOURCE-VERIFIED</x:v>
      </x:c>
      <x:c r="AM110" s="18" t="str">
        <x:v>Intraoperative opioid</x:v>
      </x:c>
      <x:c r="AN110" s="18" t="str">
        <x:v>Intraoperative</x:v>
      </x:c>
      <x:c r="AO110" s="18" t="str">
        <x:v>INCLUDE — INTRAOPERATIVE</x:v>
      </x:c>
      <x:c r="AP110" s="18" t="str">
        <x:v>Valid intraoperative opioid endpoint; must remain separate from postoperative opioid consumption.</x:v>
      </x:c>
      <x:c r="AQ110" s="18" t="str">
        <x:v>No</x:v>
      </x:c>
      <x:c r="AR110" s="18" t="str"/>
      <x:c r="AS110" s="18" t="str">
        <x:v>None</x:v>
      </x:c>
      <x:c r="AT110" s="18" t="str">
        <x:v>Cumulative postoperative IV PCA morphine</x:v>
      </x:c>
      <x:c r="AU110" s="18" t="str">
        <x:v>0-24 h</x:v>
      </x:c>
      <x:c r="AV110" s="18" t="str">
        <x:v>Some concerns</x:v>
      </x:c>
      <x:c r="AW110" s="18" t="str">
        <x:v>Yes — selected RoB is for a different result/timepoint</x:v>
      </x:c>
      <x:c r="AX110" s="18" t="str">
        <x:v>Sim 2002</x:v>
      </x:c>
      <x:c r="AY110" s="18" t="str">
        <x:v>Timing-arm contrast</x:v>
      </x:c>
      <x:c r="AZ110" s="18" t="str">
        <x:v>Three-arm trial with shared placebo; preop and postop EA are not independent studies.</x:v>
      </x:c>
    </x:row>
    <x:row r="111">
      <x:c r="A111" s="18" t="str">
        <x:v>Ntritsou 2014</x:v>
      </x:c>
      <x:c r="B111" s="18" t="str">
        <x:v>NTRI14_EA_vs_SHAM_TRAMSUM</x:v>
      </x:c>
      <x:c r="C111" s="18" t="str">
        <x:v>Perioperative EA + tramadol/ketamine</x:v>
      </x:c>
      <x:c r="D111" s="18" t="str">
        <x:v>Sham + tramadol/ketamine</x:v>
      </x:c>
      <x:c r="E111" s="18" t="str">
        <x:v>Opioid consumption</x:v>
      </x:c>
      <x:c r="F111" s="18" t="str">
        <x:v>Total tramadol exposure</x:v>
      </x:c>
      <x:c r="G111" s="18" t="str">
        <x:v>Perioperative / first 24 h most consistent with protocol; table does not restate window</x:v>
      </x:c>
      <x:c r="H111" s="18" t="str">
        <x:v>Mean/SD</x:v>
      </x:c>
      <x:c r="I111" s="18" t="n">
        <x:v>37</x:v>
      </x:c>
      <x:c r="J111" s="18" t="n">
        <x:v>38</x:v>
      </x:c>
      <x:c r="K111" s="18" t="n">
        <x:v>35</x:v>
      </x:c>
      <x:c r="L111" s="18" t="n">
        <x:v>35</x:v>
      </x:c>
      <x:c r="M111" s="18" t="n">
        <x:v>443.7</x:v>
      </x:c>
      <x:c r="N111" s="18" t="n">
        <x:v>67.4</x:v>
      </x:c>
      <x:c r="O111" s="18"/>
      <x:c r="P111" s="18"/>
      <x:c r="Q111" s="18"/>
      <x:c r="R111" s="18"/>
      <x:c r="S111" s="18" t="n">
        <x:v>461.5</x:v>
      </x:c>
      <x:c r="T111" s="18" t="n">
        <x:v>63.2</x:v>
      </x:c>
      <x:c r="U111" s="18"/>
      <x:c r="V111" s="18"/>
      <x:c r="W111" s="18"/>
      <x:c r="X111" s="18"/>
      <x:c r="Y111" s="18" t="str">
        <x:v>mg tramadol</x:v>
      </x:c>
      <x:c r="Z111" s="18" t="str">
        <x:v>0.257</x:v>
      </x:c>
      <x:c r="AA111" s="18" t="str">
        <x:v>Yes</x:v>
      </x:c>
      <x:c r="AB111" s="18" t="str">
        <x:v>No</x:v>
      </x:c>
      <x:c r="AC111" s="18" t="str">
        <x:v>MD</x:v>
      </x:c>
      <x:c r="AD111" s="18" t="n">
        <x:v>-17.80000000000001</x:v>
      </x:c>
      <x:c r="AE111" s="18" t="str">
        <x:v>Conditional</x:v>
      </x:c>
      <x:c r="AF111" s="18" t="str">
        <x:v>No</x:v>
      </x:c>
      <x:c r="AG111" s="18" t="str">
        <x:v>Continuous opioid-related quantity available, but not suitable as complete 24-h MME without confirming window and rescue morphine</x:v>
      </x:c>
      <x:c r="AH111" s="18" t="str">
        <x:v>No</x:v>
      </x:c>
      <x:c r="AI111" s="18" t="str">
        <x:v>Includes scheduled/background tramadol and likely rescue tramadol; rescue morphine quantity not reported</x:v>
      </x:c>
      <x:c r="AJ111" s="18" t="str">
        <x:v>Table 1 / tramadol sum</x:v>
      </x:c>
      <x:c r="AK111" s="18" t="str">
        <x:v>https://drive.google.com/file/d/1u_kNuuXF8upB3gJA2aDq8NldYDfhnWy3/view?usp=drivesdk</x:v>
      </x:c>
      <x:c r="AL111" s="18" t="str">
        <x:v>SOURCE-VERIFIED / WINDOW + CO-OPIOID QC</x:v>
      </x:c>
      <x:c r="AM111" s="18" t="str">
        <x:v>Postoperative opioid consumption</x:v>
      </x:c>
      <x:c r="AN111" s="18" t="str">
        <x:v>Exact/explicit 24 h</x:v>
      </x:c>
      <x:c r="AO111" s="18" t="str">
        <x:v>EXCLUDE — NOT PRIMARY 24H OPIOID</x:v>
      </x:c>
      <x:c r="AP111" s="18" t="str">
        <x:v>Not a strict 0-24-h postoperative opioid-consumption endpoint.</x:v>
      </x:c>
      <x:c r="AQ111" s="18" t="str">
        <x:v>No</x:v>
      </x:c>
      <x:c r="AR111" s="18" t="str"/>
      <x:c r="AS111" s="18" t="str">
        <x:v>Opioid/MME conversion required using prespecified review conversion</x:v>
      </x:c>
      <x:c r="AT111" s="18" t="str">
        <x:v>Total tramadol exposure</x:v>
      </x:c>
      <x:c r="AU111" s="18" t="str">
        <x:v>First 24 h most consistent with protocol</x:v>
      </x:c>
      <x:c r="AV111" s="18" t="str">
        <x:v>High</x:v>
      </x:c>
      <x:c r="AW111" s="18" t="str">
        <x:v>No — selected RoB matches this result</x:v>
      </x:c>
      <x:c r="AX111" s="18" t="str">
        <x:v>Ntritsou 2014</x:v>
      </x:c>
      <x:c r="AY111" s="18" t="str">
        <x:v>Primary eligible contrast</x:v>
      </x:c>
      <x:c r="AZ111" s="18" t="str">
        <x:v>Count this study once per synthesis unless a valid multi-arm method is used.</x:v>
      </x:c>
    </x:row>
    <x:row r="112">
      <x:c r="A112" s="18" t="str">
        <x:v>Ntritsou 2014</x:v>
      </x:c>
      <x:c r="B112" s="18" t="str">
        <x:v>NTRI14_EA_vs_SHAM_REMI</x:v>
      </x:c>
      <x:c r="C112" s="18" t="str">
        <x:v>Perioperative EA + tramadol/ketamine</x:v>
      </x:c>
      <x:c r="D112" s="18" t="str">
        <x:v>Sham + tramadol/ketamine</x:v>
      </x:c>
      <x:c r="E112" s="18" t="str">
        <x:v>Intraoperative opioid</x:v>
      </x:c>
      <x:c r="F112" s="18" t="str">
        <x:v>Remifentanil consumption</x:v>
      </x:c>
      <x:c r="G112" s="18" t="str">
        <x:v>Intraoperative</x:v>
      </x:c>
      <x:c r="H112" s="18" t="str">
        <x:v>Mean/SD</x:v>
      </x:c>
      <x:c r="I112" s="18" t="n">
        <x:v>37</x:v>
      </x:c>
      <x:c r="J112" s="18" t="n">
        <x:v>38</x:v>
      </x:c>
      <x:c r="K112" s="18" t="n">
        <x:v>35</x:v>
      </x:c>
      <x:c r="L112" s="18" t="n">
        <x:v>35</x:v>
      </x:c>
      <x:c r="M112" s="18" t="n">
        <x:v>1003.6</x:v>
      </x:c>
      <x:c r="N112" s="18" t="n">
        <x:v>522.7</x:v>
      </x:c>
      <x:c r="O112" s="18"/>
      <x:c r="P112" s="18"/>
      <x:c r="Q112" s="18"/>
      <x:c r="R112" s="18"/>
      <x:c r="S112" s="18" t="n">
        <x:v>1041.9</x:v>
      </x:c>
      <x:c r="T112" s="18" t="n">
        <x:v>631.9</x:v>
      </x:c>
      <x:c r="U112" s="18"/>
      <x:c r="V112" s="18"/>
      <x:c r="W112" s="18"/>
      <x:c r="X112" s="18"/>
      <x:c r="Y112" s="18" t="str">
        <x:v>µg remifentanil</x:v>
      </x:c>
      <x:c r="Z112" s="18" t="str">
        <x:v>0.783</x:v>
      </x:c>
      <x:c r="AA112" s="18" t="str">
        <x:v>Yes</x:v>
      </x:c>
      <x:c r="AB112" s="18" t="str">
        <x:v>No</x:v>
      </x:c>
      <x:c r="AC112" s="18" t="str">
        <x:v>MD</x:v>
      </x:c>
      <x:c r="AD112" s="18" t="n">
        <x:v>-38.30000000000007</x:v>
      </x:c>
      <x:c r="AE112" s="18" t="str">
        <x:v>No</x:v>
      </x:c>
      <x:c r="AF112" s="18" t="str">
        <x:v>No</x:v>
      </x:c>
      <x:c r="AG112" s="18" t="str">
        <x:v>Eligible for intraoperative opioid analysis</x:v>
      </x:c>
      <x:c r="AH112" s="18" t="str">
        <x:v>No</x:v>
      </x:c>
      <x:c r="AI112" s="18" t="str">
        <x:v>No significant intraoperative opioid-sparing effect</x:v>
      </x:c>
      <x:c r="AJ112" s="18" t="str">
        <x:v>Table 1 / remifentanil</x:v>
      </x:c>
      <x:c r="AK112" s="18" t="str">
        <x:v>https://drive.google.com/file/d/1u_kNuuXF8upB3gJA2aDq8NldYDfhnWy3/view?usp=drivesdk</x:v>
      </x:c>
      <x:c r="AL112" s="18" t="str">
        <x:v>SOURCE-VERIFIED</x:v>
      </x:c>
      <x:c r="AM112" s="18" t="str">
        <x:v>Intraoperative opioid</x:v>
      </x:c>
      <x:c r="AN112" s="18" t="str">
        <x:v>Intraoperative</x:v>
      </x:c>
      <x:c r="AO112" s="18" t="str">
        <x:v>INCLUDE — INTRAOPERATIVE</x:v>
      </x:c>
      <x:c r="AP112" s="18" t="str">
        <x:v>Valid intraoperative opioid endpoint; must remain separate from postoperative opioid consumption.</x:v>
      </x:c>
      <x:c r="AQ112" s="18" t="str">
        <x:v>No</x:v>
      </x:c>
      <x:c r="AR112" s="18" t="str"/>
      <x:c r="AS112" s="18" t="str">
        <x:v>None</x:v>
      </x:c>
      <x:c r="AT112" s="18" t="str">
        <x:v>Total tramadol exposure</x:v>
      </x:c>
      <x:c r="AU112" s="18" t="str">
        <x:v>First 24 h most consistent with protocol</x:v>
      </x:c>
      <x:c r="AV112" s="18" t="str">
        <x:v>High</x:v>
      </x:c>
      <x:c r="AW112" s="18" t="str">
        <x:v>Yes — selected RoB is for a different result/timepoint</x:v>
      </x:c>
      <x:c r="AX112" s="18" t="str">
        <x:v>Ntritsou 2014</x:v>
      </x:c>
      <x:c r="AY112" s="18" t="str">
        <x:v>Primary eligible contrast</x:v>
      </x:c>
      <x:c r="AZ112" s="18" t="str">
        <x:v>Count this study once per synthesis unless a valid multi-arm method is used.</x:v>
      </x:c>
    </x:row>
    <x:row r="113">
      <x:c r="A113" s="18" t="str">
        <x:v>Ntritsou 2014</x:v>
      </x:c>
      <x:c r="B113" s="18" t="str">
        <x:v>NTRI14_EA_vs_SHAM_RESCUE</x:v>
      </x:c>
      <x:c r="C113" s="18" t="str">
        <x:v>Perioperative EA + tramadol/ketamine</x:v>
      </x:c>
      <x:c r="D113" s="18" t="str">
        <x:v>Sham + tramadol/ketamine</x:v>
      </x:c>
      <x:c r="E113" s="18" t="str">
        <x:v>Rescue opioid use</x:v>
      </x:c>
      <x:c r="F113" s="18" t="str">
        <x:v>Total rescue analgesia</x:v>
      </x:c>
      <x:c r="G113" s="18" t="str">
        <x:v>First 24 h</x:v>
      </x:c>
      <x:c r="H113" s="18" t="str">
        <x:v>Qualitative / exact quantities unavailable</x:v>
      </x:c>
      <x:c r="I113" s="18" t="n">
        <x:v>37</x:v>
      </x:c>
      <x:c r="J113" s="18" t="n">
        <x:v>38</x:v>
      </x:c>
      <x:c r="K113" s="18" t="n">
        <x:v>35</x:v>
      </x:c>
      <x:c r="L113" s="18" t="n">
        <x:v>35</x:v>
      </x:c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 t="str">
        <x:v>tramadol 50 mg IV then morphine 2 mg IV as needed</x:v>
      </x:c>
      <x:c r="Z113" s="18" t="str">
        <x:v>P&lt;0.001 reported</x:v>
      </x:c>
      <x:c r="AA113" s="18" t="str">
        <x:v>No</x:v>
      </x:c>
      <x:c r="AB113" s="18" t="str">
        <x:v>No</x:v>
      </x:c>
      <x:c r="AC113" s="18"/>
      <x:c r="AD113" s="18"/>
      <x:c r="AE113" s="18" t="str">
        <x:v>No</x:v>
      </x:c>
      <x:c r="AF113" s="18" t="str">
        <x:v>No</x:v>
      </x:c>
      <x:c r="AG113" s="18" t="str">
        <x:v>Not quantitatively poolable from main article</x:v>
      </x:c>
      <x:c r="AH113" s="18" t="str">
        <x:v>No</x:v>
      </x:c>
      <x:c r="AI113" s="18" t="str">
        <x:v>Main article reports significantly less total rescue analgesia but does not tabulate exact rescue tramadol/morphine quantities</x:v>
      </x:c>
      <x:c r="AJ113" s="18" t="str">
        <x:v>Rescue analgesia results</x:v>
      </x:c>
      <x:c r="AK113" s="18" t="str">
        <x:v>https://drive.google.com/file/d/1u_kNuuXF8upB3gJA2aDq8NldYDfhnWy3/view?usp=drivesdk</x:v>
      </x:c>
      <x:c r="AL113" s="18" t="str">
        <x:v>MISSING / EXACT RESCUE DOSES NOT REPORTED</x:v>
      </x:c>
      <x:c r="AM113" s="18" t="str">
        <x:v>Rescue opioid use</x:v>
      </x:c>
      <x:c r="AN113" s="18" t="str">
        <x:v>Exact/explicit 24 h</x:v>
      </x:c>
      <x:c r="AO113" s="18" t="str">
        <x:v>EXCLUDE — DATA UNAVAILABLE</x:v>
      </x:c>
      <x:c r="AP113" s="18" t="str">
        <x:v>The source does not provide a defensible quantitative value for this analysis.</x:v>
      </x:c>
      <x:c r="AQ113" s="18" t="str">
        <x:v>No</x:v>
      </x:c>
      <x:c r="AR113" s="18" t="str"/>
      <x:c r="AS113" s="18" t="str">
        <x:v>None</x:v>
      </x:c>
      <x:c r="AT113" s="18" t="str">
        <x:v>Total tramadol exposure</x:v>
      </x:c>
      <x:c r="AU113" s="18" t="str">
        <x:v>First 24 h most consistent with protocol</x:v>
      </x:c>
      <x:c r="AV113" s="18" t="str">
        <x:v>High</x:v>
      </x:c>
      <x:c r="AW113" s="18" t="str">
        <x:v>Yes — selected RoB is for a different result/timepoint</x:v>
      </x:c>
      <x:c r="AX113" s="18" t="str">
        <x:v>Ntritsou 2014</x:v>
      </x:c>
      <x:c r="AY113" s="18" t="str">
        <x:v>Primary eligible contrast</x:v>
      </x:c>
      <x:c r="AZ113" s="18" t="str">
        <x:v>Count this study once per synthesis unless a valid multi-arm method is used.</x:v>
      </x:c>
    </x:row>
    <x:row r="114">
      <x:c r="A114" s="18" t="str">
        <x:v>Ntritsou 2014</x:v>
      </x:c>
      <x:c r="B114" s="18" t="str">
        <x:v>NTRI14_EA_vs_SHAM_MME24</x:v>
      </x:c>
      <x:c r="C114" s="18" t="str">
        <x:v>Perioperative EA + tramadol/ketamine</x:v>
      </x:c>
      <x:c r="D114" s="18" t="str">
        <x:v>Sham + tramadol/ketamine</x:v>
      </x:c>
      <x:c r="E114" s="18" t="str">
        <x:v>Opioid consumption</x:v>
      </x:c>
      <x:c r="F114" s="18" t="str">
        <x:v>Complete 24-h opioid/MME exposure</x:v>
      </x:c>
      <x:c r="G114" s="18" t="str">
        <x:v>0-24 h</x:v>
      </x:c>
      <x:c r="H114" s="18" t="str">
        <x:v>Not calculable</x:v>
      </x:c>
      <x:c r="I114" s="18" t="n">
        <x:v>37</x:v>
      </x:c>
      <x:c r="J114" s="18" t="n">
        <x:v>38</x:v>
      </x:c>
      <x:c r="K114" s="18" t="n">
        <x:v>35</x:v>
      </x:c>
      <x:c r="L114" s="18" t="n">
        <x:v>35</x:v>
      </x:c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 t="str">
        <x:v>MME</x:v>
      </x:c>
      <x:c r="Z114" s="18"/>
      <x:c r="AA114" s="18" t="str">
        <x:v>No</x:v>
      </x:c>
      <x:c r="AB114" s="18" t="str">
        <x:v>No</x:v>
      </x:c>
      <x:c r="AC114" s="18"/>
      <x:c r="AD114" s="18"/>
      <x:c r="AE114" s="18" t="str">
        <x:v>No</x:v>
      </x:c>
      <x:c r="AF114" s="18" t="str">
        <x:v>No</x:v>
      </x:c>
      <x:c r="AG114" s="18" t="str">
        <x:v>Not eligible for final 24-h MME until rescue morphine and tramadol-sum window are confirmed</x:v>
      </x:c>
      <x:c r="AH114" s="18" t="str">
        <x:v>No</x:v>
      </x:c>
      <x:c r="AI114" s="18" t="str">
        <x:v>Do not equate lower rescue use with significantly lower total opioid exposure</x:v>
      </x:c>
      <x:c r="AJ114" s="18" t="str">
        <x:v>Combined opioid exposure</x:v>
      </x:c>
      <x:c r="AK114" s="18" t="str">
        <x:v>https://drive.google.com/file/d/1u_kNuuXF8upB3gJA2aDq8NldYDfhnWy3/view?usp=drivesdk</x:v>
      </x:c>
      <x:c r="AL114" s="18" t="str">
        <x:v>MISSING / AUTHOR DATA NEEDED</x:v>
      </x:c>
      <x:c r="AM114" s="18" t="str">
        <x:v>Postoperative opioid consumption</x:v>
      </x:c>
      <x:c r="AN114" s="18" t="str">
        <x:v>Exact/explicit 24 h</x:v>
      </x:c>
      <x:c r="AO114" s="18" t="str">
        <x:v>EXCLUDE — DATA UNAVAILABLE</x:v>
      </x:c>
      <x:c r="AP114" s="18" t="str">
        <x:v>The source does not provide a defensible quantitative value for this analysis.</x:v>
      </x:c>
      <x:c r="AQ114" s="18" t="str">
        <x:v>No</x:v>
      </x:c>
      <x:c r="AR114" s="18" t="str"/>
      <x:c r="AS114" s="18" t="str">
        <x:v>None</x:v>
      </x:c>
      <x:c r="AT114" s="18" t="str">
        <x:v>Total tramadol exposure</x:v>
      </x:c>
      <x:c r="AU114" s="18" t="str">
        <x:v>First 24 h most consistent with protocol</x:v>
      </x:c>
      <x:c r="AV114" s="18" t="str">
        <x:v>High</x:v>
      </x:c>
      <x:c r="AW114" s="18" t="str">
        <x:v>Yes — selected RoB is for a different result/timepoint</x:v>
      </x:c>
      <x:c r="AX114" s="18" t="str">
        <x:v>Ntritsou 2014</x:v>
      </x:c>
      <x:c r="AY114" s="18" t="str">
        <x:v>Primary eligible contrast</x:v>
      </x:c>
      <x:c r="AZ114" s="18" t="str">
        <x:v>Count this study once per synthesis unless a valid multi-arm method is used.</x:v>
      </x:c>
    </x:row>
    <x:row r="115">
      <x:c r="A115" s="18" t="str">
        <x:v>Ng 2013</x:v>
      </x:c>
      <x:c r="B115" s="18" t="str">
        <x:v>NG13_EA_vs_SHAM_BOWEL</x:v>
      </x:c>
      <x:c r="C115" s="18" t="str">
        <x:v>Electroacupuncture</x:v>
      </x:c>
      <x:c r="D115" s="18" t="str">
        <x:v>Sham acupuncture</x:v>
      </x:c>
      <x:c r="E115" s="18" t="str">
        <x:v>GI recovery</x:v>
      </x:c>
      <x:c r="F115" s="18" t="str">
        <x:v>Time to first bowel motion / defecation</x:v>
      </x:c>
      <x:c r="G115" s="18" t="str">
        <x:v>Postoperative</x:v>
      </x:c>
      <x:c r="H115" s="18" t="str">
        <x:v>Mean/SD</x:v>
      </x:c>
      <x:c r="I115" s="18" t="n">
        <x:v>55</x:v>
      </x:c>
      <x:c r="J115" s="18" t="n">
        <x:v>55</x:v>
      </x:c>
      <x:c r="K115" s="18" t="n">
        <x:v>55</x:v>
      </x:c>
      <x:c r="L115" s="18" t="n">
        <x:v>55</x:v>
      </x:c>
      <x:c r="M115" s="18" t="n">
        <x:v>85.9</x:v>
      </x:c>
      <x:c r="N115" s="18" t="n">
        <x:v>36.1</x:v>
      </x:c>
      <x:c r="O115" s="18"/>
      <x:c r="P115" s="18"/>
      <x:c r="Q115" s="18"/>
      <x:c r="R115" s="18"/>
      <x:c r="S115" s="18" t="n">
        <x:v>107.5</x:v>
      </x:c>
      <x:c r="T115" s="18" t="n">
        <x:v>46.2</x:v>
      </x:c>
      <x:c r="U115" s="18"/>
      <x:c r="V115" s="18"/>
      <x:c r="W115" s="18"/>
      <x:c r="X115" s="18"/>
      <x:c r="Y115" s="18" t="str">
        <x:v>hours</x:v>
      </x:c>
      <x:c r="Z115" s="18" t="str">
        <x:v>0.007</x:v>
      </x:c>
      <x:c r="AA115" s="18" t="str">
        <x:v>Yes</x:v>
      </x:c>
      <x:c r="AB115" s="18" t="str">
        <x:v>No</x:v>
      </x:c>
      <x:c r="AC115" s="18" t="str">
        <x:v>MD</x:v>
      </x:c>
      <x:c r="AD115" s="18" t="n">
        <x:v>-21.599999999999994</x:v>
      </x:c>
      <x:c r="AE115" s="18" t="str">
        <x:v>No</x:v>
      </x:c>
      <x:c r="AF115" s="18" t="str">
        <x:v>No</x:v>
      </x:c>
      <x:c r="AG115" s="18" t="str">
        <x:v>Eligible for GI-recovery meta-analysis</x:v>
      </x:c>
      <x:c r="AH115" s="18" t="str">
        <x:v>Yes</x:v>
      </x:c>
      <x:c r="AI115" s="18" t="str">
        <x:v>Allocation used sealed nonopaque envelopes; EA-vs-sham participants and outcome assessors were blinded</x:v>
      </x:c>
      <x:c r="AJ115" s="18" t="str">
        <x:v>Primary outcome / first bowel motion</x:v>
      </x:c>
      <x:c r="AK115" s="18" t="str">
        <x:v>https://drive.google.com/file/d/1R1zCiyfWvuSp99Hi2U_K1__8kgdi90gd/view?usp=drivesdk</x:v>
      </x:c>
      <x:c r="AL115" s="18" t="str">
        <x:v>SOURCE-VERIFIED / ALLOCATION-CONCEALMENT QC</x:v>
      </x:c>
      <x:c r="AM115" s="18" t="str">
        <x:v>GI recovery</x:v>
      </x:c>
      <x:c r="AN115" s="18" t="str">
        <x:v>Postoperative</x:v>
      </x:c>
      <x:c r="AO115" s="18" t="str">
        <x:v>INCLUDE — SECONDARY GI</x:v>
      </x:c>
      <x:c r="AP115" s="18" t="str">
        <x:v>Source-valid GI recovery outcome; analyze separately by outcome definition.</x:v>
      </x:c>
      <x:c r="AQ115" s="18" t="str">
        <x:v>No</x:v>
      </x:c>
      <x:c r="AR115" s="18" t="str"/>
      <x:c r="AS115" s="18" t="str">
        <x:v>None</x:v>
      </x:c>
      <x:c r="AT115" s="18" t="str">
        <x:v>Time to first bowel motion</x:v>
      </x:c>
      <x:c r="AU115" s="18" t="str">
        <x:v>Postoperative</x:v>
      </x:c>
      <x:c r="AV115" s="18" t="str">
        <x:v>Some concerns</x:v>
      </x:c>
      <x:c r="AW115" s="18" t="str">
        <x:v>Yes — selected RoB is for a different result/timepoint</x:v>
      </x:c>
      <x:c r="AX115" s="18" t="str">
        <x:v>Ng 2013</x:v>
      </x:c>
      <x:c r="AY115" s="18" t="str">
        <x:v>Shared-control / multi-arm contrast</x:v>
      </x:c>
      <x:c r="AZ115" s="18" t="str">
        <x:v>Shared comparator present; avoid double-counting controls.</x:v>
      </x:c>
    </x:row>
    <x:row r="116">
      <x:c r="A116" s="18" t="str">
        <x:v>Ng 2013</x:v>
      </x:c>
      <x:c r="B116" s="18" t="str">
        <x:v>NG13_EA_vs_NOACU_BOWEL</x:v>
      </x:c>
      <x:c r="C116" s="18" t="str">
        <x:v>Electroacupuncture</x:v>
      </x:c>
      <x:c r="D116" s="18" t="str">
        <x:v>No acupuncture</x:v>
      </x:c>
      <x:c r="E116" s="18" t="str">
        <x:v>GI recovery</x:v>
      </x:c>
      <x:c r="F116" s="18" t="str">
        <x:v>Time to first bowel motion / defecation</x:v>
      </x:c>
      <x:c r="G116" s="18" t="str">
        <x:v>Postoperative</x:v>
      </x:c>
      <x:c r="H116" s="18" t="str">
        <x:v>Mean/SD</x:v>
      </x:c>
      <x:c r="I116" s="18" t="n">
        <x:v>55</x:v>
      </x:c>
      <x:c r="J116" s="18" t="n">
        <x:v>55</x:v>
      </x:c>
      <x:c r="K116" s="18" t="n">
        <x:v>55</x:v>
      </x:c>
      <x:c r="L116" s="18" t="n">
        <x:v>55</x:v>
      </x:c>
      <x:c r="M116" s="18" t="n">
        <x:v>85.9</x:v>
      </x:c>
      <x:c r="N116" s="18" t="n">
        <x:v>36.1</x:v>
      </x:c>
      <x:c r="O116" s="18"/>
      <x:c r="P116" s="18"/>
      <x:c r="Q116" s="18"/>
      <x:c r="R116" s="18"/>
      <x:c r="S116" s="18" t="n">
        <x:v>122.1</x:v>
      </x:c>
      <x:c r="T116" s="18" t="n">
        <x:v>53.5</x:v>
      </x:c>
      <x:c r="U116" s="18"/>
      <x:c r="V116" s="18"/>
      <x:c r="W116" s="18"/>
      <x:c r="X116" s="18"/>
      <x:c r="Y116" s="18" t="str">
        <x:v>hours</x:v>
      </x:c>
      <x:c r="Z116" s="18" t="str">
        <x:v>&lt;0.001</x:v>
      </x:c>
      <x:c r="AA116" s="18" t="str">
        <x:v>Yes</x:v>
      </x:c>
      <x:c r="AB116" s="18" t="str">
        <x:v>No</x:v>
      </x:c>
      <x:c r="AC116" s="18" t="str">
        <x:v>MD</x:v>
      </x:c>
      <x:c r="AD116" s="18" t="n">
        <x:v>-36.19999999999999</x:v>
      </x:c>
      <x:c r="AE116" s="18" t="str">
        <x:v>No</x:v>
      </x:c>
      <x:c r="AF116" s="18" t="str">
        <x:v>No</x:v>
      </x:c>
      <x:c r="AG116" s="18" t="str">
        <x:v>Eligible for GI-recovery meta-analysis as active-vs-usual-care contrast</x:v>
      </x:c>
      <x:c r="AH116" s="18" t="str">
        <x:v>Yes</x:v>
      </x:c>
      <x:c r="AI116" s="18" t="str">
        <x:v>No-acupuncture group could not be participant blinded</x:v>
      </x:c>
      <x:c r="AJ116" s="18" t="str">
        <x:v>Primary outcome / first bowel motion</x:v>
      </x:c>
      <x:c r="AK116" s="18" t="str">
        <x:v>https://drive.google.com/file/d/1R1zCiyfWvuSp99Hi2U_K1__8kgdi90gd/view?usp=drivesdk</x:v>
      </x:c>
      <x:c r="AL116" s="18" t="str">
        <x:v>SOURCE-VERIFIED</x:v>
      </x:c>
      <x:c r="AM116" s="18" t="str">
        <x:v>GI recovery</x:v>
      </x:c>
      <x:c r="AN116" s="18" t="str">
        <x:v>Postoperative</x:v>
      </x:c>
      <x:c r="AO116" s="18" t="str">
        <x:v>INCLUDE — SECONDARY GI</x:v>
      </x:c>
      <x:c r="AP116" s="18" t="str">
        <x:v>Source-valid GI recovery outcome; analyze separately by outcome definition.</x:v>
      </x:c>
      <x:c r="AQ116" s="18" t="str">
        <x:v>No</x:v>
      </x:c>
      <x:c r="AR116" s="18" t="str"/>
      <x:c r="AS116" s="18" t="str">
        <x:v>None</x:v>
      </x:c>
      <x:c r="AT116" s="18" t="str">
        <x:v>Time to first bowel motion</x:v>
      </x:c>
      <x:c r="AU116" s="18" t="str">
        <x:v>Postoperative</x:v>
      </x:c>
      <x:c r="AV116" s="18" t="str">
        <x:v>Some concerns</x:v>
      </x:c>
      <x:c r="AW116" s="18" t="str">
        <x:v>Yes — selected RoB is for a different result/timepoint</x:v>
      </x:c>
      <x:c r="AX116" s="18" t="str">
        <x:v>Ng 2013</x:v>
      </x:c>
      <x:c r="AY116" s="18" t="str">
        <x:v>Shared-control / multi-arm contrast</x:v>
      </x:c>
      <x:c r="AZ116" s="18" t="str">
        <x:v>Shared comparator present; avoid double-counting controls.</x:v>
      </x:c>
    </x:row>
    <x:row r="117">
      <x:c r="A117" s="18" t="str">
        <x:v>Ng 2013</x:v>
      </x:c>
      <x:c r="B117" s="18" t="str">
        <x:v>NG13_EA_vs_SHAM_FLATUS</x:v>
      </x:c>
      <x:c r="C117" s="18" t="str">
        <x:v>Electroacupuncture</x:v>
      </x:c>
      <x:c r="D117" s="18" t="str">
        <x:v>Sham acupuncture</x:v>
      </x:c>
      <x:c r="E117" s="18" t="str">
        <x:v>GI recovery</x:v>
      </x:c>
      <x:c r="F117" s="18" t="str">
        <x:v>Time to first flatus</x:v>
      </x:c>
      <x:c r="G117" s="18" t="str">
        <x:v>Postoperative</x:v>
      </x:c>
      <x:c r="H117" s="18" t="str">
        <x:v>Mean/SD</x:v>
      </x:c>
      <x:c r="I117" s="18" t="n">
        <x:v>55</x:v>
      </x:c>
      <x:c r="J117" s="18" t="n">
        <x:v>55</x:v>
      </x:c>
      <x:c r="K117" s="18" t="n">
        <x:v>55</x:v>
      </x:c>
      <x:c r="L117" s="18" t="n">
        <x:v>55</x:v>
      </x:c>
      <x:c r="M117" s="18" t="n">
        <x:v>2</x:v>
      </x:c>
      <x:c r="N117" s="18" t="n">
        <x:v>0.9</x:v>
      </x:c>
      <x:c r="O117" s="18"/>
      <x:c r="P117" s="18"/>
      <x:c r="Q117" s="18"/>
      <x:c r="R117" s="18"/>
      <x:c r="S117" s="18" t="n">
        <x:v>2.3</x:v>
      </x:c>
      <x:c r="T117" s="18" t="n">
        <x:v>1.1</x:v>
      </x:c>
      <x:c r="U117" s="18"/>
      <x:c r="V117" s="18"/>
      <x:c r="W117" s="18"/>
      <x:c r="X117" s="18"/>
      <x:c r="Y117" s="18" t="str">
        <x:v>days</x:v>
      </x:c>
      <x:c r="Z117" s="18" t="str">
        <x:v>0.095</x:v>
      </x:c>
      <x:c r="AA117" s="18" t="str">
        <x:v>Yes</x:v>
      </x:c>
      <x:c r="AB117" s="18" t="str">
        <x:v>No</x:v>
      </x:c>
      <x:c r="AC117" s="18" t="str">
        <x:v>MD</x:v>
      </x:c>
      <x:c r="AD117" s="18" t="n">
        <x:v>-0.2999999999999998</x:v>
      </x:c>
      <x:c r="AE117" s="18" t="str">
        <x:v>No</x:v>
      </x:c>
      <x:c r="AF117" s="18" t="str">
        <x:v>No</x:v>
      </x:c>
      <x:c r="AG117" s="18" t="str">
        <x:v>Eligible for GI-recovery analysis</x:v>
      </x:c>
      <x:c r="AH117" s="18" t="str">
        <x:v>Yes</x:v>
      </x:c>
      <x:c r="AI117" s="18" t="str">
        <x:v>No statistically significant EA-vs-sham difference</x:v>
      </x:c>
      <x:c r="AJ117" s="18" t="str">
        <x:v>Secondary outcome / first flatus</x:v>
      </x:c>
      <x:c r="AK117" s="18" t="str">
        <x:v>https://drive.google.com/file/d/1R1zCiyfWvuSp99Hi2U_K1__8kgdi90gd/view?usp=drivesdk</x:v>
      </x:c>
      <x:c r="AL117" s="18" t="str">
        <x:v>SOURCE-VERIFIED</x:v>
      </x:c>
      <x:c r="AM117" s="18" t="str">
        <x:v>GI recovery</x:v>
      </x:c>
      <x:c r="AN117" s="18" t="str">
        <x:v>Postoperative</x:v>
      </x:c>
      <x:c r="AO117" s="18" t="str">
        <x:v>INCLUDE</x:v>
      </x:c>
      <x:c r="AP117" s="18" t="str">
        <x:v>Source-valid first-flatus/ileus endpoint; retain reported distribution (mean/SD, median/IQR, or events).</x:v>
      </x:c>
      <x:c r="AQ117" s="18" t="str">
        <x:v>Yes</x:v>
      </x:c>
      <x:c r="AR117" s="18" t="str"/>
      <x:c r="AS117" s="18" t="str">
        <x:v>None</x:v>
      </x:c>
      <x:c r="AT117" s="18" t="str">
        <x:v>Time to first bowel motion</x:v>
      </x:c>
      <x:c r="AU117" s="18" t="str">
        <x:v>Postoperative</x:v>
      </x:c>
      <x:c r="AV117" s="18" t="str">
        <x:v>Some concerns</x:v>
      </x:c>
      <x:c r="AW117" s="18" t="str">
        <x:v>Yes — selected RoB is for a different result/timepoint</x:v>
      </x:c>
      <x:c r="AX117" s="18" t="str">
        <x:v>Ng 2013</x:v>
      </x:c>
      <x:c r="AY117" s="18" t="str">
        <x:v>Shared-control / multi-arm contrast</x:v>
      </x:c>
      <x:c r="AZ117" s="18" t="str">
        <x:v>Shared comparator present; avoid double-counting controls.</x:v>
      </x:c>
    </x:row>
    <x:row r="118">
      <x:c r="A118" s="18" t="str">
        <x:v>Ng 2013</x:v>
      </x:c>
      <x:c r="B118" s="18" t="str">
        <x:v>NG13_EA_vs_SHAM_PAINPOD1</x:v>
      </x:c>
      <x:c r="C118" s="18" t="str">
        <x:v>Electroacupuncture</x:v>
      </x:c>
      <x:c r="D118" s="18" t="str">
        <x:v>Sham acupuncture</x:v>
      </x:c>
      <x:c r="E118" s="18" t="str">
        <x:v>Pain</x:v>
      </x:c>
      <x:c r="F118" s="18" t="str">
        <x:v>VAS pain intensity</x:v>
      </x:c>
      <x:c r="G118" s="18" t="str">
        <x:v>POD1</x:v>
      </x:c>
      <x:c r="H118" s="18" t="str">
        <x:v>Mean/SD</x:v>
      </x:c>
      <x:c r="I118" s="18" t="n">
        <x:v>55</x:v>
      </x:c>
      <x:c r="J118" s="18" t="n">
        <x:v>55</x:v>
      </x:c>
      <x:c r="K118" s="18" t="n">
        <x:v>55</x:v>
      </x:c>
      <x:c r="L118" s="18" t="n">
        <x:v>55</x:v>
      </x:c>
      <x:c r="M118" s="18" t="n">
        <x:v>5.6</x:v>
      </x:c>
      <x:c r="N118" s="18" t="n">
        <x:v>2</x:v>
      </x:c>
      <x:c r="O118" s="18"/>
      <x:c r="P118" s="18"/>
      <x:c r="Q118" s="18"/>
      <x:c r="R118" s="18"/>
      <x:c r="S118" s="18" t="n">
        <x:v>5.8</x:v>
      </x:c>
      <x:c r="T118" s="18" t="n">
        <x:v>1.9</x:v>
      </x:c>
      <x:c r="U118" s="18"/>
      <x:c r="V118" s="18"/>
      <x:c r="W118" s="18"/>
      <x:c r="X118" s="18"/>
      <x:c r="Y118" s="18" t="str">
        <x:v>VAS 0-10</x:v>
      </x:c>
      <x:c r="Z118" s="18" t="str">
        <x:v>0.655</x:v>
      </x:c>
      <x:c r="AA118" s="18" t="str">
        <x:v>Yes</x:v>
      </x:c>
      <x:c r="AB118" s="18" t="str">
        <x:v>No</x:v>
      </x:c>
      <x:c r="AC118" s="18" t="str">
        <x:v>MD</x:v>
      </x:c>
      <x:c r="AD118" s="18" t="n">
        <x:v>-0.20000000000000018</x:v>
      </x:c>
      <x:c r="AE118" s="18" t="str">
        <x:v>No</x:v>
      </x:c>
      <x:c r="AF118" s="18" t="str">
        <x:v>No</x:v>
      </x:c>
      <x:c r="AG118" s="18" t="str">
        <x:v>Eligible for POD1 pain analysis if POD1 timing meets protocol</x:v>
      </x:c>
      <x:c r="AH118" s="18" t="str">
        <x:v>Yes</x:v>
      </x:c>
      <x:c r="AI118" s="18" t="str">
        <x:v>POD1 is not an exact clock-defined 24-h point</x:v>
      </x:c>
      <x:c r="AJ118" s="18" t="str">
        <x:v>Pain outcome / POD1</x:v>
      </x:c>
      <x:c r="AK118" s="18" t="str">
        <x:v>https://drive.google.com/file/d/1R1zCiyfWvuSp99Hi2U_K1__8kgdi90gd/view?usp=drivesdk</x:v>
      </x:c>
      <x:c r="AL118" s="18" t="str">
        <x:v>SOURCE-VERIFIED / POD LABEL</x:v>
      </x:c>
      <x:c r="AM118" s="18" t="str">
        <x:v>Pain</x:v>
      </x:c>
      <x:c r="AN118" s="18" t="str">
        <x:v>POD1 / approximate 24 h</x:v>
      </x:c>
      <x:c r="AO118" s="18" t="str">
        <x:v>CONDITIONAL — POD1</x:v>
      </x:c>
      <x:c r="AP118" s="18" t="str">
        <x:v>POD1/day-after-surgery is not necessarily a clock-defined 24-h measurement; pool only if protocol permits.</x:v>
      </x:c>
      <x:c r="AQ118" s="18" t="str">
        <x:v>No</x:v>
      </x:c>
      <x:c r="AR118" s="18" t="str"/>
      <x:c r="AS118" s="18" t="str">
        <x:v>None</x:v>
      </x:c>
      <x:c r="AT118" s="18" t="str">
        <x:v>Time to first bowel motion</x:v>
      </x:c>
      <x:c r="AU118" s="18" t="str">
        <x:v>Postoperative</x:v>
      </x:c>
      <x:c r="AV118" s="18" t="str">
        <x:v>Some concerns</x:v>
      </x:c>
      <x:c r="AW118" s="18" t="str">
        <x:v>Yes — selected RoB is for a different result/timepoint</x:v>
      </x:c>
      <x:c r="AX118" s="18" t="str">
        <x:v>Ng 2013</x:v>
      </x:c>
      <x:c r="AY118" s="18" t="str">
        <x:v>Shared-control / multi-arm contrast</x:v>
      </x:c>
      <x:c r="AZ118" s="18" t="str">
        <x:v>Shared comparator present; avoid double-counting controls.</x:v>
      </x:c>
    </x:row>
    <x:row r="119">
      <x:c r="A119" s="18" t="str">
        <x:v>Ng 2013</x:v>
      </x:c>
      <x:c r="B119" s="18" t="str">
        <x:v>NG13_EA_vs_SHAM_PETHCOUNT</x:v>
      </x:c>
      <x:c r="C119" s="18" t="str">
        <x:v>Electroacupuncture</x:v>
      </x:c>
      <x:c r="D119" s="18" t="str">
        <x:v>Sham acupuncture</x:v>
      </x:c>
      <x:c r="E119" s="18" t="str">
        <x:v>Opioid demand</x:v>
      </x:c>
      <x:c r="F119" s="18" t="str">
        <x:v>Number of postoperative pethidine injections</x:v>
      </x:c>
      <x:c r="G119" s="18" t="str">
        <x:v>Postoperative; exact window NR</x:v>
      </x:c>
      <x:c r="H119" s="18" t="str">
        <x:v>Mean/SD</x:v>
      </x:c>
      <x:c r="I119" s="18" t="n">
        <x:v>55</x:v>
      </x:c>
      <x:c r="J119" s="18" t="n">
        <x:v>55</x:v>
      </x:c>
      <x:c r="K119" s="18" t="n">
        <x:v>55</x:v>
      </x:c>
      <x:c r="L119" s="18" t="n">
        <x:v>55</x:v>
      </x:c>
      <x:c r="M119" s="18" t="n">
        <x:v>2.7</x:v>
      </x:c>
      <x:c r="N119" s="18" t="n">
        <x:v>2.3</x:v>
      </x:c>
      <x:c r="O119" s="18"/>
      <x:c r="P119" s="18"/>
      <x:c r="Q119" s="18"/>
      <x:c r="R119" s="18"/>
      <x:c r="S119" s="18" t="n">
        <x:v>5.2</x:v>
      </x:c>
      <x:c r="T119" s="18" t="n">
        <x:v>4.7</x:v>
      </x:c>
      <x:c r="U119" s="18"/>
      <x:c r="V119" s="18"/>
      <x:c r="W119" s="18"/>
      <x:c r="X119" s="18"/>
      <x:c r="Y119" s="18" t="str">
        <x:v>number of injections</x:v>
      </x:c>
      <x:c r="Z119" s="18" t="str">
        <x:v>NR</x:v>
      </x:c>
      <x:c r="AA119" s="18" t="str">
        <x:v>Yes</x:v>
      </x:c>
      <x:c r="AB119" s="18" t="str">
        <x:v>No</x:v>
      </x:c>
      <x:c r="AC119" s="18" t="str">
        <x:v>MD</x:v>
      </x:c>
      <x:c r="AD119" s="18" t="n">
        <x:v>-2.5</x:v>
      </x:c>
      <x:c r="AE119" s="18" t="str">
        <x:v>No</x:v>
      </x:c>
      <x:c r="AF119" s="18" t="str">
        <x:v>No</x:v>
      </x:c>
      <x:c r="AG119" s="18" t="str">
        <x:v>Eligible only as opioid-injection-count outcome after time-window clarification</x:v>
      </x:c>
      <x:c r="AH119" s="18" t="str">
        <x:v>Yes</x:v>
      </x:c>
      <x:c r="AI119" s="18" t="str">
        <x:v>Methods say 1 mg/kg q4h PRN, tables say 50-mg injections; exact observation window and route not clearly defined</x:v>
      </x:c>
      <x:c r="AJ119" s="18" t="str">
        <x:v>Analgesic requirement tables</x:v>
      </x:c>
      <x:c r="AK119" s="18" t="str">
        <x:v>https://drive.google.com/file/d/1R1zCiyfWvuSp99Hi2U_K1__8kgdi90gd/view?usp=drivesdk</x:v>
      </x:c>
      <x:c r="AL119" s="18" t="str">
        <x:v>SOURCE-VERIFIED / DOSE + WINDOW QC</x:v>
      </x:c>
      <x:c r="AM119" s="18" t="str">
        <x:v>PCA demand/proxy</x:v>
      </x:c>
      <x:c r="AN119" s="18" t="str">
        <x:v>Postoperative; exact window NR</x:v>
      </x:c>
      <x:c r="AO119" s="18" t="str">
        <x:v>SECONDARY / PROXY ONLY</x:v>
      </x:c>
      <x:c r="AP119" s="18" t="str">
        <x:v>PCA presses, attempts, deliveries, or solution volume are not equivalent to opioid dose unless the pump prescription permits exact reconstruction.</x:v>
      </x:c>
      <x:c r="AQ119" s="18" t="str">
        <x:v>No</x:v>
      </x:c>
      <x:c r="AR119" s="18" t="str"/>
      <x:c r="AS119" s="18" t="str">
        <x:v>None</x:v>
      </x:c>
      <x:c r="AT119" s="18" t="str">
        <x:v>Time to first bowel motion</x:v>
      </x:c>
      <x:c r="AU119" s="18" t="str">
        <x:v>Postoperative</x:v>
      </x:c>
      <x:c r="AV119" s="18" t="str">
        <x:v>Some concerns</x:v>
      </x:c>
      <x:c r="AW119" s="18" t="str">
        <x:v>Yes — selected RoB is for a different result/timepoint</x:v>
      </x:c>
      <x:c r="AX119" s="18" t="str">
        <x:v>Ng 2013</x:v>
      </x:c>
      <x:c r="AY119" s="18" t="str">
        <x:v>Shared-control / multi-arm contrast</x:v>
      </x:c>
      <x:c r="AZ119" s="18" t="str">
        <x:v>Shared comparator present; avoid double-counting controls.</x:v>
      </x:c>
    </x:row>
    <x:row r="120">
      <x:c r="A120" s="18" t="str">
        <x:v>Ng 2013</x:v>
      </x:c>
      <x:c r="B120" s="18" t="str">
        <x:v>NG13_EA_vs_SHAM_OPIOID24</x:v>
      </x:c>
      <x:c r="C120" s="18" t="str">
        <x:v>Electroacupuncture</x:v>
      </x:c>
      <x:c r="D120" s="18" t="str">
        <x:v>Sham acupuncture</x:v>
      </x:c>
      <x:c r="E120" s="18" t="str">
        <x:v>Opioid consumption</x:v>
      </x:c>
      <x:c r="F120" s="18" t="str">
        <x:v>Cumulative pethidine consumption</x:v>
      </x:c>
      <x:c r="G120" s="18" t="str">
        <x:v>0-24 h</x:v>
      </x:c>
      <x:c r="H120" s="18" t="str">
        <x:v>Not reported</x:v>
      </x:c>
      <x:c r="I120" s="18" t="n">
        <x:v>55</x:v>
      </x:c>
      <x:c r="J120" s="18" t="n">
        <x:v>55</x:v>
      </x:c>
      <x:c r="K120" s="18" t="n">
        <x:v>55</x:v>
      </x:c>
      <x:c r="L120" s="18" t="n">
        <x:v>55</x:v>
      </x:c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 t="str">
        <x:v>mg pethidine</x:v>
      </x:c>
      <x:c r="Z120" s="18"/>
      <x:c r="AA120" s="18" t="str">
        <x:v>No</x:v>
      </x:c>
      <x:c r="AB120" s="18" t="str">
        <x:v>No</x:v>
      </x:c>
      <x:c r="AC120" s="18"/>
      <x:c r="AD120" s="18"/>
      <x:c r="AE120" s="18" t="str">
        <x:v>No</x:v>
      </x:c>
      <x:c r="AF120" s="18" t="str">
        <x:v>No</x:v>
      </x:c>
      <x:c r="AG120" s="18" t="str">
        <x:v>Not eligible for strict continuous 24-h opioid meta-analysis without author data</x:v>
      </x:c>
      <x:c r="AH120" s="18" t="str">
        <x:v>Yes</x:v>
      </x:c>
      <x:c r="AI120" s="18" t="str">
        <x:v>Do not multiply injection counts by 50 mg and call it a 24-h dose; source time window/dosing statement is ambiguous</x:v>
      </x:c>
      <x:c r="AJ120" s="18" t="str">
        <x:v>Exact 24-h opioid endpoint absent</x:v>
      </x:c>
      <x:c r="AK120" s="18" t="str">
        <x:v>https://drive.google.com/file/d/1R1zCiyfWvuSp99Hi2U_K1__8kgdi90gd/view?usp=drivesdk</x:v>
      </x:c>
      <x:c r="AL120" s="18" t="str">
        <x:v>MISSING / AUTHOR DATA NEEDED</x:v>
      </x:c>
      <x:c r="AM120" s="18" t="str">
        <x:v>Postoperative opioid consumption</x:v>
      </x:c>
      <x:c r="AN120" s="18" t="str">
        <x:v>Exact/explicit 24 h</x:v>
      </x:c>
      <x:c r="AO120" s="18" t="str">
        <x:v>EXCLUDE — DATA UNAVAILABLE</x:v>
      </x:c>
      <x:c r="AP120" s="18" t="str">
        <x:v>The source does not provide a defensible quantitative value for this analysis.</x:v>
      </x:c>
      <x:c r="AQ120" s="18" t="str">
        <x:v>No</x:v>
      </x:c>
      <x:c r="AR120" s="18" t="str"/>
      <x:c r="AS120" s="18" t="str">
        <x:v>None</x:v>
      </x:c>
      <x:c r="AT120" s="18" t="str">
        <x:v>Time to first bowel motion</x:v>
      </x:c>
      <x:c r="AU120" s="18" t="str">
        <x:v>Postoperative</x:v>
      </x:c>
      <x:c r="AV120" s="18" t="str">
        <x:v>Some concerns</x:v>
      </x:c>
      <x:c r="AW120" s="18" t="str">
        <x:v>Yes — selected RoB is for a different result/timepoint</x:v>
      </x:c>
      <x:c r="AX120" s="18" t="str">
        <x:v>Ng 2013</x:v>
      </x:c>
      <x:c r="AY120" s="18" t="str">
        <x:v>Shared-control / multi-arm contrast</x:v>
      </x:c>
      <x:c r="AZ120" s="18" t="str">
        <x:v>Shared comparator present; avoid double-counting controls.</x:v>
      </x:c>
    </x:row>
    <x:row r="121">
      <x:c r="A121" s="18" t="str">
        <x:v>Ma 2026</x:v>
      </x:c>
      <x:c r="B121" s="18" t="str">
        <x:v>MA26_T_vs_S_PAIN24</x:v>
      </x:c>
      <x:c r="C121" s="18" t="str">
        <x:v>Group T: sleep disturbance + preop TEAS</x:v>
      </x:c>
      <x:c r="D121" s="18" t="str">
        <x:v>Group S: sleep disturbance, no TEAS</x:v>
      </x:c>
      <x:c r="E121" s="18" t="str">
        <x:v>Pain</x:v>
      </x:c>
      <x:c r="F121" s="18" t="str">
        <x:v>Resting NRS pain</x:v>
      </x:c>
      <x:c r="G121" s="18" t="str">
        <x:v>24 h</x:v>
      </x:c>
      <x:c r="H121" s="18" t="str">
        <x:v>Graph-only continuous data</x:v>
      </x:c>
      <x:c r="I121" s="18" t="n">
        <x:v>18</x:v>
      </x:c>
      <x:c r="J121" s="18" t="n">
        <x:v>17</x:v>
      </x:c>
      <x:c r="K121" s="18" t="n">
        <x:v>17</x:v>
      </x:c>
      <x:c r="L121" s="18" t="n">
        <x:v>16</x:v>
      </x:c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 t="str">
        <x:v>NRS 0-10</x:v>
      </x:c>
      <x:c r="Z121" s="18" t="str">
        <x:v>P&lt;0.05 T vs S</x:v>
      </x:c>
      <x:c r="AA121" s="18" t="str">
        <x:v>No</x:v>
      </x:c>
      <x:c r="AB121" s="18" t="str">
        <x:v>No</x:v>
      </x:c>
      <x:c r="AC121" s="18"/>
      <x:c r="AD121" s="18"/>
      <x:c r="AE121" s="18" t="str">
        <x:v>No</x:v>
      </x:c>
      <x:c r="AF121" s="18" t="str">
        <x:v>No</x:v>
      </x:c>
      <x:c r="AG121" s="18" t="str">
        <x:v>Not ready for continuous meta-analysis without formal graph digitization or author data</x:v>
      </x:c>
      <x:c r="AH121" s="18" t="str">
        <x:v>No</x:v>
      </x:c>
      <x:c r="AI121" s="18" t="str">
        <x:v>Partially randomized trial: only T vs S is randomized. Exact 24-h means/SDs are graph-only and must not be inferred from Antigravity candidate values</x:v>
      </x:c>
      <x:c r="AJ121" s="18" t="str">
        <x:v>Figure / 24-h postoperative NRS</x:v>
      </x:c>
      <x:c r="AK121" s="18" t="str">
        <x:v>https://drive.google.com/file/d/1tMEOwvRWIMeEmBmKfeHEt7YF10yxslUe/view?usp=drivesdk</x:v>
      </x:c>
      <x:c r="AL121" s="18" t="str">
        <x:v>FIGURE ONLY / DIGITIZATION NEEDED</x:v>
      </x:c>
      <x:c r="AM121" s="18" t="str">
        <x:v>Pain</x:v>
      </x:c>
      <x:c r="AN121" s="18" t="str">
        <x:v>Exact/explicit 24 h</x:v>
      </x:c>
      <x:c r="AO121" s="18" t="str">
        <x:v>DIGITIZATION NEEDED</x:v>
      </x:c>
      <x:c r="AP121" s="18" t="str">
        <x:v>Exact numeric result is not tabulated; formal graph digitization or author data is required before quantitative pooling.</x:v>
      </x:c>
      <x:c r="AQ121" s="18" t="str">
        <x:v>No</x:v>
      </x:c>
      <x:c r="AR121" s="18" t="str"/>
      <x:c r="AS121" s="18" t="str">
        <x:v>None</x:v>
      </x:c>
      <x:c r="AT121" s="18" t="str">
        <x:v>Resting NRS pain</x:v>
      </x:c>
      <x:c r="AU121" s="18" t="str">
        <x:v>24 h</x:v>
      </x:c>
      <x:c r="AV121" s="18" t="str">
        <x:v>High</x:v>
      </x:c>
      <x:c r="AW121" s="18" t="str">
        <x:v>No — selected RoB matches this result</x:v>
      </x:c>
      <x:c r="AX121" s="18" t="str">
        <x:v>Ma 2026</x:v>
      </x:c>
      <x:c r="AY121" s="18" t="str">
        <x:v>Primary eligible contrast</x:v>
      </x:c>
      <x:c r="AZ121" s="18" t="str">
        <x:v>Count this study once per synthesis unless a valid multi-arm method is used.</x:v>
      </x:c>
    </x:row>
    <x:row r="122">
      <x:c r="A122" s="18" t="str">
        <x:v>Ma 2026</x:v>
      </x:c>
      <x:c r="B122" s="18" t="str">
        <x:v>MA26_T_vs_S_AISPOD1</x:v>
      </x:c>
      <x:c r="C122" s="18" t="str">
        <x:v>Group T: sleep disturbance + preop TEAS</x:v>
      </x:c>
      <x:c r="D122" s="18" t="str">
        <x:v>Group S: sleep disturbance, no TEAS</x:v>
      </x:c>
      <x:c r="E122" s="18" t="str">
        <x:v>Sleep quality</x:v>
      </x:c>
      <x:c r="F122" s="18" t="str">
        <x:v>Athens Insomnia Scale</x:v>
      </x:c>
      <x:c r="G122" s="18" t="str">
        <x:v>POD1</x:v>
      </x:c>
      <x:c r="H122" s="18" t="str">
        <x:v>Graph-only continuous data</x:v>
      </x:c>
      <x:c r="I122" s="18" t="n">
        <x:v>18</x:v>
      </x:c>
      <x:c r="J122" s="18" t="n">
        <x:v>17</x:v>
      </x:c>
      <x:c r="K122" s="18" t="n">
        <x:v>17</x:v>
      </x:c>
      <x:c r="L122" s="18" t="n">
        <x:v>16</x:v>
      </x:c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 t="str">
        <x:v>AIS points</x:v>
      </x:c>
      <x:c r="Z122" s="18" t="str">
        <x:v>P&lt;0.05 T vs S</x:v>
      </x:c>
      <x:c r="AA122" s="18" t="str">
        <x:v>No</x:v>
      </x:c>
      <x:c r="AB122" s="18" t="str">
        <x:v>No</x:v>
      </x:c>
      <x:c r="AC122" s="18"/>
      <x:c r="AD122" s="18"/>
      <x:c r="AE122" s="18" t="str">
        <x:v>No</x:v>
      </x:c>
      <x:c r="AF122" s="18" t="str">
        <x:v>No</x:v>
      </x:c>
      <x:c r="AG122" s="18" t="str">
        <x:v>Not ready for continuous meta-analysis without formal graph digitization or author data</x:v>
      </x:c>
      <x:c r="AH122" s="18" t="str">
        <x:v>No</x:v>
      </x:c>
      <x:c r="AI122" s="18" t="str">
        <x:v>Exact postoperative AIS means/SDs are graph-only; Group C is non-randomized and must not be used as a randomized comparator</x:v>
      </x:c>
      <x:c r="AJ122" s="18" t="str">
        <x:v>Figure 4 / POD1 AIS</x:v>
      </x:c>
      <x:c r="AK122" s="18" t="str">
        <x:v>https://drive.google.com/file/d/1tMEOwvRWIMeEmBmKfeHEt7YF10yxslUe/view?usp=drivesdk</x:v>
      </x:c>
      <x:c r="AL122" s="18" t="str">
        <x:v>FIGURE ONLY / DIGITIZATION NEEDED</x:v>
      </x:c>
      <x:c r="AM122" s="18" t="str">
        <x:v>Sleep</x:v>
      </x:c>
      <x:c r="AN122" s="18" t="str">
        <x:v>POD1 / approximate 24 h</x:v>
      </x:c>
      <x:c r="AO122" s="18" t="str">
        <x:v>DIGITIZATION NEEDED</x:v>
      </x:c>
      <x:c r="AP122" s="18" t="str">
        <x:v>Exact numeric result is not tabulated; formal graph digitization or author data is required before quantitative pooling.</x:v>
      </x:c>
      <x:c r="AQ122" s="18" t="str">
        <x:v>No</x:v>
      </x:c>
      <x:c r="AR122" s="18" t="str"/>
      <x:c r="AS122" s="18" t="str">
        <x:v>None</x:v>
      </x:c>
      <x:c r="AT122" s="18" t="str">
        <x:v>Resting NRS pain</x:v>
      </x:c>
      <x:c r="AU122" s="18" t="str">
        <x:v>24 h</x:v>
      </x:c>
      <x:c r="AV122" s="18" t="str">
        <x:v>High</x:v>
      </x:c>
      <x:c r="AW122" s="18" t="str">
        <x:v>Yes — selected RoB is for a different result/timepoint</x:v>
      </x:c>
      <x:c r="AX122" s="18" t="str">
        <x:v>Ma 2026</x:v>
      </x:c>
      <x:c r="AY122" s="18" t="str">
        <x:v>Primary eligible contrast</x:v>
      </x:c>
      <x:c r="AZ122" s="18" t="str">
        <x:v>Count this study once per synthesis unless a valid multi-arm method is used.</x:v>
      </x:c>
    </x:row>
    <x:row r="123">
      <x:c r="A123" s="18" t="str">
        <x:v>Ma 2026</x:v>
      </x:c>
      <x:c r="B123" s="18" t="str">
        <x:v>MA26_T_vs_S_NAUSEA24</x:v>
      </x:c>
      <x:c r="C123" s="18" t="str">
        <x:v>Group T: sleep disturbance + preop TEAS</x:v>
      </x:c>
      <x:c r="D123" s="18" t="str">
        <x:v>Group S: sleep disturbance, no TEAS</x:v>
      </x:c>
      <x:c r="E123" s="18" t="str">
        <x:v>PONV</x:v>
      </x:c>
      <x:c r="F123" s="18" t="str">
        <x:v>Nausea</x:v>
      </x:c>
      <x:c r="G123" s="18" t="str">
        <x:v>24 h</x:v>
      </x:c>
      <x:c r="H123" s="18" t="str">
        <x:v>Events/total</x:v>
      </x:c>
      <x:c r="I123" s="18" t="n">
        <x:v>18</x:v>
      </x:c>
      <x:c r="J123" s="18" t="n">
        <x:v>17</x:v>
      </x:c>
      <x:c r="K123" s="18" t="n">
        <x:v>17</x:v>
      </x:c>
      <x:c r="L123" s="18" t="n">
        <x:v>16</x:v>
      </x:c>
      <x:c r="M123" s="18"/>
      <x:c r="N123" s="18"/>
      <x:c r="O123" s="18"/>
      <x:c r="P123" s="18"/>
      <x:c r="Q123" s="18"/>
      <x:c r="R123" s="18" t="n">
        <x:v>6</x:v>
      </x:c>
      <x:c r="S123" s="18"/>
      <x:c r="T123" s="18"/>
      <x:c r="U123" s="18"/>
      <x:c r="V123" s="18"/>
      <x:c r="W123" s="18"/>
      <x:c r="X123" s="18" t="n">
        <x:v>8</x:v>
      </x:c>
      <x:c r="Y123" s="18" t="str">
        <x:v>participants</x:v>
      </x:c>
      <x:c r="Z123" s="18" t="str">
        <x:v>Overall 3-group P=0.590; randomized T-vs-S pairwise NR</x:v>
      </x:c>
      <x:c r="AA123" s="18" t="str">
        <x:v>Yes</x:v>
      </x:c>
      <x:c r="AB123" s="18" t="str">
        <x:v>No</x:v>
      </x:c>
      <x:c r="AC123" s="18" t="str">
        <x:v>RR</x:v>
      </x:c>
      <x:c r="AD123" s="18" t="n">
        <x:v>0.7058823529411765</x:v>
      </x:c>
      <x:c r="AE123" s="18" t="str">
        <x:v>No</x:v>
      </x:c>
      <x:c r="AF123" s="18" t="str">
        <x:v>No</x:v>
      </x:c>
      <x:c r="AG123" s="18" t="str">
        <x:v>Eligible for dichotomous 24-h nausea analysis using randomized T vs S contrast</x:v>
      </x:c>
      <x:c r="AH123" s="18" t="str">
        <x:v>No</x:v>
      </x:c>
      <x:c r="AI123" s="18" t="str">
        <x:v>Overall P-value includes non-randomized Group C; do not treat it as the randomized pairwise P-value</x:v>
      </x:c>
      <x:c r="AJ123" s="18" t="str">
        <x:v>24-h PONV table</x:v>
      </x:c>
      <x:c r="AK123" s="18" t="str">
        <x:v>https://drive.google.com/file/d/1tMEOwvRWIMeEmBmKfeHEt7YF10yxslUe/view?usp=drivesdk</x:v>
      </x:c>
      <x:c r="AL123" s="18" t="str">
        <x:v>SOURCE-VERIFIED</x:v>
      </x:c>
      <x:c r="AM123" s="18" t="str">
        <x:v>PONV</x:v>
      </x:c>
      <x:c r="AN123" s="18" t="str">
        <x:v>Exact/explicit 24 h</x:v>
      </x:c>
      <x:c r="AO123" s="18" t="str">
        <x:v>INCLUDE</x:v>
      </x:c>
      <x:c r="AP123" s="18" t="str">
        <x:v>Explicit 24-h PONV endpoint.</x:v>
      </x:c>
      <x:c r="AQ123" s="18" t="str">
        <x:v>Yes</x:v>
      </x:c>
      <x:c r="AR123" s="18" t="str"/>
      <x:c r="AS123" s="18" t="str">
        <x:v>Binary effect measure (RR preferred per protocol)</x:v>
      </x:c>
      <x:c r="AT123" s="18" t="str">
        <x:v>Resting NRS pain</x:v>
      </x:c>
      <x:c r="AU123" s="18" t="str">
        <x:v>24 h</x:v>
      </x:c>
      <x:c r="AV123" s="18" t="str">
        <x:v>High</x:v>
      </x:c>
      <x:c r="AW123" s="18" t="str">
        <x:v>Yes — selected RoB is for a different result/timepoint</x:v>
      </x:c>
      <x:c r="AX123" s="18" t="str">
        <x:v>Ma 2026</x:v>
      </x:c>
      <x:c r="AY123" s="18" t="str">
        <x:v>Primary eligible contrast</x:v>
      </x:c>
      <x:c r="AZ123" s="18" t="str">
        <x:v>Count this study once per synthesis unless a valid multi-arm method is used.</x:v>
      </x:c>
    </x:row>
    <x:row r="124">
      <x:c r="A124" s="18" t="str">
        <x:v>Ma 2026</x:v>
      </x:c>
      <x:c r="B124" s="18" t="str">
        <x:v>MA26_T_vs_S_VOMIT24</x:v>
      </x:c>
      <x:c r="C124" s="18" t="str">
        <x:v>Group T: sleep disturbance + preop TEAS</x:v>
      </x:c>
      <x:c r="D124" s="18" t="str">
        <x:v>Group S: sleep disturbance, no TEAS</x:v>
      </x:c>
      <x:c r="E124" s="18" t="str">
        <x:v>PONV</x:v>
      </x:c>
      <x:c r="F124" s="18" t="str">
        <x:v>Vomiting</x:v>
      </x:c>
      <x:c r="G124" s="18" t="str">
        <x:v>24 h</x:v>
      </x:c>
      <x:c r="H124" s="18" t="str">
        <x:v>Events/total</x:v>
      </x:c>
      <x:c r="I124" s="18" t="n">
        <x:v>18</x:v>
      </x:c>
      <x:c r="J124" s="18" t="n">
        <x:v>17</x:v>
      </x:c>
      <x:c r="K124" s="18" t="n">
        <x:v>17</x:v>
      </x:c>
      <x:c r="L124" s="18" t="n">
        <x:v>16</x:v>
      </x:c>
      <x:c r="M124" s="18"/>
      <x:c r="N124" s="18"/>
      <x:c r="O124" s="18"/>
      <x:c r="P124" s="18"/>
      <x:c r="Q124" s="18"/>
      <x:c r="R124" s="18" t="n">
        <x:v>6</x:v>
      </x:c>
      <x:c r="S124" s="18"/>
      <x:c r="T124" s="18"/>
      <x:c r="U124" s="18"/>
      <x:c r="V124" s="18"/>
      <x:c r="W124" s="18"/>
      <x:c r="X124" s="18" t="n">
        <x:v>7</x:v>
      </x:c>
      <x:c r="Y124" s="18" t="str">
        <x:v>participants</x:v>
      </x:c>
      <x:c r="Z124" s="18" t="str">
        <x:v>Overall 3-group P=0.863; randomized T-vs-S pairwise NR</x:v>
      </x:c>
      <x:c r="AA124" s="18" t="str">
        <x:v>Yes</x:v>
      </x:c>
      <x:c r="AB124" s="18" t="str">
        <x:v>No</x:v>
      </x:c>
      <x:c r="AC124" s="18" t="str">
        <x:v>RR</x:v>
      </x:c>
      <x:c r="AD124" s="18" t="n">
        <x:v>0.8067226890756303</x:v>
      </x:c>
      <x:c r="AE124" s="18" t="str">
        <x:v>No</x:v>
      </x:c>
      <x:c r="AF124" s="18" t="str">
        <x:v>No</x:v>
      </x:c>
      <x:c r="AG124" s="18" t="str">
        <x:v>Eligible for dichotomous 24-h vomiting analysis using randomized T vs S contrast</x:v>
      </x:c>
      <x:c r="AH124" s="18" t="str">
        <x:v>No</x:v>
      </x:c>
      <x:c r="AI124" s="18" t="str">
        <x:v>Overall P-value includes non-randomized Group C</x:v>
      </x:c>
      <x:c r="AJ124" s="18" t="str">
        <x:v>24-h PONV table</x:v>
      </x:c>
      <x:c r="AK124" s="18" t="str">
        <x:v>https://drive.google.com/file/d/1tMEOwvRWIMeEmBmKfeHEt7YF10yxslUe/view?usp=drivesdk</x:v>
      </x:c>
      <x:c r="AL124" s="18" t="str">
        <x:v>SOURCE-VERIFIED</x:v>
      </x:c>
      <x:c r="AM124" s="18" t="str">
        <x:v>PONV</x:v>
      </x:c>
      <x:c r="AN124" s="18" t="str">
        <x:v>Exact/explicit 24 h</x:v>
      </x:c>
      <x:c r="AO124" s="18" t="str">
        <x:v>INCLUDE</x:v>
      </x:c>
      <x:c r="AP124" s="18" t="str">
        <x:v>Explicit 24-h PONV endpoint.</x:v>
      </x:c>
      <x:c r="AQ124" s="18" t="str">
        <x:v>Yes</x:v>
      </x:c>
      <x:c r="AR124" s="18" t="str"/>
      <x:c r="AS124" s="18" t="str">
        <x:v>Binary effect measure (RR preferred per protocol)</x:v>
      </x:c>
      <x:c r="AT124" s="18" t="str">
        <x:v>Resting NRS pain</x:v>
      </x:c>
      <x:c r="AU124" s="18" t="str">
        <x:v>24 h</x:v>
      </x:c>
      <x:c r="AV124" s="18" t="str">
        <x:v>High</x:v>
      </x:c>
      <x:c r="AW124" s="18" t="str">
        <x:v>Yes — selected RoB is for a different result/timepoint</x:v>
      </x:c>
      <x:c r="AX124" s="18" t="str">
        <x:v>Ma 2026</x:v>
      </x:c>
      <x:c r="AY124" s="18" t="str">
        <x:v>Primary eligible contrast</x:v>
      </x:c>
      <x:c r="AZ124" s="18" t="str">
        <x:v>Count this study once per synthesis unless a valid multi-arm method is used.</x:v>
      </x:c>
    </x:row>
    <x:row r="125">
      <x:c r="A125" s="18" t="str">
        <x:v>Ma 2026</x:v>
      </x:c>
      <x:c r="B125" s="18" t="str">
        <x:v>MA26_T_vs_S_OPIOID24</x:v>
      </x:c>
      <x:c r="C125" s="18" t="str">
        <x:v>Group T: sleep disturbance + preop TEAS</x:v>
      </x:c>
      <x:c r="D125" s="18" t="str">
        <x:v>Group S: sleep disturbance, no TEAS</x:v>
      </x:c>
      <x:c r="E125" s="18" t="str">
        <x:v>Opioid consumption</x:v>
      </x:c>
      <x:c r="F125" s="18" t="str">
        <x:v>Cumulative postoperative opioid consumption</x:v>
      </x:c>
      <x:c r="G125" s="18" t="str">
        <x:v>0-24 h</x:v>
      </x:c>
      <x:c r="H125" s="18" t="str">
        <x:v>Not reported</x:v>
      </x:c>
      <x:c r="I125" s="18" t="n">
        <x:v>18</x:v>
      </x:c>
      <x:c r="J125" s="18" t="n">
        <x:v>17</x:v>
      </x:c>
      <x:c r="K125" s="18" t="n">
        <x:v>17</x:v>
      </x:c>
      <x:c r="L125" s="18" t="n">
        <x:v>16</x:v>
      </x:c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 t="str">
        <x:v>mg/µg</x:v>
      </x:c>
      <x:c r="Z125" s="18"/>
      <x:c r="AA125" s="18" t="str">
        <x:v>No</x:v>
      </x:c>
      <x:c r="AB125" s="18" t="str">
        <x:v>No</x:v>
      </x:c>
      <x:c r="AC125" s="18"/>
      <x:c r="AD125" s="18"/>
      <x:c r="AE125" s="18" t="str">
        <x:v>No</x:v>
      </x:c>
      <x:c r="AF125" s="18" t="str">
        <x:v>No</x:v>
      </x:c>
      <x:c r="AG125" s="18" t="str">
        <x:v>Not eligible for continuous 24-h opioid meta-analysis</x:v>
      </x:c>
      <x:c r="AH125" s="18" t="str">
        <x:v>No</x:v>
      </x:c>
      <x:c r="AI125" s="18" t="str">
        <x:v>Routine postoperative analgesia was non-opioid flurbiprofen; whether any postoperative opioid was given is not reported</x:v>
      </x:c>
      <x:c r="AJ125" s="18" t="str">
        <x:v>Postoperative analgesia section</x:v>
      </x:c>
      <x:c r="AK125" s="18" t="str">
        <x:v>https://drive.google.com/file/d/1tMEOwvRWIMeEmBmKfeHEt7YF10yxslUe/view?usp=drivesdk</x:v>
      </x:c>
      <x:c r="AL125" s="18" t="str">
        <x:v>MISSING / POSTOP OPIOID USE NR</x:v>
      </x:c>
      <x:c r="AM125" s="18" t="str">
        <x:v>Postoperative opioid consumption</x:v>
      </x:c>
      <x:c r="AN125" s="18" t="str">
        <x:v>Exact/explicit 24 h</x:v>
      </x:c>
      <x:c r="AO125" s="18" t="str">
        <x:v>EXCLUDE — DATA UNAVAILABLE</x:v>
      </x:c>
      <x:c r="AP125" s="18" t="str">
        <x:v>The source does not provide a defensible quantitative value for this analysis.</x:v>
      </x:c>
      <x:c r="AQ125" s="18" t="str">
        <x:v>No</x:v>
      </x:c>
      <x:c r="AR125" s="18" t="str"/>
      <x:c r="AS125" s="18" t="str">
        <x:v>None</x:v>
      </x:c>
      <x:c r="AT125" s="18" t="str">
        <x:v>Resting NRS pain</x:v>
      </x:c>
      <x:c r="AU125" s="18" t="str">
        <x:v>24 h</x:v>
      </x:c>
      <x:c r="AV125" s="18" t="str">
        <x:v>High</x:v>
      </x:c>
      <x:c r="AW125" s="18" t="str">
        <x:v>Yes — selected RoB is for a different result/timepoint</x:v>
      </x:c>
      <x:c r="AX125" s="18" t="str">
        <x:v>Ma 2026</x:v>
      </x:c>
      <x:c r="AY125" s="18" t="str">
        <x:v>Primary eligible contrast</x:v>
      </x:c>
      <x:c r="AZ125" s="18" t="str">
        <x:v>Count this study once per synthesis unless a valid multi-arm method is used.</x:v>
      </x:c>
    </x:row>
    <x:row r="126">
      <x:c r="A126" s="18" t="str">
        <x:v>Lu 2021</x:v>
      </x:c>
      <x:c r="B126" s="18" t="str">
        <x:v>LU21_COMB_vs_SHAM_CHRONIC6M</x:v>
      </x:c>
      <x:c r="C126" s="18" t="str">
        <x:v>Combined PC6+CV17 TEAS</x:v>
      </x:c>
      <x:c r="D126" s="18" t="str">
        <x:v>Sham/no current</x:v>
      </x:c>
      <x:c r="E126" s="18" t="str">
        <x:v>Chronic pain</x:v>
      </x:c>
      <x:c r="F126" s="18" t="str">
        <x:v>Post-mastectomy chronic pain incidence</x:v>
      </x:c>
      <x:c r="G126" s="18" t="str">
        <x:v>6 months</x:v>
      </x:c>
      <x:c r="H126" s="18" t="str">
        <x:v>Events/total</x:v>
      </x:c>
      <x:c r="I126" s="18" t="n">
        <x:v>190</x:v>
      </x:c>
      <x:c r="J126" s="18" t="n">
        <x:v>188</x:v>
      </x:c>
      <x:c r="K126" s="18" t="n">
        <x:v>190</x:v>
      </x:c>
      <x:c r="L126" s="18" t="n">
        <x:v>188</x:v>
      </x:c>
      <x:c r="M126" s="18"/>
      <x:c r="N126" s="18"/>
      <x:c r="O126" s="18"/>
      <x:c r="P126" s="18"/>
      <x:c r="Q126" s="18"/>
      <x:c r="R126" s="18" t="n">
        <x:v>42</x:v>
      </x:c>
      <x:c r="S126" s="18"/>
      <x:c r="T126" s="18"/>
      <x:c r="U126" s="18"/>
      <x:c r="V126" s="18"/>
      <x:c r="W126" s="18"/>
      <x:c r="X126" s="18" t="n">
        <x:v>65</x:v>
      </x:c>
      <x:c r="Y126" s="18" t="str">
        <x:v>participants</x:v>
      </x:c>
      <x:c r="Z126" s="18" t="str">
        <x:v>Overall P=0.005; combined vs sham pairwise P varies by article section</x:v>
      </x:c>
      <x:c r="AA126" s="18" t="str">
        <x:v>Yes</x:v>
      </x:c>
      <x:c r="AB126" s="18" t="str">
        <x:v>No</x:v>
      </x:c>
      <x:c r="AC126" s="18" t="str">
        <x:v>RR</x:v>
      </x:c>
      <x:c r="AD126" s="18" t="n">
        <x:v>0.6393522267206477</x:v>
      </x:c>
      <x:c r="AE126" s="18" t="str">
        <x:v>No</x:v>
      </x:c>
      <x:c r="AF126" s="18" t="str">
        <x:v>No</x:v>
      </x:c>
      <x:c r="AG126" s="18" t="str">
        <x:v>Eligible for dichotomous chronic-pain analysis using raw event counts</x:v>
      </x:c>
      <x:c r="AH126" s="18" t="str">
        <x:v>Yes</x:v>
      </x:c>
      <x:c r="AI126" s="18" t="str">
        <x:v>Printed RR/P-values conflict across abstract, Results and Table 2; raw counts 42/190 vs 65/188 are the stable source facts</x:v>
      </x:c>
      <x:c r="AJ126" s="18" t="str">
        <x:v>Table 2 / primary 6-month chronic pain</x:v>
      </x:c>
      <x:c r="AK126" s="18" t="str">
        <x:v>https://drive.google.com/file/d/1MgD_OucfiyNEDdDe3osh8W01U1yYZs08/view?usp=drivesdk</x:v>
      </x:c>
      <x:c r="AL126" s="18" t="str">
        <x:v>SOURCE-VERIFIED / PUBLISHED EFFECT QC</x:v>
      </x:c>
      <x:c r="AM126" s="18" t="str">
        <x:v>Pain</x:v>
      </x:c>
      <x:c r="AN126" s="18" t="str">
        <x:v>6 months</x:v>
      </x:c>
      <x:c r="AO126" s="18" t="str">
        <x:v>INCLUDE — OTHER TIMEPOINT</x:v>
      </x:c>
      <x:c r="AP126" s="18" t="str">
        <x:v>Source-valid pain outcome for a non-24-h analysis.</x:v>
      </x:c>
      <x:c r="AQ126" s="18" t="str">
        <x:v>No</x:v>
      </x:c>
      <x:c r="AR126" s="18" t="str"/>
      <x:c r="AS126" s="18" t="str">
        <x:v>Binary effect measure (RR preferred per protocol)</x:v>
      </x:c>
      <x:c r="AT126" s="18" t="str">
        <x:v>Post-mastectomy chronic pain incidence</x:v>
      </x:c>
      <x:c r="AU126" s="18" t="str">
        <x:v>6 months</x:v>
      </x:c>
      <x:c r="AV126" s="18" t="str">
        <x:v>High</x:v>
      </x:c>
      <x:c r="AW126" s="18" t="str">
        <x:v>No — selected RoB matches this result</x:v>
      </x:c>
      <x:c r="AX126" s="18" t="str">
        <x:v>Lu 2021</x:v>
      </x:c>
      <x:c r="AY126" s="18" t="str">
        <x:v>Acupoint-combination arm contrast</x:v>
      </x:c>
      <x:c r="AZ126" s="18" t="str">
        <x:v>Three-arm trial with shared sham; combined and single-point arms are not independent studies.</x:v>
      </x:c>
    </x:row>
    <x:row r="127">
      <x:c r="A127" s="18" t="str">
        <x:v>Lu 2021</x:v>
      </x:c>
      <x:c r="B127" s="18" t="str">
        <x:v>LU21_SINGLE_vs_SHAM_CHRONIC6M</x:v>
      </x:c>
      <x:c r="C127" s="18" t="str">
        <x:v>Single PC6 TEAS</x:v>
      </x:c>
      <x:c r="D127" s="18" t="str">
        <x:v>Sham/no current</x:v>
      </x:c>
      <x:c r="E127" s="18" t="str">
        <x:v>Chronic pain</x:v>
      </x:c>
      <x:c r="F127" s="18" t="str">
        <x:v>Post-mastectomy chronic pain incidence</x:v>
      </x:c>
      <x:c r="G127" s="18" t="str">
        <x:v>6 months</x:v>
      </x:c>
      <x:c r="H127" s="18" t="str">
        <x:v>Events/total</x:v>
      </x:c>
      <x:c r="I127" s="18" t="n">
        <x:v>198</x:v>
      </x:c>
      <x:c r="J127" s="18" t="n">
        <x:v>188</x:v>
      </x:c>
      <x:c r="K127" s="18" t="n">
        <x:v>198</x:v>
      </x:c>
      <x:c r="L127" s="18" t="n">
        <x:v>188</x:v>
      </x:c>
      <x:c r="M127" s="18"/>
      <x:c r="N127" s="18"/>
      <x:c r="O127" s="18"/>
      <x:c r="P127" s="18"/>
      <x:c r="Q127" s="18"/>
      <x:c r="R127" s="18" t="n">
        <x:v>72</x:v>
      </x:c>
      <x:c r="S127" s="18"/>
      <x:c r="T127" s="18"/>
      <x:c r="U127" s="18"/>
      <x:c r="V127" s="18"/>
      <x:c r="W127" s="18"/>
      <x:c r="X127" s="18" t="n">
        <x:v>65</x:v>
      </x:c>
      <x:c r="Y127" s="18" t="str">
        <x:v>participants</x:v>
      </x:c>
      <x:c r="Z127" s="18" t="str">
        <x:v>Overall P=0.005; single vs sham pairwise P reported 0.71 in Table 2</x:v>
      </x:c>
      <x:c r="AA127" s="18" t="str">
        <x:v>Yes</x:v>
      </x:c>
      <x:c r="AB127" s="18" t="str">
        <x:v>No</x:v>
      </x:c>
      <x:c r="AC127" s="18" t="str">
        <x:v>RR</x:v>
      </x:c>
      <x:c r="AD127" s="18" t="n">
        <x:v>1.0517482517482517</x:v>
      </x:c>
      <x:c r="AE127" s="18" t="str">
        <x:v>No</x:v>
      </x:c>
      <x:c r="AF127" s="18" t="str">
        <x:v>No</x:v>
      </x:c>
      <x:c r="AG127" s="18" t="str">
        <x:v>Eligible only with explicit source-conflict sensitivity handling</x:v>
      </x:c>
      <x:c r="AH127" s="18" t="str">
        <x:v>Yes</x:v>
      </x:c>
      <x:c r="AI127" s="18" t="str">
        <x:v>Table 2 gives 72/198; Results prose gives 79/196. Preserve Table 2 here and flag conflict rather than silently reconcile</x:v>
      </x:c>
      <x:c r="AJ127" s="18" t="str">
        <x:v>Table 2 / primary 6-month chronic pain</x:v>
      </x:c>
      <x:c r="AK127" s="18" t="str">
        <x:v>https://drive.google.com/file/d/1MgD_OucfiyNEDdDe3osh8W01U1yYZs08/view?usp=drivesdk</x:v>
      </x:c>
      <x:c r="AL127" s="18" t="str">
        <x:v>SOURCE-VERIFIED / DENOMINATOR CONFLICT</x:v>
      </x:c>
      <x:c r="AM127" s="18" t="str">
        <x:v>Pain</x:v>
      </x:c>
      <x:c r="AN127" s="18" t="str">
        <x:v>6 months</x:v>
      </x:c>
      <x:c r="AO127" s="18" t="str">
        <x:v>INCLUDE — OTHER TIMEPOINT</x:v>
      </x:c>
      <x:c r="AP127" s="18" t="str">
        <x:v>Source-valid pain outcome for a non-24-h analysis.</x:v>
      </x:c>
      <x:c r="AQ127" s="18" t="str">
        <x:v>No</x:v>
      </x:c>
      <x:c r="AR127" s="18" t="str"/>
      <x:c r="AS127" s="18" t="str">
        <x:v>Binary effect measure (RR preferred per protocol)</x:v>
      </x:c>
      <x:c r="AT127" s="18" t="str">
        <x:v>Post-mastectomy chronic pain incidence</x:v>
      </x:c>
      <x:c r="AU127" s="18" t="str">
        <x:v>6 months</x:v>
      </x:c>
      <x:c r="AV127" s="18" t="str">
        <x:v>High</x:v>
      </x:c>
      <x:c r="AW127" s="18" t="str">
        <x:v>No — selected RoB matches this result</x:v>
      </x:c>
      <x:c r="AX127" s="18" t="str">
        <x:v>Lu 2021</x:v>
      </x:c>
      <x:c r="AY127" s="18" t="str">
        <x:v>Acupoint-combination arm contrast</x:v>
      </x:c>
      <x:c r="AZ127" s="18" t="str">
        <x:v>Three-arm trial with shared sham; combined and single-point arms are not independent studies.</x:v>
      </x:c>
    </x:row>
    <x:row r="128">
      <x:c r="A128" s="18" t="str">
        <x:v>Lu 2021</x:v>
      </x:c>
      <x:c r="B128" s="18" t="str">
        <x:v>LU21_COMB_vs_SHAM_REMI</x:v>
      </x:c>
      <x:c r="C128" s="18" t="str">
        <x:v>Combined PC6+CV17 TEAS</x:v>
      </x:c>
      <x:c r="D128" s="18" t="str">
        <x:v>Sham/no current</x:v>
      </x:c>
      <x:c r="E128" s="18" t="str">
        <x:v>Intraoperative opioid</x:v>
      </x:c>
      <x:c r="F128" s="18" t="str">
        <x:v>Total remifentanil</x:v>
      </x:c>
      <x:c r="G128" s="18" t="str">
        <x:v>Intraoperative</x:v>
      </x:c>
      <x:c r="H128" s="18" t="str">
        <x:v>Mean/SD</x:v>
      </x:c>
      <x:c r="I128" s="18" t="n">
        <x:v>190</x:v>
      </x:c>
      <x:c r="J128" s="18" t="n">
        <x:v>188</x:v>
      </x:c>
      <x:c r="K128" s="18" t="n">
        <x:v>190</x:v>
      </x:c>
      <x:c r="L128" s="18" t="n">
        <x:v>188</x:v>
      </x:c>
      <x:c r="M128" s="18" t="n">
        <x:v>1.2</x:v>
      </x:c>
      <x:c r="N128" s="18" t="n">
        <x:v>0.5</x:v>
      </x:c>
      <x:c r="O128" s="18"/>
      <x:c r="P128" s="18"/>
      <x:c r="Q128" s="18"/>
      <x:c r="R128" s="18"/>
      <x:c r="S128" s="18" t="n">
        <x:v>1.4</x:v>
      </x:c>
      <x:c r="T128" s="18" t="n">
        <x:v>0.7</x:v>
      </x:c>
      <x:c r="U128" s="18"/>
      <x:c r="V128" s="18"/>
      <x:c r="W128" s="18"/>
      <x:c r="X128" s="18"/>
      <x:c r="Y128" s="18" t="str">
        <x:v>mg remifentanil</x:v>
      </x:c>
      <x:c r="Z128" s="18" t="str">
        <x:v>P&lt;0.001 combined vs sham</x:v>
      </x:c>
      <x:c r="AA128" s="18" t="str">
        <x:v>Yes</x:v>
      </x:c>
      <x:c r="AB128" s="18" t="str">
        <x:v>No</x:v>
      </x:c>
      <x:c r="AC128" s="18" t="str">
        <x:v>MD</x:v>
      </x:c>
      <x:c r="AD128" s="18" t="n">
        <x:v>-0.19999999999999996</x:v>
      </x:c>
      <x:c r="AE128" s="18" t="str">
        <x:v>No</x:v>
      </x:c>
      <x:c r="AF128" s="18" t="str">
        <x:v>No</x:v>
      </x:c>
      <x:c r="AG128" s="18" t="str">
        <x:v>Eligible for intraoperative opioid-sparing analysis</x:v>
      </x:c>
      <x:c r="AH128" s="18" t="str">
        <x:v>Yes</x:v>
      </x:c>
      <x:c r="AI128" s="18" t="str">
        <x:v>Three-arm trial; sham is a shared comparator</x:v>
      </x:c>
      <x:c r="AJ128" s="18" t="str">
        <x:v>Table 3 / intraoperative remifentanil</x:v>
      </x:c>
      <x:c r="AK128" s="18" t="str">
        <x:v>https://drive.google.com/file/d/1MgD_OucfiyNEDdDe3osh8W01U1yYZs08/view?usp=drivesdk</x:v>
      </x:c>
      <x:c r="AL128" s="18" t="str">
        <x:v>SOURCE-VERIFIED</x:v>
      </x:c>
      <x:c r="AM128" s="18" t="str">
        <x:v>Intraoperative opioid</x:v>
      </x:c>
      <x:c r="AN128" s="18" t="str">
        <x:v>Intraoperative</x:v>
      </x:c>
      <x:c r="AO128" s="18" t="str">
        <x:v>INCLUDE — INTRAOPERATIVE</x:v>
      </x:c>
      <x:c r="AP128" s="18" t="str">
        <x:v>Valid intraoperative opioid endpoint; must remain separate from postoperative opioid consumption.</x:v>
      </x:c>
      <x:c r="AQ128" s="18" t="str">
        <x:v>No</x:v>
      </x:c>
      <x:c r="AR128" s="18" t="str"/>
      <x:c r="AS128" s="18" t="str">
        <x:v>None</x:v>
      </x:c>
      <x:c r="AT128" s="18" t="str">
        <x:v>Post-mastectomy chronic pain incidence</x:v>
      </x:c>
      <x:c r="AU128" s="18" t="str">
        <x:v>6 months</x:v>
      </x:c>
      <x:c r="AV128" s="18" t="str">
        <x:v>High</x:v>
      </x:c>
      <x:c r="AW128" s="18" t="str">
        <x:v>Yes — selected RoB is for a different result/timepoint</x:v>
      </x:c>
      <x:c r="AX128" s="18" t="str">
        <x:v>Lu 2021</x:v>
      </x:c>
      <x:c r="AY128" s="18" t="str">
        <x:v>Acupoint-combination arm contrast</x:v>
      </x:c>
      <x:c r="AZ128" s="18" t="str">
        <x:v>Three-arm trial with shared sham; combined and single-point arms are not independent studies.</x:v>
      </x:c>
    </x:row>
    <x:row r="129">
      <x:c r="A129" s="18" t="str">
        <x:v>Lu 2021</x:v>
      </x:c>
      <x:c r="B129" s="18" t="str">
        <x:v>LU21_SINGLE_vs_SHAM_REMI</x:v>
      </x:c>
      <x:c r="C129" s="18" t="str">
        <x:v>Single PC6 TEAS</x:v>
      </x:c>
      <x:c r="D129" s="18" t="str">
        <x:v>Sham/no current</x:v>
      </x:c>
      <x:c r="E129" s="18" t="str">
        <x:v>Intraoperative opioid</x:v>
      </x:c>
      <x:c r="F129" s="18" t="str">
        <x:v>Total remifentanil</x:v>
      </x:c>
      <x:c r="G129" s="18" t="str">
        <x:v>Intraoperative</x:v>
      </x:c>
      <x:c r="H129" s="18" t="str">
        <x:v>Mean/SD</x:v>
      </x:c>
      <x:c r="I129" s="18" t="n">
        <x:v>198</x:v>
      </x:c>
      <x:c r="J129" s="18" t="n">
        <x:v>188</x:v>
      </x:c>
      <x:c r="K129" s="18" t="n">
        <x:v>198</x:v>
      </x:c>
      <x:c r="L129" s="18" t="n">
        <x:v>188</x:v>
      </x:c>
      <x:c r="M129" s="18" t="n">
        <x:v>1.3</x:v>
      </x:c>
      <x:c r="N129" s="18" t="n">
        <x:v>0.6</x:v>
      </x:c>
      <x:c r="O129" s="18"/>
      <x:c r="P129" s="18"/>
      <x:c r="Q129" s="18"/>
      <x:c r="R129" s="18"/>
      <x:c r="S129" s="18" t="n">
        <x:v>1.4</x:v>
      </x:c>
      <x:c r="T129" s="18" t="n">
        <x:v>0.7</x:v>
      </x:c>
      <x:c r="U129" s="18"/>
      <x:c r="V129" s="18"/>
      <x:c r="W129" s="18"/>
      <x:c r="X129" s="18"/>
      <x:c r="Y129" s="18" t="str">
        <x:v>mg remifentanil</x:v>
      </x:c>
      <x:c r="Z129" s="18" t="str">
        <x:v>P=0.04 single vs sham; not significant after Bonferroni alpha 0.0125</x:v>
      </x:c>
      <x:c r="AA129" s="18" t="str">
        <x:v>Yes</x:v>
      </x:c>
      <x:c r="AB129" s="18" t="str">
        <x:v>No</x:v>
      </x:c>
      <x:c r="AC129" s="18" t="str">
        <x:v>MD</x:v>
      </x:c>
      <x:c r="AD129" s="18" t="n">
        <x:v>-0.09999999999999987</x:v>
      </x:c>
      <x:c r="AE129" s="18" t="str">
        <x:v>No</x:v>
      </x:c>
      <x:c r="AF129" s="18" t="str">
        <x:v>No</x:v>
      </x:c>
      <x:c r="AG129" s="18" t="str">
        <x:v>Eligible for intraoperative opioid analysis with multiplicity-aware interpretation</x:v>
      </x:c>
      <x:c r="AH129" s="18" t="str">
        <x:v>Yes</x:v>
      </x:c>
      <x:c r="AI129" s="18" t="str">
        <x:v>Three-arm trial; do not describe P=0.04 as multiplicity-adjusted significant</x:v>
      </x:c>
      <x:c r="AJ129" s="18" t="str">
        <x:v>Table 3 / intraoperative remifentanil</x:v>
      </x:c>
      <x:c r="AK129" s="18" t="str">
        <x:v>https://drive.google.com/file/d/1MgD_OucfiyNEDdDe3osh8W01U1yYZs08/view?usp=drivesdk</x:v>
      </x:c>
      <x:c r="AL129" s="18" t="str">
        <x:v>SOURCE-VERIFIED</x:v>
      </x:c>
      <x:c r="AM129" s="18" t="str">
        <x:v>Intraoperative opioid</x:v>
      </x:c>
      <x:c r="AN129" s="18" t="str">
        <x:v>Intraoperative</x:v>
      </x:c>
      <x:c r="AO129" s="18" t="str">
        <x:v>INCLUDE — INTRAOPERATIVE</x:v>
      </x:c>
      <x:c r="AP129" s="18" t="str">
        <x:v>Valid intraoperative opioid endpoint; must remain separate from postoperative opioid consumption.</x:v>
      </x:c>
      <x:c r="AQ129" s="18" t="str">
        <x:v>No</x:v>
      </x:c>
      <x:c r="AR129" s="18" t="str"/>
      <x:c r="AS129" s="18" t="str">
        <x:v>None</x:v>
      </x:c>
      <x:c r="AT129" s="18" t="str">
        <x:v>Post-mastectomy chronic pain incidence</x:v>
      </x:c>
      <x:c r="AU129" s="18" t="str">
        <x:v>6 months</x:v>
      </x:c>
      <x:c r="AV129" s="18" t="str">
        <x:v>High</x:v>
      </x:c>
      <x:c r="AW129" s="18" t="str">
        <x:v>Yes — selected RoB is for a different result/timepoint</x:v>
      </x:c>
      <x:c r="AX129" s="18" t="str">
        <x:v>Lu 2021</x:v>
      </x:c>
      <x:c r="AY129" s="18" t="str">
        <x:v>Acupoint-combination arm contrast</x:v>
      </x:c>
      <x:c r="AZ129" s="18" t="str">
        <x:v>Three-arm trial with shared sham; combined and single-point arms are not independent studies.</x:v>
      </x:c>
    </x:row>
    <x:row r="130">
      <x:c r="A130" s="18" t="str">
        <x:v>Lu 2021</x:v>
      </x:c>
      <x:c r="B130" s="18" t="str">
        <x:v>LU21_COMB_vs_SHAM_PONV24</x:v>
      </x:c>
      <x:c r="C130" s="18" t="str">
        <x:v>Combined PC6+CV17 TEAS</x:v>
      </x:c>
      <x:c r="D130" s="18" t="str">
        <x:v>Sham/no current</x:v>
      </x:c>
      <x:c r="E130" s="18" t="str">
        <x:v>PONV</x:v>
      </x:c>
      <x:c r="F130" s="18" t="str">
        <x:v>Any PONV</x:v>
      </x:c>
      <x:c r="G130" s="18" t="str">
        <x:v>24 h</x:v>
      </x:c>
      <x:c r="H130" s="18" t="str">
        <x:v>Events/total</x:v>
      </x:c>
      <x:c r="I130" s="18" t="n">
        <x:v>190</x:v>
      </x:c>
      <x:c r="J130" s="18" t="n">
        <x:v>188</x:v>
      </x:c>
      <x:c r="K130" s="18" t="n">
        <x:v>190</x:v>
      </x:c>
      <x:c r="L130" s="18" t="n">
        <x:v>188</x:v>
      </x:c>
      <x:c r="M130" s="18"/>
      <x:c r="N130" s="18"/>
      <x:c r="O130" s="18"/>
      <x:c r="P130" s="18"/>
      <x:c r="Q130" s="18"/>
      <x:c r="R130" s="18" t="n">
        <x:v>35</x:v>
      </x:c>
      <x:c r="S130" s="18"/>
      <x:c r="T130" s="18"/>
      <x:c r="U130" s="18"/>
      <x:c r="V130" s="18"/>
      <x:c r="W130" s="18"/>
      <x:c r="X130" s="18" t="n">
        <x:v>68</x:v>
      </x:c>
      <x:c r="Y130" s="18" t="str">
        <x:v>participants</x:v>
      </x:c>
      <x:c r="Z130" s="18" t="str">
        <x:v>Overall P=0.0001</x:v>
      </x:c>
      <x:c r="AA130" s="18" t="str">
        <x:v>Yes</x:v>
      </x:c>
      <x:c r="AB130" s="18" t="str">
        <x:v>No</x:v>
      </x:c>
      <x:c r="AC130" s="18" t="str">
        <x:v>RR</x:v>
      </x:c>
      <x:c r="AD130" s="18" t="n">
        <x:v>0.5092879256965943</x:v>
      </x:c>
      <x:c r="AE130" s="18" t="str">
        <x:v>No</x:v>
      </x:c>
      <x:c r="AF130" s="18" t="str">
        <x:v>No</x:v>
      </x:c>
      <x:c r="AG130" s="18" t="str">
        <x:v>Eligible for dichotomous 24-h PONV analysis</x:v>
      </x:c>
      <x:c r="AH130" s="18" t="str">
        <x:v>Yes</x:v>
      </x:c>
      <x:c r="AI130" s="18" t="str">
        <x:v>Use raw event counts; three-arm shared sham comparator</x:v>
      </x:c>
      <x:c r="AJ130" s="18" t="str">
        <x:v>24-h PONV table</x:v>
      </x:c>
      <x:c r="AK130" s="18" t="str">
        <x:v>https://drive.google.com/file/d/1MgD_OucfiyNEDdDe3osh8W01U1yYZs08/view?usp=drivesdk</x:v>
      </x:c>
      <x:c r="AL130" s="18" t="str">
        <x:v>SOURCE-VERIFIED</x:v>
      </x:c>
      <x:c r="AM130" s="18" t="str">
        <x:v>PONV</x:v>
      </x:c>
      <x:c r="AN130" s="18" t="str">
        <x:v>Exact/explicit 24 h</x:v>
      </x:c>
      <x:c r="AO130" s="18" t="str">
        <x:v>INCLUDE</x:v>
      </x:c>
      <x:c r="AP130" s="18" t="str">
        <x:v>Explicit 24-h PONV endpoint.</x:v>
      </x:c>
      <x:c r="AQ130" s="18" t="str">
        <x:v>Yes</x:v>
      </x:c>
      <x:c r="AR130" s="18" t="str"/>
      <x:c r="AS130" s="18" t="str">
        <x:v>Binary effect measure (RR preferred per protocol)</x:v>
      </x:c>
      <x:c r="AT130" s="18" t="str">
        <x:v>Post-mastectomy chronic pain incidence</x:v>
      </x:c>
      <x:c r="AU130" s="18" t="str">
        <x:v>6 months</x:v>
      </x:c>
      <x:c r="AV130" s="18" t="str">
        <x:v>High</x:v>
      </x:c>
      <x:c r="AW130" s="18" t="str">
        <x:v>Yes — selected RoB is for a different result/timepoint</x:v>
      </x:c>
      <x:c r="AX130" s="18" t="str">
        <x:v>Lu 2021</x:v>
      </x:c>
      <x:c r="AY130" s="18" t="str">
        <x:v>Acupoint-combination arm contrast</x:v>
      </x:c>
      <x:c r="AZ130" s="18" t="str">
        <x:v>Three-arm trial with shared sham; combined and single-point arms are not independent studies.</x:v>
      </x:c>
    </x:row>
    <x:row r="131">
      <x:c r="A131" s="18" t="str">
        <x:v>Lu 2021</x:v>
      </x:c>
      <x:c r="B131" s="18" t="str">
        <x:v>LU21_SINGLE_vs_SHAM_PONV24</x:v>
      </x:c>
      <x:c r="C131" s="18" t="str">
        <x:v>Single PC6 TEAS</x:v>
      </x:c>
      <x:c r="D131" s="18" t="str">
        <x:v>Sham/no current</x:v>
      </x:c>
      <x:c r="E131" s="18" t="str">
        <x:v>PONV</x:v>
      </x:c>
      <x:c r="F131" s="18" t="str">
        <x:v>Any PONV</x:v>
      </x:c>
      <x:c r="G131" s="18" t="str">
        <x:v>24 h</x:v>
      </x:c>
      <x:c r="H131" s="18" t="str">
        <x:v>Events/total</x:v>
      </x:c>
      <x:c r="I131" s="18" t="n">
        <x:v>198</x:v>
      </x:c>
      <x:c r="J131" s="18" t="n">
        <x:v>188</x:v>
      </x:c>
      <x:c r="K131" s="18" t="n">
        <x:v>198</x:v>
      </x:c>
      <x:c r="L131" s="18" t="n">
        <x:v>188</x:v>
      </x:c>
      <x:c r="M131" s="18"/>
      <x:c r="N131" s="18"/>
      <x:c r="O131" s="18"/>
      <x:c r="P131" s="18"/>
      <x:c r="Q131" s="18"/>
      <x:c r="R131" s="18" t="n">
        <x:v>59</x:v>
      </x:c>
      <x:c r="S131" s="18"/>
      <x:c r="T131" s="18"/>
      <x:c r="U131" s="18"/>
      <x:c r="V131" s="18"/>
      <x:c r="W131" s="18"/>
      <x:c r="X131" s="18" t="n">
        <x:v>68</x:v>
      </x:c>
      <x:c r="Y131" s="18" t="str">
        <x:v>participants</x:v>
      </x:c>
      <x:c r="Z131" s="18" t="str">
        <x:v>Overall P=0.0001</x:v>
      </x:c>
      <x:c r="AA131" s="18" t="str">
        <x:v>Yes</x:v>
      </x:c>
      <x:c r="AB131" s="18" t="str">
        <x:v>No</x:v>
      </x:c>
      <x:c r="AC131" s="18" t="str">
        <x:v>RR</x:v>
      </x:c>
      <x:c r="AD131" s="18" t="n">
        <x:v>0.8238265002970884</x:v>
      </x:c>
      <x:c r="AE131" s="18" t="str">
        <x:v>No</x:v>
      </x:c>
      <x:c r="AF131" s="18" t="str">
        <x:v>No</x:v>
      </x:c>
      <x:c r="AG131" s="18" t="str">
        <x:v>Eligible for dichotomous 24-h PONV analysis with multi-arm adjustment</x:v>
      </x:c>
      <x:c r="AH131" s="18" t="str">
        <x:v>Yes</x:v>
      </x:c>
      <x:c r="AI131" s="18" t="str">
        <x:v>Overall P is three-group; pairwise significance should not be inferred unless directly reported</x:v>
      </x:c>
      <x:c r="AJ131" s="18" t="str">
        <x:v>24-h PONV table</x:v>
      </x:c>
      <x:c r="AK131" s="18" t="str">
        <x:v>https://drive.google.com/file/d/1MgD_OucfiyNEDdDe3osh8W01U1yYZs08/view?usp=drivesdk</x:v>
      </x:c>
      <x:c r="AL131" s="18" t="str">
        <x:v>SOURCE-VERIFIED</x:v>
      </x:c>
      <x:c r="AM131" s="18" t="str">
        <x:v>PONV</x:v>
      </x:c>
      <x:c r="AN131" s="18" t="str">
        <x:v>Exact/explicit 24 h</x:v>
      </x:c>
      <x:c r="AO131" s="18" t="str">
        <x:v>INCLUDE</x:v>
      </x:c>
      <x:c r="AP131" s="18" t="str">
        <x:v>Explicit 24-h PONV endpoint.</x:v>
      </x:c>
      <x:c r="AQ131" s="18" t="str">
        <x:v>Yes</x:v>
      </x:c>
      <x:c r="AR131" s="18" t="str"/>
      <x:c r="AS131" s="18" t="str">
        <x:v>Binary effect measure (RR preferred per protocol)</x:v>
      </x:c>
      <x:c r="AT131" s="18" t="str">
        <x:v>Post-mastectomy chronic pain incidence</x:v>
      </x:c>
      <x:c r="AU131" s="18" t="str">
        <x:v>6 months</x:v>
      </x:c>
      <x:c r="AV131" s="18" t="str">
        <x:v>High</x:v>
      </x:c>
      <x:c r="AW131" s="18" t="str">
        <x:v>Yes — selected RoB is for a different result/timepoint</x:v>
      </x:c>
      <x:c r="AX131" s="18" t="str">
        <x:v>Lu 2021</x:v>
      </x:c>
      <x:c r="AY131" s="18" t="str">
        <x:v>Acupoint-combination arm contrast</x:v>
      </x:c>
      <x:c r="AZ131" s="18" t="str">
        <x:v>Three-arm trial with shared sham; combined and single-point arms are not independent studies.</x:v>
      </x:c>
    </x:row>
    <x:row r="132">
      <x:c r="A132" s="18" t="str">
        <x:v>Lu 2021</x:v>
      </x:c>
      <x:c r="B132" s="18" t="str">
        <x:v>LU21_POSTOP_OPIOID24</x:v>
      </x:c>
      <x:c r="C132" s="18" t="str">
        <x:v>TEAS arms</x:v>
      </x:c>
      <x:c r="D132" s="18" t="str">
        <x:v>Sham/no current</x:v>
      </x:c>
      <x:c r="E132" s="18" t="str">
        <x:v>Opioid consumption</x:v>
      </x:c>
      <x:c r="F132" s="18" t="str">
        <x:v>Cumulative postoperative sufentanil PCA consumption</x:v>
      </x:c>
      <x:c r="G132" s="18" t="str">
        <x:v>0-24 h</x:v>
      </x:c>
      <x:c r="H132" s="18" t="str">
        <x:v>Not reported</x:v>
      </x:c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 t="str">
        <x:v>µg sufentanil</x:v>
      </x:c>
      <x:c r="Z132" s="18"/>
      <x:c r="AA132" s="18" t="str">
        <x:v>No</x:v>
      </x:c>
      <x:c r="AB132" s="18" t="str">
        <x:v>No</x:v>
      </x:c>
      <x:c r="AC132" s="18"/>
      <x:c r="AD132" s="18"/>
      <x:c r="AE132" s="18" t="str">
        <x:v>No</x:v>
      </x:c>
      <x:c r="AF132" s="18" t="str">
        <x:v>No</x:v>
      </x:c>
      <x:c r="AG132" s="18" t="str">
        <x:v>Not eligible for continuous 24-h postoperative opioid meta-analysis</x:v>
      </x:c>
      <x:c r="AH132" s="18" t="str">
        <x:v>Yes</x:v>
      </x:c>
      <x:c r="AI132" s="18" t="str">
        <x:v>PCA opioid is sufentanil but prescription and cumulative 24-h consumption are not reported</x:v>
      </x:c>
      <x:c r="AJ132" s="18" t="str">
        <x:v>Postoperative PCA section</x:v>
      </x:c>
      <x:c r="AK132" s="18" t="str">
        <x:v>https://drive.google.com/file/d/1MgD_OucfiyNEDdDe3osh8W01U1yYZs08/view?usp=drivesdk</x:v>
      </x:c>
      <x:c r="AL132" s="18" t="str">
        <x:v>MISSING / AUTHOR DATA NEEDED</x:v>
      </x:c>
      <x:c r="AM132" s="18" t="str">
        <x:v>Postoperative opioid consumption</x:v>
      </x:c>
      <x:c r="AN132" s="18" t="str">
        <x:v>Exact/explicit 24 h</x:v>
      </x:c>
      <x:c r="AO132" s="18" t="str">
        <x:v>EXCLUDE — DATA UNAVAILABLE</x:v>
      </x:c>
      <x:c r="AP132" s="18" t="str">
        <x:v>The source does not provide a defensible quantitative value for this analysis.</x:v>
      </x:c>
      <x:c r="AQ132" s="18" t="str">
        <x:v>No</x:v>
      </x:c>
      <x:c r="AR132" s="18" t="str"/>
      <x:c r="AS132" s="18" t="str">
        <x:v>Opioid/MME conversion required using prespecified review conversion</x:v>
      </x:c>
      <x:c r="AT132" s="18" t="str">
        <x:v>Post-mastectomy chronic pain incidence</x:v>
      </x:c>
      <x:c r="AU132" s="18" t="str">
        <x:v>6 months</x:v>
      </x:c>
      <x:c r="AV132" s="18" t="str">
        <x:v>High</x:v>
      </x:c>
      <x:c r="AW132" s="18" t="str">
        <x:v>Yes — selected RoB is for a different result/timepoint</x:v>
      </x:c>
      <x:c r="AX132" s="18" t="str">
        <x:v>Lu 2021</x:v>
      </x:c>
      <x:c r="AY132" s="18" t="str">
        <x:v>Acupoint-combination arm contrast</x:v>
      </x:c>
      <x:c r="AZ132" s="18" t="str">
        <x:v>Three-arm trial with shared sham; combined and single-point arms are not independent studies.</x:v>
      </x:c>
    </x:row>
    <x:row r="133">
      <x:c r="A133" s="18" t="str">
        <x:v>Lu 2022</x:v>
      </x:c>
      <x:c r="B133" s="18" t="str">
        <x:v>LU22_TEAS_vs_CTRL_DISCHARGE</x:v>
      </x:c>
      <x:c r="C133" s="18" t="str">
        <x:v>TEAS + ERAS</x:v>
      </x:c>
      <x:c r="D133" s="18" t="str">
        <x:v>No-current control + ERAS</x:v>
      </x:c>
      <x:c r="E133" s="18" t="str">
        <x:v>Recovery</x:v>
      </x:c>
      <x:c r="F133" s="18" t="str">
        <x:v>Time to meet discharge criteria</x:v>
      </x:c>
      <x:c r="G133" s="18" t="str">
        <x:v>Postoperative</x:v>
      </x:c>
      <x:c r="H133" s="18" t="str">
        <x:v>Mean/SD</x:v>
      </x:c>
      <x:c r="I133" s="18" t="n">
        <x:v>50</x:v>
      </x:c>
      <x:c r="J133" s="18" t="n">
        <x:v>50</x:v>
      </x:c>
      <x:c r="K133" s="18" t="n">
        <x:v>47</x:v>
      </x:c>
      <x:c r="L133" s="18" t="n">
        <x:v>47</x:v>
      </x:c>
      <x:c r="M133" s="18" t="n">
        <x:v>6</x:v>
      </x:c>
      <x:c r="N133" s="18" t="n">
        <x:v>1.8</x:v>
      </x:c>
      <x:c r="O133" s="18"/>
      <x:c r="P133" s="18"/>
      <x:c r="Q133" s="18"/>
      <x:c r="R133" s="18"/>
      <x:c r="S133" s="18" t="n">
        <x:v>7</x:v>
      </x:c>
      <x:c r="T133" s="18" t="n">
        <x:v>2.4</x:v>
      </x:c>
      <x:c r="U133" s="18"/>
      <x:c r="V133" s="18"/>
      <x:c r="W133" s="18"/>
      <x:c r="X133" s="18"/>
      <x:c r="Y133" s="18" t="str">
        <x:v>days</x:v>
      </x:c>
      <x:c r="Z133" s="18" t="str">
        <x:v>0.02</x:v>
      </x:c>
      <x:c r="AA133" s="18" t="str">
        <x:v>Yes</x:v>
      </x:c>
      <x:c r="AB133" s="18" t="str">
        <x:v>No</x:v>
      </x:c>
      <x:c r="AC133" s="18" t="str">
        <x:v>MD</x:v>
      </x:c>
      <x:c r="AD133" s="18" t="n">
        <x:v>-1</x:v>
      </x:c>
      <x:c r="AE133" s="18" t="str">
        <x:v>No</x:v>
      </x:c>
      <x:c r="AF133" s="18" t="str">
        <x:v>No</x:v>
      </x:c>
      <x:c r="AG133" s="18" t="str">
        <x:v>Eligible for recovery-time meta-analysis</x:v>
      </x:c>
      <x:c r="AH133" s="18" t="str">
        <x:v>No</x:v>
      </x:c>
      <x:c r="AI133" s="18" t="str">
        <x:v>Six randomized patients were excluded because they did not receive allocated intervention; open conversion is plausibly related to discharge time</x:v>
      </x:c>
      <x:c r="AJ133" s="18" t="str">
        <x:v>Primary outcome / time to discharge</x:v>
      </x:c>
      <x:c r="AK133" s="18" t="str">
        <x:v>https://drive.google.com/file/d/12Y86huNMuLC8cPH-L2vwlEd7r1X1Qela/view?usp=drivesdk</x:v>
      </x:c>
      <x:c r="AL133" s="18" t="str">
        <x:v>SOURCE-VERIFIED / ATTRITION QC</x:v>
      </x:c>
      <x:c r="AM133" s="18" t="str">
        <x:v>Recovery</x:v>
      </x:c>
      <x:c r="AN133" s="18" t="str">
        <x:v>Postoperative</x:v>
      </x:c>
      <x:c r="AO133" s="18" t="str">
        <x:v>CONDITIONAL</x:v>
      </x:c>
      <x:c r="AP133" s="18" t="str">
        <x:v>Source-grounded but carries a QC qualification.</x:v>
      </x:c>
      <x:c r="AQ133" s="18" t="str">
        <x:v>No</x:v>
      </x:c>
      <x:c r="AR133" s="18" t="str"/>
      <x:c r="AS133" s="18" t="str">
        <x:v>None</x:v>
      </x:c>
      <x:c r="AT133" s="18" t="str">
        <x:v>Time to meet discharge criteria</x:v>
      </x:c>
      <x:c r="AU133" s="18" t="str">
        <x:v>Postoperative</x:v>
      </x:c>
      <x:c r="AV133" s="18" t="str">
        <x:v>High</x:v>
      </x:c>
      <x:c r="AW133" s="18" t="str">
        <x:v>No — selected RoB matches this result</x:v>
      </x:c>
      <x:c r="AX133" s="18" t="str">
        <x:v>Lu 2022</x:v>
      </x:c>
      <x:c r="AY133" s="18" t="str">
        <x:v>Primary eligible contrast</x:v>
      </x:c>
      <x:c r="AZ133" s="18" t="str">
        <x:v>Count this study once per synthesis unless a valid multi-arm method is used.</x:v>
      </x:c>
    </x:row>
    <x:row r="134">
      <x:c r="A134" s="18" t="str">
        <x:v>Lu 2022</x:v>
      </x:c>
      <x:c r="B134" s="18" t="str">
        <x:v>LU22_TEAS_vs_CTRL_FLATUS</x:v>
      </x:c>
      <x:c r="C134" s="18" t="str">
        <x:v>TEAS + ERAS</x:v>
      </x:c>
      <x:c r="D134" s="18" t="str">
        <x:v>No-current control + ERAS</x:v>
      </x:c>
      <x:c r="E134" s="18" t="str">
        <x:v>GI recovery</x:v>
      </x:c>
      <x:c r="F134" s="18" t="str">
        <x:v>Time to first flatus</x:v>
      </x:c>
      <x:c r="G134" s="18" t="str">
        <x:v>Postoperative</x:v>
      </x:c>
      <x:c r="H134" s="18" t="str">
        <x:v>Mean/SD</x:v>
      </x:c>
      <x:c r="I134" s="18" t="n">
        <x:v>50</x:v>
      </x:c>
      <x:c r="J134" s="18" t="n">
        <x:v>50</x:v>
      </x:c>
      <x:c r="K134" s="18" t="n">
        <x:v>47</x:v>
      </x:c>
      <x:c r="L134" s="18" t="n">
        <x:v>47</x:v>
      </x:c>
      <x:c r="M134" s="18" t="n">
        <x:v>34.5</x:v>
      </x:c>
      <x:c r="N134" s="18" t="n">
        <x:v>16.7</x:v>
      </x:c>
      <x:c r="O134" s="18"/>
      <x:c r="P134" s="18"/>
      <x:c r="Q134" s="18"/>
      <x:c r="R134" s="18"/>
      <x:c r="S134" s="18" t="n">
        <x:v>42.4</x:v>
      </x:c>
      <x:c r="T134" s="18" t="n">
        <x:v>22.9</x:v>
      </x:c>
      <x:c r="U134" s="18"/>
      <x:c r="V134" s="18"/>
      <x:c r="W134" s="18"/>
      <x:c r="X134" s="18"/>
      <x:c r="Y134" s="18" t="str">
        <x:v>hours</x:v>
      </x:c>
      <x:c r="Z134" s="18" t="str">
        <x:v>0.03</x:v>
      </x:c>
      <x:c r="AA134" s="18" t="str">
        <x:v>Yes</x:v>
      </x:c>
      <x:c r="AB134" s="18" t="str">
        <x:v>No</x:v>
      </x:c>
      <x:c r="AC134" s="18" t="str">
        <x:v>MD</x:v>
      </x:c>
      <x:c r="AD134" s="18" t="n">
        <x:v>-7.899999999999999</x:v>
      </x:c>
      <x:c r="AE134" s="18" t="str">
        <x:v>No</x:v>
      </x:c>
      <x:c r="AF134" s="18" t="str">
        <x:v>No</x:v>
      </x:c>
      <x:c r="AG134" s="18" t="str">
        <x:v>Eligible for GI-recovery meta-analysis</x:v>
      </x:c>
      <x:c r="AH134" s="18" t="str">
        <x:v>No</x:v>
      </x:c>
      <x:c r="AI134" s="18" t="str">
        <x:v>Same 6 post-randomization exclusions apply</x:v>
      </x:c>
      <x:c r="AJ134" s="18" t="str">
        <x:v>First flatus result</x:v>
      </x:c>
      <x:c r="AK134" s="18" t="str">
        <x:v>https://drive.google.com/file/d/12Y86huNMuLC8cPH-L2vwlEd7r1X1Qela/view?usp=drivesdk</x:v>
      </x:c>
      <x:c r="AL134" s="18" t="str">
        <x:v>SOURCE-VERIFIED / ATTRITION QC</x:v>
      </x:c>
      <x:c r="AM134" s="18" t="str">
        <x:v>GI recovery</x:v>
      </x:c>
      <x:c r="AN134" s="18" t="str">
        <x:v>Postoperative</x:v>
      </x:c>
      <x:c r="AO134" s="18" t="str">
        <x:v>INCLUDE</x:v>
      </x:c>
      <x:c r="AP134" s="18" t="str">
        <x:v>Source-valid first-flatus/ileus endpoint; retain reported distribution (mean/SD, median/IQR, or events).</x:v>
      </x:c>
      <x:c r="AQ134" s="18" t="str">
        <x:v>Yes</x:v>
      </x:c>
      <x:c r="AR134" s="18" t="str"/>
      <x:c r="AS134" s="18" t="str">
        <x:v>None</x:v>
      </x:c>
      <x:c r="AT134" s="18" t="str">
        <x:v>Time to meet discharge criteria</x:v>
      </x:c>
      <x:c r="AU134" s="18" t="str">
        <x:v>Postoperative</x:v>
      </x:c>
      <x:c r="AV134" s="18" t="str">
        <x:v>High</x:v>
      </x:c>
      <x:c r="AW134" s="18" t="str">
        <x:v>Yes — selected RoB is for a different result/timepoint</x:v>
      </x:c>
      <x:c r="AX134" s="18" t="str">
        <x:v>Lu 2022</x:v>
      </x:c>
      <x:c r="AY134" s="18" t="str">
        <x:v>Primary eligible contrast</x:v>
      </x:c>
      <x:c r="AZ134" s="18" t="str">
        <x:v>Count this study once per synthesis unless a valid multi-arm method is used.</x:v>
      </x:c>
    </x:row>
    <x:row r="135">
      <x:c r="A135" s="18" t="str">
        <x:v>Lu 2022</x:v>
      </x:c>
      <x:c r="B135" s="18" t="str">
        <x:v>LU22_TEAS_vs_CTRL_DEFEC</x:v>
      </x:c>
      <x:c r="C135" s="18" t="str">
        <x:v>TEAS + ERAS</x:v>
      </x:c>
      <x:c r="D135" s="18" t="str">
        <x:v>No-current control + ERAS</x:v>
      </x:c>
      <x:c r="E135" s="18" t="str">
        <x:v>GI recovery</x:v>
      </x:c>
      <x:c r="F135" s="18" t="str">
        <x:v>Time to first defecation</x:v>
      </x:c>
      <x:c r="G135" s="18" t="str">
        <x:v>Postoperative</x:v>
      </x:c>
      <x:c r="H135" s="18" t="str">
        <x:v>Mean/SD</x:v>
      </x:c>
      <x:c r="I135" s="18" t="n">
        <x:v>50</x:v>
      </x:c>
      <x:c r="J135" s="18" t="n">
        <x:v>50</x:v>
      </x:c>
      <x:c r="K135" s="18" t="n">
        <x:v>47</x:v>
      </x:c>
      <x:c r="L135" s="18" t="n">
        <x:v>47</x:v>
      </x:c>
      <x:c r="M135" s="18" t="n">
        <x:v>42</x:v>
      </x:c>
      <x:c r="N135" s="18" t="n">
        <x:v>25</x:v>
      </x:c>
      <x:c r="O135" s="18"/>
      <x:c r="P135" s="18"/>
      <x:c r="Q135" s="18"/>
      <x:c r="R135" s="18"/>
      <x:c r="S135" s="18" t="n">
        <x:v>55.4</x:v>
      </x:c>
      <x:c r="T135" s="18" t="n">
        <x:v>29.7</x:v>
      </x:c>
      <x:c r="U135" s="18"/>
      <x:c r="V135" s="18"/>
      <x:c r="W135" s="18"/>
      <x:c r="X135" s="18"/>
      <x:c r="Y135" s="18" t="str">
        <x:v>hours</x:v>
      </x:c>
      <x:c r="Z135" s="18" t="str">
        <x:v>0.03</x:v>
      </x:c>
      <x:c r="AA135" s="18" t="str">
        <x:v>Yes</x:v>
      </x:c>
      <x:c r="AB135" s="18" t="str">
        <x:v>No</x:v>
      </x:c>
      <x:c r="AC135" s="18" t="str">
        <x:v>MD</x:v>
      </x:c>
      <x:c r="AD135" s="18" t="n">
        <x:v>-13.399999999999999</x:v>
      </x:c>
      <x:c r="AE135" s="18" t="str">
        <x:v>No</x:v>
      </x:c>
      <x:c r="AF135" s="18" t="str">
        <x:v>No</x:v>
      </x:c>
      <x:c r="AG135" s="18" t="str">
        <x:v>Eligible for GI-recovery meta-analysis</x:v>
      </x:c>
      <x:c r="AH135" s="18" t="str">
        <x:v>No</x:v>
      </x:c>
      <x:c r="AI135" s="18" t="str">
        <x:v>Same 6 post-randomization exclusions apply</x:v>
      </x:c>
      <x:c r="AJ135" s="18" t="str">
        <x:v>First defecation result</x:v>
      </x:c>
      <x:c r="AK135" s="18" t="str">
        <x:v>https://drive.google.com/file/d/12Y86huNMuLC8cPH-L2vwlEd7r1X1Qela/view?usp=drivesdk</x:v>
      </x:c>
      <x:c r="AL135" s="18" t="str">
        <x:v>SOURCE-VERIFIED / ATTRITION QC</x:v>
      </x:c>
      <x:c r="AM135" s="18" t="str">
        <x:v>GI recovery</x:v>
      </x:c>
      <x:c r="AN135" s="18" t="str">
        <x:v>Postoperative</x:v>
      </x:c>
      <x:c r="AO135" s="18" t="str">
        <x:v>INCLUDE — SECONDARY GI</x:v>
      </x:c>
      <x:c r="AP135" s="18" t="str">
        <x:v>Source-valid GI recovery outcome; analyze separately by outcome definition.</x:v>
      </x:c>
      <x:c r="AQ135" s="18" t="str">
        <x:v>No</x:v>
      </x:c>
      <x:c r="AR135" s="18" t="str"/>
      <x:c r="AS135" s="18" t="str">
        <x:v>None</x:v>
      </x:c>
      <x:c r="AT135" s="18" t="str">
        <x:v>Time to meet discharge criteria</x:v>
      </x:c>
      <x:c r="AU135" s="18" t="str">
        <x:v>Postoperative</x:v>
      </x:c>
      <x:c r="AV135" s="18" t="str">
        <x:v>High</x:v>
      </x:c>
      <x:c r="AW135" s="18" t="str">
        <x:v>Yes — selected RoB is for a different result/timepoint</x:v>
      </x:c>
      <x:c r="AX135" s="18" t="str">
        <x:v>Lu 2022</x:v>
      </x:c>
      <x:c r="AY135" s="18" t="str">
        <x:v>Primary eligible contrast</x:v>
      </x:c>
      <x:c r="AZ135" s="18" t="str">
        <x:v>Count this study once per synthesis unless a valid multi-arm method is used.</x:v>
      </x:c>
    </x:row>
    <x:row r="136">
      <x:c r="A136" s="18" t="str">
        <x:v>Lu 2022</x:v>
      </x:c>
      <x:c r="B136" s="18" t="str">
        <x:v>LU22_TEAS_vs_CTRL_PCAATTEMPT24</x:v>
      </x:c>
      <x:c r="C136" s="18" t="str">
        <x:v>TEAS + ERAS</x:v>
      </x:c>
      <x:c r="D136" s="18" t="str">
        <x:v>No-current control + ERAS</x:v>
      </x:c>
      <x:c r="E136" s="18" t="str">
        <x:v>Opioid demand</x:v>
      </x:c>
      <x:c r="F136" s="18" t="str">
        <x:v>PCA attempts</x:v>
      </x:c>
      <x:c r="G136" s="18" t="str">
        <x:v>24 h</x:v>
      </x:c>
      <x:c r="H136" s="18" t="str">
        <x:v>Median/IQR</x:v>
      </x:c>
      <x:c r="I136" s="18" t="n">
        <x:v>50</x:v>
      </x:c>
      <x:c r="J136" s="18" t="n">
        <x:v>50</x:v>
      </x:c>
      <x:c r="K136" s="18" t="n">
        <x:v>47</x:v>
      </x:c>
      <x:c r="L136" s="18" t="n">
        <x:v>47</x:v>
      </x:c>
      <x:c r="M136" s="18"/>
      <x:c r="N136" s="18"/>
      <x:c r="O136" s="18" t="n">
        <x:v>8</x:v>
      </x:c>
      <x:c r="P136" s="18" t="n">
        <x:v>3</x:v>
      </x:c>
      <x:c r="Q136" s="18" t="n">
        <x:v>18</x:v>
      </x:c>
      <x:c r="R136" s="18"/>
      <x:c r="S136" s="18"/>
      <x:c r="T136" s="18"/>
      <x:c r="U136" s="18" t="n">
        <x:v>16.5</x:v>
      </x:c>
      <x:c r="V136" s="18" t="n">
        <x:v>8</x:v>
      </x:c>
      <x:c r="W136" s="18" t="n">
        <x:v>38</x:v>
      </x:c>
      <x:c r="X136" s="18"/>
      <x:c r="Y136" s="18" t="str">
        <x:v>attempts</x:v>
      </x:c>
      <x:c r="Z136" s="18" t="str">
        <x:v>0.001</x:v>
      </x:c>
      <x:c r="AA136" s="18" t="str">
        <x:v>Yes</x:v>
      </x:c>
      <x:c r="AB136" s="18" t="str">
        <x:v>No</x:v>
      </x:c>
      <x:c r="AC136" s="18"/>
      <x:c r="AD136" s="18"/>
      <x:c r="AE136" s="18" t="str">
        <x:v>No</x:v>
      </x:c>
      <x:c r="AF136" s="18" t="str">
        <x:v>No</x:v>
      </x:c>
      <x:c r="AG136" s="18" t="str">
        <x:v>Eligible as 24-h PCA-demand proxy only</x:v>
      </x:c>
      <x:c r="AH136" s="18" t="str">
        <x:v>No</x:v>
      </x:c>
      <x:c r="AI136" s="18" t="str">
        <x:v>PCA drug, bolus dose, concentration, basal infusion and lockout are not reported</x:v>
      </x:c>
      <x:c r="AJ136" s="18" t="str">
        <x:v>PCA table / 24-h attempts</x:v>
      </x:c>
      <x:c r="AK136" s="18" t="str">
        <x:v>https://drive.google.com/file/d/12Y86huNMuLC8cPH-L2vwlEd7r1X1Qela/view?usp=drivesdk</x:v>
      </x:c>
      <x:c r="AL136" s="18" t="str">
        <x:v>SOURCE-VERIFIED / DOSE NOT RECONSTRUCTABLE</x:v>
      </x:c>
      <x:c r="AM136" s="18" t="str">
        <x:v>PCA demand/proxy</x:v>
      </x:c>
      <x:c r="AN136" s="18" t="str">
        <x:v>Exact/explicit 24 h</x:v>
      </x:c>
      <x:c r="AO136" s="18" t="str">
        <x:v>CONDITIONAL</x:v>
      </x:c>
      <x:c r="AP136" s="18" t="str">
        <x:v>Source value is valid in its native metric but cannot be converted to the target opioid mass/MME without additional information.</x:v>
      </x:c>
      <x:c r="AQ136" s="18" t="str">
        <x:v>No</x:v>
      </x:c>
      <x:c r="AR136" s="18" t="str"/>
      <x:c r="AS136" s="18" t="str">
        <x:v>Use median/IQR-compatible meta-analysis method; do not relabel as mean/SD</x:v>
      </x:c>
      <x:c r="AT136" s="18" t="str">
        <x:v>Time to meet discharge criteria</x:v>
      </x:c>
      <x:c r="AU136" s="18" t="str">
        <x:v>Postoperative</x:v>
      </x:c>
      <x:c r="AV136" s="18" t="str">
        <x:v>High</x:v>
      </x:c>
      <x:c r="AW136" s="18" t="str">
        <x:v>Yes — selected RoB is for a different result/timepoint</x:v>
      </x:c>
      <x:c r="AX136" s="18" t="str">
        <x:v>Lu 2022</x:v>
      </x:c>
      <x:c r="AY136" s="18" t="str">
        <x:v>Primary eligible contrast</x:v>
      </x:c>
      <x:c r="AZ136" s="18" t="str">
        <x:v>Count this study once per synthesis unless a valid multi-arm method is used.</x:v>
      </x:c>
    </x:row>
    <x:row r="137">
      <x:c r="A137" s="18" t="str">
        <x:v>Lu 2022</x:v>
      </x:c>
      <x:c r="B137" s="18" t="str">
        <x:v>LU22_TEAS_vs_CTRL_PCADELIV24</x:v>
      </x:c>
      <x:c r="C137" s="18" t="str">
        <x:v>TEAS + ERAS</x:v>
      </x:c>
      <x:c r="D137" s="18" t="str">
        <x:v>No-current control + ERAS</x:v>
      </x:c>
      <x:c r="E137" s="18" t="str">
        <x:v>Opioid demand</x:v>
      </x:c>
      <x:c r="F137" s="18" t="str">
        <x:v>Successful PCA deliveries</x:v>
      </x:c>
      <x:c r="G137" s="18" t="str">
        <x:v>24 h</x:v>
      </x:c>
      <x:c r="H137" s="18" t="str">
        <x:v>Median/IQR</x:v>
      </x:c>
      <x:c r="I137" s="18" t="n">
        <x:v>50</x:v>
      </x:c>
      <x:c r="J137" s="18" t="n">
        <x:v>50</x:v>
      </x:c>
      <x:c r="K137" s="18" t="n">
        <x:v>47</x:v>
      </x:c>
      <x:c r="L137" s="18" t="n">
        <x:v>47</x:v>
      </x:c>
      <x:c r="M137" s="18"/>
      <x:c r="N137" s="18"/>
      <x:c r="O137" s="18" t="n">
        <x:v>5</x:v>
      </x:c>
      <x:c r="P137" s="18" t="n">
        <x:v>2</x:v>
      </x:c>
      <x:c r="Q137" s="18" t="n">
        <x:v>12</x:v>
      </x:c>
      <x:c r="R137" s="18"/>
      <x:c r="S137" s="18"/>
      <x:c r="T137" s="18"/>
      <x:c r="U137" s="18" t="n">
        <x:v>12</x:v>
      </x:c>
      <x:c r="V137" s="18" t="n">
        <x:v>6</x:v>
      </x:c>
      <x:c r="W137" s="18" t="n">
        <x:v>22</x:v>
      </x:c>
      <x:c r="X137" s="18"/>
      <x:c r="Y137" s="18" t="str">
        <x:v>deliveries</x:v>
      </x:c>
      <x:c r="Z137" s="18" t="str">
        <x:v>0.001</x:v>
      </x:c>
      <x:c r="AA137" s="18" t="str">
        <x:v>Yes</x:v>
      </x:c>
      <x:c r="AB137" s="18" t="str">
        <x:v>No</x:v>
      </x:c>
      <x:c r="AC137" s="18"/>
      <x:c r="AD137" s="18"/>
      <x:c r="AE137" s="18" t="str">
        <x:v>No</x:v>
      </x:c>
      <x:c r="AF137" s="18" t="str">
        <x:v>No</x:v>
      </x:c>
      <x:c r="AG137" s="18" t="str">
        <x:v>Eligible as 24-h PCA-delivery proxy only</x:v>
      </x:c>
      <x:c r="AH137" s="18" t="str">
        <x:v>No</x:v>
      </x:c>
      <x:c r="AI137" s="18" t="str">
        <x:v>Do not convert successful deliveries into opioid dose because the PCA prescription is absent</x:v>
      </x:c>
      <x:c r="AJ137" s="18" t="str">
        <x:v>PCA table / 24-h deliveries</x:v>
      </x:c>
      <x:c r="AK137" s="18" t="str">
        <x:v>https://drive.google.com/file/d/12Y86huNMuLC8cPH-L2vwlEd7r1X1Qela/view?usp=drivesdk</x:v>
      </x:c>
      <x:c r="AL137" s="18" t="str">
        <x:v>SOURCE-VERIFIED / DOSE NOT RECONSTRUCTABLE</x:v>
      </x:c>
      <x:c r="AM137" s="18" t="str">
        <x:v>PCA demand/proxy</x:v>
      </x:c>
      <x:c r="AN137" s="18" t="str">
        <x:v>Exact/explicit 24 h</x:v>
      </x:c>
      <x:c r="AO137" s="18" t="str">
        <x:v>CONDITIONAL</x:v>
      </x:c>
      <x:c r="AP137" s="18" t="str">
        <x:v>Source value is valid in its native metric but cannot be converted to the target opioid mass/MME without additional information.</x:v>
      </x:c>
      <x:c r="AQ137" s="18" t="str">
        <x:v>No</x:v>
      </x:c>
      <x:c r="AR137" s="18" t="str"/>
      <x:c r="AS137" s="18" t="str">
        <x:v>Use median/IQR-compatible meta-analysis method; do not relabel as mean/SD</x:v>
      </x:c>
      <x:c r="AT137" s="18" t="str">
        <x:v>Time to meet discharge criteria</x:v>
      </x:c>
      <x:c r="AU137" s="18" t="str">
        <x:v>Postoperative</x:v>
      </x:c>
      <x:c r="AV137" s="18" t="str">
        <x:v>High</x:v>
      </x:c>
      <x:c r="AW137" s="18" t="str">
        <x:v>Yes — selected RoB is for a different result/timepoint</x:v>
      </x:c>
      <x:c r="AX137" s="18" t="str">
        <x:v>Lu 2022</x:v>
      </x:c>
      <x:c r="AY137" s="18" t="str">
        <x:v>Primary eligible contrast</x:v>
      </x:c>
      <x:c r="AZ137" s="18" t="str">
        <x:v>Count this study once per synthesis unless a valid multi-arm method is used.</x:v>
      </x:c>
    </x:row>
    <x:row r="138">
      <x:c r="A138" s="18" t="str">
        <x:v>Lu 2022</x:v>
      </x:c>
      <x:c r="B138" s="18" t="str">
        <x:v>LU22_TEAS_vs_CTRL_OPIOID24</x:v>
      </x:c>
      <x:c r="C138" s="18" t="str">
        <x:v>TEAS + ERAS</x:v>
      </x:c>
      <x:c r="D138" s="18" t="str">
        <x:v>No-current control + ERAS</x:v>
      </x:c>
      <x:c r="E138" s="18" t="str">
        <x:v>Opioid consumption</x:v>
      </x:c>
      <x:c r="F138" s="18" t="str">
        <x:v>Exact cumulative PCA opioid consumption</x:v>
      </x:c>
      <x:c r="G138" s="18" t="str">
        <x:v>0-24 h</x:v>
      </x:c>
      <x:c r="H138" s="18" t="str">
        <x:v>Not reported</x:v>
      </x:c>
      <x:c r="I138" s="18" t="n">
        <x:v>50</x:v>
      </x:c>
      <x:c r="J138" s="18" t="n">
        <x:v>50</x:v>
      </x:c>
      <x:c r="K138" s="18" t="n">
        <x:v>47</x:v>
      </x:c>
      <x:c r="L138" s="18" t="n">
        <x:v>47</x:v>
      </x:c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 t="str">
        <x:v>mg/µg</x:v>
      </x:c>
      <x:c r="Z138" s="18"/>
      <x:c r="AA138" s="18" t="str">
        <x:v>No</x:v>
      </x:c>
      <x:c r="AB138" s="18" t="str">
        <x:v>No</x:v>
      </x:c>
      <x:c r="AC138" s="18"/>
      <x:c r="AD138" s="18"/>
      <x:c r="AE138" s="18" t="str">
        <x:v>No</x:v>
      </x:c>
      <x:c r="AF138" s="18" t="str">
        <x:v>No</x:v>
      </x:c>
      <x:c r="AG138" s="18" t="str">
        <x:v>Not eligible for continuous 24-h opioid meta-analysis without supplementary/author data</x:v>
      </x:c>
      <x:c r="AH138" s="18" t="str">
        <x:v>No</x:v>
      </x:c>
      <x:c r="AI138" s="18" t="str">
        <x:v>The main article never identifies the PCA drug or dose</x:v>
      </x:c>
      <x:c r="AJ138" s="18" t="str">
        <x:v>Postoperative PCA section</x:v>
      </x:c>
      <x:c r="AK138" s="18" t="str">
        <x:v>https://drive.google.com/file/d/12Y86huNMuLC8cPH-L2vwlEd7r1X1Qela/view?usp=drivesdk</x:v>
      </x:c>
      <x:c r="AL138" s="18" t="str">
        <x:v>MISSING / PCA DRUG AND DOSE NR</x:v>
      </x:c>
      <x:c r="AM138" s="18" t="str">
        <x:v>Postoperative opioid consumption</x:v>
      </x:c>
      <x:c r="AN138" s="18" t="str">
        <x:v>Exact/explicit 24 h</x:v>
      </x:c>
      <x:c r="AO138" s="18" t="str">
        <x:v>EXCLUDE — DATA UNAVAILABLE</x:v>
      </x:c>
      <x:c r="AP138" s="18" t="str">
        <x:v>The source does not provide a defensible quantitative value for this analysis.</x:v>
      </x:c>
      <x:c r="AQ138" s="18" t="str">
        <x:v>No</x:v>
      </x:c>
      <x:c r="AR138" s="18" t="str"/>
      <x:c r="AS138" s="18" t="str">
        <x:v>None</x:v>
      </x:c>
      <x:c r="AT138" s="18" t="str">
        <x:v>Time to meet discharge criteria</x:v>
      </x:c>
      <x:c r="AU138" s="18" t="str">
        <x:v>Postoperative</x:v>
      </x:c>
      <x:c r="AV138" s="18" t="str">
        <x:v>High</x:v>
      </x:c>
      <x:c r="AW138" s="18" t="str">
        <x:v>Yes — selected RoB is for a different result/timepoint</x:v>
      </x:c>
      <x:c r="AX138" s="18" t="str">
        <x:v>Lu 2022</x:v>
      </x:c>
      <x:c r="AY138" s="18" t="str">
        <x:v>Primary eligible contrast</x:v>
      </x:c>
      <x:c r="AZ138" s="18" t="str">
        <x:v>Count this study once per synthesis unless a valid multi-arm method is used.</x:v>
      </x:c>
    </x:row>
    <x:row r="139">
      <x:c r="A139" s="18" t="str">
        <x:v>Luo 2026</x:v>
      </x:c>
      <x:c r="B139" s="18" t="str">
        <x:v>LUO26_TEAS_vs_SHAM_NAUSEA48</x:v>
      </x:c>
      <x:c r="C139" s="18" t="str">
        <x:v>Intraoperative PC6 TEAS + standard antiemetics</x:v>
      </x:c>
      <x:c r="D139" s="18" t="str">
        <x:v>Sham/no current + standard antiemetics</x:v>
      </x:c>
      <x:c r="E139" s="18" t="str">
        <x:v>PONV</x:v>
      </x:c>
      <x:c r="F139" s="18" t="str">
        <x:v>Cumulative postoperative nausea</x:v>
      </x:c>
      <x:c r="G139" s="18" t="str">
        <x:v>0-48 h</x:v>
      </x:c>
      <x:c r="H139" s="18" t="str">
        <x:v>Events/total</x:v>
      </x:c>
      <x:c r="I139" s="18" t="n">
        <x:v>138</x:v>
      </x:c>
      <x:c r="J139" s="18" t="n">
        <x:v>139</x:v>
      </x:c>
      <x:c r="K139" s="18" t="n">
        <x:v>138</x:v>
      </x:c>
      <x:c r="L139" s="18" t="n">
        <x:v>139</x:v>
      </x:c>
      <x:c r="M139" s="18"/>
      <x:c r="N139" s="18"/>
      <x:c r="O139" s="18"/>
      <x:c r="P139" s="18"/>
      <x:c r="Q139" s="18"/>
      <x:c r="R139" s="18" t="n">
        <x:v>24</x:v>
      </x:c>
      <x:c r="S139" s="18"/>
      <x:c r="T139" s="18"/>
      <x:c r="U139" s="18"/>
      <x:c r="V139" s="18"/>
      <x:c r="W139" s="18"/>
      <x:c r="X139" s="18" t="n">
        <x:v>53</x:v>
      </x:c>
      <x:c r="Y139" s="18" t="str">
        <x:v>participants</x:v>
      </x:c>
      <x:c r="Z139" s="18" t="str">
        <x:v>&lt;0.01</x:v>
      </x:c>
      <x:c r="AA139" s="18" t="str">
        <x:v>Yes</x:v>
      </x:c>
      <x:c r="AB139" s="18" t="str">
        <x:v>No</x:v>
      </x:c>
      <x:c r="AC139" s="18" t="str">
        <x:v>RR</x:v>
      </x:c>
      <x:c r="AD139" s="18" t="n">
        <x:v>0.45611156685808035</x:v>
      </x:c>
      <x:c r="AE139" s="18" t="str">
        <x:v>No</x:v>
      </x:c>
      <x:c r="AF139" s="18" t="str">
        <x:v>No</x:v>
      </x:c>
      <x:c r="AG139" s="18" t="str">
        <x:v>Eligible for dichotomous 48-h nausea analysis</x:v>
      </x:c>
      <x:c r="AH139" s="18" t="str">
        <x:v>No</x:v>
      </x:c>
      <x:c r="AI139" s="18" t="str">
        <x:v>Participant blinding was empirically poor: 77.5% of TEAS and 66.2% of sham participants correctly guessed allocation</x:v>
      </x:c>
      <x:c r="AJ139" s="18" t="str">
        <x:v>Primary outcome / cumulative nausea</x:v>
      </x:c>
      <x:c r="AK139" s="18" t="str">
        <x:v>https://drive.google.com/file/d/1xxZle6mPpcnmHLblJbsy1kA4CyQHpvm2/view?usp=drivesdk</x:v>
      </x:c>
      <x:c r="AL139" s="18" t="str">
        <x:v>SOURCE-VERIFIED</x:v>
      </x:c>
      <x:c r="AM139" s="18" t="str">
        <x:v>PONV</x:v>
      </x:c>
      <x:c r="AN139" s="18" t="str">
        <x:v>48 h</x:v>
      </x:c>
      <x:c r="AO139" s="18" t="str">
        <x:v>INCLUDE — SEPARATE TIME WINDOW</x:v>
      </x:c>
      <x:c r="AP139" s="18" t="str">
        <x:v>Valid 48 h PONV endpoint; analyze separately from 24-h PONV.</x:v>
      </x:c>
      <x:c r="AQ139" s="18" t="str">
        <x:v>No</x:v>
      </x:c>
      <x:c r="AR139" s="18" t="str"/>
      <x:c r="AS139" s="18" t="str">
        <x:v>Binary effect measure (RR preferred per protocol)</x:v>
      </x:c>
      <x:c r="AT139" s="18" t="str">
        <x:v>Cumulative postoperative nausea</x:v>
      </x:c>
      <x:c r="AU139" s="18" t="str">
        <x:v>0-48 h</x:v>
      </x:c>
      <x:c r="AV139" s="18" t="str">
        <x:v>Some concerns</x:v>
      </x:c>
      <x:c r="AW139" s="18" t="str">
        <x:v>No — selected RoB matches this result</x:v>
      </x:c>
      <x:c r="AX139" s="18" t="str">
        <x:v>Luo 2026</x:v>
      </x:c>
      <x:c r="AY139" s="18" t="str">
        <x:v>Primary eligible contrast</x:v>
      </x:c>
      <x:c r="AZ139" s="18" t="str">
        <x:v>Count this study once per synthesis unless a valid multi-arm method is used.</x:v>
      </x:c>
    </x:row>
    <x:row r="140">
      <x:c r="A140" s="18" t="str">
        <x:v>Luo 2026</x:v>
      </x:c>
      <x:c r="B140" s="18" t="str">
        <x:v>LUO26_TEAS_vs_SHAM_VOMIT48</x:v>
      </x:c>
      <x:c r="C140" s="18" t="str">
        <x:v>Intraoperative PC6 TEAS + standard antiemetics</x:v>
      </x:c>
      <x:c r="D140" s="18" t="str">
        <x:v>Sham/no current + standard antiemetics</x:v>
      </x:c>
      <x:c r="E140" s="18" t="str">
        <x:v>PONV</x:v>
      </x:c>
      <x:c r="F140" s="18" t="str">
        <x:v>Cumulative postoperative vomiting</x:v>
      </x:c>
      <x:c r="G140" s="18" t="str">
        <x:v>0-48 h</x:v>
      </x:c>
      <x:c r="H140" s="18" t="str">
        <x:v>Events/total</x:v>
      </x:c>
      <x:c r="I140" s="18" t="n">
        <x:v>138</x:v>
      </x:c>
      <x:c r="J140" s="18" t="n">
        <x:v>139</x:v>
      </x:c>
      <x:c r="K140" s="18" t="n">
        <x:v>138</x:v>
      </x:c>
      <x:c r="L140" s="18" t="n">
        <x:v>139</x:v>
      </x:c>
      <x:c r="M140" s="18"/>
      <x:c r="N140" s="18"/>
      <x:c r="O140" s="18"/>
      <x:c r="P140" s="18"/>
      <x:c r="Q140" s="18"/>
      <x:c r="R140" s="18" t="n">
        <x:v>9</x:v>
      </x:c>
      <x:c r="S140" s="18"/>
      <x:c r="T140" s="18"/>
      <x:c r="U140" s="18"/>
      <x:c r="V140" s="18"/>
      <x:c r="W140" s="18"/>
      <x:c r="X140" s="18" t="n">
        <x:v>27</x:v>
      </x:c>
      <x:c r="Y140" s="18" t="str">
        <x:v>participants</x:v>
      </x:c>
      <x:c r="Z140" s="18" t="str">
        <x:v>&lt;0.01</x:v>
      </x:c>
      <x:c r="AA140" s="18" t="str">
        <x:v>Yes</x:v>
      </x:c>
      <x:c r="AB140" s="18" t="str">
        <x:v>No</x:v>
      </x:c>
      <x:c r="AC140" s="18" t="str">
        <x:v>RR</x:v>
      </x:c>
      <x:c r="AD140" s="18" t="n">
        <x:v>0.3357487922705314</x:v>
      </x:c>
      <x:c r="AE140" s="18" t="str">
        <x:v>No</x:v>
      </x:c>
      <x:c r="AF140" s="18" t="str">
        <x:v>No</x:v>
      </x:c>
      <x:c r="AG140" s="18" t="str">
        <x:v>Eligible for dichotomous 48-h vomiting analysis</x:v>
      </x:c>
      <x:c r="AH140" s="18" t="str">
        <x:v>No</x:v>
      </x:c>
      <x:c r="AI140" s="18" t="str">
        <x:v>Vomiting is more objective than nausea, but participant masking was incomplete</x:v>
      </x:c>
      <x:c r="AJ140" s="18" t="str">
        <x:v>Primary outcome / cumulative vomiting</x:v>
      </x:c>
      <x:c r="AK140" s="18" t="str">
        <x:v>https://drive.google.com/file/d/1xxZle6mPpcnmHLblJbsy1kA4CyQHpvm2/view?usp=drivesdk</x:v>
      </x:c>
      <x:c r="AL140" s="18" t="str">
        <x:v>SOURCE-VERIFIED</x:v>
      </x:c>
      <x:c r="AM140" s="18" t="str">
        <x:v>PONV</x:v>
      </x:c>
      <x:c r="AN140" s="18" t="str">
        <x:v>48 h</x:v>
      </x:c>
      <x:c r="AO140" s="18" t="str">
        <x:v>INCLUDE — SEPARATE TIME WINDOW</x:v>
      </x:c>
      <x:c r="AP140" s="18" t="str">
        <x:v>Valid 48 h PONV endpoint; analyze separately from 24-h PONV.</x:v>
      </x:c>
      <x:c r="AQ140" s="18" t="str">
        <x:v>No</x:v>
      </x:c>
      <x:c r="AR140" s="18" t="str"/>
      <x:c r="AS140" s="18" t="str">
        <x:v>Binary effect measure (RR preferred per protocol)</x:v>
      </x:c>
      <x:c r="AT140" s="18" t="str">
        <x:v>Cumulative postoperative nausea</x:v>
      </x:c>
      <x:c r="AU140" s="18" t="str">
        <x:v>0-48 h</x:v>
      </x:c>
      <x:c r="AV140" s="18" t="str">
        <x:v>Some concerns</x:v>
      </x:c>
      <x:c r="AW140" s="18" t="str">
        <x:v>Yes — selected RoB is for a different result/timepoint</x:v>
      </x:c>
      <x:c r="AX140" s="18" t="str">
        <x:v>Luo 2026</x:v>
      </x:c>
      <x:c r="AY140" s="18" t="str">
        <x:v>Primary eligible contrast</x:v>
      </x:c>
      <x:c r="AZ140" s="18" t="str">
        <x:v>Count this study once per synthesis unless a valid multi-arm method is used.</x:v>
      </x:c>
    </x:row>
    <x:row r="141">
      <x:c r="A141" s="18" t="str">
        <x:v>Luo 2026</x:v>
      </x:c>
      <x:c r="B141" s="18" t="str">
        <x:v>LUO26_TEAS_vs_SHAM_COMPLETE48</x:v>
      </x:c>
      <x:c r="C141" s="18" t="str">
        <x:v>Intraoperative PC6 TEAS + standard antiemetics</x:v>
      </x:c>
      <x:c r="D141" s="18" t="str">
        <x:v>Sham/no current + standard antiemetics</x:v>
      </x:c>
      <x:c r="E141" s="18" t="str">
        <x:v>PONV</x:v>
      </x:c>
      <x:c r="F141" s="18" t="str">
        <x:v>Complete response: no vomiting and no rescue antiemetic</x:v>
      </x:c>
      <x:c r="G141" s="18" t="str">
        <x:v>0-48 h</x:v>
      </x:c>
      <x:c r="H141" s="18" t="str">
        <x:v>Events/total</x:v>
      </x:c>
      <x:c r="I141" s="18" t="n">
        <x:v>138</x:v>
      </x:c>
      <x:c r="J141" s="18" t="n">
        <x:v>139</x:v>
      </x:c>
      <x:c r="K141" s="18" t="n">
        <x:v>138</x:v>
      </x:c>
      <x:c r="L141" s="18" t="n">
        <x:v>139</x:v>
      </x:c>
      <x:c r="M141" s="18"/>
      <x:c r="N141" s="18"/>
      <x:c r="O141" s="18"/>
      <x:c r="P141" s="18"/>
      <x:c r="Q141" s="18"/>
      <x:c r="R141" s="18" t="n">
        <x:v>112</x:v>
      </x:c>
      <x:c r="S141" s="18"/>
      <x:c r="T141" s="18"/>
      <x:c r="U141" s="18"/>
      <x:c r="V141" s="18"/>
      <x:c r="W141" s="18"/>
      <x:c r="X141" s="18" t="n">
        <x:v>83</x:v>
      </x:c>
      <x:c r="Y141" s="18" t="str">
        <x:v>participants</x:v>
      </x:c>
      <x:c r="Z141" s="18" t="str">
        <x:v>&lt;0.01</x:v>
      </x:c>
      <x:c r="AA141" s="18" t="str">
        <x:v>Yes</x:v>
      </x:c>
      <x:c r="AB141" s="18" t="str">
        <x:v>No</x:v>
      </x:c>
      <x:c r="AC141" s="18" t="str">
        <x:v>RR</x:v>
      </x:c>
      <x:c r="AD141" s="18" t="n">
        <x:v>1.3591758337698623</x:v>
      </x:c>
      <x:c r="AE141" s="18" t="str">
        <x:v>No</x:v>
      </x:c>
      <x:c r="AF141" s="18" t="str">
        <x:v>No</x:v>
      </x:c>
      <x:c r="AG141" s="18" t="str">
        <x:v>Eligible for dichotomous complete-response analysis</x:v>
      </x:c>
      <x:c r="AH141" s="18" t="str">
        <x:v>No</x:v>
      </x:c>
      <x:c r="AI141" s="18" t="str">
        <x:v>Abstract percentage differs slightly from table-derived 112/138; use raw counts</x:v>
      </x:c>
      <x:c r="AJ141" s="18" t="str">
        <x:v>Complete-response result</x:v>
      </x:c>
      <x:c r="AK141" s="18" t="str">
        <x:v>https://drive.google.com/file/d/1xxZle6mPpcnmHLblJbsy1kA4CyQHpvm2/view?usp=drivesdk</x:v>
      </x:c>
      <x:c r="AL141" s="18" t="str">
        <x:v>SOURCE-VERIFIED / ABSTRACT % QC</x:v>
      </x:c>
      <x:c r="AM141" s="18" t="str">
        <x:v>PONV</x:v>
      </x:c>
      <x:c r="AN141" s="18" t="str">
        <x:v>48 h</x:v>
      </x:c>
      <x:c r="AO141" s="18" t="str">
        <x:v>INCLUDE — SEPARATE TIME WINDOW</x:v>
      </x:c>
      <x:c r="AP141" s="18" t="str">
        <x:v>Valid 48 h PONV endpoint; analyze separately from 24-h PONV.</x:v>
      </x:c>
      <x:c r="AQ141" s="18" t="str">
        <x:v>No</x:v>
      </x:c>
      <x:c r="AR141" s="18" t="str"/>
      <x:c r="AS141" s="18" t="str">
        <x:v>Binary effect measure (RR preferred per protocol)</x:v>
      </x:c>
      <x:c r="AT141" s="18" t="str">
        <x:v>Cumulative postoperative nausea</x:v>
      </x:c>
      <x:c r="AU141" s="18" t="str">
        <x:v>0-48 h</x:v>
      </x:c>
      <x:c r="AV141" s="18" t="str">
        <x:v>Some concerns</x:v>
      </x:c>
      <x:c r="AW141" s="18" t="str">
        <x:v>Yes — selected RoB is for a different result/timepoint</x:v>
      </x:c>
      <x:c r="AX141" s="18" t="str">
        <x:v>Luo 2026</x:v>
      </x:c>
      <x:c r="AY141" s="18" t="str">
        <x:v>Primary eligible contrast</x:v>
      </x:c>
      <x:c r="AZ141" s="18" t="str">
        <x:v>Count this study once per synthesis unless a valid multi-arm method is used.</x:v>
      </x:c>
    </x:row>
    <x:row r="142">
      <x:c r="A142" s="18" t="str">
        <x:v>Luo 2026</x:v>
      </x:c>
      <x:c r="B142" s="18" t="str">
        <x:v>LUO26_TEAS_vs_SHAM_NRS24</x:v>
      </x:c>
      <x:c r="C142" s="18" t="str">
        <x:v>Intraoperative PC6 TEAS + standard antiemetics</x:v>
      </x:c>
      <x:c r="D142" s="18" t="str">
        <x:v>Sham/no current + standard antiemetics</x:v>
      </x:c>
      <x:c r="E142" s="18" t="str">
        <x:v>Pain</x:v>
      </x:c>
      <x:c r="F142" s="18" t="str">
        <x:v>Postoperative NRS pain</x:v>
      </x:c>
      <x:c r="G142" s="18" t="str">
        <x:v>24 h</x:v>
      </x:c>
      <x:c r="H142" s="18" t="str">
        <x:v>Mean/SD</x:v>
      </x:c>
      <x:c r="I142" s="18" t="n">
        <x:v>138</x:v>
      </x:c>
      <x:c r="J142" s="18" t="n">
        <x:v>139</x:v>
      </x:c>
      <x:c r="K142" s="18" t="n">
        <x:v>138</x:v>
      </x:c>
      <x:c r="L142" s="18" t="n">
        <x:v>139</x:v>
      </x:c>
      <x:c r="M142" s="18" t="n">
        <x:v>1.3</x:v>
      </x:c>
      <x:c r="N142" s="18" t="n">
        <x:v>0.92</x:v>
      </x:c>
      <x:c r="O142" s="18"/>
      <x:c r="P142" s="18"/>
      <x:c r="Q142" s="18"/>
      <x:c r="R142" s="18"/>
      <x:c r="S142" s="18" t="n">
        <x:v>1.65</x:v>
      </x:c>
      <x:c r="T142" s="18" t="n">
        <x:v>0.95</x:v>
      </x:c>
      <x:c r="U142" s="18"/>
      <x:c r="V142" s="18"/>
      <x:c r="W142" s="18"/>
      <x:c r="X142" s="18"/>
      <x:c r="Y142" s="18" t="str">
        <x:v>NRS 0-10</x:v>
      </x:c>
      <x:c r="Z142" s="18" t="str">
        <x:v>&lt;0.01</x:v>
      </x:c>
      <x:c r="AA142" s="18" t="str">
        <x:v>Yes</x:v>
      </x:c>
      <x:c r="AB142" s="18" t="str">
        <x:v>No</x:v>
      </x:c>
      <x:c r="AC142" s="18" t="str">
        <x:v>MD</x:v>
      </x:c>
      <x:c r="AD142" s="18" t="n">
        <x:v>-0.34999999999999987</x:v>
      </x:c>
      <x:c r="AE142" s="18" t="str">
        <x:v>No</x:v>
      </x:c>
      <x:c r="AF142" s="18" t="str">
        <x:v>No</x:v>
      </x:c>
      <x:c r="AG142" s="18" t="str">
        <x:v>Eligible for 24-h pain analysis</x:v>
      </x:c>
      <x:c r="AH142" s="18" t="str">
        <x:v>No</x:v>
      </x:c>
      <x:c r="AI142" s="18" t="str">
        <x:v>Rest-versus-movement condition is not reported; participant masking was incomplete</x:v>
      </x:c>
      <x:c r="AJ142" s="18" t="str">
        <x:v>Postoperative pain table / 24 h</x:v>
      </x:c>
      <x:c r="AK142" s="18" t="str">
        <x:v>https://drive.google.com/file/d/1xxZle6mPpcnmHLblJbsy1kA4CyQHpvm2/view?usp=drivesdk</x:v>
      </x:c>
      <x:c r="AL142" s="18" t="str">
        <x:v>SOURCE-VERIFIED</x:v>
      </x:c>
      <x:c r="AM142" s="18" t="str">
        <x:v>Pain</x:v>
      </x:c>
      <x:c r="AN142" s="18" t="str">
        <x:v>Exact/explicit 24 h</x:v>
      </x:c>
      <x:c r="AO142" s="18" t="str">
        <x:v>INCLUDE</x:v>
      </x:c>
      <x:c r="AP142" s="18" t="str">
        <x:v>Explicit 24-h pain endpoint with quantitative source data.</x:v>
      </x:c>
      <x:c r="AQ142" s="18" t="str">
        <x:v>Yes</x:v>
      </x:c>
      <x:c r="AR142" s="18" t="str"/>
      <x:c r="AS142" s="18" t="str">
        <x:v>None</x:v>
      </x:c>
      <x:c r="AT142" s="18" t="str">
        <x:v>Cumulative postoperative nausea</x:v>
      </x:c>
      <x:c r="AU142" s="18" t="str">
        <x:v>0-48 h</x:v>
      </x:c>
      <x:c r="AV142" s="18" t="str">
        <x:v>Some concerns</x:v>
      </x:c>
      <x:c r="AW142" s="18" t="str">
        <x:v>Yes — selected RoB is for a different result/timepoint</x:v>
      </x:c>
      <x:c r="AX142" s="18" t="str">
        <x:v>Luo 2026</x:v>
      </x:c>
      <x:c r="AY142" s="18" t="str">
        <x:v>Primary eligible contrast</x:v>
      </x:c>
      <x:c r="AZ142" s="18" t="str">
        <x:v>Count this study once per synthesis unless a valid multi-arm method is used.</x:v>
      </x:c>
    </x:row>
    <x:row r="143">
      <x:c r="A143" s="18" t="str">
        <x:v>Luo 2026</x:v>
      </x:c>
      <x:c r="B143" s="18" t="str">
        <x:v>LUO26_TEAS_vs_SHAM_OPIOIDEQUIV</x:v>
      </x:c>
      <x:c r="C143" s="18" t="str">
        <x:v>Intraoperative PC6 TEAS + standard antiemetics</x:v>
      </x:c>
      <x:c r="D143" s="18" t="str">
        <x:v>Sham/no current + standard antiemetics</x:v>
      </x:c>
      <x:c r="E143" s="18" t="str">
        <x:v>Perioperative opioid</x:v>
      </x:c>
      <x:c r="F143" s="18" t="str">
        <x:v>Published 'sufentanil equivalents' metric</x:v>
      </x:c>
      <x:c r="G143" s="18" t="str">
        <x:v>Perioperative</x:v>
      </x:c>
      <x:c r="H143" s="18" t="str">
        <x:v>Mean/SD</x:v>
      </x:c>
      <x:c r="I143" s="18" t="n">
        <x:v>138</x:v>
      </x:c>
      <x:c r="J143" s="18" t="n">
        <x:v>139</x:v>
      </x:c>
      <x:c r="K143" s="18" t="n">
        <x:v>138</x:v>
      </x:c>
      <x:c r="L143" s="18" t="n">
        <x:v>139</x:v>
      </x:c>
      <x:c r="M143" s="18" t="n">
        <x:v>15.86</x:v>
      </x:c>
      <x:c r="N143" s="18" t="n">
        <x:v>5.11</x:v>
      </x:c>
      <x:c r="O143" s="18"/>
      <x:c r="P143" s="18"/>
      <x:c r="Q143" s="18"/>
      <x:c r="R143" s="18"/>
      <x:c r="S143" s="18" t="n">
        <x:v>15.18</x:v>
      </x:c>
      <x:c r="T143" s="18" t="n">
        <x:v>4.95</x:v>
      </x:c>
      <x:c r="U143" s="18"/>
      <x:c r="V143" s="18"/>
      <x:c r="W143" s="18"/>
      <x:c r="X143" s="18"/>
      <x:c r="Y143" s="18" t="str">
        <x:v>published as mg; definition/unit unresolved</x:v>
      </x:c>
      <x:c r="Z143" s="18" t="str">
        <x:v>0.27</x:v>
      </x:c>
      <x:c r="AA143" s="18" t="str">
        <x:v>Yes</x:v>
      </x:c>
      <x:c r="AB143" s="18" t="str">
        <x:v>No</x:v>
      </x:c>
      <x:c r="AC143" s="18" t="str">
        <x:v>MD</x:v>
      </x:c>
      <x:c r="AD143" s="18" t="n">
        <x:v>0.6799999999999997</x:v>
      </x:c>
      <x:c r="AE143" s="18" t="str">
        <x:v>No</x:v>
      </x:c>
      <x:c r="AF143" s="18" t="str">
        <x:v>No</x:v>
      </x:c>
      <x:c r="AG143" s="18" t="str">
        <x:v>Do not harmonize to MME or actual sufentanil mass until authors clarify conversion and unit</x:v>
      </x:c>
      <x:c r="AH143" s="18" t="str">
        <x:v>No</x:v>
      </x:c>
      <x:c r="AI143" s="18" t="str">
        <x:v>Source labels approximately 15-16 as 'sufentanil equivalents (mg)' without explaining conversion; preserve verbatim</x:v>
      </x:c>
      <x:c r="AJ143" s="18" t="str">
        <x:v>Table 1 / perioperative opioid metric</x:v>
      </x:c>
      <x:c r="AK143" s="18" t="str">
        <x:v>https://drive.google.com/file/d/1xxZle6mPpcnmHLblJbsy1kA4CyQHpvm2/view?usp=drivesdk</x:v>
      </x:c>
      <x:c r="AL143" s="18" t="str">
        <x:v>SOURCE-VERIFIED / UNIT UNRESOLVED</x:v>
      </x:c>
      <x:c r="AM143" s="18" t="str">
        <x:v>Postoperative opioid consumption</x:v>
      </x:c>
      <x:c r="AN143" s="18" t="str">
        <x:v>Perioperative</x:v>
      </x:c>
      <x:c r="AO143" s="18" t="str">
        <x:v>CONDITIONAL</x:v>
      </x:c>
      <x:c r="AP143" s="18" t="str">
        <x:v>Source value is valid in its native metric but cannot be converted to the target opioid mass/MME without additional information.</x:v>
      </x:c>
      <x:c r="AQ143" s="18" t="str">
        <x:v>No</x:v>
      </x:c>
      <x:c r="AR143" s="18" t="str"/>
      <x:c r="AS143" s="18" t="str">
        <x:v>None</x:v>
      </x:c>
      <x:c r="AT143" s="18" t="str">
        <x:v>Cumulative postoperative nausea</x:v>
      </x:c>
      <x:c r="AU143" s="18" t="str">
        <x:v>0-48 h</x:v>
      </x:c>
      <x:c r="AV143" s="18" t="str">
        <x:v>Some concerns</x:v>
      </x:c>
      <x:c r="AW143" s="18" t="str">
        <x:v>Yes — selected RoB is for a different result/timepoint</x:v>
      </x:c>
      <x:c r="AX143" s="18" t="str">
        <x:v>Luo 2026</x:v>
      </x:c>
      <x:c r="AY143" s="18" t="str">
        <x:v>Primary eligible contrast</x:v>
      </x:c>
      <x:c r="AZ143" s="18" t="str">
        <x:v>Count this study once per synthesis unless a valid multi-arm method is used.</x:v>
      </x:c>
    </x:row>
    <x:row r="144">
      <x:c r="A144" s="18" t="str">
        <x:v>Luo 2026</x:v>
      </x:c>
      <x:c r="B144" s="18" t="str">
        <x:v>LUO26_TEAS_vs_SHAM_OPIOID24</x:v>
      </x:c>
      <x:c r="C144" s="18" t="str">
        <x:v>Intraoperative PC6 TEAS + standard antiemetics</x:v>
      </x:c>
      <x:c r="D144" s="18" t="str">
        <x:v>Sham/no current + standard antiemetics</x:v>
      </x:c>
      <x:c r="E144" s="18" t="str">
        <x:v>Opioid consumption</x:v>
      </x:c>
      <x:c r="F144" s="18" t="str">
        <x:v>Cumulative postoperative oxycodone consumption</x:v>
      </x:c>
      <x:c r="G144" s="18" t="str">
        <x:v>0-24 h</x:v>
      </x:c>
      <x:c r="H144" s="18" t="str">
        <x:v>Not reported</x:v>
      </x:c>
      <x:c r="I144" s="18" t="n">
        <x:v>138</x:v>
      </x:c>
      <x:c r="J144" s="18" t="n">
        <x:v>139</x:v>
      </x:c>
      <x:c r="K144" s="18" t="n">
        <x:v>138</x:v>
      </x:c>
      <x:c r="L144" s="18" t="n">
        <x:v>139</x:v>
      </x:c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 t="str">
        <x:v>mg oxycodone</x:v>
      </x:c>
      <x:c r="Z144" s="18"/>
      <x:c r="AA144" s="18" t="str">
        <x:v>No</x:v>
      </x:c>
      <x:c r="AB144" s="18" t="str">
        <x:v>No</x:v>
      </x:c>
      <x:c r="AC144" s="18"/>
      <x:c r="AD144" s="18"/>
      <x:c r="AE144" s="18" t="str">
        <x:v>No</x:v>
      </x:c>
      <x:c r="AF144" s="18" t="str">
        <x:v>No</x:v>
      </x:c>
      <x:c r="AG144" s="18" t="str">
        <x:v>Not eligible for continuous 24-h opioid/MME meta-analysis</x:v>
      </x:c>
      <x:c r="AH144" s="18" t="str">
        <x:v>No</x:v>
      </x:c>
      <x:c r="AI144" s="18" t="str">
        <x:v>Postoperative IV oxycodone is described, but schedule and group-specific cumulative 24-h consumption are not reported</x:v>
      </x:c>
      <x:c r="AJ144" s="18" t="str">
        <x:v>Postoperative analgesia / exact 24-h endpoint absent</x:v>
      </x:c>
      <x:c r="AK144" s="18" t="str">
        <x:v>https://drive.google.com/file/d/1xxZle6mPpcnmHLblJbsy1kA4CyQHpvm2/view?usp=drivesdk</x:v>
      </x:c>
      <x:c r="AL144" s="18" t="str">
        <x:v>MISSING / AUTHOR DATA NEEDED</x:v>
      </x:c>
      <x:c r="AM144" s="18" t="str">
        <x:v>Postoperative opioid consumption</x:v>
      </x:c>
      <x:c r="AN144" s="18" t="str">
        <x:v>Exact/explicit 24 h</x:v>
      </x:c>
      <x:c r="AO144" s="18" t="str">
        <x:v>EXCLUDE — DATA UNAVAILABLE</x:v>
      </x:c>
      <x:c r="AP144" s="18" t="str">
        <x:v>The source does not provide a defensible quantitative value for this analysis.</x:v>
      </x:c>
      <x:c r="AQ144" s="18" t="str">
        <x:v>No</x:v>
      </x:c>
      <x:c r="AR144" s="18" t="str"/>
      <x:c r="AS144" s="18" t="str">
        <x:v>Opioid/MME conversion required using prespecified review conversion</x:v>
      </x:c>
      <x:c r="AT144" s="18" t="str">
        <x:v>Cumulative postoperative nausea</x:v>
      </x:c>
      <x:c r="AU144" s="18" t="str">
        <x:v>0-48 h</x:v>
      </x:c>
      <x:c r="AV144" s="18" t="str">
        <x:v>Some concerns</x:v>
      </x:c>
      <x:c r="AW144" s="18" t="str">
        <x:v>Yes — selected RoB is for a different result/timepoint</x:v>
      </x:c>
      <x:c r="AX144" s="18" t="str">
        <x:v>Luo 2026</x:v>
      </x:c>
      <x:c r="AY144" s="18" t="str">
        <x:v>Primary eligible contrast</x:v>
      </x:c>
      <x:c r="AZ144" s="18" t="str">
        <x:v>Count this study once per synthesis unless a valid multi-arm method is used.</x:v>
      </x:c>
    </x:row>
    <x:row r="145">
      <x:c r="A145" s="18" t="str">
        <x:v>Long 2025</x:v>
      </x:c>
      <x:c r="B145" s="18" t="str">
        <x:v>LONG25_TEAS_vs_CTRL_PND1</x:v>
      </x:c>
      <x:c r="C145" s="18" t="str">
        <x:v>Perioperative electrical acupoint stimulation</x:v>
      </x:c>
      <x:c r="D145" s="18" t="str">
        <x:v>Electrodes/no current</x:v>
      </x:c>
      <x:c r="E145" s="18" t="str">
        <x:v>Neurocognitive</x:v>
      </x:c>
      <x:c r="F145" s="18" t="str">
        <x:v>Perioperative neurocognitive disorder (PND)</x:v>
      </x:c>
      <x:c r="G145" s="18" t="str">
        <x:v>POD1</x:v>
      </x:c>
      <x:c r="H145" s="18" t="str">
        <x:v>Published event count + percentage; denominator inconsistent</x:v>
      </x:c>
      <x:c r="I145" s="18" t="n">
        <x:v>30</x:v>
      </x:c>
      <x:c r="J145" s="18" t="n">
        <x:v>30</x:v>
      </x:c>
      <x:c r="K145" s="18" t="n">
        <x:v>27</x:v>
      </x:c>
      <x:c r="L145" s="18" t="n">
        <x:v>26</x:v>
      </x:c>
      <x:c r="M145" s="18"/>
      <x:c r="N145" s="18"/>
      <x:c r="O145" s="18"/>
      <x:c r="P145" s="18"/>
      <x:c r="Q145" s="18"/>
      <x:c r="R145" s="18" t="n">
        <x:v>7</x:v>
      </x:c>
      <x:c r="S145" s="18"/>
      <x:c r="T145" s="18"/>
      <x:c r="U145" s="18"/>
      <x:c r="V145" s="18"/>
      <x:c r="W145" s="18"/>
      <x:c r="X145" s="18" t="n">
        <x:v>14</x:v>
      </x:c>
      <x:c r="Y145" s="18" t="str">
        <x:v>Active: 7 cases (25.0%); Control: 14 cases (56.0%)</x:v>
      </x:c>
      <x:c r="Z145" s="18" t="str">
        <x:v>NR</x:v>
      </x:c>
      <x:c r="AA145" s="18" t="str">
        <x:v>Yes</x:v>
      </x:c>
      <x:c r="AB145" s="18" t="str">
        <x:v>No</x:v>
      </x:c>
      <x:c r="AC145" s="18"/>
      <x:c r="AD145" s="18"/>
      <x:c r="AE145" s="18" t="str">
        <x:v>No</x:v>
      </x:c>
      <x:c r="AF145" s="18" t="str">
        <x:v>No</x:v>
      </x:c>
      <x:c r="AG145" s="18" t="str">
        <x:v>Not meta-analysis-ready until event denominators are clarified</x:v>
      </x:c>
      <x:c r="AH145" s="18" t="str">
        <x:v>No</x:v>
      </x:c>
      <x:c r="AI145" s="18" t="str">
        <x:v>Published percentages do not reconcile with final analyzed n=27 active/26 control; do not back-calculate denominators</x:v>
      </x:c>
      <x:c r="AJ145" s="18" t="str">
        <x:v>PND incidence table / POD1</x:v>
      </x:c>
      <x:c r="AK145" s="18" t="str">
        <x:v>https://drive.google.com/file/d/1LDqtQLq9-kZLP0Vv_G3iiK8QKjy4pRXP/view?usp=drivesdk</x:v>
      </x:c>
      <x:c r="AL145" s="18" t="str">
        <x:v>SOURCE-VERIFIED / DENOMINATOR INCONSISTENT</x:v>
      </x:c>
      <x:c r="AM145" s="18" t="str">
        <x:v>Neurocognitive</x:v>
      </x:c>
      <x:c r="AN145" s="18" t="str">
        <x:v>POD1 / approximate 24 h</x:v>
      </x:c>
      <x:c r="AO145" s="18" t="str">
        <x:v>QC HOLD</x:v>
      </x:c>
      <x:c r="AP145" s="18" t="str">
        <x:v>Event counts/percentages do not reconcile with published denominators; do not compute an effect until denominator is clarified.</x:v>
      </x:c>
      <x:c r="AQ145" s="18" t="str">
        <x:v>No</x:v>
      </x:c>
      <x:c r="AR145" s="18" t="str"/>
      <x:c r="AS145" s="18" t="str">
        <x:v>None</x:v>
      </x:c>
      <x:c r="AT145" s="18" t="str">
        <x:v>Perioperative neurocognitive disorder (PND)</x:v>
      </x:c>
      <x:c r="AU145" s="18" t="str">
        <x:v>POD3</x:v>
      </x:c>
      <x:c r="AV145" s="18" t="str">
        <x:v>High</x:v>
      </x:c>
      <x:c r="AW145" s="18" t="str">
        <x:v>No — selected RoB matches this result</x:v>
      </x:c>
      <x:c r="AX145" s="18" t="str">
        <x:v>Long 2025</x:v>
      </x:c>
      <x:c r="AY145" s="18" t="str">
        <x:v>Primary eligible contrast</x:v>
      </x:c>
      <x:c r="AZ145" s="18" t="str">
        <x:v>Count this study once per synthesis unless a valid multi-arm method is used.</x:v>
      </x:c>
    </x:row>
    <x:row r="146">
      <x:c r="A146" s="18" t="str">
        <x:v>Long 2025</x:v>
      </x:c>
      <x:c r="B146" s="18" t="str">
        <x:v>LONG25_TEAS_vs_CTRL_PND3</x:v>
      </x:c>
      <x:c r="C146" s="18" t="str">
        <x:v>Perioperative electrical acupoint stimulation</x:v>
      </x:c>
      <x:c r="D146" s="18" t="str">
        <x:v>Electrodes/no current</x:v>
      </x:c>
      <x:c r="E146" s="18" t="str">
        <x:v>Neurocognitive</x:v>
      </x:c>
      <x:c r="F146" s="18" t="str">
        <x:v>Perioperative neurocognitive disorder (PND)</x:v>
      </x:c>
      <x:c r="G146" s="18" t="str">
        <x:v>POD3</x:v>
      </x:c>
      <x:c r="H146" s="18" t="str">
        <x:v>Published event count + percentage; denominator inconsistent</x:v>
      </x:c>
      <x:c r="I146" s="18" t="n">
        <x:v>30</x:v>
      </x:c>
      <x:c r="J146" s="18" t="n">
        <x:v>30</x:v>
      </x:c>
      <x:c r="K146" s="18" t="n">
        <x:v>27</x:v>
      </x:c>
      <x:c r="L146" s="18" t="n">
        <x:v>26</x:v>
      </x:c>
      <x:c r="M146" s="18"/>
      <x:c r="N146" s="18"/>
      <x:c r="O146" s="18"/>
      <x:c r="P146" s="18"/>
      <x:c r="Q146" s="18"/>
      <x:c r="R146" s="18" t="n">
        <x:v>4</x:v>
      </x:c>
      <x:c r="S146" s="18"/>
      <x:c r="T146" s="18"/>
      <x:c r="U146" s="18"/>
      <x:c r="V146" s="18"/>
      <x:c r="W146" s="18"/>
      <x:c r="X146" s="18" t="n">
        <x:v>12</x:v>
      </x:c>
      <x:c r="Y146" s="18" t="str">
        <x:v>Active: 4 cases (14.3%); Control: 12 cases (48.0%)</x:v>
      </x:c>
      <x:c r="Z146" s="18" t="str">
        <x:v>NR</x:v>
      </x:c>
      <x:c r="AA146" s="18" t="str">
        <x:v>Yes</x:v>
      </x:c>
      <x:c r="AB146" s="18" t="str">
        <x:v>No</x:v>
      </x:c>
      <x:c r="AC146" s="18"/>
      <x:c r="AD146" s="18"/>
      <x:c r="AE146" s="18" t="str">
        <x:v>No</x:v>
      </x:c>
      <x:c r="AF146" s="18" t="str">
        <x:v>No</x:v>
      </x:c>
      <x:c r="AG146" s="18" t="str">
        <x:v>Not meta-analysis-ready until event denominators are clarified</x:v>
      </x:c>
      <x:c r="AH146" s="18" t="str">
        <x:v>No</x:v>
      </x:c>
      <x:c r="AI146" s="18" t="str">
        <x:v>Published percentages do not reconcile with reported analyzed denominators</x:v>
      </x:c>
      <x:c r="AJ146" s="18" t="str">
        <x:v>PND incidence table / POD3</x:v>
      </x:c>
      <x:c r="AK146" s="18" t="str">
        <x:v>https://drive.google.com/file/d/1LDqtQLq9-kZLP0Vv_G3iiK8QKjy4pRXP/view?usp=drivesdk</x:v>
      </x:c>
      <x:c r="AL146" s="18" t="str">
        <x:v>SOURCE-VERIFIED / DENOMINATOR INCONSISTENT</x:v>
      </x:c>
      <x:c r="AM146" s="18" t="str">
        <x:v>Neurocognitive</x:v>
      </x:c>
      <x:c r="AN146" s="18" t="str">
        <x:v>POD3</x:v>
      </x:c>
      <x:c r="AO146" s="18" t="str">
        <x:v>QC HOLD</x:v>
      </x:c>
      <x:c r="AP146" s="18" t="str">
        <x:v>Event counts/percentages do not reconcile with published denominators; do not compute an effect until denominator is clarified.</x:v>
      </x:c>
      <x:c r="AQ146" s="18" t="str">
        <x:v>No</x:v>
      </x:c>
      <x:c r="AR146" s="18" t="str"/>
      <x:c r="AS146" s="18" t="str">
        <x:v>None</x:v>
      </x:c>
      <x:c r="AT146" s="18" t="str">
        <x:v>Perioperative neurocognitive disorder (PND)</x:v>
      </x:c>
      <x:c r="AU146" s="18" t="str">
        <x:v>POD3</x:v>
      </x:c>
      <x:c r="AV146" s="18" t="str">
        <x:v>High</x:v>
      </x:c>
      <x:c r="AW146" s="18" t="str">
        <x:v>No — selected RoB matches this result</x:v>
      </x:c>
      <x:c r="AX146" s="18" t="str">
        <x:v>Long 2025</x:v>
      </x:c>
      <x:c r="AY146" s="18" t="str">
        <x:v>Primary eligible contrast</x:v>
      </x:c>
      <x:c r="AZ146" s="18" t="str">
        <x:v>Count this study once per synthesis unless a valid multi-arm method is used.</x:v>
      </x:c>
    </x:row>
    <x:row r="147">
      <x:c r="A147" s="18" t="str">
        <x:v>Long 2025</x:v>
      </x:c>
      <x:c r="B147" s="18" t="str">
        <x:v>LONG25_TEAS_vs_CTRL_VAS24</x:v>
      </x:c>
      <x:c r="C147" s="18" t="str">
        <x:v>Perioperative electrical acupoint stimulation</x:v>
      </x:c>
      <x:c r="D147" s="18" t="str">
        <x:v>Electrodes/no current</x:v>
      </x:c>
      <x:c r="E147" s="18" t="str">
        <x:v>Pain</x:v>
      </x:c>
      <x:c r="F147" s="18" t="str">
        <x:v>VAS pain intensity</x:v>
      </x:c>
      <x:c r="G147" s="18" t="str">
        <x:v>24 h</x:v>
      </x:c>
      <x:c r="H147" s="18" t="str">
        <x:v>Mean/SD</x:v>
      </x:c>
      <x:c r="I147" s="18" t="n">
        <x:v>30</x:v>
      </x:c>
      <x:c r="J147" s="18" t="n">
        <x:v>30</x:v>
      </x:c>
      <x:c r="K147" s="18" t="n">
        <x:v>27</x:v>
      </x:c>
      <x:c r="L147" s="18" t="n">
        <x:v>26</x:v>
      </x:c>
      <x:c r="M147" s="18" t="n">
        <x:v>2.78</x:v>
      </x:c>
      <x:c r="N147" s="18" t="n">
        <x:v>0.97</x:v>
      </x:c>
      <x:c r="O147" s="18"/>
      <x:c r="P147" s="18"/>
      <x:c r="Q147" s="18"/>
      <x:c r="R147" s="18"/>
      <x:c r="S147" s="18" t="n">
        <x:v>3.96</x:v>
      </x:c>
      <x:c r="T147" s="18" t="n">
        <x:v>0.96</x:v>
      </x:c>
      <x:c r="U147" s="18"/>
      <x:c r="V147" s="18"/>
      <x:c r="W147" s="18"/>
      <x:c r="X147" s="18"/>
      <x:c r="Y147" s="18" t="str">
        <x:v>VAS 0-10</x:v>
      </x:c>
      <x:c r="Z147" s="18" t="str">
        <x:v>&lt;0.001</x:v>
      </x:c>
      <x:c r="AA147" s="18" t="str">
        <x:v>Yes</x:v>
      </x:c>
      <x:c r="AB147" s="18" t="str">
        <x:v>No</x:v>
      </x:c>
      <x:c r="AC147" s="18" t="str">
        <x:v>MD</x:v>
      </x:c>
      <x:c r="AD147" s="18" t="n">
        <x:v>-1.1800000000000002</x:v>
      </x:c>
      <x:c r="AE147" s="18" t="str">
        <x:v>No</x:v>
      </x:c>
      <x:c r="AF147" s="18" t="str">
        <x:v>No</x:v>
      </x:c>
      <x:c r="AG147" s="18" t="str">
        <x:v>Eligible for 24-h pain analysis using Table 7 value</x:v>
      </x:c>
      <x:c r="AH147" s="18" t="str">
        <x:v>No</x:v>
      </x:c>
      <x:c r="AI147" s="18" t="str">
        <x:v>Abstract/Results prose gives active 2.65 ± 0.94; Table 7/Figure 9 gives 2.78 ± 0.97. Master uses the directly tabulated Table 7 value and retains discrepancy</x:v>
      </x:c>
      <x:c r="AJ147" s="18" t="str">
        <x:v>Table 7 / Figure 9</x:v>
      </x:c>
      <x:c r="AK147" s="18" t="str">
        <x:v>https://drive.google.com/file/d/1LDqtQLq9-kZLP0Vv_G3iiK8QKjy4pRXP/view?usp=drivesdk</x:v>
      </x:c>
      <x:c r="AL147" s="18" t="str">
        <x:v>SOURCE-VERIFIED / SOURCE VALUE CONFLICT</x:v>
      </x:c>
      <x:c r="AM147" s="18" t="str">
        <x:v>Pain</x:v>
      </x:c>
      <x:c r="AN147" s="18" t="str">
        <x:v>Exact/explicit 24 h</x:v>
      </x:c>
      <x:c r="AO147" s="18" t="str">
        <x:v>INCLUDE</x:v>
      </x:c>
      <x:c r="AP147" s="18" t="str">
        <x:v>Explicit 24-h pain endpoint with quantitative source data.</x:v>
      </x:c>
      <x:c r="AQ147" s="18" t="str">
        <x:v>Yes</x:v>
      </x:c>
      <x:c r="AR147" s="18" t="str"/>
      <x:c r="AS147" s="18" t="str">
        <x:v>None</x:v>
      </x:c>
      <x:c r="AT147" s="18" t="str">
        <x:v>Perioperative neurocognitive disorder (PND)</x:v>
      </x:c>
      <x:c r="AU147" s="18" t="str">
        <x:v>POD3</x:v>
      </x:c>
      <x:c r="AV147" s="18" t="str">
        <x:v>High</x:v>
      </x:c>
      <x:c r="AW147" s="18" t="str">
        <x:v>Yes — selected RoB is for a different result/timepoint</x:v>
      </x:c>
      <x:c r="AX147" s="18" t="str">
        <x:v>Long 2025</x:v>
      </x:c>
      <x:c r="AY147" s="18" t="str">
        <x:v>Primary eligible contrast</x:v>
      </x:c>
      <x:c r="AZ147" s="18" t="str">
        <x:v>Count this study once per synthesis unless a valid multi-arm method is used.</x:v>
      </x:c>
    </x:row>
    <x:row r="148">
      <x:c r="A148" s="18" t="str">
        <x:v>Long 2025</x:v>
      </x:c>
      <x:c r="B148" s="18" t="str">
        <x:v>LONG25_TEAS_vs_CTRL_PCIA48VOL</x:v>
      </x:c>
      <x:c r="C148" s="18" t="str">
        <x:v>Perioperative electrical acupoint stimulation</x:v>
      </x:c>
      <x:c r="D148" s="18" t="str">
        <x:v>Electrodes/no current</x:v>
      </x:c>
      <x:c r="E148" s="18" t="str">
        <x:v>Opioid demand</x:v>
      </x:c>
      <x:c r="F148" s="18" t="str">
        <x:v>PCIA solution consumption</x:v>
      </x:c>
      <x:c r="G148" s="18" t="str">
        <x:v>48 h</x:v>
      </x:c>
      <x:c r="H148" s="18" t="str">
        <x:v>Mean/SD</x:v>
      </x:c>
      <x:c r="I148" s="18" t="n">
        <x:v>30</x:v>
      </x:c>
      <x:c r="J148" s="18" t="n">
        <x:v>30</x:v>
      </x:c>
      <x:c r="K148" s="18" t="n">
        <x:v>27</x:v>
      </x:c>
      <x:c r="L148" s="18" t="n">
        <x:v>26</x:v>
      </x:c>
      <x:c r="M148" s="18" t="n">
        <x:v>86.22</x:v>
      </x:c>
      <x:c r="N148" s="18" t="n">
        <x:v>4.27</x:v>
      </x:c>
      <x:c r="O148" s="18"/>
      <x:c r="P148" s="18"/>
      <x:c r="Q148" s="18"/>
      <x:c r="R148" s="18"/>
      <x:c r="S148" s="18" t="n">
        <x:v>89.23</x:v>
      </x:c>
      <x:c r="T148" s="18" t="n">
        <x:v>3.67</x:v>
      </x:c>
      <x:c r="U148" s="18"/>
      <x:c r="V148" s="18"/>
      <x:c r="W148" s="18"/>
      <x:c r="X148" s="18"/>
      <x:c r="Y148" s="18" t="str">
        <x:v>mL of weight-based sufentanil solution</x:v>
      </x:c>
      <x:c r="Z148" s="18" t="str">
        <x:v>0.008</x:v>
      </x:c>
      <x:c r="AA148" s="18" t="str">
        <x:v>Yes</x:v>
      </x:c>
      <x:c r="AB148" s="18" t="str">
        <x:v>No</x:v>
      </x:c>
      <x:c r="AC148" s="18" t="str">
        <x:v>MD</x:v>
      </x:c>
      <x:c r="AD148" s="18" t="n">
        <x:v>-3.010000000000005</x:v>
      </x:c>
      <x:c r="AE148" s="18" t="str">
        <x:v>No</x:v>
      </x:c>
      <x:c r="AF148" s="18" t="str">
        <x:v>No</x:v>
      </x:c>
      <x:c r="AG148" s="18" t="str">
        <x:v>Eligible only as 48-h pump-volume outcome, not as sufentanil mass</x:v>
      </x:c>
      <x:c r="AH148" s="18" t="str">
        <x:v>No</x:v>
      </x:c>
      <x:c r="AI148" s="18" t="str">
        <x:v>Reservoir contains 2 µg/kg sufentanil in 100 mL; group body weight is unavailable, so solution volume cannot be converted to group mean opioid mass</x:v>
      </x:c>
      <x:c r="AJ148" s="18" t="str">
        <x:v>Table 7 / Figure 9</x:v>
      </x:c>
      <x:c r="AK148" s="18" t="str">
        <x:v>https://drive.google.com/file/d/1LDqtQLq9-kZLP0Vv_G3iiK8QKjy4pRXP/view?usp=drivesdk</x:v>
      </x:c>
      <x:c r="AL148" s="18" t="str">
        <x:v>SOURCE-VERIFIED / DOSE NOT RECONSTRUCTABLE</x:v>
      </x:c>
      <x:c r="AM148" s="18" t="str">
        <x:v>PCA demand/proxy</x:v>
      </x:c>
      <x:c r="AN148" s="18" t="str">
        <x:v>48 h</x:v>
      </x:c>
      <x:c r="AO148" s="18" t="str">
        <x:v>CONDITIONAL</x:v>
      </x:c>
      <x:c r="AP148" s="18" t="str">
        <x:v>Source value is valid in its native metric but cannot be converted to the target opioid mass/MME without additional information.</x:v>
      </x:c>
      <x:c r="AQ148" s="18" t="str">
        <x:v>No</x:v>
      </x:c>
      <x:c r="AR148" s="18" t="str"/>
      <x:c r="AS148" s="18" t="str">
        <x:v>None</x:v>
      </x:c>
      <x:c r="AT148" s="18" t="str">
        <x:v>Perioperative neurocognitive disorder (PND)</x:v>
      </x:c>
      <x:c r="AU148" s="18" t="str">
        <x:v>POD3</x:v>
      </x:c>
      <x:c r="AV148" s="18" t="str">
        <x:v>High</x:v>
      </x:c>
      <x:c r="AW148" s="18" t="str">
        <x:v>Yes — selected RoB is for a different result/timepoint</x:v>
      </x:c>
      <x:c r="AX148" s="18" t="str">
        <x:v>Long 2025</x:v>
      </x:c>
      <x:c r="AY148" s="18" t="str">
        <x:v>Primary eligible contrast</x:v>
      </x:c>
      <x:c r="AZ148" s="18" t="str">
        <x:v>Count this study once per synthesis unless a valid multi-arm method is used.</x:v>
      </x:c>
    </x:row>
    <x:row r="149">
      <x:c r="A149" s="18" t="str">
        <x:v>Long 2025</x:v>
      </x:c>
      <x:c r="B149" s="18" t="str">
        <x:v>LONG25_TEAS_vs_CTRL_PCIAPRESS48</x:v>
      </x:c>
      <x:c r="C149" s="18" t="str">
        <x:v>Perioperative electrical acupoint stimulation</x:v>
      </x:c>
      <x:c r="D149" s="18" t="str">
        <x:v>Electrodes/no current</x:v>
      </x:c>
      <x:c r="E149" s="18" t="str">
        <x:v>Opioid demand</x:v>
      </x:c>
      <x:c r="F149" s="18" t="str">
        <x:v>PCIA compression count</x:v>
      </x:c>
      <x:c r="G149" s="18" t="str">
        <x:v>48 h</x:v>
      </x:c>
      <x:c r="H149" s="18" t="str">
        <x:v>Mean/SD</x:v>
      </x:c>
      <x:c r="I149" s="18" t="n">
        <x:v>30</x:v>
      </x:c>
      <x:c r="J149" s="18" t="n">
        <x:v>30</x:v>
      </x:c>
      <x:c r="K149" s="18" t="n">
        <x:v>27</x:v>
      </x:c>
      <x:c r="L149" s="18" t="n">
        <x:v>26</x:v>
      </x:c>
      <x:c r="M149" s="18" t="n">
        <x:v>7.11</x:v>
      </x:c>
      <x:c r="N149" s="18" t="n">
        <x:v>2.14</x:v>
      </x:c>
      <x:c r="O149" s="18"/>
      <x:c r="P149" s="18"/>
      <x:c r="Q149" s="18"/>
      <x:c r="R149" s="18"/>
      <x:c r="S149" s="18" t="n">
        <x:v>8.62</x:v>
      </x:c>
      <x:c r="T149" s="18" t="n">
        <x:v>1.84</x:v>
      </x:c>
      <x:c r="U149" s="18"/>
      <x:c r="V149" s="18"/>
      <x:c r="W149" s="18"/>
      <x:c r="X149" s="18"/>
      <x:c r="Y149" s="18" t="str">
        <x:v>presses</x:v>
      </x:c>
      <x:c r="Z149" s="18" t="str">
        <x:v>0.008</x:v>
      </x:c>
      <x:c r="AA149" s="18" t="str">
        <x:v>Yes</x:v>
      </x:c>
      <x:c r="AB149" s="18" t="str">
        <x:v>No</x:v>
      </x:c>
      <x:c r="AC149" s="18" t="str">
        <x:v>MD</x:v>
      </x:c>
      <x:c r="AD149" s="18" t="n">
        <x:v>-1.509999999999999</x:v>
      </x:c>
      <x:c r="AE149" s="18" t="str">
        <x:v>No</x:v>
      </x:c>
      <x:c r="AF149" s="18" t="str">
        <x:v>No</x:v>
      </x:c>
      <x:c r="AG149" s="18" t="str">
        <x:v>Eligible as 48-h PCA-demand outcome only</x:v>
      </x:c>
      <x:c r="AH149" s="18" t="str">
        <x:v>No</x:v>
      </x:c>
      <x:c r="AI149" s="18" t="str">
        <x:v>Do not translate compression count into delivered sufentanil mass</x:v>
      </x:c>
      <x:c r="AJ149" s="18" t="str">
        <x:v>Table 7 / Figure 9</x:v>
      </x:c>
      <x:c r="AK149" s="18" t="str">
        <x:v>https://drive.google.com/file/d/1LDqtQLq9-kZLP0Vv_G3iiK8QKjy4pRXP/view?usp=drivesdk</x:v>
      </x:c>
      <x:c r="AL149" s="18" t="str">
        <x:v>SOURCE-VERIFIED</x:v>
      </x:c>
      <x:c r="AM149" s="18" t="str">
        <x:v>PCA demand/proxy</x:v>
      </x:c>
      <x:c r="AN149" s="18" t="str">
        <x:v>48 h</x:v>
      </x:c>
      <x:c r="AO149" s="18" t="str">
        <x:v>SECONDARY / PROXY ONLY</x:v>
      </x:c>
      <x:c r="AP149" s="18" t="str">
        <x:v>PCA presses, attempts, deliveries, or solution volume are not equivalent to opioid dose unless the pump prescription permits exact reconstruction.</x:v>
      </x:c>
      <x:c r="AQ149" s="18" t="str">
        <x:v>No</x:v>
      </x:c>
      <x:c r="AR149" s="18" t="str"/>
      <x:c r="AS149" s="18" t="str">
        <x:v>None</x:v>
      </x:c>
      <x:c r="AT149" s="18" t="str">
        <x:v>Perioperative neurocognitive disorder (PND)</x:v>
      </x:c>
      <x:c r="AU149" s="18" t="str">
        <x:v>POD3</x:v>
      </x:c>
      <x:c r="AV149" s="18" t="str">
        <x:v>High</x:v>
      </x:c>
      <x:c r="AW149" s="18" t="str">
        <x:v>Yes — selected RoB is for a different result/timepoint</x:v>
      </x:c>
      <x:c r="AX149" s="18" t="str">
        <x:v>Long 2025</x:v>
      </x:c>
      <x:c r="AY149" s="18" t="str">
        <x:v>Primary eligible contrast</x:v>
      </x:c>
      <x:c r="AZ149" s="18" t="str">
        <x:v>Count this study once per synthesis unless a valid multi-arm method is used.</x:v>
      </x:c>
    </x:row>
    <x:row r="150">
      <x:c r="A150" s="18" t="str">
        <x:v>Long 2025</x:v>
      </x:c>
      <x:c r="B150" s="18" t="str">
        <x:v>LONG25_TEAS_vs_CTRL_PONV</x:v>
      </x:c>
      <x:c r="C150" s="18" t="str">
        <x:v>Perioperative electrical acupoint stimulation</x:v>
      </x:c>
      <x:c r="D150" s="18" t="str">
        <x:v>Electrodes/no current</x:v>
      </x:c>
      <x:c r="E150" s="18" t="str">
        <x:v>PONV</x:v>
      </x:c>
      <x:c r="F150" s="18" t="str">
        <x:v>PONV incidence</x:v>
      </x:c>
      <x:c r="G150" s="18" t="str">
        <x:v>Postoperative</x:v>
      </x:c>
      <x:c r="H150" s="18" t="str">
        <x:v>Events/total</x:v>
      </x:c>
      <x:c r="I150" s="18" t="n">
        <x:v>30</x:v>
      </x:c>
      <x:c r="J150" s="18" t="n">
        <x:v>30</x:v>
      </x:c>
      <x:c r="K150" s="18" t="n">
        <x:v>27</x:v>
      </x:c>
      <x:c r="L150" s="18" t="n">
        <x:v>26</x:v>
      </x:c>
      <x:c r="M150" s="18"/>
      <x:c r="N150" s="18"/>
      <x:c r="O150" s="18"/>
      <x:c r="P150" s="18"/>
      <x:c r="Q150" s="18"/>
      <x:c r="R150" s="18" t="n">
        <x:v>1</x:v>
      </x:c>
      <x:c r="S150" s="18"/>
      <x:c r="T150" s="18"/>
      <x:c r="U150" s="18"/>
      <x:c r="V150" s="18"/>
      <x:c r="W150" s="18"/>
      <x:c r="X150" s="18" t="n">
        <x:v>8</x:v>
      </x:c>
      <x:c r="Y150" s="18" t="str">
        <x:v>participants</x:v>
      </x:c>
      <x:c r="Z150" s="18" t="str">
        <x:v>NR</x:v>
      </x:c>
      <x:c r="AA150" s="18" t="str">
        <x:v>Yes</x:v>
      </x:c>
      <x:c r="AB150" s="18" t="str">
        <x:v>No</x:v>
      </x:c>
      <x:c r="AC150" s="18" t="str">
        <x:v>RR</x:v>
      </x:c>
      <x:c r="AD150" s="18" t="n">
        <x:v>0.12037037037037036</x:v>
      </x:c>
      <x:c r="AE150" s="18" t="str">
        <x:v>No</x:v>
      </x:c>
      <x:c r="AF150" s="18" t="str">
        <x:v>No</x:v>
      </x:c>
      <x:c r="AG150" s="18" t="str">
        <x:v>Eligible for dichotomous PONV analysis using final analyzed denominators</x:v>
      </x:c>
      <x:c r="AH150" s="18" t="str">
        <x:v>No</x:v>
      </x:c>
      <x:c r="AI150" s="18" t="str">
        <x:v>Adverse-event percentages elsewhere are internally inconsistent; raw 1/27 vs 8/26 is retained</x:v>
      </x:c>
      <x:c r="AJ150" s="18" t="str">
        <x:v>Adverse events / PONV</x:v>
      </x:c>
      <x:c r="AK150" s="18" t="str">
        <x:v>https://drive.google.com/file/d/1LDqtQLq9-kZLP0Vv_G3iiK8QKjy4pRXP/view?usp=drivesdk</x:v>
      </x:c>
      <x:c r="AL150" s="18" t="str">
        <x:v>SOURCE-VERIFIED / PERCENTAGE QC</x:v>
      </x:c>
      <x:c r="AM150" s="18" t="str">
        <x:v>PONV</x:v>
      </x:c>
      <x:c r="AN150" s="18" t="str">
        <x:v>Postoperative</x:v>
      </x:c>
      <x:c r="AO150" s="18" t="str">
        <x:v>CONDITIONAL</x:v>
      </x:c>
      <x:c r="AP150" s="18" t="str">
        <x:v>Valid PONV result, but the postoperative observation window should be matched to the intended synthesis.</x:v>
      </x:c>
      <x:c r="AQ150" s="18" t="str">
        <x:v>No</x:v>
      </x:c>
      <x:c r="AR150" s="18" t="str"/>
      <x:c r="AS150" s="18" t="str">
        <x:v>Binary effect measure (RR preferred per protocol)</x:v>
      </x:c>
      <x:c r="AT150" s="18" t="str">
        <x:v>Perioperative neurocognitive disorder (PND)</x:v>
      </x:c>
      <x:c r="AU150" s="18" t="str">
        <x:v>POD3</x:v>
      </x:c>
      <x:c r="AV150" s="18" t="str">
        <x:v>High</x:v>
      </x:c>
      <x:c r="AW150" s="18" t="str">
        <x:v>Yes — selected RoB is for a different result/timepoint</x:v>
      </x:c>
      <x:c r="AX150" s="18" t="str">
        <x:v>Long 2025</x:v>
      </x:c>
      <x:c r="AY150" s="18" t="str">
        <x:v>Primary eligible contrast</x:v>
      </x:c>
      <x:c r="AZ150" s="18" t="str">
        <x:v>Count this study once per synthesis unless a valid multi-arm method is used.</x:v>
      </x:c>
    </x:row>
    <x:row r="151">
      <x:c r="A151" s="18" t="str">
        <x:v>Long 2025</x:v>
      </x:c>
      <x:c r="B151" s="18" t="str">
        <x:v>LONG25_TEAS_vs_CTRL_OPIOID24</x:v>
      </x:c>
      <x:c r="C151" s="18" t="str">
        <x:v>Perioperative electrical acupoint stimulation</x:v>
      </x:c>
      <x:c r="D151" s="18" t="str">
        <x:v>Electrodes/no current</x:v>
      </x:c>
      <x:c r="E151" s="18" t="str">
        <x:v>Opioid consumption</x:v>
      </x:c>
      <x:c r="F151" s="18" t="str">
        <x:v>Exact cumulative postoperative sufentanil consumption</x:v>
      </x:c>
      <x:c r="G151" s="18" t="str">
        <x:v>0-24 h</x:v>
      </x:c>
      <x:c r="H151" s="18" t="str">
        <x:v>Not reported</x:v>
      </x:c>
      <x:c r="I151" s="18" t="n">
        <x:v>30</x:v>
      </x:c>
      <x:c r="J151" s="18" t="n">
        <x:v>30</x:v>
      </x:c>
      <x:c r="K151" s="18" t="n">
        <x:v>27</x:v>
      </x:c>
      <x:c r="L151" s="18" t="n">
        <x:v>26</x:v>
      </x:c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 t="str">
        <x:v>µg sufentanil</x:v>
      </x:c>
      <x:c r="Z151" s="18"/>
      <x:c r="AA151" s="18" t="str">
        <x:v>No</x:v>
      </x:c>
      <x:c r="AB151" s="18" t="str">
        <x:v>No</x:v>
      </x:c>
      <x:c r="AC151" s="18"/>
      <x:c r="AD151" s="18"/>
      <x:c r="AE151" s="18" t="str">
        <x:v>No</x:v>
      </x:c>
      <x:c r="AF151" s="18" t="str">
        <x:v>No</x:v>
      </x:c>
      <x:c r="AG151" s="18" t="str">
        <x:v>Not eligible for continuous 24-h opioid/MME meta-analysis</x:v>
      </x:c>
      <x:c r="AH151" s="18" t="str">
        <x:v>No</x:v>
      </x:c>
      <x:c r="AI151" s="18" t="str">
        <x:v>24-h PCIA volume/compressions are not reported; even 48-h volume cannot be converted exactly to sufentanil mass without body weight</x:v>
      </x:c>
      <x:c r="AJ151" s="18" t="str">
        <x:v>Exact 24-h opioid endpoint absent</x:v>
      </x:c>
      <x:c r="AK151" s="18" t="str">
        <x:v>https://drive.google.com/file/d/1LDqtQLq9-kZLP0Vv_G3iiK8QKjy4pRXP/view?usp=drivesdk</x:v>
      </x:c>
      <x:c r="AL151" s="18" t="str">
        <x:v>MISSING / AUTHOR DATA NEEDED</x:v>
      </x:c>
      <x:c r="AM151" s="18" t="str">
        <x:v>Postoperative opioid consumption</x:v>
      </x:c>
      <x:c r="AN151" s="18" t="str">
        <x:v>Exact/explicit 24 h</x:v>
      </x:c>
      <x:c r="AO151" s="18" t="str">
        <x:v>EXCLUDE — DATA UNAVAILABLE</x:v>
      </x:c>
      <x:c r="AP151" s="18" t="str">
        <x:v>The source does not provide a defensible quantitative value for this analysis.</x:v>
      </x:c>
      <x:c r="AQ151" s="18" t="str">
        <x:v>No</x:v>
      </x:c>
      <x:c r="AR151" s="18" t="str"/>
      <x:c r="AS151" s="18" t="str">
        <x:v>Opioid/MME conversion required using prespecified review conversion</x:v>
      </x:c>
      <x:c r="AT151" s="18" t="str">
        <x:v>Perioperative neurocognitive disorder (PND)</x:v>
      </x:c>
      <x:c r="AU151" s="18" t="str">
        <x:v>POD3</x:v>
      </x:c>
      <x:c r="AV151" s="18" t="str">
        <x:v>High</x:v>
      </x:c>
      <x:c r="AW151" s="18" t="str">
        <x:v>Yes — selected RoB is for a different result/timepoint</x:v>
      </x:c>
      <x:c r="AX151" s="18" t="str">
        <x:v>Long 2025</x:v>
      </x:c>
      <x:c r="AY151" s="18" t="str">
        <x:v>Primary eligible contrast</x:v>
      </x:c>
      <x:c r="AZ151" s="18" t="str">
        <x:v>Count this study once per synthesis unless a valid multi-arm method is used.</x:v>
      </x:c>
    </x:row>
    <x:row r="152">
      <x:c r="A152" s="18" t="str">
        <x:v>Li 2021</x:v>
      </x:c>
      <x:c r="B152" s="18" t="str">
        <x:v>LI21_TEAS_vs_SHAM_BOWEL</x:v>
      </x:c>
      <x:c r="C152" s="18" t="str">
        <x:v>Perioperative TEAS</x:v>
      </x:c>
      <x:c r="D152" s="18" t="str">
        <x:v>Sham-point/no current</x:v>
      </x:c>
      <x:c r="E152" s="18" t="str">
        <x:v>GI recovery</x:v>
      </x:c>
      <x:c r="F152" s="18" t="str">
        <x:v>Time to first bowel motion by auscultation</x:v>
      </x:c>
      <x:c r="G152" s="18" t="str">
        <x:v>Postoperative</x:v>
      </x:c>
      <x:c r="H152" s="18" t="str">
        <x:v>Median/IQR</x:v>
      </x:c>
      <x:c r="I152" s="18" t="n">
        <x:v>154</x:v>
      </x:c>
      <x:c r="J152" s="18" t="n">
        <x:v>152</x:v>
      </x:c>
      <x:c r="K152" s="18" t="n">
        <x:v>140</x:v>
      </x:c>
      <x:c r="L152" s="18" t="n">
        <x:v>140</x:v>
      </x:c>
      <x:c r="M152" s="18"/>
      <x:c r="N152" s="18"/>
      <x:c r="O152" s="18" t="n">
        <x:v>31</x:v>
      </x:c>
      <x:c r="P152" s="18" t="n">
        <x:v>18.8</x:v>
      </x:c>
      <x:c r="Q152" s="18" t="n">
        <x:v>45.3</x:v>
      </x:c>
      <x:c r="R152" s="18"/>
      <x:c r="S152" s="18"/>
      <x:c r="T152" s="18"/>
      <x:c r="U152" s="18" t="n">
        <x:v>42</x:v>
      </x:c>
      <x:c r="V152" s="18" t="n">
        <x:v>22.1</x:v>
      </x:c>
      <x:c r="W152" s="18" t="n">
        <x:v>52.4</x:v>
      </x:c>
      <x:c r="X152" s="18"/>
      <x:c r="Y152" s="18" t="str">
        <x:v>hours</x:v>
      </x:c>
      <x:c r="Z152" s="18" t="str">
        <x:v>&lt;0.01</x:v>
      </x:c>
      <x:c r="AA152" s="18" t="str">
        <x:v>Yes</x:v>
      </x:c>
      <x:c r="AB152" s="18" t="str">
        <x:v>No</x:v>
      </x:c>
      <x:c r="AC152" s="18"/>
      <x:c r="AD152" s="18"/>
      <x:c r="AE152" s="18" t="str">
        <x:v>No</x:v>
      </x:c>
      <x:c r="AF152" s="18" t="str">
        <x:v>No</x:v>
      </x:c>
      <x:c r="AG152" s="18" t="str">
        <x:v>Eligible for GI-recovery meta-analysis using median/IQR methods</x:v>
      </x:c>
      <x:c r="AH152" s="18" t="str">
        <x:v>No</x:v>
      </x:c>
      <x:c r="AI152" s="18" t="str">
        <x:v>26/306 randomized patients excluded in per-protocol analysis; exclusions include ICU transfer and operation cancellation</x:v>
      </x:c>
      <x:c r="AJ152" s="18" t="str">
        <x:v>Primary outcome / first bowel motion</x:v>
      </x:c>
      <x:c r="AK152" s="18" t="str">
        <x:v>https://drive.google.com/file/d/1NvcLlsb17N6EMhtHs_L_WBnf40wsrtRz/view?usp=drivesdk</x:v>
      </x:c>
      <x:c r="AL152" s="18" t="str">
        <x:v>SOURCE-VERIFIED / ATTRITION QC</x:v>
      </x:c>
      <x:c r="AM152" s="18" t="str">
        <x:v>GI recovery</x:v>
      </x:c>
      <x:c r="AN152" s="18" t="str">
        <x:v>Postoperative</x:v>
      </x:c>
      <x:c r="AO152" s="18" t="str">
        <x:v>INCLUDE — SECONDARY GI</x:v>
      </x:c>
      <x:c r="AP152" s="18" t="str">
        <x:v>Source-valid GI recovery outcome; analyze separately by outcome definition.</x:v>
      </x:c>
      <x:c r="AQ152" s="18" t="str">
        <x:v>No</x:v>
      </x:c>
      <x:c r="AR152" s="18" t="str"/>
      <x:c r="AS152" s="18" t="str">
        <x:v>Use median/IQR-compatible meta-analysis method; do not relabel as mean/SD</x:v>
      </x:c>
      <x:c r="AT152" s="18" t="str">
        <x:v>Time to first bowel motion by auscultation</x:v>
      </x:c>
      <x:c r="AU152" s="18" t="str">
        <x:v>Postoperative</x:v>
      </x:c>
      <x:c r="AV152" s="18" t="str">
        <x:v>High</x:v>
      </x:c>
      <x:c r="AW152" s="18" t="str">
        <x:v>No — selected RoB matches this result</x:v>
      </x:c>
      <x:c r="AX152" s="18" t="str">
        <x:v>Li 2021</x:v>
      </x:c>
      <x:c r="AY152" s="18" t="str">
        <x:v>Primary eligible contrast</x:v>
      </x:c>
      <x:c r="AZ152" s="18" t="str">
        <x:v>Count this study once per synthesis unless a valid multi-arm method is used.</x:v>
      </x:c>
    </x:row>
    <x:row r="153">
      <x:c r="A153" s="18" t="str">
        <x:v>Li 2021</x:v>
      </x:c>
      <x:c r="B153" s="18" t="str">
        <x:v>LI21_TEAS_vs_SHAM_FLATUS</x:v>
      </x:c>
      <x:c r="C153" s="18" t="str">
        <x:v>Perioperative TEAS</x:v>
      </x:c>
      <x:c r="D153" s="18" t="str">
        <x:v>Sham-point/no current</x:v>
      </x:c>
      <x:c r="E153" s="18" t="str">
        <x:v>GI recovery</x:v>
      </x:c>
      <x:c r="F153" s="18" t="str">
        <x:v>Time to first flatus</x:v>
      </x:c>
      <x:c r="G153" s="18" t="str">
        <x:v>Postoperative</x:v>
      </x:c>
      <x:c r="H153" s="18" t="str">
        <x:v>Median/IQR</x:v>
      </x:c>
      <x:c r="I153" s="18" t="n">
        <x:v>154</x:v>
      </x:c>
      <x:c r="J153" s="18" t="n">
        <x:v>152</x:v>
      </x:c>
      <x:c r="K153" s="18" t="n">
        <x:v>140</x:v>
      </x:c>
      <x:c r="L153" s="18" t="n">
        <x:v>140</x:v>
      </x:c>
      <x:c r="M153" s="18"/>
      <x:c r="N153" s="18"/>
      <x:c r="O153" s="18" t="n">
        <x:v>44</x:v>
      </x:c>
      <x:c r="P153" s="18" t="n">
        <x:v>26.5</x:v>
      </x:c>
      <x:c r="Q153" s="18" t="n">
        <x:v>63.9</x:v>
      </x:c>
      <x:c r="R153" s="18"/>
      <x:c r="S153" s="18"/>
      <x:c r="T153" s="18"/>
      <x:c r="U153" s="18" t="n">
        <x:v>64</x:v>
      </x:c>
      <x:c r="V153" s="18" t="n">
        <x:v>30</x:v>
      </x:c>
      <x:c r="W153" s="18" t="n">
        <x:v>70.6</x:v>
      </x:c>
      <x:c r="X153" s="18"/>
      <x:c r="Y153" s="18" t="str">
        <x:v>hours</x:v>
      </x:c>
      <x:c r="Z153" s="18" t="str">
        <x:v>&lt;0.01</x:v>
      </x:c>
      <x:c r="AA153" s="18" t="str">
        <x:v>Yes</x:v>
      </x:c>
      <x:c r="AB153" s="18" t="str">
        <x:v>No</x:v>
      </x:c>
      <x:c r="AC153" s="18"/>
      <x:c r="AD153" s="18"/>
      <x:c r="AE153" s="18" t="str">
        <x:v>No</x:v>
      </x:c>
      <x:c r="AF153" s="18" t="str">
        <x:v>No</x:v>
      </x:c>
      <x:c r="AG153" s="18" t="str">
        <x:v>Eligible for GI-recovery meta-analysis using median/IQR methods</x:v>
      </x:c>
      <x:c r="AH153" s="18" t="str">
        <x:v>No</x:v>
      </x:c>
      <x:c r="AI153" s="18" t="str">
        <x:v>Use PP analyzed denominators explicitly; do not fabricate mean/SD</x:v>
      </x:c>
      <x:c r="AJ153" s="18" t="str">
        <x:v>First-flatus result</x:v>
      </x:c>
      <x:c r="AK153" s="18" t="str">
        <x:v>https://drive.google.com/file/d/1NvcLlsb17N6EMhtHs_L_WBnf40wsrtRz/view?usp=drivesdk</x:v>
      </x:c>
      <x:c r="AL153" s="18" t="str">
        <x:v>SOURCE-VERIFIED / ATTRITION QC</x:v>
      </x:c>
      <x:c r="AM153" s="18" t="str">
        <x:v>GI recovery</x:v>
      </x:c>
      <x:c r="AN153" s="18" t="str">
        <x:v>Postoperative</x:v>
      </x:c>
      <x:c r="AO153" s="18" t="str">
        <x:v>INCLUDE</x:v>
      </x:c>
      <x:c r="AP153" s="18" t="str">
        <x:v>Source-valid first-flatus/ileus endpoint; retain reported distribution (mean/SD, median/IQR, or events).</x:v>
      </x:c>
      <x:c r="AQ153" s="18" t="str">
        <x:v>Yes</x:v>
      </x:c>
      <x:c r="AR153" s="18" t="str"/>
      <x:c r="AS153" s="18" t="str">
        <x:v>Use median/IQR-compatible meta-analysis method; do not relabel as mean/SD</x:v>
      </x:c>
      <x:c r="AT153" s="18" t="str">
        <x:v>Time to first bowel motion by auscultation</x:v>
      </x:c>
      <x:c r="AU153" s="18" t="str">
        <x:v>Postoperative</x:v>
      </x:c>
      <x:c r="AV153" s="18" t="str">
        <x:v>High</x:v>
      </x:c>
      <x:c r="AW153" s="18" t="str">
        <x:v>Yes — selected RoB is for a different result/timepoint</x:v>
      </x:c>
      <x:c r="AX153" s="18" t="str">
        <x:v>Li 2021</x:v>
      </x:c>
      <x:c r="AY153" s="18" t="str">
        <x:v>Primary eligible contrast</x:v>
      </x:c>
      <x:c r="AZ153" s="18" t="str">
        <x:v>Count this study once per synthesis unless a valid multi-arm method is used.</x:v>
      </x:c>
    </x:row>
    <x:row r="154">
      <x:c r="A154" s="18" t="str">
        <x:v>Li 2021</x:v>
      </x:c>
      <x:c r="B154" s="18" t="str">
        <x:v>LI21_TEAS_vs_SHAM_PGD</x:v>
      </x:c>
      <x:c r="C154" s="18" t="str">
        <x:v>Perioperative TEAS</x:v>
      </x:c>
      <x:c r="D154" s="18" t="str">
        <x:v>Sham-point/no current</x:v>
      </x:c>
      <x:c r="E154" s="18" t="str">
        <x:v>GI recovery</x:v>
      </x:c>
      <x:c r="F154" s="18" t="str">
        <x:v>Postoperative gastrointestinal dysfunction: no bowel sounds &gt;48 h</x:v>
      </x:c>
      <x:c r="G154" s="18" t="str">
        <x:v>Postoperative</x:v>
      </x:c>
      <x:c r="H154" s="18" t="str">
        <x:v>Events/total</x:v>
      </x:c>
      <x:c r="I154" s="18" t="n">
        <x:v>154</x:v>
      </x:c>
      <x:c r="J154" s="18" t="n">
        <x:v>152</x:v>
      </x:c>
      <x:c r="K154" s="18" t="n">
        <x:v>140</x:v>
      </x:c>
      <x:c r="L154" s="18" t="n">
        <x:v>140</x:v>
      </x:c>
      <x:c r="M154" s="18"/>
      <x:c r="N154" s="18"/>
      <x:c r="O154" s="18"/>
      <x:c r="P154" s="18"/>
      <x:c r="Q154" s="18"/>
      <x:c r="R154" s="18" t="n">
        <x:v>26</x:v>
      </x:c>
      <x:c r="S154" s="18"/>
      <x:c r="T154" s="18"/>
      <x:c r="U154" s="18"/>
      <x:c r="V154" s="18"/>
      <x:c r="W154" s="18"/>
      <x:c r="X154" s="18" t="n">
        <x:v>44</x:v>
      </x:c>
      <x:c r="Y154" s="18" t="str">
        <x:v>participants</x:v>
      </x:c>
      <x:c r="Z154" s="18" t="str">
        <x:v>NR</x:v>
      </x:c>
      <x:c r="AA154" s="18" t="str">
        <x:v>Yes</x:v>
      </x:c>
      <x:c r="AB154" s="18" t="str">
        <x:v>No</x:v>
      </x:c>
      <x:c r="AC154" s="18" t="str">
        <x:v>RR</x:v>
      </x:c>
      <x:c r="AD154" s="18" t="n">
        <x:v>0.5909090909090909</x:v>
      </x:c>
      <x:c r="AE154" s="18" t="str">
        <x:v>No</x:v>
      </x:c>
      <x:c r="AF154" s="18" t="str">
        <x:v>No</x:v>
      </x:c>
      <x:c r="AG154" s="18" t="str">
        <x:v>Eligible for dichotomous PGD analysis</x:v>
      </x:c>
      <x:c r="AH154" s="18" t="str">
        <x:v>No</x:v>
      </x:c>
      <x:c r="AI154" s="18" t="str">
        <x:v>Study-specific PGD definition; majority of events were in colorectal stratum</x:v>
      </x:c>
      <x:c r="AJ154" s="18" t="str">
        <x:v>PGD incidence</x:v>
      </x:c>
      <x:c r="AK154" s="18" t="str">
        <x:v>https://drive.google.com/file/d/1NvcLlsb17N6EMhtHs_L_WBnf40wsrtRz/view?usp=drivesdk</x:v>
      </x:c>
      <x:c r="AL154" s="18" t="str">
        <x:v>SOURCE-VERIFIED</x:v>
      </x:c>
      <x:c r="AM154" s="18" t="str">
        <x:v>GI recovery</x:v>
      </x:c>
      <x:c r="AN154" s="18" t="str">
        <x:v>Postoperative</x:v>
      </x:c>
      <x:c r="AO154" s="18" t="str">
        <x:v>INCLUDE — SECONDARY GI</x:v>
      </x:c>
      <x:c r="AP154" s="18" t="str">
        <x:v>Source-valid GI recovery outcome; analyze separately by outcome definition.</x:v>
      </x:c>
      <x:c r="AQ154" s="18" t="str">
        <x:v>No</x:v>
      </x:c>
      <x:c r="AR154" s="18" t="str"/>
      <x:c r="AS154" s="18" t="str">
        <x:v>Binary effect measure (RR preferred per protocol)</x:v>
      </x:c>
      <x:c r="AT154" s="18" t="str">
        <x:v>Time to first bowel motion by auscultation</x:v>
      </x:c>
      <x:c r="AU154" s="18" t="str">
        <x:v>Postoperative</x:v>
      </x:c>
      <x:c r="AV154" s="18" t="str">
        <x:v>High</x:v>
      </x:c>
      <x:c r="AW154" s="18" t="str">
        <x:v>Yes — selected RoB is for a different result/timepoint</x:v>
      </x:c>
      <x:c r="AX154" s="18" t="str">
        <x:v>Li 2021</x:v>
      </x:c>
      <x:c r="AY154" s="18" t="str">
        <x:v>Primary eligible contrast</x:v>
      </x:c>
      <x:c r="AZ154" s="18" t="str">
        <x:v>Count this study once per synthesis unless a valid multi-arm method is used.</x:v>
      </x:c>
    </x:row>
    <x:row r="155">
      <x:c r="A155" s="18" t="str">
        <x:v>Li 2021</x:v>
      </x:c>
      <x:c r="B155" s="18" t="str">
        <x:v>LI21_TEAS_vs_SHAM_PAIN6</x:v>
      </x:c>
      <x:c r="C155" s="18" t="str">
        <x:v>Perioperative TEAS</x:v>
      </x:c>
      <x:c r="D155" s="18" t="str">
        <x:v>Sham-point/no current</x:v>
      </x:c>
      <x:c r="E155" s="18" t="str">
        <x:v>Pain</x:v>
      </x:c>
      <x:c r="F155" s="18" t="str">
        <x:v>VAS ≥4</x:v>
      </x:c>
      <x:c r="G155" s="18" t="str">
        <x:v>6 h</x:v>
      </x:c>
      <x:c r="H155" s="18" t="str">
        <x:v>Events/total</x:v>
      </x:c>
      <x:c r="I155" s="18" t="n">
        <x:v>154</x:v>
      </x:c>
      <x:c r="J155" s="18" t="n">
        <x:v>152</x:v>
      </x:c>
      <x:c r="K155" s="18" t="n">
        <x:v>140</x:v>
      </x:c>
      <x:c r="L155" s="18" t="n">
        <x:v>140</x:v>
      </x:c>
      <x:c r="M155" s="18"/>
      <x:c r="N155" s="18"/>
      <x:c r="O155" s="18"/>
      <x:c r="P155" s="18"/>
      <x:c r="Q155" s="18"/>
      <x:c r="R155" s="18" t="n">
        <x:v>30</x:v>
      </x:c>
      <x:c r="S155" s="18"/>
      <x:c r="T155" s="18"/>
      <x:c r="U155" s="18"/>
      <x:c r="V155" s="18"/>
      <x:c r="W155" s="18"/>
      <x:c r="X155" s="18" t="n">
        <x:v>50</x:v>
      </x:c>
      <x:c r="Y155" s="18" t="str">
        <x:v>participants</x:v>
      </x:c>
      <x:c r="Z155" s="18" t="str">
        <x:v>0.008</x:v>
      </x:c>
      <x:c r="AA155" s="18" t="str">
        <x:v>Yes</x:v>
      </x:c>
      <x:c r="AB155" s="18" t="str">
        <x:v>No</x:v>
      </x:c>
      <x:c r="AC155" s="18" t="str">
        <x:v>RR</x:v>
      </x:c>
      <x:c r="AD155" s="18" t="n">
        <x:v>0.6</x:v>
      </x:c>
      <x:c r="AE155" s="18" t="str">
        <x:v>No</x:v>
      </x:c>
      <x:c r="AF155" s="18" t="str">
        <x:v>No</x:v>
      </x:c>
      <x:c r="AG155" s="18" t="str">
        <x:v>Eligible for dichotomous 6-h significant-pain analysis</x:v>
      </x:c>
      <x:c r="AH155" s="18" t="str">
        <x:v>No</x:v>
      </x:c>
      <x:c r="AI155" s="18" t="str">
        <x:v>Pain is reported as binary VAS ≥4 rather than continuous score</x:v>
      </x:c>
      <x:c r="AJ155" s="18" t="str">
        <x:v>Postoperative pain table / 6 h</x:v>
      </x:c>
      <x:c r="AK155" s="18" t="str">
        <x:v>https://drive.google.com/file/d/1NvcLlsb17N6EMhtHs_L_WBnf40wsrtRz/view?usp=drivesdk</x:v>
      </x:c>
      <x:c r="AL155" s="18" t="str">
        <x:v>SOURCE-VERIFIED</x:v>
      </x:c>
      <x:c r="AM155" s="18" t="str">
        <x:v>Pain</x:v>
      </x:c>
      <x:c r="AN155" s="18" t="str">
        <x:v>6 h</x:v>
      </x:c>
      <x:c r="AO155" s="18" t="str">
        <x:v>INCLUDE — OTHER TIMEPOINT</x:v>
      </x:c>
      <x:c r="AP155" s="18" t="str">
        <x:v>Source-valid pain outcome for a non-24-h analysis.</x:v>
      </x:c>
      <x:c r="AQ155" s="18" t="str">
        <x:v>No</x:v>
      </x:c>
      <x:c r="AR155" s="18" t="str"/>
      <x:c r="AS155" s="18" t="str">
        <x:v>Binary effect measure (RR preferred per protocol)</x:v>
      </x:c>
      <x:c r="AT155" s="18" t="str">
        <x:v>Time to first bowel motion by auscultation</x:v>
      </x:c>
      <x:c r="AU155" s="18" t="str">
        <x:v>Postoperative</x:v>
      </x:c>
      <x:c r="AV155" s="18" t="str">
        <x:v>High</x:v>
      </x:c>
      <x:c r="AW155" s="18" t="str">
        <x:v>Yes — selected RoB is for a different result/timepoint</x:v>
      </x:c>
      <x:c r="AX155" s="18" t="str">
        <x:v>Li 2021</x:v>
      </x:c>
      <x:c r="AY155" s="18" t="str">
        <x:v>Primary eligible contrast</x:v>
      </x:c>
      <x:c r="AZ155" s="18" t="str">
        <x:v>Count this study once per synthesis unless a valid multi-arm method is used.</x:v>
      </x:c>
    </x:row>
    <x:row r="156">
      <x:c r="A156" s="18" t="str">
        <x:v>Li 2021</x:v>
      </x:c>
      <x:c r="B156" s="18" t="str">
        <x:v>LI21_TEAS_vs_SHAM_OPIOID24</x:v>
      </x:c>
      <x:c r="C156" s="18" t="str">
        <x:v>Perioperative TEAS</x:v>
      </x:c>
      <x:c r="D156" s="18" t="str">
        <x:v>Sham-point/no current</x:v>
      </x:c>
      <x:c r="E156" s="18" t="str">
        <x:v>Opioid consumption</x:v>
      </x:c>
      <x:c r="F156" s="18" t="str">
        <x:v>Cumulative postoperative sufentanil consumption</x:v>
      </x:c>
      <x:c r="G156" s="18" t="str">
        <x:v>0-24 h</x:v>
      </x:c>
      <x:c r="H156" s="18" t="str">
        <x:v>Not reported</x:v>
      </x:c>
      <x:c r="I156" s="18" t="n">
        <x:v>154</x:v>
      </x:c>
      <x:c r="J156" s="18" t="n">
        <x:v>152</x:v>
      </x:c>
      <x:c r="K156" s="18" t="n">
        <x:v>140</x:v>
      </x:c>
      <x:c r="L156" s="18" t="n">
        <x:v>140</x:v>
      </x:c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 t="str">
        <x:v>published pump formulation says 250 mg sufentanil/250 mL</x:v>
      </x:c>
      <x:c r="Z156" s="18"/>
      <x:c r="AA156" s="18" t="str">
        <x:v>No</x:v>
      </x:c>
      <x:c r="AB156" s="18" t="str">
        <x:v>No</x:v>
      </x:c>
      <x:c r="AC156" s="18"/>
      <x:c r="AD156" s="18"/>
      <x:c r="AE156" s="18" t="str">
        <x:v>No</x:v>
      </x:c>
      <x:c r="AF156" s="18" t="str">
        <x:v>No</x:v>
      </x:c>
      <x:c r="AG156" s="18" t="str">
        <x:v>Not eligible for continuous 24-h opioid/MME meta-analysis</x:v>
      </x:c>
      <x:c r="AH156" s="18" t="str">
        <x:v>No</x:v>
      </x:c>
      <x:c r="AI156" s="18" t="str">
        <x:v>Printed pump unit is clinically implausible, programming is missing, and actual 24-h delivered dose is not reported; do not silently change mg to µg</x:v>
      </x:c>
      <x:c r="AJ156" s="18" t="str">
        <x:v>Postoperative analgesia pump / exact 24-h endpoint absent</x:v>
      </x:c>
      <x:c r="AK156" s="18" t="str">
        <x:v>https://drive.google.com/file/d/1NvcLlsb17N6EMhtHs_L_WBnf40wsrtRz/view?usp=drivesdk</x:v>
      </x:c>
      <x:c r="AL156" s="18" t="str">
        <x:v>MISSING / UNIT + DOSE UNRESOLVED</x:v>
      </x:c>
      <x:c r="AM156" s="18" t="str">
        <x:v>Postoperative opioid consumption</x:v>
      </x:c>
      <x:c r="AN156" s="18" t="str">
        <x:v>Exact/explicit 24 h</x:v>
      </x:c>
      <x:c r="AO156" s="18" t="str">
        <x:v>EXCLUDE — DATA UNAVAILABLE</x:v>
      </x:c>
      <x:c r="AP156" s="18" t="str">
        <x:v>The source does not provide a defensible quantitative value for this analysis.</x:v>
      </x:c>
      <x:c r="AQ156" s="18" t="str">
        <x:v>No</x:v>
      </x:c>
      <x:c r="AR156" s="18" t="str"/>
      <x:c r="AS156" s="18" t="str">
        <x:v>Opioid/MME conversion required using prespecified review conversion</x:v>
      </x:c>
      <x:c r="AT156" s="18" t="str">
        <x:v>Time to first bowel motion by auscultation</x:v>
      </x:c>
      <x:c r="AU156" s="18" t="str">
        <x:v>Postoperative</x:v>
      </x:c>
      <x:c r="AV156" s="18" t="str">
        <x:v>High</x:v>
      </x:c>
      <x:c r="AW156" s="18" t="str">
        <x:v>Yes — selected RoB is for a different result/timepoint</x:v>
      </x:c>
      <x:c r="AX156" s="18" t="str">
        <x:v>Li 2021</x:v>
      </x:c>
      <x:c r="AY156" s="18" t="str">
        <x:v>Primary eligible contrast</x:v>
      </x:c>
      <x:c r="AZ156" s="18" t="str">
        <x:v>Count this study once per synthesis unless a valid multi-arm method is used.</x:v>
      </x:c>
    </x:row>
    <x:row r="157">
      <x:c r="A157" s="18" t="str">
        <x:v>Liu 2026 (ESD)</x:v>
      </x:c>
      <x:c r="B157" s="18" t="str">
        <x:v>LIU26ESD_TEAS_vs_SHAM_MODPAIN24</x:v>
      </x:c>
      <x:c r="C157" s="18" t="str">
        <x:v>Perioperative TEAS</x:v>
      </x:c>
      <x:c r="D157" s="18" t="str">
        <x:v>Sham-point/no current</x:v>
      </x:c>
      <x:c r="E157" s="18" t="str">
        <x:v>Pain</x:v>
      </x:c>
      <x:c r="F157" s="18" t="str">
        <x:v>Moderate-to-severe pain (NRS ≥4)</x:v>
      </x:c>
      <x:c r="G157" s="18" t="str">
        <x:v>Within 24 h</x:v>
      </x:c>
      <x:c r="H157" s="18" t="str">
        <x:v>Events/total</x:v>
      </x:c>
      <x:c r="I157" s="18" t="n">
        <x:v>64</x:v>
      </x:c>
      <x:c r="J157" s="18" t="n">
        <x:v>65</x:v>
      </x:c>
      <x:c r="K157" s="18" t="n">
        <x:v>58</x:v>
      </x:c>
      <x:c r="L157" s="18" t="n">
        <x:v>62</x:v>
      </x:c>
      <x:c r="M157" s="18"/>
      <x:c r="N157" s="18"/>
      <x:c r="O157" s="18"/>
      <x:c r="P157" s="18"/>
      <x:c r="Q157" s="18"/>
      <x:c r="R157" s="18" t="n">
        <x:v>22</x:v>
      </x:c>
      <x:c r="S157" s="18"/>
      <x:c r="T157" s="18"/>
      <x:c r="U157" s="18"/>
      <x:c r="V157" s="18"/>
      <x:c r="W157" s="18"/>
      <x:c r="X157" s="18" t="n">
        <x:v>40</x:v>
      </x:c>
      <x:c r="Y157" s="18" t="str">
        <x:v>participants</x:v>
      </x:c>
      <x:c r="Z157" s="18" t="str">
        <x:v>0.004</x:v>
      </x:c>
      <x:c r="AA157" s="18" t="str">
        <x:v>Yes</x:v>
      </x:c>
      <x:c r="AB157" s="18" t="str">
        <x:v>No</x:v>
      </x:c>
      <x:c r="AC157" s="18" t="str">
        <x:v>RR</x:v>
      </x:c>
      <x:c r="AD157" s="18" t="n">
        <x:v>0.5879310344827586</x:v>
      </x:c>
      <x:c r="AE157" s="18" t="str">
        <x:v>No</x:v>
      </x:c>
      <x:c r="AF157" s="18" t="str">
        <x:v>No</x:v>
      </x:c>
      <x:c r="AG157" s="18" t="str">
        <x:v>Eligible for dichotomous 24-h moderate-to-severe pain analysis</x:v>
      </x:c>
      <x:c r="AH157" s="18" t="str">
        <x:v>No</x:v>
      </x:c>
      <x:c r="AI157" s="18" t="str">
        <x:v>9/129 randomized participants excluded after randomization, including postoperative bleeding and conversion to laparotomy; no ITT sensitivity analysis</x:v>
      </x:c>
      <x:c r="AJ157" s="18" t="str">
        <x:v>Primary outcome / NRS ≥4 within 24 h</x:v>
      </x:c>
      <x:c r="AK157" s="18" t="str">
        <x:v>https://drive.google.com/file/d/1Hp7pCBP8iXkGGYVhlFY0BHTeaaM7bhdY/view?usp=drivesdk</x:v>
      </x:c>
      <x:c r="AL157" s="18" t="str">
        <x:v>SOURCE-VERIFIED / ATTRITION QC</x:v>
      </x:c>
      <x:c r="AM157" s="18" t="str">
        <x:v>Pain</x:v>
      </x:c>
      <x:c r="AN157" s="18" t="str">
        <x:v>Contains 24 h but definition differs</x:v>
      </x:c>
      <x:c r="AO157" s="18" t="str">
        <x:v>CONDITIONAL</x:v>
      </x:c>
      <x:c r="AP157" s="18" t="str">
        <x:v>Contains a 24-h measurement but timepoint definition differs from the strict analysis.</x:v>
      </x:c>
      <x:c r="AQ157" s="18" t="str">
        <x:v>No</x:v>
      </x:c>
      <x:c r="AR157" s="18" t="str"/>
      <x:c r="AS157" s="18" t="str">
        <x:v>Binary effect measure (RR preferred per protocol)</x:v>
      </x:c>
      <x:c r="AT157" s="18" t="str">
        <x:v>Moderate-to-severe pain (NRS ≥4)</x:v>
      </x:c>
      <x:c r="AU157" s="18" t="str">
        <x:v>Within 24 h</x:v>
      </x:c>
      <x:c r="AV157" s="18" t="str">
        <x:v>High</x:v>
      </x:c>
      <x:c r="AW157" s="18" t="str">
        <x:v>No — selected RoB matches this result</x:v>
      </x:c>
      <x:c r="AX157" s="18" t="str">
        <x:v>Liu 2026 (ESD)</x:v>
      </x:c>
      <x:c r="AY157" s="18" t="str">
        <x:v>Primary eligible contrast</x:v>
      </x:c>
      <x:c r="AZ157" s="18" t="str">
        <x:v>Count this study once per synthesis unless a valid multi-arm method is used.</x:v>
      </x:c>
    </x:row>
    <x:row r="158">
      <x:c r="A158" s="18" t="str">
        <x:v>Liu 2026 (ESD)</x:v>
      </x:c>
      <x:c r="B158" s="18" t="str">
        <x:v>LIU26ESD_TEAS_vs_SHAM_NRS24</x:v>
      </x:c>
      <x:c r="C158" s="18" t="str">
        <x:v>Perioperative TEAS</x:v>
      </x:c>
      <x:c r="D158" s="18" t="str">
        <x:v>Sham-point/no current</x:v>
      </x:c>
      <x:c r="E158" s="18" t="str">
        <x:v>Pain</x:v>
      </x:c>
      <x:c r="F158" s="18" t="str">
        <x:v>NRS pain intensity</x:v>
      </x:c>
      <x:c r="G158" s="18" t="str">
        <x:v>24 h</x:v>
      </x:c>
      <x:c r="H158" s="18" t="str">
        <x:v>Mean/SD</x:v>
      </x:c>
      <x:c r="I158" s="18" t="n">
        <x:v>64</x:v>
      </x:c>
      <x:c r="J158" s="18" t="n">
        <x:v>65</x:v>
      </x:c>
      <x:c r="K158" s="18" t="n">
        <x:v>58</x:v>
      </x:c>
      <x:c r="L158" s="18" t="n">
        <x:v>62</x:v>
      </x:c>
      <x:c r="M158" s="18" t="n">
        <x:v>1.2</x:v>
      </x:c>
      <x:c r="N158" s="18" t="n">
        <x:v>1.3</x:v>
      </x:c>
      <x:c r="O158" s="18"/>
      <x:c r="P158" s="18"/>
      <x:c r="Q158" s="18"/>
      <x:c r="R158" s="18"/>
      <x:c r="S158" s="18" t="n">
        <x:v>2.8</x:v>
      </x:c>
      <x:c r="T158" s="18" t="n">
        <x:v>1.9</x:v>
      </x:c>
      <x:c r="U158" s="18"/>
      <x:c r="V158" s="18"/>
      <x:c r="W158" s="18"/>
      <x:c r="X158" s="18"/>
      <x:c r="Y158" s="18" t="str">
        <x:v>NRS 0-10</x:v>
      </x:c>
      <x:c r="Z158" s="18" t="str">
        <x:v>0.001</x:v>
      </x:c>
      <x:c r="AA158" s="18" t="str">
        <x:v>Yes</x:v>
      </x:c>
      <x:c r="AB158" s="18" t="str">
        <x:v>No</x:v>
      </x:c>
      <x:c r="AC158" s="18" t="str">
        <x:v>MD</x:v>
      </x:c>
      <x:c r="AD158" s="18" t="n">
        <x:v>-1.5999999999999999</x:v>
      </x:c>
      <x:c r="AE158" s="18" t="str">
        <x:v>No</x:v>
      </x:c>
      <x:c r="AF158" s="18" t="str">
        <x:v>No</x:v>
      </x:c>
      <x:c r="AG158" s="18" t="str">
        <x:v>Eligible for 24-h pain meta-analysis</x:v>
      </x:c>
      <x:c r="AH158" s="18" t="str">
        <x:v>No</x:v>
      </x:c>
      <x:c r="AI158" s="18" t="str">
        <x:v>Active TEAS at maximum tolerated intensity vs sham no current; sensory blinding success was not tested</x:v>
      </x:c>
      <x:c r="AJ158" s="18" t="str">
        <x:v>Serial NRS results / 24 h</x:v>
      </x:c>
      <x:c r="AK158" s="18" t="str">
        <x:v>https://drive.google.com/file/d/1Hp7pCBP8iXkGGYVhlFY0BHTeaaM7bhdY/view?usp=drivesdk</x:v>
      </x:c>
      <x:c r="AL158" s="18" t="str">
        <x:v>SOURCE-VERIFIED</x:v>
      </x:c>
      <x:c r="AM158" s="18" t="str">
        <x:v>Pain</x:v>
      </x:c>
      <x:c r="AN158" s="18" t="str">
        <x:v>Exact/explicit 24 h</x:v>
      </x:c>
      <x:c r="AO158" s="18" t="str">
        <x:v>INCLUDE</x:v>
      </x:c>
      <x:c r="AP158" s="18" t="str">
        <x:v>Explicit 24-h pain endpoint with quantitative source data.</x:v>
      </x:c>
      <x:c r="AQ158" s="18" t="str">
        <x:v>Yes</x:v>
      </x:c>
      <x:c r="AR158" s="18" t="str"/>
      <x:c r="AS158" s="18" t="str">
        <x:v>None</x:v>
      </x:c>
      <x:c r="AT158" s="18" t="str">
        <x:v>Moderate-to-severe pain (NRS ≥4)</x:v>
      </x:c>
      <x:c r="AU158" s="18" t="str">
        <x:v>Within 24 h</x:v>
      </x:c>
      <x:c r="AV158" s="18" t="str">
        <x:v>High</x:v>
      </x:c>
      <x:c r="AW158" s="18" t="str">
        <x:v>Yes — selected RoB is for a different result/timepoint</x:v>
      </x:c>
      <x:c r="AX158" s="18" t="str">
        <x:v>Liu 2026 (ESD)</x:v>
      </x:c>
      <x:c r="AY158" s="18" t="str">
        <x:v>Primary eligible contrast</x:v>
      </x:c>
      <x:c r="AZ158" s="18" t="str">
        <x:v>Count this study once per synthesis unless a valid multi-arm method is used.</x:v>
      </x:c>
    </x:row>
    <x:row r="159">
      <x:c r="A159" s="18" t="str">
        <x:v>Liu 2026 (ESD)</x:v>
      </x:c>
      <x:c r="B159" s="18" t="str">
        <x:v>LIU26ESD_TEAS_vs_SHAM_ANYMORPH</x:v>
      </x:c>
      <x:c r="C159" s="18" t="str">
        <x:v>Perioperative TEAS</x:v>
      </x:c>
      <x:c r="D159" s="18" t="str">
        <x:v>Sham-point/no current</x:v>
      </x:c>
      <x:c r="E159" s="18" t="str">
        <x:v>Rescue opioid use</x:v>
      </x:c>
      <x:c r="F159" s="18" t="str">
        <x:v>Any rescue IV morphine use</x:v>
      </x:c>
      <x:c r="G159" s="18" t="str">
        <x:v>Through 48 h</x:v>
      </x:c>
      <x:c r="H159" s="18" t="str">
        <x:v>Events/total</x:v>
      </x:c>
      <x:c r="I159" s="18" t="n">
        <x:v>64</x:v>
      </x:c>
      <x:c r="J159" s="18" t="n">
        <x:v>65</x:v>
      </x:c>
      <x:c r="K159" s="18" t="n">
        <x:v>58</x:v>
      </x:c>
      <x:c r="L159" s="18" t="n">
        <x:v>62</x:v>
      </x:c>
      <x:c r="M159" s="18"/>
      <x:c r="N159" s="18"/>
      <x:c r="O159" s="18"/>
      <x:c r="P159" s="18"/>
      <x:c r="Q159" s="18"/>
      <x:c r="R159" s="18" t="n">
        <x:v>19</x:v>
      </x:c>
      <x:c r="S159" s="18"/>
      <x:c r="T159" s="18"/>
      <x:c r="U159" s="18"/>
      <x:c r="V159" s="18"/>
      <x:c r="W159" s="18"/>
      <x:c r="X159" s="18" t="n">
        <x:v>40</x:v>
      </x:c>
      <x:c r="Y159" s="18" t="str">
        <x:v>participants</x:v>
      </x:c>
      <x:c r="Z159" s="18" t="str">
        <x:v>&lt;0.001</x:v>
      </x:c>
      <x:c r="AA159" s="18" t="str">
        <x:v>Yes</x:v>
      </x:c>
      <x:c r="AB159" s="18" t="str">
        <x:v>No</x:v>
      </x:c>
      <x:c r="AC159" s="18" t="str">
        <x:v>RR</x:v>
      </x:c>
      <x:c r="AD159" s="18" t="n">
        <x:v>0.5077586206896552</x:v>
      </x:c>
      <x:c r="AE159" s="18" t="str">
        <x:v>No</x:v>
      </x:c>
      <x:c r="AF159" s="18" t="str">
        <x:v>No</x:v>
      </x:c>
      <x:c r="AG159" s="18" t="str">
        <x:v>Eligible for binary rescue-opioid-use analysis</x:v>
      </x:c>
      <x:c r="AH159" s="18" t="str">
        <x:v>No</x:v>
      </x:c>
      <x:c r="AI159" s="18" t="str">
        <x:v>Morphine was 1 mg IV per administration, but number of administrations and cumulative dose per patient are not reported</x:v>
      </x:c>
      <x:c r="AJ159" s="18" t="str">
        <x:v>Postoperative rescue analgesia</x:v>
      </x:c>
      <x:c r="AK159" s="18" t="str">
        <x:v>https://drive.google.com/file/d/1Hp7pCBP8iXkGGYVhlFY0BHTeaaM7bhdY/view?usp=drivesdk</x:v>
      </x:c>
      <x:c r="AL159" s="18" t="str">
        <x:v>SOURCE-VERIFIED</x:v>
      </x:c>
      <x:c r="AM159" s="18" t="str">
        <x:v>Rescue opioid use</x:v>
      </x:c>
      <x:c r="AN159" s="18" t="str">
        <x:v>48 h</x:v>
      </x:c>
      <x:c r="AO159" s="18" t="str">
        <x:v>INCLUDE — BINARY RESCUE USE</x:v>
      </x:c>
      <x:c r="AP159" s="18" t="str">
        <x:v>Valid binary rescue-opioid-use endpoint, separate from continuous opioid consumption.</x:v>
      </x:c>
      <x:c r="AQ159" s="18" t="str">
        <x:v>No</x:v>
      </x:c>
      <x:c r="AR159" s="18" t="str"/>
      <x:c r="AS159" s="18" t="str">
        <x:v>Binary effect measure (RR preferred per protocol)</x:v>
      </x:c>
      <x:c r="AT159" s="18" t="str">
        <x:v>Moderate-to-severe pain (NRS ≥4)</x:v>
      </x:c>
      <x:c r="AU159" s="18" t="str">
        <x:v>Within 24 h</x:v>
      </x:c>
      <x:c r="AV159" s="18" t="str">
        <x:v>High</x:v>
      </x:c>
      <x:c r="AW159" s="18" t="str">
        <x:v>Yes — selected RoB is for a different result/timepoint</x:v>
      </x:c>
      <x:c r="AX159" s="18" t="str">
        <x:v>Liu 2026 (ESD)</x:v>
      </x:c>
      <x:c r="AY159" s="18" t="str">
        <x:v>Primary eligible contrast</x:v>
      </x:c>
      <x:c r="AZ159" s="18" t="str">
        <x:v>Count this study once per synthesis unless a valid multi-arm method is used.</x:v>
      </x:c>
    </x:row>
    <x:row r="160">
      <x:c r="A160" s="18" t="str">
        <x:v>Liu 2026 (ESD)</x:v>
      </x:c>
      <x:c r="B160" s="18" t="str">
        <x:v>LIU26ESD_TEAS_vs_SHAM_PONV</x:v>
      </x:c>
      <x:c r="C160" s="18" t="str">
        <x:v>Perioperative TEAS</x:v>
      </x:c>
      <x:c r="D160" s="18" t="str">
        <x:v>Sham-point/no current</x:v>
      </x:c>
      <x:c r="E160" s="18" t="str">
        <x:v>PONV</x:v>
      </x:c>
      <x:c r="F160" s="18" t="str">
        <x:v>PONV incidence</x:v>
      </x:c>
      <x:c r="G160" s="18" t="str">
        <x:v>Postoperative follow-up</x:v>
      </x:c>
      <x:c r="H160" s="18" t="str">
        <x:v>Events/total</x:v>
      </x:c>
      <x:c r="I160" s="18" t="n">
        <x:v>64</x:v>
      </x:c>
      <x:c r="J160" s="18" t="n">
        <x:v>65</x:v>
      </x:c>
      <x:c r="K160" s="18" t="n">
        <x:v>58</x:v>
      </x:c>
      <x:c r="L160" s="18" t="n">
        <x:v>62</x:v>
      </x:c>
      <x:c r="M160" s="18"/>
      <x:c r="N160" s="18"/>
      <x:c r="O160" s="18"/>
      <x:c r="P160" s="18"/>
      <x:c r="Q160" s="18"/>
      <x:c r="R160" s="18" t="n">
        <x:v>4</x:v>
      </x:c>
      <x:c r="S160" s="18"/>
      <x:c r="T160" s="18"/>
      <x:c r="U160" s="18"/>
      <x:c r="V160" s="18"/>
      <x:c r="W160" s="18"/>
      <x:c r="X160" s="18" t="n">
        <x:v>14</x:v>
      </x:c>
      <x:c r="Y160" s="18" t="str">
        <x:v>participants</x:v>
      </x:c>
      <x:c r="Z160" s="18" t="str">
        <x:v>Published P/RR internally inconsistent</x:v>
      </x:c>
      <x:c r="AA160" s="18" t="str">
        <x:v>Yes</x:v>
      </x:c>
      <x:c r="AB160" s="18" t="str">
        <x:v>No</x:v>
      </x:c>
      <x:c r="AC160" s="18" t="str">
        <x:v>RR</x:v>
      </x:c>
      <x:c r="AD160" s="18" t="n">
        <x:v>0.3054187192118227</x:v>
      </x:c>
      <x:c r="AE160" s="18" t="str">
        <x:v>No</x:v>
      </x:c>
      <x:c r="AF160" s="18" t="str">
        <x:v>No</x:v>
      </x:c>
      <x:c r="AG160" s="18" t="str">
        <x:v>Eligible using raw event counts with source-statistic QC</x:v>
      </x:c>
      <x:c r="AH160" s="18" t="str">
        <x:v>No</x:v>
      </x:c>
      <x:c r="AI160" s="18" t="str">
        <x:v>Published RR/P-value for PONV are internally inconsistent; use raw 4/58 vs 14/62</x:v>
      </x:c>
      <x:c r="AJ160" s="18" t="str">
        <x:v>Postoperative complication table</x:v>
      </x:c>
      <x:c r="AK160" s="18" t="str">
        <x:v>https://drive.google.com/file/d/1Hp7pCBP8iXkGGYVhlFY0BHTeaaM7bhdY/view?usp=drivesdk</x:v>
      </x:c>
      <x:c r="AL160" s="18" t="str">
        <x:v>SOURCE-VERIFIED / PUBLISHED EFFECT QC</x:v>
      </x:c>
      <x:c r="AM160" s="18" t="str">
        <x:v>PONV</x:v>
      </x:c>
      <x:c r="AN160" s="18" t="str">
        <x:v>Postoperative follow-up</x:v>
      </x:c>
      <x:c r="AO160" s="18" t="str">
        <x:v>CONDITIONAL</x:v>
      </x:c>
      <x:c r="AP160" s="18" t="str">
        <x:v>Valid PONV result, but the postoperative observation window should be matched to the intended synthesis.</x:v>
      </x:c>
      <x:c r="AQ160" s="18" t="str">
        <x:v>No</x:v>
      </x:c>
      <x:c r="AR160" s="18" t="str"/>
      <x:c r="AS160" s="18" t="str">
        <x:v>Binary effect measure (RR preferred per protocol)</x:v>
      </x:c>
      <x:c r="AT160" s="18" t="str">
        <x:v>Moderate-to-severe pain (NRS ≥4)</x:v>
      </x:c>
      <x:c r="AU160" s="18" t="str">
        <x:v>Within 24 h</x:v>
      </x:c>
      <x:c r="AV160" s="18" t="str">
        <x:v>High</x:v>
      </x:c>
      <x:c r="AW160" s="18" t="str">
        <x:v>Yes — selected RoB is for a different result/timepoint</x:v>
      </x:c>
      <x:c r="AX160" s="18" t="str">
        <x:v>Liu 2026 (ESD)</x:v>
      </x:c>
      <x:c r="AY160" s="18" t="str">
        <x:v>Primary eligible contrast</x:v>
      </x:c>
      <x:c r="AZ160" s="18" t="str">
        <x:v>Count this study once per synthesis unless a valid multi-arm method is used.</x:v>
      </x:c>
    </x:row>
    <x:row r="161">
      <x:c r="A161" s="18" t="str">
        <x:v>Liu 2026 (ESD)</x:v>
      </x:c>
      <x:c r="B161" s="18" t="str">
        <x:v>LIU26ESD_TEAS_vs_SHAM_MORPH24</x:v>
      </x:c>
      <x:c r="C161" s="18" t="str">
        <x:v>Perioperative TEAS</x:v>
      </x:c>
      <x:c r="D161" s="18" t="str">
        <x:v>Sham-point/no current</x:v>
      </x:c>
      <x:c r="E161" s="18" t="str">
        <x:v>Opioid consumption</x:v>
      </x:c>
      <x:c r="F161" s="18" t="str">
        <x:v>Cumulative postoperative morphine consumption</x:v>
      </x:c>
      <x:c r="G161" s="18" t="str">
        <x:v>0-24 h</x:v>
      </x:c>
      <x:c r="H161" s="18" t="str">
        <x:v>Not reported</x:v>
      </x:c>
      <x:c r="I161" s="18" t="n">
        <x:v>64</x:v>
      </x:c>
      <x:c r="J161" s="18" t="n">
        <x:v>65</x:v>
      </x:c>
      <x:c r="K161" s="18" t="n">
        <x:v>58</x:v>
      </x:c>
      <x:c r="L161" s="18" t="n">
        <x:v>62</x:v>
      </x:c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 t="str">
        <x:v>mg IV morphine</x:v>
      </x:c>
      <x:c r="Z161" s="18"/>
      <x:c r="AA161" s="18" t="str">
        <x:v>No</x:v>
      </x:c>
      <x:c r="AB161" s="18" t="str">
        <x:v>No</x:v>
      </x:c>
      <x:c r="AC161" s="18"/>
      <x:c r="AD161" s="18"/>
      <x:c r="AE161" s="18" t="str">
        <x:v>No</x:v>
      </x:c>
      <x:c r="AF161" s="18" t="str">
        <x:v>No</x:v>
      </x:c>
      <x:c r="AG161" s="18" t="str">
        <x:v>Not eligible for continuous 24-h morphine/MME meta-analysis without author data</x:v>
      </x:c>
      <x:c r="AH161" s="18" t="str">
        <x:v>No</x:v>
      </x:c>
      <x:c r="AI161" s="18" t="str">
        <x:v>Binary morphine use is reported, but administration counts and cumulative dose are not</x:v>
      </x:c>
      <x:c r="AJ161" s="18" t="str">
        <x:v>Exact 24-h opioid dose absent</x:v>
      </x:c>
      <x:c r="AK161" s="18" t="str">
        <x:v>https://drive.google.com/file/d/1Hp7pCBP8iXkGGYVhlFY0BHTeaaM7bhdY/view?usp=drivesdk</x:v>
      </x:c>
      <x:c r="AL161" s="18" t="str">
        <x:v>MISSING / AUTHOR DATA NEEDED</x:v>
      </x:c>
      <x:c r="AM161" s="18" t="str">
        <x:v>Postoperative opioid consumption</x:v>
      </x:c>
      <x:c r="AN161" s="18" t="str">
        <x:v>Exact/explicit 24 h</x:v>
      </x:c>
      <x:c r="AO161" s="18" t="str">
        <x:v>EXCLUDE — DATA UNAVAILABLE</x:v>
      </x:c>
      <x:c r="AP161" s="18" t="str">
        <x:v>The source does not provide a defensible quantitative value for this analysis.</x:v>
      </x:c>
      <x:c r="AQ161" s="18" t="str">
        <x:v>No</x:v>
      </x:c>
      <x:c r="AR161" s="18" t="str"/>
      <x:c r="AS161" s="18" t="str">
        <x:v>Use native IV morphine; convert to review-standard MME only per prespecified rule</x:v>
      </x:c>
      <x:c r="AT161" s="18" t="str">
        <x:v>Moderate-to-severe pain (NRS ≥4)</x:v>
      </x:c>
      <x:c r="AU161" s="18" t="str">
        <x:v>Within 24 h</x:v>
      </x:c>
      <x:c r="AV161" s="18" t="str">
        <x:v>High</x:v>
      </x:c>
      <x:c r="AW161" s="18" t="str">
        <x:v>Yes — selected RoB is for a different result/timepoint</x:v>
      </x:c>
      <x:c r="AX161" s="18" t="str">
        <x:v>Liu 2026 (ESD)</x:v>
      </x:c>
      <x:c r="AY161" s="18" t="str">
        <x:v>Primary eligible contrast</x:v>
      </x:c>
      <x:c r="AZ161" s="18" t="str">
        <x:v>Count this study once per synthesis unless a valid multi-arm method is used.</x:v>
      </x:c>
    </x:row>
    <x:row r="162">
      <x:c r="A162" s="18" t="str">
        <x:v>Liu 2021</x:v>
      </x:c>
      <x:c r="B162" s="18" t="str">
        <x:v>LIU21_TEAS_vs_CTRL_POCD1</x:v>
      </x:c>
      <x:c r="C162" s="18" t="str">
        <x:v>Perioperative TEAS</x:v>
      </x:c>
      <x:c r="D162" s="18" t="str">
        <x:v>Electrodes/no current</x:v>
      </x:c>
      <x:c r="E162" s="18" t="str">
        <x:v>Neurocognitive</x:v>
      </x:c>
      <x:c r="F162" s="18" t="str">
        <x:v>Postoperative cognitive decline (MMSE Z-score ≤ -2)</x:v>
      </x:c>
      <x:c r="G162" s="18" t="str">
        <x:v>POD1</x:v>
      </x:c>
      <x:c r="H162" s="18" t="str">
        <x:v>Events/total</x:v>
      </x:c>
      <x:c r="I162" s="18" t="n">
        <x:v>50</x:v>
      </x:c>
      <x:c r="J162" s="18" t="n">
        <x:v>50</x:v>
      </x:c>
      <x:c r="K162" s="18" t="n">
        <x:v>50</x:v>
      </x:c>
      <x:c r="L162" s="18" t="n">
        <x:v>50</x:v>
      </x:c>
      <x:c r="M162" s="18"/>
      <x:c r="N162" s="18"/>
      <x:c r="O162" s="18"/>
      <x:c r="P162" s="18"/>
      <x:c r="Q162" s="18"/>
      <x:c r="R162" s="18" t="n">
        <x:v>5</x:v>
      </x:c>
      <x:c r="S162" s="18"/>
      <x:c r="T162" s="18"/>
      <x:c r="U162" s="18"/>
      <x:c r="V162" s="18"/>
      <x:c r="W162" s="18"/>
      <x:c r="X162" s="18" t="n">
        <x:v>11</x:v>
      </x:c>
      <x:c r="Y162" s="18" t="str">
        <x:v>participants</x:v>
      </x:c>
      <x:c r="Z162" s="18" t="str">
        <x:v>0.102</x:v>
      </x:c>
      <x:c r="AA162" s="18" t="str">
        <x:v>Yes</x:v>
      </x:c>
      <x:c r="AB162" s="18" t="str">
        <x:v>No</x:v>
      </x:c>
      <x:c r="AC162" s="18" t="str">
        <x:v>RR</x:v>
      </x:c>
      <x:c r="AD162" s="18" t="n">
        <x:v>0.4545454545454546</x:v>
      </x:c>
      <x:c r="AE162" s="18" t="str">
        <x:v>No</x:v>
      </x:c>
      <x:c r="AF162" s="18" t="str">
        <x:v>No</x:v>
      </x:c>
      <x:c r="AG162" s="18" t="str">
        <x:v>Eligible for dichotomous POD1 POCD analysis</x:v>
      </x:c>
      <x:c r="AH162" s="18" t="str">
        <x:v>No</x:v>
      </x:c>
      <x:c r="AI162" s="18" t="str">
        <x:v>Control prose prints 11 cases as 25%, but 11/50 = 22%; preserve count as authoritative</x:v>
      </x:c>
      <x:c r="AJ162" s="18" t="str">
        <x:v>POCD incidence table / POD1</x:v>
      </x:c>
      <x:c r="AK162" s="18" t="str">
        <x:v>https://drive.google.com/file/d/1TA4BstaUWY3EdQbDNEvvGxF35ekGanrm/view?usp=drivesdk</x:v>
      </x:c>
      <x:c r="AL162" s="18" t="str">
        <x:v>SOURCE-VERIFIED / PERCENTAGE QC</x:v>
      </x:c>
      <x:c r="AM162" s="18" t="str">
        <x:v>Neurocognitive</x:v>
      </x:c>
      <x:c r="AN162" s="18" t="str">
        <x:v>POD1 / approximate 24 h</x:v>
      </x:c>
      <x:c r="AO162" s="18" t="str">
        <x:v>CONDITIONAL</x:v>
      </x:c>
      <x:c r="AP162" s="18" t="str">
        <x:v>Source-grounded but carries a QC qualification.</x:v>
      </x:c>
      <x:c r="AQ162" s="18" t="str">
        <x:v>No</x:v>
      </x:c>
      <x:c r="AR162" s="18" t="str"/>
      <x:c r="AS162" s="18" t="str">
        <x:v>Binary effect measure (RR preferred per protocol)</x:v>
      </x:c>
      <x:c r="AT162" s="18" t="str">
        <x:v>Postoperative cognitive decline (MMSE Z-score ≤ -2)</x:v>
      </x:c>
      <x:c r="AU162" s="18" t="str">
        <x:v>POD1</x:v>
      </x:c>
      <x:c r="AV162" s="18" t="str">
        <x:v>Some concerns</x:v>
      </x:c>
      <x:c r="AW162" s="18" t="str">
        <x:v>No — selected RoB matches this result</x:v>
      </x:c>
      <x:c r="AX162" s="18" t="str">
        <x:v>Liu 2021</x:v>
      </x:c>
      <x:c r="AY162" s="18" t="str">
        <x:v>Primary eligible contrast</x:v>
      </x:c>
      <x:c r="AZ162" s="18" t="str">
        <x:v>Count this study once per synthesis unless a valid multi-arm method is used.</x:v>
      </x:c>
    </x:row>
    <x:row r="163">
      <x:c r="A163" s="18" t="str">
        <x:v>Liu 2021</x:v>
      </x:c>
      <x:c r="B163" s="18" t="str">
        <x:v>LIU21_TEAS_vs_CTRL_VASREST24</x:v>
      </x:c>
      <x:c r="C163" s="18" t="str">
        <x:v>Perioperative TEAS</x:v>
      </x:c>
      <x:c r="D163" s="18" t="str">
        <x:v>Electrodes/no current</x:v>
      </x:c>
      <x:c r="E163" s="18" t="str">
        <x:v>Pain</x:v>
      </x:c>
      <x:c r="F163" s="18" t="str">
        <x:v>VAS at rest</x:v>
      </x:c>
      <x:c r="G163" s="18" t="str">
        <x:v>24 h</x:v>
      </x:c>
      <x:c r="H163" s="18" t="str">
        <x:v>Mean/SD</x:v>
      </x:c>
      <x:c r="I163" s="18" t="n">
        <x:v>50</x:v>
      </x:c>
      <x:c r="J163" s="18" t="n">
        <x:v>50</x:v>
      </x:c>
      <x:c r="K163" s="18" t="n">
        <x:v>50</x:v>
      </x:c>
      <x:c r="L163" s="18" t="n">
        <x:v>50</x:v>
      </x:c>
      <x:c r="M163" s="18" t="n">
        <x:v>2.52</x:v>
      </x:c>
      <x:c r="N163" s="18" t="n">
        <x:v>0.505</x:v>
      </x:c>
      <x:c r="O163" s="18"/>
      <x:c r="P163" s="18"/>
      <x:c r="Q163" s="18"/>
      <x:c r="R163" s="18"/>
      <x:c r="S163" s="18" t="n">
        <x:v>2.66</x:v>
      </x:c>
      <x:c r="T163" s="18" t="n">
        <x:v>0.626</x:v>
      </x:c>
      <x:c r="U163" s="18"/>
      <x:c r="V163" s="18"/>
      <x:c r="W163" s="18"/>
      <x:c r="X163" s="18"/>
      <x:c r="Y163" s="18" t="str">
        <x:v>VAS</x:v>
      </x:c>
      <x:c r="Z163" s="18" t="str">
        <x:v>0.221</x:v>
      </x:c>
      <x:c r="AA163" s="18" t="str">
        <x:v>Yes</x:v>
      </x:c>
      <x:c r="AB163" s="18" t="str">
        <x:v>No</x:v>
      </x:c>
      <x:c r="AC163" s="18" t="str">
        <x:v>MD</x:v>
      </x:c>
      <x:c r="AD163" s="18" t="n">
        <x:v>-0.14000000000000012</x:v>
      </x:c>
      <x:c r="AE163" s="18" t="str">
        <x:v>No</x:v>
      </x:c>
      <x:c r="AF163" s="18" t="str">
        <x:v>No</x:v>
      </x:c>
      <x:c r="AG163" s="18" t="str">
        <x:v>Eligible for 24-h rest-pain analysis</x:v>
      </x:c>
      <x:c r="AH163" s="18" t="str">
        <x:v>No</x:v>
      </x:c>
      <x:c r="AI163" s="18" t="str">
        <x:v>Participant blinding is unclear because active stimulation was maximum tolerated and control received no current</x:v>
      </x:c>
      <x:c r="AJ163" s="18" t="str">
        <x:v>Table 2 / 24-h rest VAS</x:v>
      </x:c>
      <x:c r="AK163" s="18" t="str">
        <x:v>https://drive.google.com/file/d/1TA4BstaUWY3EdQbDNEvvGxF35ekGanrm/view?usp=drivesdk</x:v>
      </x:c>
      <x:c r="AL163" s="18" t="str">
        <x:v>SOURCE-VERIFIED</x:v>
      </x:c>
      <x:c r="AM163" s="18" t="str">
        <x:v>Pain</x:v>
      </x:c>
      <x:c r="AN163" s="18" t="str">
        <x:v>Exact/explicit 24 h</x:v>
      </x:c>
      <x:c r="AO163" s="18" t="str">
        <x:v>INCLUDE</x:v>
      </x:c>
      <x:c r="AP163" s="18" t="str">
        <x:v>Explicit 24-h pain endpoint with quantitative source data.</x:v>
      </x:c>
      <x:c r="AQ163" s="18" t="str">
        <x:v>Yes</x:v>
      </x:c>
      <x:c r="AR163" s="18" t="str"/>
      <x:c r="AS163" s="18" t="str">
        <x:v>None</x:v>
      </x:c>
      <x:c r="AT163" s="18" t="str">
        <x:v>Postoperative cognitive decline (MMSE Z-score ≤ -2)</x:v>
      </x:c>
      <x:c r="AU163" s="18" t="str">
        <x:v>POD1</x:v>
      </x:c>
      <x:c r="AV163" s="18" t="str">
        <x:v>Some concerns</x:v>
      </x:c>
      <x:c r="AW163" s="18" t="str">
        <x:v>Yes — selected RoB is for a different result/timepoint</x:v>
      </x:c>
      <x:c r="AX163" s="18" t="str">
        <x:v>Liu 2021</x:v>
      </x:c>
      <x:c r="AY163" s="18" t="str">
        <x:v>Primary eligible contrast</x:v>
      </x:c>
      <x:c r="AZ163" s="18" t="str">
        <x:v>Count this study once per synthesis unless a valid multi-arm method is used.</x:v>
      </x:c>
    </x:row>
    <x:row r="164">
      <x:c r="A164" s="18" t="str">
        <x:v>Liu 2021</x:v>
      </x:c>
      <x:c r="B164" s="18" t="str">
        <x:v>LIU21_TEAS_vs_CTRL_VASCOUGH24</x:v>
      </x:c>
      <x:c r="C164" s="18" t="str">
        <x:v>Perioperative TEAS</x:v>
      </x:c>
      <x:c r="D164" s="18" t="str">
        <x:v>Electrodes/no current</x:v>
      </x:c>
      <x:c r="E164" s="18" t="str">
        <x:v>Pain</x:v>
      </x:c>
      <x:c r="F164" s="18" t="str">
        <x:v>VAS with coughing</x:v>
      </x:c>
      <x:c r="G164" s="18" t="str">
        <x:v>24 h</x:v>
      </x:c>
      <x:c r="H164" s="18" t="str">
        <x:v>Mean/SD</x:v>
      </x:c>
      <x:c r="I164" s="18" t="n">
        <x:v>50</x:v>
      </x:c>
      <x:c r="J164" s="18" t="n">
        <x:v>50</x:v>
      </x:c>
      <x:c r="K164" s="18" t="n">
        <x:v>50</x:v>
      </x:c>
      <x:c r="L164" s="18" t="n">
        <x:v>50</x:v>
      </x:c>
      <x:c r="M164" s="18" t="n">
        <x:v>3.2</x:v>
      </x:c>
      <x:c r="N164" s="18" t="n">
        <x:v>0.571</x:v>
      </x:c>
      <x:c r="O164" s="18"/>
      <x:c r="P164" s="18"/>
      <x:c r="Q164" s="18"/>
      <x:c r="R164" s="18"/>
      <x:c r="S164" s="18" t="n">
        <x:v>3.16</x:v>
      </x:c>
      <x:c r="T164" s="18" t="n">
        <x:v>0.681</x:v>
      </x:c>
      <x:c r="U164" s="18"/>
      <x:c r="V164" s="18"/>
      <x:c r="W164" s="18"/>
      <x:c r="X164" s="18"/>
      <x:c r="Y164" s="18" t="str">
        <x:v>VAS</x:v>
      </x:c>
      <x:c r="Z164" s="18" t="str">
        <x:v>0.751</x:v>
      </x:c>
      <x:c r="AA164" s="18" t="str">
        <x:v>Yes</x:v>
      </x:c>
      <x:c r="AB164" s="18" t="str">
        <x:v>No</x:v>
      </x:c>
      <x:c r="AC164" s="18" t="str">
        <x:v>MD</x:v>
      </x:c>
      <x:c r="AD164" s="18" t="n">
        <x:v>0.040000000000000036</x:v>
      </x:c>
      <x:c r="AE164" s="18" t="str">
        <x:v>No</x:v>
      </x:c>
      <x:c r="AF164" s="18" t="str">
        <x:v>No</x:v>
      </x:c>
      <x:c r="AG164" s="18" t="str">
        <x:v>Eligible for 24-h movement/evoked-pain analysis</x:v>
      </x:c>
      <x:c r="AH164" s="18" t="str">
        <x:v>No</x:v>
      </x:c>
      <x:c r="AI164" s="18" t="str">
        <x:v>No evidence of analgesic benefit at 24 h</x:v>
      </x:c>
      <x:c r="AJ164" s="18" t="str">
        <x:v>Table 2 / 24-h coughing VAS</x:v>
      </x:c>
      <x:c r="AK164" s="18" t="str">
        <x:v>https://drive.google.com/file/d/1TA4BstaUWY3EdQbDNEvvGxF35ekGanrm/view?usp=drivesdk</x:v>
      </x:c>
      <x:c r="AL164" s="18" t="str">
        <x:v>SOURCE-VERIFIED</x:v>
      </x:c>
      <x:c r="AM164" s="18" t="str">
        <x:v>Pain</x:v>
      </x:c>
      <x:c r="AN164" s="18" t="str">
        <x:v>Exact/explicit 24 h</x:v>
      </x:c>
      <x:c r="AO164" s="18" t="str">
        <x:v>INCLUDE</x:v>
      </x:c>
      <x:c r="AP164" s="18" t="str">
        <x:v>Explicit 24-h pain endpoint with quantitative source data.</x:v>
      </x:c>
      <x:c r="AQ164" s="18" t="str">
        <x:v>Yes</x:v>
      </x:c>
      <x:c r="AR164" s="18" t="str"/>
      <x:c r="AS164" s="18" t="str">
        <x:v>None</x:v>
      </x:c>
      <x:c r="AT164" s="18" t="str">
        <x:v>Postoperative cognitive decline (MMSE Z-score ≤ -2)</x:v>
      </x:c>
      <x:c r="AU164" s="18" t="str">
        <x:v>POD1</x:v>
      </x:c>
      <x:c r="AV164" s="18" t="str">
        <x:v>Some concerns</x:v>
      </x:c>
      <x:c r="AW164" s="18" t="str">
        <x:v>Yes — selected RoB is for a different result/timepoint</x:v>
      </x:c>
      <x:c r="AX164" s="18" t="str">
        <x:v>Liu 2021</x:v>
      </x:c>
      <x:c r="AY164" s="18" t="str">
        <x:v>Primary eligible contrast</x:v>
      </x:c>
      <x:c r="AZ164" s="18" t="str">
        <x:v>Count this study once per synthesis unless a valid multi-arm method is used.</x:v>
      </x:c>
    </x:row>
    <x:row r="165">
      <x:c r="A165" s="18" t="str">
        <x:v>Liu 2021</x:v>
      </x:c>
      <x:c r="B165" s="18" t="str">
        <x:v>LIU21_TEAS_vs_CTRL_PCAPRESS24</x:v>
      </x:c>
      <x:c r="C165" s="18" t="str">
        <x:v>Perioperative TEAS</x:v>
      </x:c>
      <x:c r="D165" s="18" t="str">
        <x:v>Electrodes/no current</x:v>
      </x:c>
      <x:c r="E165" s="18" t="str">
        <x:v>Opioid demand</x:v>
      </x:c>
      <x:c r="F165" s="18" t="str">
        <x:v>PCA pump compressions</x:v>
      </x:c>
      <x:c r="G165" s="18" t="str">
        <x:v>0-24 h</x:v>
      </x:c>
      <x:c r="H165" s="18" t="str">
        <x:v>Mean/SD</x:v>
      </x:c>
      <x:c r="I165" s="18" t="n">
        <x:v>50</x:v>
      </x:c>
      <x:c r="J165" s="18" t="n">
        <x:v>50</x:v>
      </x:c>
      <x:c r="K165" s="18" t="n">
        <x:v>50</x:v>
      </x:c>
      <x:c r="L165" s="18" t="n">
        <x:v>50</x:v>
      </x:c>
      <x:c r="M165" s="18" t="n">
        <x:v>17.62</x:v>
      </x:c>
      <x:c r="N165" s="18" t="n">
        <x:v>2.687</x:v>
      </x:c>
      <x:c r="O165" s="18"/>
      <x:c r="P165" s="18"/>
      <x:c r="Q165" s="18"/>
      <x:c r="R165" s="18"/>
      <x:c r="S165" s="18" t="n">
        <x:v>17.38</x:v>
      </x:c>
      <x:c r="T165" s="18" t="n">
        <x:v>3.801</x:v>
      </x:c>
      <x:c r="U165" s="18"/>
      <x:c r="V165" s="18"/>
      <x:c r="W165" s="18"/>
      <x:c r="X165" s="18"/>
      <x:c r="Y165" s="18" t="str">
        <x:v>presses</x:v>
      </x:c>
      <x:c r="Z165" s="18" t="str">
        <x:v>0.716</x:v>
      </x:c>
      <x:c r="AA165" s="18" t="str">
        <x:v>Yes</x:v>
      </x:c>
      <x:c r="AB165" s="18" t="str">
        <x:v>No</x:v>
      </x:c>
      <x:c r="AC165" s="18" t="str">
        <x:v>MD</x:v>
      </x:c>
      <x:c r="AD165" s="18" t="n">
        <x:v>0.240000000000002</x:v>
      </x:c>
      <x:c r="AE165" s="18" t="str">
        <x:v>No</x:v>
      </x:c>
      <x:c r="AF165" s="18" t="str">
        <x:v>No</x:v>
      </x:c>
      <x:c r="AG165" s="18" t="str">
        <x:v>Eligible as 24-h PCA-demand outcome only</x:v>
      </x:c>
      <x:c r="AH165" s="18" t="str">
        <x:v>No</x:v>
      </x:c>
      <x:c r="AI165" s="18" t="str">
        <x:v>Compressions may represent demands rather than successful boluses; do not convert to sufentanil mass</x:v>
      </x:c>
      <x:c r="AJ165" s="18" t="str">
        <x:v>24-h PCA compression result</x:v>
      </x:c>
      <x:c r="AK165" s="18" t="str">
        <x:v>https://drive.google.com/file/d/1TA4BstaUWY3EdQbDNEvvGxF35ekGanrm/view?usp=drivesdk</x:v>
      </x:c>
      <x:c r="AL165" s="18" t="str">
        <x:v>SOURCE-VERIFIED / DOSE NOT RECONSTRUCTABLE</x:v>
      </x:c>
      <x:c r="AM165" s="18" t="str">
        <x:v>PCA demand/proxy</x:v>
      </x:c>
      <x:c r="AN165" s="18" t="str">
        <x:v>Exact/explicit 24 h</x:v>
      </x:c>
      <x:c r="AO165" s="18" t="str">
        <x:v>CONDITIONAL</x:v>
      </x:c>
      <x:c r="AP165" s="18" t="str">
        <x:v>Source value is valid in its native metric but cannot be converted to the target opioid mass/MME without additional information.</x:v>
      </x:c>
      <x:c r="AQ165" s="18" t="str">
        <x:v>No</x:v>
      </x:c>
      <x:c r="AR165" s="18" t="str"/>
      <x:c r="AS165" s="18" t="str">
        <x:v>None</x:v>
      </x:c>
      <x:c r="AT165" s="18" t="str">
        <x:v>Postoperative cognitive decline (MMSE Z-score ≤ -2)</x:v>
      </x:c>
      <x:c r="AU165" s="18" t="str">
        <x:v>POD1</x:v>
      </x:c>
      <x:c r="AV165" s="18" t="str">
        <x:v>Some concerns</x:v>
      </x:c>
      <x:c r="AW165" s="18" t="str">
        <x:v>Yes — selected RoB is for a different result/timepoint</x:v>
      </x:c>
      <x:c r="AX165" s="18" t="str">
        <x:v>Liu 2021</x:v>
      </x:c>
      <x:c r="AY165" s="18" t="str">
        <x:v>Primary eligible contrast</x:v>
      </x:c>
      <x:c r="AZ165" s="18" t="str">
        <x:v>Count this study once per synthesis unless a valid multi-arm method is used.</x:v>
      </x:c>
    </x:row>
    <x:row r="166">
      <x:c r="A166" s="18" t="str">
        <x:v>Liu 2021</x:v>
      </x:c>
      <x:c r="B166" s="18" t="str">
        <x:v>LIU21_TEAS_vs_CTRL_OPIOID24</x:v>
      </x:c>
      <x:c r="C166" s="18" t="str">
        <x:v>Perioperative TEAS</x:v>
      </x:c>
      <x:c r="D166" s="18" t="str">
        <x:v>Electrodes/no current</x:v>
      </x:c>
      <x:c r="E166" s="18" t="str">
        <x:v>Opioid consumption</x:v>
      </x:c>
      <x:c r="F166" s="18" t="str">
        <x:v>Cumulative postoperative sufentanil consumption</x:v>
      </x:c>
      <x:c r="G166" s="18" t="str">
        <x:v>0-24 h</x:v>
      </x:c>
      <x:c r="H166" s="18" t="str">
        <x:v>Not calculable</x:v>
      </x:c>
      <x:c r="I166" s="18" t="n">
        <x:v>50</x:v>
      </x:c>
      <x:c r="J166" s="18" t="n">
        <x:v>50</x:v>
      </x:c>
      <x:c r="K166" s="18" t="n">
        <x:v>50</x:v>
      </x:c>
      <x:c r="L166" s="18" t="n">
        <x:v>50</x:v>
      </x:c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 t="str">
        <x:v>published formulation 0.15 µg/kg in 100 mL</x:v>
      </x:c>
      <x:c r="Z166" s="18"/>
      <x:c r="AA166" s="18" t="str">
        <x:v>No</x:v>
      </x:c>
      <x:c r="AB166" s="18" t="str">
        <x:v>No</x:v>
      </x:c>
      <x:c r="AC166" s="18"/>
      <x:c r="AD166" s="18"/>
      <x:c r="AE166" s="18" t="str">
        <x:v>No</x:v>
      </x:c>
      <x:c r="AF166" s="18" t="str">
        <x:v>No</x:v>
      </x:c>
      <x:c r="AG166" s="18" t="str">
        <x:v>Not eligible for continuous 24-h opioid/MME meta-analysis</x:v>
      </x:c>
      <x:c r="AH166" s="18" t="str">
        <x:v>No</x:v>
      </x:c>
      <x:c r="AI166" s="18" t="str">
        <x:v>Published PCA formulation is ambiguous/implausibly low, successful delivered boluses are not reported, and actual cumulative sufentanil is unavailable</x:v>
      </x:c>
      <x:c r="AJ166" s="18" t="str">
        <x:v>Postoperative PCIA section</x:v>
      </x:c>
      <x:c r="AK166" s="18" t="str">
        <x:v>https://drive.google.com/file/d/1TA4BstaUWY3EdQbDNEvvGxF35ekGanrm/view?usp=drivesdk</x:v>
      </x:c>
      <x:c r="AL166" s="18" t="str">
        <x:v>MISSING / FORMULATION + DELIVERY UNRESOLVED</x:v>
      </x:c>
      <x:c r="AM166" s="18" t="str">
        <x:v>Postoperative opioid consumption</x:v>
      </x:c>
      <x:c r="AN166" s="18" t="str">
        <x:v>Exact/explicit 24 h</x:v>
      </x:c>
      <x:c r="AO166" s="18" t="str">
        <x:v>EXCLUDE — DATA UNAVAILABLE</x:v>
      </x:c>
      <x:c r="AP166" s="18" t="str">
        <x:v>The source does not provide a defensible quantitative value for this analysis.</x:v>
      </x:c>
      <x:c r="AQ166" s="18" t="str">
        <x:v>No</x:v>
      </x:c>
      <x:c r="AR166" s="18" t="str"/>
      <x:c r="AS166" s="18" t="str">
        <x:v>Weight-normalized endpoint; do not reconstruct absolute dose from group mean weight</x:v>
      </x:c>
      <x:c r="AT166" s="18" t="str">
        <x:v>Postoperative cognitive decline (MMSE Z-score ≤ -2)</x:v>
      </x:c>
      <x:c r="AU166" s="18" t="str">
        <x:v>POD1</x:v>
      </x:c>
      <x:c r="AV166" s="18" t="str">
        <x:v>Some concerns</x:v>
      </x:c>
      <x:c r="AW166" s="18" t="str">
        <x:v>Yes — selected RoB is for a different result/timepoint</x:v>
      </x:c>
      <x:c r="AX166" s="18" t="str">
        <x:v>Liu 2021</x:v>
      </x:c>
      <x:c r="AY166" s="18" t="str">
        <x:v>Primary eligible contrast</x:v>
      </x:c>
      <x:c r="AZ166" s="18" t="str">
        <x:v>Count this study once per synthesis unless a valid multi-arm method is used.</x:v>
      </x:c>
    </x:row>
    <x:row r="167">
      <x:c r="A167" s="18" t="str">
        <x:v>Liu 2026 (burn)</x:v>
      </x:c>
      <x:c r="B167" s="18" t="str">
        <x:v>LIU26BURN_TEAS_vs_SHAM_REMI</x:v>
      </x:c>
      <x:c r="C167" s="18" t="str">
        <x:v>Pre-induction TEAS</x:v>
      </x:c>
      <x:c r="D167" s="18" t="str">
        <x:v>Placebo/sham TEAS</x:v>
      </x:c>
      <x:c r="E167" s="18" t="str">
        <x:v>Intraoperative opioid</x:v>
      </x:c>
      <x:c r="F167" s="18" t="str">
        <x:v>Remifentanil consumption</x:v>
      </x:c>
      <x:c r="G167" s="18" t="str">
        <x:v>Intraoperative</x:v>
      </x:c>
      <x:c r="H167" s="18" t="str">
        <x:v>Median/IQR</x:v>
      </x:c>
      <x:c r="I167" s="18" t="n">
        <x:v>44</x:v>
      </x:c>
      <x:c r="J167" s="18" t="n">
        <x:v>44</x:v>
      </x:c>
      <x:c r="K167" s="18" t="n">
        <x:v>43</x:v>
      </x:c>
      <x:c r="L167" s="18" t="n">
        <x:v>43</x:v>
      </x:c>
      <x:c r="M167" s="18"/>
      <x:c r="N167" s="18"/>
      <x:c r="O167" s="18" t="n">
        <x:v>0.7</x:v>
      </x:c>
      <x:c r="P167" s="18" t="n">
        <x:v>0.5</x:v>
      </x:c>
      <x:c r="Q167" s="18" t="n">
        <x:v>1.1</x:v>
      </x:c>
      <x:c r="R167" s="18"/>
      <x:c r="S167" s="18"/>
      <x:c r="T167" s="18"/>
      <x:c r="U167" s="18" t="n">
        <x:v>0.9</x:v>
      </x:c>
      <x:c r="V167" s="18" t="n">
        <x:v>0.65</x:v>
      </x:c>
      <x:c r="W167" s="18" t="n">
        <x:v>1.25</x:v>
      </x:c>
      <x:c r="X167" s="18"/>
      <x:c r="Y167" s="18" t="str">
        <x:v>mg remifentanil</x:v>
      </x:c>
      <x:c r="Z167" s="18" t="str">
        <x:v>0.039</x:v>
      </x:c>
      <x:c r="AA167" s="18" t="str">
        <x:v>Yes</x:v>
      </x:c>
      <x:c r="AB167" s="18" t="str">
        <x:v>No</x:v>
      </x:c>
      <x:c r="AC167" s="18"/>
      <x:c r="AD167" s="18"/>
      <x:c r="AE167" s="18" t="str">
        <x:v>No</x:v>
      </x:c>
      <x:c r="AF167" s="18" t="str">
        <x:v>No</x:v>
      </x:c>
      <x:c r="AG167" s="18" t="str">
        <x:v>Eligible for intraoperative opioid-sparing analysis using median/IQR methods</x:v>
      </x:c>
      <x:c r="AH167" s="18" t="str">
        <x:v>No</x:v>
      </x:c>
      <x:c r="AI167" s="18" t="str">
        <x:v>Abstract gives TEAS 0.65 (0.45-1.00) and control 0.90 (0.67-1.23); master uses Results/Figure 4 values and retains source discrepancy</x:v>
      </x:c>
      <x:c r="AJ167" s="18" t="str">
        <x:v>Results / Figure 4</x:v>
      </x:c>
      <x:c r="AK167" s="18" t="str">
        <x:v>https://drive.google.com/file/d/1mvekGtHD2JAKCRbIXrvLw1Nz7hbQ1dZ3/view?usp=drivesdk</x:v>
      </x:c>
      <x:c r="AL167" s="18" t="str">
        <x:v>SOURCE-VERIFIED / ABSTRACT VALUE QC</x:v>
      </x:c>
      <x:c r="AM167" s="18" t="str">
        <x:v>Intraoperative opioid</x:v>
      </x:c>
      <x:c r="AN167" s="18" t="str">
        <x:v>Intraoperative</x:v>
      </x:c>
      <x:c r="AO167" s="18" t="str">
        <x:v>INCLUDE — INTRAOPERATIVE</x:v>
      </x:c>
      <x:c r="AP167" s="18" t="str">
        <x:v>Valid intraoperative opioid endpoint; must remain separate from postoperative opioid consumption.</x:v>
      </x:c>
      <x:c r="AQ167" s="18" t="str">
        <x:v>No</x:v>
      </x:c>
      <x:c r="AR167" s="18" t="str"/>
      <x:c r="AS167" s="18" t="str">
        <x:v>Use median/IQR-compatible meta-analysis method; do not relabel as mean/SD</x:v>
      </x:c>
      <x:c r="AT167" s="18" t="str">
        <x:v>Intraoperative remifentanil consumption</x:v>
      </x:c>
      <x:c r="AU167" s="18" t="str">
        <x:v>Intraoperative</x:v>
      </x:c>
      <x:c r="AV167" s="18" t="str">
        <x:v>Some concerns</x:v>
      </x:c>
      <x:c r="AW167" s="18" t="str">
        <x:v>Yes — selected RoB is for a different result/timepoint</x:v>
      </x:c>
      <x:c r="AX167" s="18" t="str">
        <x:v>Liu 2026 (burn)</x:v>
      </x:c>
      <x:c r="AY167" s="18" t="str">
        <x:v>Primary eligible contrast</x:v>
      </x:c>
      <x:c r="AZ167" s="18" t="str">
        <x:v>Count this study once per synthesis unless a valid multi-arm method is used.</x:v>
      </x:c>
    </x:row>
    <x:row r="168">
      <x:c r="A168" s="18" t="str">
        <x:v>Liu 2026 (burn)</x:v>
      </x:c>
      <x:c r="B168" s="18" t="str">
        <x:v>LIU26BURN_TEAS_vs_SHAM_PONV24</x:v>
      </x:c>
      <x:c r="C168" s="18" t="str">
        <x:v>Pre-induction TEAS</x:v>
      </x:c>
      <x:c r="D168" s="18" t="str">
        <x:v>Placebo/sham TEAS</x:v>
      </x:c>
      <x:c r="E168" s="18" t="str">
        <x:v>PONV</x:v>
      </x:c>
      <x:c r="F168" s="18" t="str">
        <x:v>Nausea-vomiting</x:v>
      </x:c>
      <x:c r="G168" s="18" t="str">
        <x:v>Through POD1 / approximately 24 h</x:v>
      </x:c>
      <x:c r="H168" s="18" t="str">
        <x:v>Events/total</x:v>
      </x:c>
      <x:c r="I168" s="18" t="n">
        <x:v>44</x:v>
      </x:c>
      <x:c r="J168" s="18" t="n">
        <x:v>44</x:v>
      </x:c>
      <x:c r="K168" s="18" t="n">
        <x:v>43</x:v>
      </x:c>
      <x:c r="L168" s="18" t="n">
        <x:v>43</x:v>
      </x:c>
      <x:c r="M168" s="18"/>
      <x:c r="N168" s="18"/>
      <x:c r="O168" s="18"/>
      <x:c r="P168" s="18"/>
      <x:c r="Q168" s="18"/>
      <x:c r="R168" s="18" t="n">
        <x:v>7</x:v>
      </x:c>
      <x:c r="S168" s="18"/>
      <x:c r="T168" s="18"/>
      <x:c r="U168" s="18"/>
      <x:c r="V168" s="18"/>
      <x:c r="W168" s="18"/>
      <x:c r="X168" s="18" t="n">
        <x:v>16</x:v>
      </x:c>
      <x:c r="Y168" s="18" t="str">
        <x:v>participants</x:v>
      </x:c>
      <x:c r="Z168" s="18" t="str">
        <x:v>Published P=0.011 vs 0.028 conflict</x:v>
      </x:c>
      <x:c r="AA168" s="18" t="str">
        <x:v>Yes</x:v>
      </x:c>
      <x:c r="AB168" s="18" t="str">
        <x:v>No</x:v>
      </x:c>
      <x:c r="AC168" s="18" t="str">
        <x:v>RR</x:v>
      </x:c>
      <x:c r="AD168" s="18" t="n">
        <x:v>0.43750000000000006</x:v>
      </x:c>
      <x:c r="AE168" s="18" t="str">
        <x:v>No</x:v>
      </x:c>
      <x:c r="AF168" s="18" t="str">
        <x:v>No</x:v>
      </x:c>
      <x:c r="AG168" s="18" t="str">
        <x:v>Eligible using raw 7/43 vs 16/43 event counts with P-value QC</x:v>
      </x:c>
      <x:c r="AH168" s="18" t="str">
        <x:v>No</x:v>
      </x:c>
      <x:c r="AI168" s="18" t="str">
        <x:v>Two different P-values are printed for the same result</x:v>
      </x:c>
      <x:c r="AJ168" s="18" t="str">
        <x:v>Secondary postoperative outcomes</x:v>
      </x:c>
      <x:c r="AK168" s="18" t="str">
        <x:v>https://drive.google.com/file/d/1mvekGtHD2JAKCRbIXrvLw1Nz7hbQ1dZ3/view?usp=drivesdk</x:v>
      </x:c>
      <x:c r="AL168" s="18" t="str">
        <x:v>SOURCE-VERIFIED / P-VALUE CONFLICT</x:v>
      </x:c>
      <x:c r="AM168" s="18" t="str">
        <x:v>PONV</x:v>
      </x:c>
      <x:c r="AN168" s="18" t="str">
        <x:v>POD1 / approximate 24 h</x:v>
      </x:c>
      <x:c r="AO168" s="18" t="str">
        <x:v>CONDITIONAL</x:v>
      </x:c>
      <x:c r="AP168" s="18" t="str">
        <x:v>Valid PONV result, but the postoperative observation window should be matched to the intended synthesis.</x:v>
      </x:c>
      <x:c r="AQ168" s="18" t="str">
        <x:v>No</x:v>
      </x:c>
      <x:c r="AR168" s="18" t="str"/>
      <x:c r="AS168" s="18" t="str">
        <x:v>Binary effect measure (RR preferred per protocol)</x:v>
      </x:c>
      <x:c r="AT168" s="18" t="str">
        <x:v>Intraoperative remifentanil consumption</x:v>
      </x:c>
      <x:c r="AU168" s="18" t="str">
        <x:v>Intraoperative</x:v>
      </x:c>
      <x:c r="AV168" s="18" t="str">
        <x:v>Some concerns</x:v>
      </x:c>
      <x:c r="AW168" s="18" t="str">
        <x:v>Yes — selected RoB is for a different result/timepoint</x:v>
      </x:c>
      <x:c r="AX168" s="18" t="str">
        <x:v>Liu 2026 (burn)</x:v>
      </x:c>
      <x:c r="AY168" s="18" t="str">
        <x:v>Primary eligible contrast</x:v>
      </x:c>
      <x:c r="AZ168" s="18" t="str">
        <x:v>Count this study once per synthesis unless a valid multi-arm method is used.</x:v>
      </x:c>
    </x:row>
    <x:row r="169">
      <x:c r="A169" s="18" t="str">
        <x:v>Liu 2026 (burn)</x:v>
      </x:c>
      <x:c r="B169" s="18" t="str">
        <x:v>LIU26BURN_TEAS_vs_SHAM_RESCUE</x:v>
      </x:c>
      <x:c r="C169" s="18" t="str">
        <x:v>Pre-induction TEAS</x:v>
      </x:c>
      <x:c r="D169" s="18" t="str">
        <x:v>Placebo/sham TEAS</x:v>
      </x:c>
      <x:c r="E169" s="18" t="str">
        <x:v>Rescue opioid use</x:v>
      </x:c>
      <x:c r="F169" s="18" t="str">
        <x:v>Any rescue dezocine use</x:v>
      </x:c>
      <x:c r="G169" s="18" t="str">
        <x:v>Through POD1</x:v>
      </x:c>
      <x:c r="H169" s="18" t="str">
        <x:v>Events/total</x:v>
      </x:c>
      <x:c r="I169" s="18" t="n">
        <x:v>44</x:v>
      </x:c>
      <x:c r="J169" s="18" t="n">
        <x:v>44</x:v>
      </x:c>
      <x:c r="K169" s="18" t="n">
        <x:v>43</x:v>
      </x:c>
      <x:c r="L169" s="18" t="n">
        <x:v>43</x:v>
      </x:c>
      <x:c r="M169" s="18"/>
      <x:c r="N169" s="18"/>
      <x:c r="O169" s="18"/>
      <x:c r="P169" s="18"/>
      <x:c r="Q169" s="18"/>
      <x:c r="R169" s="18" t="n">
        <x:v>3</x:v>
      </x:c>
      <x:c r="S169" s="18"/>
      <x:c r="T169" s="18"/>
      <x:c r="U169" s="18"/>
      <x:c r="V169" s="18"/>
      <x:c r="W169" s="18"/>
      <x:c r="X169" s="18" t="n">
        <x:v>8</x:v>
      </x:c>
      <x:c r="Y169" s="18" t="str">
        <x:v>participants</x:v>
      </x:c>
      <x:c r="Z169" s="18" t="str">
        <x:v>Table P=0.106; prose P=0.430</x:v>
      </x:c>
      <x:c r="AA169" s="18" t="str">
        <x:v>Yes</x:v>
      </x:c>
      <x:c r="AB169" s="18" t="str">
        <x:v>No</x:v>
      </x:c>
      <x:c r="AC169" s="18" t="str">
        <x:v>RR</x:v>
      </x:c>
      <x:c r="AD169" s="18" t="n">
        <x:v>0.375</x:v>
      </x:c>
      <x:c r="AE169" s="18" t="str">
        <x:v>No</x:v>
      </x:c>
      <x:c r="AF169" s="18" t="str">
        <x:v>No</x:v>
      </x:c>
      <x:c r="AG169" s="18" t="str">
        <x:v>Eligible for binary rescue-opioid-use analysis with source-statistic QC</x:v>
      </x:c>
      <x:c r="AH169" s="18" t="str">
        <x:v>No</x:v>
      </x:c>
      <x:c r="AI169" s="18" t="str">
        <x:v>All rescue users received one 5-mg IM dezocine dose; no repeat rescue doses were required</x:v>
      </x:c>
      <x:c r="AJ169" s="18" t="str">
        <x:v>Rescue analgesia</x:v>
      </x:c>
      <x:c r="AK169" s="18" t="str">
        <x:v>https://drive.google.com/file/d/1mvekGtHD2JAKCRbIXrvLw1Nz7hbQ1dZ3/view?usp=drivesdk</x:v>
      </x:c>
      <x:c r="AL169" s="18" t="str">
        <x:v>SOURCE-VERIFIED / P-VALUE CONFLICT</x:v>
      </x:c>
      <x:c r="AM169" s="18" t="str">
        <x:v>Rescue opioid use</x:v>
      </x:c>
      <x:c r="AN169" s="18" t="str">
        <x:v>POD1 / approximate 24 h</x:v>
      </x:c>
      <x:c r="AO169" s="18" t="str">
        <x:v>INCLUDE — BINARY RESCUE USE</x:v>
      </x:c>
      <x:c r="AP169" s="18" t="str">
        <x:v>Valid binary rescue-opioid-use endpoint, separate from continuous opioid consumption.</x:v>
      </x:c>
      <x:c r="AQ169" s="18" t="str">
        <x:v>No</x:v>
      </x:c>
      <x:c r="AR169" s="18" t="str"/>
      <x:c r="AS169" s="18" t="str">
        <x:v>Binary effect measure (RR preferred per protocol)</x:v>
      </x:c>
      <x:c r="AT169" s="18" t="str">
        <x:v>Intraoperative remifentanil consumption</x:v>
      </x:c>
      <x:c r="AU169" s="18" t="str">
        <x:v>Intraoperative</x:v>
      </x:c>
      <x:c r="AV169" s="18" t="str">
        <x:v>Some concerns</x:v>
      </x:c>
      <x:c r="AW169" s="18" t="str">
        <x:v>Yes — selected RoB is for a different result/timepoint</x:v>
      </x:c>
      <x:c r="AX169" s="18" t="str">
        <x:v>Liu 2026 (burn)</x:v>
      </x:c>
      <x:c r="AY169" s="18" t="str">
        <x:v>Primary eligible contrast</x:v>
      </x:c>
      <x:c r="AZ169" s="18" t="str">
        <x:v>Count this study once per synthesis unless a valid multi-arm method is used.</x:v>
      </x:c>
    </x:row>
    <x:row r="170">
      <x:c r="A170" s="18" t="str">
        <x:v>Liu 2026 (burn)</x:v>
      </x:c>
      <x:c r="B170" s="18" t="str">
        <x:v>LIU26BURN_TEAS_vs_SHAM_FVAS24</x:v>
      </x:c>
      <x:c r="C170" s="18" t="str">
        <x:v>Pre-induction TEAS</x:v>
      </x:c>
      <x:c r="D170" s="18" t="str">
        <x:v>Placebo/sham TEAS</x:v>
      </x:c>
      <x:c r="E170" s="18" t="str">
        <x:v>Pain</x:v>
      </x:c>
      <x:c r="F170" s="18" t="str">
        <x:v>Resting F-VAS pain</x:v>
      </x:c>
      <x:c r="G170" s="18" t="str">
        <x:v>24 h</x:v>
      </x:c>
      <x:c r="H170" s="18" t="str">
        <x:v>Graph-only continuous data</x:v>
      </x:c>
      <x:c r="I170" s="18" t="n">
        <x:v>44</x:v>
      </x:c>
      <x:c r="J170" s="18" t="n">
        <x:v>44</x:v>
      </x:c>
      <x:c r="K170" s="18" t="n">
        <x:v>43</x:v>
      </x:c>
      <x:c r="L170" s="18" t="n">
        <x:v>43</x:v>
      </x:c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 t="str">
        <x:v>F-VAS 0-100 mm</x:v>
      </x:c>
      <x:c r="Z170" s="18" t="str">
        <x:v>0.039</x:v>
      </x:c>
      <x:c r="AA170" s="18" t="str">
        <x:v>No</x:v>
      </x:c>
      <x:c r="AB170" s="18" t="str">
        <x:v>No</x:v>
      </x:c>
      <x:c r="AC170" s="18"/>
      <x:c r="AD170" s="18"/>
      <x:c r="AE170" s="18" t="str">
        <x:v>No</x:v>
      </x:c>
      <x:c r="AF170" s="18" t="str">
        <x:v>No</x:v>
      </x:c>
      <x:c r="AG170" s="18" t="str">
        <x:v>Not ready for continuous pain meta-analysis without formal graph digitization or author data</x:v>
      </x:c>
      <x:c r="AH170" s="18" t="str">
        <x:v>No</x:v>
      </x:c>
      <x:c r="AI170" s="18" t="str">
        <x:v>Exact means/SDs are figure-only; do not infer numeric values from bar heights</x:v>
      </x:c>
      <x:c r="AJ170" s="18" t="str">
        <x:v>Figure 5 / F3 24 h</x:v>
      </x:c>
      <x:c r="AK170" s="18" t="str">
        <x:v>https://drive.google.com/file/d/1mvekGtHD2JAKCRbIXrvLw1Nz7hbQ1dZ3/view?usp=drivesdk</x:v>
      </x:c>
      <x:c r="AL170" s="18" t="str">
        <x:v>FIGURE ONLY / DIGITIZATION NEEDED</x:v>
      </x:c>
      <x:c r="AM170" s="18" t="str">
        <x:v>Pain</x:v>
      </x:c>
      <x:c r="AN170" s="18" t="str">
        <x:v>Exact/explicit 24 h</x:v>
      </x:c>
      <x:c r="AO170" s="18" t="str">
        <x:v>DIGITIZATION NEEDED</x:v>
      </x:c>
      <x:c r="AP170" s="18" t="str">
        <x:v>Exact numeric result is not tabulated; formal graph digitization or author data is required before quantitative pooling.</x:v>
      </x:c>
      <x:c r="AQ170" s="18" t="str">
        <x:v>No</x:v>
      </x:c>
      <x:c r="AR170" s="18" t="str"/>
      <x:c r="AS170" s="18" t="str">
        <x:v>None</x:v>
      </x:c>
      <x:c r="AT170" s="18" t="str">
        <x:v>Intraoperative remifentanil consumption</x:v>
      </x:c>
      <x:c r="AU170" s="18" t="str">
        <x:v>Intraoperative</x:v>
      </x:c>
      <x:c r="AV170" s="18" t="str">
        <x:v>Some concerns</x:v>
      </x:c>
      <x:c r="AW170" s="18" t="str">
        <x:v>Yes — selected RoB is for a different result/timepoint</x:v>
      </x:c>
      <x:c r="AX170" s="18" t="str">
        <x:v>Liu 2026 (burn)</x:v>
      </x:c>
      <x:c r="AY170" s="18" t="str">
        <x:v>Primary eligible contrast</x:v>
      </x:c>
      <x:c r="AZ170" s="18" t="str">
        <x:v>Count this study once per synthesis unless a valid multi-arm method is used.</x:v>
      </x:c>
    </x:row>
    <x:row r="171">
      <x:c r="A171" s="18" t="str">
        <x:v>Liu 2026 (burn)</x:v>
      </x:c>
      <x:c r="B171" s="18" t="str">
        <x:v>LIU26BURN_TEAS_vs_SHAM_OPIOID24</x:v>
      </x:c>
      <x:c r="C171" s="18" t="str">
        <x:v>Pre-induction TEAS</x:v>
      </x:c>
      <x:c r="D171" s="18" t="str">
        <x:v>Placebo/sham TEAS</x:v>
      </x:c>
      <x:c r="E171" s="18" t="str">
        <x:v>Opioid consumption</x:v>
      </x:c>
      <x:c r="F171" s="18" t="str">
        <x:v>Complete postoperative opioid/MME exposure</x:v>
      </x:c>
      <x:c r="G171" s="18" t="str">
        <x:v>0-24 h</x:v>
      </x:c>
      <x:c r="H171" s="18" t="str">
        <x:v>Not calculable</x:v>
      </x:c>
      <x:c r="I171" s="18" t="n">
        <x:v>44</x:v>
      </x:c>
      <x:c r="J171" s="18" t="n">
        <x:v>44</x:v>
      </x:c>
      <x:c r="K171" s="18" t="n">
        <x:v>43</x:v>
      </x:c>
      <x:c r="L171" s="18" t="n">
        <x:v>43</x:v>
      </x:c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 t="str">
        <x:v>sufentanil + butorphanol PCIA; rescue dezocine</x:v>
      </x:c>
      <x:c r="Z171" s="18"/>
      <x:c r="AA171" s="18" t="str">
        <x:v>No</x:v>
      </x:c>
      <x:c r="AB171" s="18" t="str">
        <x:v>No</x:v>
      </x:c>
      <x:c r="AC171" s="18"/>
      <x:c r="AD171" s="18"/>
      <x:c r="AE171" s="18" t="str">
        <x:v>No</x:v>
      </x:c>
      <x:c r="AF171" s="18" t="str">
        <x:v>No</x:v>
      </x:c>
      <x:c r="AG171" s="18" t="str">
        <x:v>Not eligible for continuous 24-h opioid/MME meta-analysis</x:v>
      </x:c>
      <x:c r="AH171" s="18" t="str">
        <x:v>No</x:v>
      </x:c>
      <x:c r="AI171" s="18" t="str">
        <x:v>PCIA composition is known but bolus volume, basal rate, delivered-volume and successful-delivery counts are not; two opioids are present in the pump</x:v>
      </x:c>
      <x:c r="AJ171" s="18" t="str">
        <x:v>Postoperative PCIA section</x:v>
      </x:c>
      <x:c r="AK171" s="18" t="str">
        <x:v>https://drive.google.com/file/d/1mvekGtHD2JAKCRbIXrvLw1Nz7hbQ1dZ3/view?usp=drivesdk</x:v>
      </x:c>
      <x:c r="AL171" s="18" t="str">
        <x:v>MISSING / COMBINED OPIOID EXPOSURE NOT CALCULABLE</x:v>
      </x:c>
      <x:c r="AM171" s="18" t="str">
        <x:v>Postoperative opioid consumption</x:v>
      </x:c>
      <x:c r="AN171" s="18" t="str">
        <x:v>Exact/explicit 24 h</x:v>
      </x:c>
      <x:c r="AO171" s="18" t="str">
        <x:v>EXCLUDE — DATA UNAVAILABLE</x:v>
      </x:c>
      <x:c r="AP171" s="18" t="str">
        <x:v>The source does not provide a defensible quantitative value for this analysis.</x:v>
      </x:c>
      <x:c r="AQ171" s="18" t="str">
        <x:v>No</x:v>
      </x:c>
      <x:c r="AR171" s="18" t="str"/>
      <x:c r="AS171" s="18" t="str">
        <x:v>Opioid/MME conversion required using prespecified review conversion</x:v>
      </x:c>
      <x:c r="AT171" s="18" t="str">
        <x:v>Intraoperative remifentanil consumption</x:v>
      </x:c>
      <x:c r="AU171" s="18" t="str">
        <x:v>Intraoperative</x:v>
      </x:c>
      <x:c r="AV171" s="18" t="str">
        <x:v>Some concerns</x:v>
      </x:c>
      <x:c r="AW171" s="18" t="str">
        <x:v>Yes — selected RoB is for a different result/timepoint</x:v>
      </x:c>
      <x:c r="AX171" s="18" t="str">
        <x:v>Liu 2026 (burn)</x:v>
      </x:c>
      <x:c r="AY171" s="18" t="str">
        <x:v>Primary eligible contrast</x:v>
      </x:c>
      <x:c r="AZ171" s="18" t="str">
        <x:v>Count this study once per synthesis unless a valid multi-arm method is used.</x:v>
      </x:c>
    </x:row>
    <x:row r="172">
      <x:c r="A172" s="18" t="str">
        <x:v>Liu 2025</x:v>
      </x:c>
      <x:c r="B172" s="18" t="str">
        <x:v>LIU25_EA_vs_CTRL_SVT24</x:v>
      </x:c>
      <x:c r="C172" s="18" t="str">
        <x:v>Perioperative electroacupuncture</x:v>
      </x:c>
      <x:c r="D172" s="18" t="str">
        <x:v>Control/sham procedure</x:v>
      </x:c>
      <x:c r="E172" s="18" t="str">
        <x:v>Cardiac rhythm</x:v>
      </x:c>
      <x:c r="F172" s="18" t="str">
        <x:v>New-onset supraventricular tachycardia (SVT)</x:v>
      </x:c>
      <x:c r="G172" s="18" t="str">
        <x:v>First 24 h</x:v>
      </x:c>
      <x:c r="H172" s="18" t="str">
        <x:v>Events/total</x:v>
      </x:c>
      <x:c r="I172" s="18" t="n">
        <x:v>40</x:v>
      </x:c>
      <x:c r="J172" s="18" t="n">
        <x:v>40</x:v>
      </x:c>
      <x:c r="K172" s="18" t="n">
        <x:v>38</x:v>
      </x:c>
      <x:c r="L172" s="18" t="n">
        <x:v>39</x:v>
      </x:c>
      <x:c r="M172" s="18"/>
      <x:c r="N172" s="18"/>
      <x:c r="O172" s="18"/>
      <x:c r="P172" s="18"/>
      <x:c r="Q172" s="18"/>
      <x:c r="R172" s="18" t="n">
        <x:v>4</x:v>
      </x:c>
      <x:c r="S172" s="18"/>
      <x:c r="T172" s="18"/>
      <x:c r="U172" s="18"/>
      <x:c r="V172" s="18"/>
      <x:c r="W172" s="18"/>
      <x:c r="X172" s="18" t="n">
        <x:v>13</x:v>
      </x:c>
      <x:c r="Y172" s="18" t="str">
        <x:v>participants</x:v>
      </x:c>
      <x:c r="Z172" s="18" t="str">
        <x:v>0.02</x:v>
      </x:c>
      <x:c r="AA172" s="18" t="str">
        <x:v>Yes</x:v>
      </x:c>
      <x:c r="AB172" s="18" t="str">
        <x:v>No</x:v>
      </x:c>
      <x:c r="AC172" s="18" t="str">
        <x:v>RR</x:v>
      </x:c>
      <x:c r="AD172" s="18" t="n">
        <x:v>0.3157894736842105</x:v>
      </x:c>
      <x:c r="AE172" s="18" t="str">
        <x:v>No</x:v>
      </x:c>
      <x:c r="AF172" s="18" t="str">
        <x:v>No</x:v>
      </x:c>
      <x:c r="AG172" s="18" t="str">
        <x:v>Eligible for dichotomous 24-h SVT analysis</x:v>
      </x:c>
      <x:c r="AH172" s="18" t="str">
        <x:v>No</x:v>
      </x:c>
      <x:c r="AI172" s="18" t="str">
        <x:v>Three randomized participants discontinued after randomization; preserve analyzed denominators 38 and 39</x:v>
      </x:c>
      <x:c r="AJ172" s="18" t="str">
        <x:v>Primary outcome / first-24-h SVT</x:v>
      </x:c>
      <x:c r="AK172" s="18" t="str">
        <x:v>https://drive.google.com/file/d/1SHBSKFaeE4G3PXTGVMm7TR8L0H9EgtsD/view?usp=drivesdk</x:v>
      </x:c>
      <x:c r="AL172" s="18" t="str">
        <x:v>SOURCE-VERIFIED / ATTRITION QC</x:v>
      </x:c>
      <x:c r="AM172" s="18" t="str">
        <x:v>Cardiac rhythm</x:v>
      </x:c>
      <x:c r="AN172" s="18" t="str">
        <x:v>Exact/explicit 24 h</x:v>
      </x:c>
      <x:c r="AO172" s="18" t="str">
        <x:v>CONDITIONAL</x:v>
      </x:c>
      <x:c r="AP172" s="18" t="str">
        <x:v>Source-grounded but carries a QC qualification.</x:v>
      </x:c>
      <x:c r="AQ172" s="18" t="str">
        <x:v>No</x:v>
      </x:c>
      <x:c r="AR172" s="18" t="str"/>
      <x:c r="AS172" s="18" t="str">
        <x:v>Binary effect measure (RR preferred per protocol)</x:v>
      </x:c>
      <x:c r="AT172" s="18" t="str">
        <x:v>New-onset supraventricular tachycardia (SVT)</x:v>
      </x:c>
      <x:c r="AU172" s="18" t="str">
        <x:v>First 24 h</x:v>
      </x:c>
      <x:c r="AV172" s="18" t="str">
        <x:v>Some concerns</x:v>
      </x:c>
      <x:c r="AW172" s="18" t="str">
        <x:v>No — selected RoB matches this result</x:v>
      </x:c>
      <x:c r="AX172" s="18" t="str">
        <x:v>Liu 2025</x:v>
      </x:c>
      <x:c r="AY172" s="18" t="str">
        <x:v>Primary eligible contrast</x:v>
      </x:c>
      <x:c r="AZ172" s="18" t="str">
        <x:v>Count this study once per synthesis unless a valid multi-arm method is used.</x:v>
      </x:c>
    </x:row>
    <x:row r="173">
      <x:c r="A173" s="18" t="str">
        <x:v>Liu 2025</x:v>
      </x:c>
      <x:c r="B173" s="18" t="str">
        <x:v>LIU25_EA_vs_CTRL_TSTN1</x:v>
      </x:c>
      <x:c r="C173" s="18" t="str">
        <x:v>Perioperative electroacupuncture</x:v>
      </x:c>
      <x:c r="D173" s="18" t="str">
        <x:v>Control/sham procedure</x:v>
      </x:c>
      <x:c r="E173" s="18" t="str">
        <x:v>Sleep quality</x:v>
      </x:c>
      <x:c r="F173" s="18" t="str">
        <x:v>Total sleep time measured by ambulatory sleep recorder</x:v>
      </x:c>
      <x:c r="G173" s="18" t="str">
        <x:v>First postoperative night</x:v>
      </x:c>
      <x:c r="H173" s="18" t="str">
        <x:v>Median/IQR</x:v>
      </x:c>
      <x:c r="I173" s="18" t="n">
        <x:v>40</x:v>
      </x:c>
      <x:c r="J173" s="18" t="n">
        <x:v>40</x:v>
      </x:c>
      <x:c r="K173" s="18" t="n">
        <x:v>38</x:v>
      </x:c>
      <x:c r="L173" s="18" t="n">
        <x:v>39</x:v>
      </x:c>
      <x:c r="M173" s="18"/>
      <x:c r="N173" s="18"/>
      <x:c r="O173" s="18" t="n">
        <x:v>209.5</x:v>
      </x:c>
      <x:c r="P173" s="18" t="n">
        <x:v>73.8</x:v>
      </x:c>
      <x:c r="Q173" s="18" t="n">
        <x:v>261.5</x:v>
      </x:c>
      <x:c r="R173" s="18"/>
      <x:c r="S173" s="18"/>
      <x:c r="T173" s="18"/>
      <x:c r="U173" s="18" t="n">
        <x:v>119</x:v>
      </x:c>
      <x:c r="V173" s="18" t="n">
        <x:v>48</x:v>
      </x:c>
      <x:c r="W173" s="18" t="n">
        <x:v>193</x:v>
      </x:c>
      <x:c r="X173" s="18"/>
      <x:c r="Y173" s="18" t="str">
        <x:v>minutes</x:v>
      </x:c>
      <x:c r="Z173" s="18" t="str">
        <x:v>0.02</x:v>
      </x:c>
      <x:c r="AA173" s="18" t="str">
        <x:v>Yes</x:v>
      </x:c>
      <x:c r="AB173" s="18" t="str">
        <x:v>No</x:v>
      </x:c>
      <x:c r="AC173" s="18"/>
      <x:c r="AD173" s="18"/>
      <x:c r="AE173" s="18" t="str">
        <x:v>No</x:v>
      </x:c>
      <x:c r="AF173" s="18" t="str">
        <x:v>No</x:v>
      </x:c>
      <x:c r="AG173" s="18" t="str">
        <x:v>Eligible for objective postoperative sleep-duration analysis using median/IQR methods</x:v>
      </x:c>
      <x:c r="AH173" s="18" t="str">
        <x:v>No</x:v>
      </x:c>
      <x:c r="AI173" s="18" t="str">
        <x:v>Objective sleep-recorder endpoint; control electrical-current status is not completely clear in the publication</x:v>
      </x:c>
      <x:c r="AJ173" s="18" t="str">
        <x:v>Objective sleep monitoring / first night</x:v>
      </x:c>
      <x:c r="AK173" s="18" t="str">
        <x:v>https://drive.google.com/file/d/1SHBSKFaeE4G3PXTGVMm7TR8L0H9EgtsD/view?usp=drivesdk</x:v>
      </x:c>
      <x:c r="AL173" s="18" t="str">
        <x:v>SOURCE-VERIFIED</x:v>
      </x:c>
      <x:c r="AM173" s="18" t="str">
        <x:v>Sleep</x:v>
      </x:c>
      <x:c r="AN173" s="18" t="str">
        <x:v>First postoperative night</x:v>
      </x:c>
      <x:c r="AO173" s="18" t="str">
        <x:v>INCLUDE — SECONDARY</x:v>
      </x:c>
      <x:c r="AP173" s="18" t="str">
        <x:v>Source-verified outcome suitable for its matching secondary analysis.</x:v>
      </x:c>
      <x:c r="AQ173" s="18" t="str">
        <x:v>No</x:v>
      </x:c>
      <x:c r="AR173" s="18" t="str"/>
      <x:c r="AS173" s="18" t="str">
        <x:v>Use median/IQR-compatible meta-analysis method; do not relabel as mean/SD</x:v>
      </x:c>
      <x:c r="AT173" s="18" t="str">
        <x:v>New-onset supraventricular tachycardia (SVT)</x:v>
      </x:c>
      <x:c r="AU173" s="18" t="str">
        <x:v>First 24 h</x:v>
      </x:c>
      <x:c r="AV173" s="18" t="str">
        <x:v>Some concerns</x:v>
      </x:c>
      <x:c r="AW173" s="18" t="str">
        <x:v>Yes — selected RoB is for a different result/timepoint</x:v>
      </x:c>
      <x:c r="AX173" s="18" t="str">
        <x:v>Liu 2025</x:v>
      </x:c>
      <x:c r="AY173" s="18" t="str">
        <x:v>Primary eligible contrast</x:v>
      </x:c>
      <x:c r="AZ173" s="18" t="str">
        <x:v>Count this study once per synthesis unless a valid multi-arm method is used.</x:v>
      </x:c>
    </x:row>
    <x:row r="174">
      <x:c r="A174" s="18" t="str">
        <x:v>Liu 2025</x:v>
      </x:c>
      <x:c r="B174" s="18" t="str">
        <x:v>LIU25_EA_vs_CTRL_PAIN24</x:v>
      </x:c>
      <x:c r="C174" s="18" t="str">
        <x:v>Perioperative electroacupuncture</x:v>
      </x:c>
      <x:c r="D174" s="18" t="str">
        <x:v>Control/sham procedure</x:v>
      </x:c>
      <x:c r="E174" s="18" t="str">
        <x:v>Pain</x:v>
      </x:c>
      <x:c r="F174" s="18" t="str">
        <x:v>VAS pain intensity</x:v>
      </x:c>
      <x:c r="G174" s="18" t="str">
        <x:v>24 h</x:v>
      </x:c>
      <x:c r="H174" s="18" t="str">
        <x:v>Graph-only continuous data</x:v>
      </x:c>
      <x:c r="I174" s="18" t="n">
        <x:v>40</x:v>
      </x:c>
      <x:c r="J174" s="18" t="n">
        <x:v>40</x:v>
      </x:c>
      <x:c r="K174" s="18" t="n">
        <x:v>38</x:v>
      </x:c>
      <x:c r="L174" s="18" t="n">
        <x:v>39</x:v>
      </x:c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 t="str">
        <x:v>VAS 0-10</x:v>
      </x:c>
      <x:c r="Z174" s="18" t="str">
        <x:v>Between-group difference not significant</x:v>
      </x:c>
      <x:c r="AA174" s="18" t="str">
        <x:v>No</x:v>
      </x:c>
      <x:c r="AB174" s="18" t="str">
        <x:v>No</x:v>
      </x:c>
      <x:c r="AC174" s="18"/>
      <x:c r="AD174" s="18"/>
      <x:c r="AE174" s="18" t="str">
        <x:v>No</x:v>
      </x:c>
      <x:c r="AF174" s="18" t="str">
        <x:v>No</x:v>
      </x:c>
      <x:c r="AG174" s="18" t="str">
        <x:v>Not ready for continuous 24-h pain pooling without formal digitization or author data</x:v>
      </x:c>
      <x:c r="AH174" s="18" t="str">
        <x:v>No</x:v>
      </x:c>
      <x:c r="AI174" s="18" t="str">
        <x:v>Figure shows approximately 2/10 in both groups, but exact means/SDs are not numerically reported</x:v>
      </x:c>
      <x:c r="AJ174" s="18" t="str">
        <x:v>Figure 2 / 24-h pain</x:v>
      </x:c>
      <x:c r="AK174" s="18" t="str">
        <x:v>https://drive.google.com/file/d/1SHBSKFaeE4G3PXTGVMm7TR8L0H9EgtsD/view?usp=drivesdk</x:v>
      </x:c>
      <x:c r="AL174" s="18" t="str">
        <x:v>FIGURE ONLY / DIGITIZATION NEEDED</x:v>
      </x:c>
      <x:c r="AM174" s="18" t="str">
        <x:v>Pain</x:v>
      </x:c>
      <x:c r="AN174" s="18" t="str">
        <x:v>Exact/explicit 24 h</x:v>
      </x:c>
      <x:c r="AO174" s="18" t="str">
        <x:v>DIGITIZATION NEEDED</x:v>
      </x:c>
      <x:c r="AP174" s="18" t="str">
        <x:v>Exact numeric result is not tabulated; formal graph digitization or author data is required before quantitative pooling.</x:v>
      </x:c>
      <x:c r="AQ174" s="18" t="str">
        <x:v>No</x:v>
      </x:c>
      <x:c r="AR174" s="18" t="str"/>
      <x:c r="AS174" s="18" t="str">
        <x:v>None</x:v>
      </x:c>
      <x:c r="AT174" s="18" t="str">
        <x:v>New-onset supraventricular tachycardia (SVT)</x:v>
      </x:c>
      <x:c r="AU174" s="18" t="str">
        <x:v>First 24 h</x:v>
      </x:c>
      <x:c r="AV174" s="18" t="str">
        <x:v>Some concerns</x:v>
      </x:c>
      <x:c r="AW174" s="18" t="str">
        <x:v>Yes — selected RoB is for a different result/timepoint</x:v>
      </x:c>
      <x:c r="AX174" s="18" t="str">
        <x:v>Liu 2025</x:v>
      </x:c>
      <x:c r="AY174" s="18" t="str">
        <x:v>Primary eligible contrast</x:v>
      </x:c>
      <x:c r="AZ174" s="18" t="str">
        <x:v>Count this study once per synthesis unless a valid multi-arm method is used.</x:v>
      </x:c>
    </x:row>
    <x:row r="175">
      <x:c r="A175" s="18" t="str">
        <x:v>Liu 2025</x:v>
      </x:c>
      <x:c r="B175" s="18" t="str">
        <x:v>LIU25_EA_vs_CTRL_OPIOID24</x:v>
      </x:c>
      <x:c r="C175" s="18" t="str">
        <x:v>Perioperative electroacupuncture</x:v>
      </x:c>
      <x:c r="D175" s="18" t="str">
        <x:v>Control/sham procedure</x:v>
      </x:c>
      <x:c r="E175" s="18" t="str">
        <x:v>Opioid consumption</x:v>
      </x:c>
      <x:c r="F175" s="18" t="str">
        <x:v>Exact cumulative postoperative opioid consumption</x:v>
      </x:c>
      <x:c r="G175" s="18" t="str">
        <x:v>0-24 h</x:v>
      </x:c>
      <x:c r="H175" s="18" t="str">
        <x:v>Not reported</x:v>
      </x:c>
      <x:c r="I175" s="18" t="n">
        <x:v>40</x:v>
      </x:c>
      <x:c r="J175" s="18" t="n">
        <x:v>40</x:v>
      </x:c>
      <x:c r="K175" s="18" t="n">
        <x:v>38</x:v>
      </x:c>
      <x:c r="L175" s="18" t="n">
        <x:v>39</x:v>
      </x:c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 t="str">
        <x:v>mg/µg</x:v>
      </x:c>
      <x:c r="Z175" s="18"/>
      <x:c r="AA175" s="18" t="str">
        <x:v>No</x:v>
      </x:c>
      <x:c r="AB175" s="18" t="str">
        <x:v>No</x:v>
      </x:c>
      <x:c r="AC175" s="18"/>
      <x:c r="AD175" s="18"/>
      <x:c r="AE175" s="18" t="str">
        <x:v>No</x:v>
      </x:c>
      <x:c r="AF175" s="18" t="str">
        <x:v>No</x:v>
      </x:c>
      <x:c r="AG175" s="18" t="str">
        <x:v>Not eligible for continuous 24-h opioid/MME meta-analysis</x:v>
      </x:c>
      <x:c r="AH175" s="18" t="str">
        <x:v>No</x:v>
      </x:c>
      <x:c r="AI175" s="18" t="str">
        <x:v>No source-grounded exact 0-24-h postoperative opioid total is available in the reconciled extraction</x:v>
      </x:c>
      <x:c r="AJ175" s="18" t="str">
        <x:v>Exact 24-h opioid endpoint absent</x:v>
      </x:c>
      <x:c r="AK175" s="18" t="str">
        <x:v>https://drive.google.com/file/d/1SHBSKFaeE4G3PXTGVMm7TR8L0H9EgtsD/view?usp=drivesdk</x:v>
      </x:c>
      <x:c r="AL175" s="18" t="str">
        <x:v>MISSING / NOT REPORTED</x:v>
      </x:c>
      <x:c r="AM175" s="18" t="str">
        <x:v>Postoperative opioid consumption</x:v>
      </x:c>
      <x:c r="AN175" s="18" t="str">
        <x:v>Exact/explicit 24 h</x:v>
      </x:c>
      <x:c r="AO175" s="18" t="str">
        <x:v>EXCLUDE — DATA UNAVAILABLE</x:v>
      </x:c>
      <x:c r="AP175" s="18" t="str">
        <x:v>The source does not provide a defensible quantitative value for this analysis.</x:v>
      </x:c>
      <x:c r="AQ175" s="18" t="str">
        <x:v>No</x:v>
      </x:c>
      <x:c r="AR175" s="18" t="str"/>
      <x:c r="AS175" s="18" t="str">
        <x:v>None</x:v>
      </x:c>
      <x:c r="AT175" s="18" t="str">
        <x:v>New-onset supraventricular tachycardia (SVT)</x:v>
      </x:c>
      <x:c r="AU175" s="18" t="str">
        <x:v>First 24 h</x:v>
      </x:c>
      <x:c r="AV175" s="18" t="str">
        <x:v>Some concerns</x:v>
      </x:c>
      <x:c r="AW175" s="18" t="str">
        <x:v>Yes — selected RoB is for a different result/timepoint</x:v>
      </x:c>
      <x:c r="AX175" s="18" t="str">
        <x:v>Liu 2025</x:v>
      </x:c>
      <x:c r="AY175" s="18" t="str">
        <x:v>Primary eligible contrast</x:v>
      </x:c>
      <x:c r="AZ175" s="18" t="str">
        <x:v>Count this study once per synthesis unless a valid multi-arm method is used.</x:v>
      </x:c>
    </x:row>
    <x:row r="176">
      <x:c r="A176" s="18" t="str">
        <x:v>Li 2022</x:v>
      </x:c>
      <x:c r="B176" s="18" t="str">
        <x:v>LI22_EA_vs_SHAM_NRS24</x:v>
      </x:c>
      <x:c r="C176" s="18" t="str">
        <x:v>Preoperative electroacupuncture</x:v>
      </x:c>
      <x:c r="D176" s="18" t="str">
        <x:v>Sham electroacupuncture</x:v>
      </x:c>
      <x:c r="E176" s="18" t="str">
        <x:v>Pain</x:v>
      </x:c>
      <x:c r="F176" s="18" t="str">
        <x:v>Postoperative NRS pain</x:v>
      </x:c>
      <x:c r="G176" s="18" t="str">
        <x:v>24 h</x:v>
      </x:c>
      <x:c r="H176" s="18" t="str">
        <x:v>Median/IQR</x:v>
      </x:c>
      <x:c r="I176" s="18" t="n">
        <x:v>40</x:v>
      </x:c>
      <x:c r="J176" s="18" t="n">
        <x:v>40</x:v>
      </x:c>
      <x:c r="K176" s="18" t="n">
        <x:v>39</x:v>
      </x:c>
      <x:c r="L176" s="18" t="n">
        <x:v>40</x:v>
      </x:c>
      <x:c r="M176" s="18"/>
      <x:c r="N176" s="18"/>
      <x:c r="O176" s="18" t="n">
        <x:v>1.5</x:v>
      </x:c>
      <x:c r="P176" s="18" t="n">
        <x:v>1</x:v>
      </x:c>
      <x:c r="Q176" s="18" t="n">
        <x:v>3</x:v>
      </x:c>
      <x:c r="R176" s="18"/>
      <x:c r="S176" s="18"/>
      <x:c r="T176" s="18"/>
      <x:c r="U176" s="18" t="n">
        <x:v>1.6</x:v>
      </x:c>
      <x:c r="V176" s="18" t="n">
        <x:v>1</x:v>
      </x:c>
      <x:c r="W176" s="18" t="n">
        <x:v>3</x:v>
      </x:c>
      <x:c r="X176" s="18"/>
      <x:c r="Y176" s="18" t="str">
        <x:v>NRS 0-10</x:v>
      </x:c>
      <x:c r="Z176" s="18" t="str">
        <x:v>0.223</x:v>
      </x:c>
      <x:c r="AA176" s="18" t="str">
        <x:v>Yes</x:v>
      </x:c>
      <x:c r="AB176" s="18" t="str">
        <x:v>No</x:v>
      </x:c>
      <x:c r="AC176" s="18"/>
      <x:c r="AD176" s="18"/>
      <x:c r="AE176" s="18" t="str">
        <x:v>No</x:v>
      </x:c>
      <x:c r="AF176" s="18" t="str">
        <x:v>No</x:v>
      </x:c>
      <x:c r="AG176" s="18" t="str">
        <x:v>Eligible for 24-h pain analysis using median/IQR methods</x:v>
      </x:c>
      <x:c r="AH176" s="18" t="str">
        <x:v>No</x:v>
      </x:c>
      <x:c r="AI176" s="18" t="str">
        <x:v>One randomized participant was not included in the final EA analysis; the 24-h pain difference is not significant</x:v>
      </x:c>
      <x:c r="AJ176" s="18" t="str">
        <x:v>24-h postoperative NRS</x:v>
      </x:c>
      <x:c r="AK176" s="18" t="str">
        <x:v>https://drive.google.com/file/d/1rQTrwnCvj72poJrGGvYjpxSZXvUhSD0u/view?usp=drivesdk</x:v>
      </x:c>
      <x:c r="AL176" s="18" t="str">
        <x:v>SOURCE-VERIFIED / ATTRITION QC</x:v>
      </x:c>
      <x:c r="AM176" s="18" t="str">
        <x:v>Pain</x:v>
      </x:c>
      <x:c r="AN176" s="18" t="str">
        <x:v>Exact/explicit 24 h</x:v>
      </x:c>
      <x:c r="AO176" s="18" t="str">
        <x:v>INCLUDE</x:v>
      </x:c>
      <x:c r="AP176" s="18" t="str">
        <x:v>Explicit 24-h pain endpoint with quantitative source data.</x:v>
      </x:c>
      <x:c r="AQ176" s="18" t="str">
        <x:v>Yes</x:v>
      </x:c>
      <x:c r="AR176" s="18" t="str"/>
      <x:c r="AS176" s="18" t="str">
        <x:v>Use median/IQR-compatible meta-analysis method; do not relabel as mean/SD</x:v>
      </x:c>
      <x:c r="AT176" s="18" t="str">
        <x:v>Postoperative NRS pain</x:v>
      </x:c>
      <x:c r="AU176" s="18" t="str">
        <x:v>24 h</x:v>
      </x:c>
      <x:c r="AV176" s="18" t="str">
        <x:v>Some concerns</x:v>
      </x:c>
      <x:c r="AW176" s="18" t="str">
        <x:v>No — selected RoB matches this result</x:v>
      </x:c>
      <x:c r="AX176" s="18" t="str">
        <x:v>Li 2022</x:v>
      </x:c>
      <x:c r="AY176" s="18" t="str">
        <x:v>Primary eligible contrast</x:v>
      </x:c>
      <x:c r="AZ176" s="18" t="str">
        <x:v>Count this study once per synthesis unless a valid multi-arm method is used.</x:v>
      </x:c>
    </x:row>
    <x:row r="177">
      <x:c r="A177" s="18" t="str">
        <x:v>Li 2022</x:v>
      </x:c>
      <x:c r="B177" s="18" t="str">
        <x:v>LI22_EA_vs_SHAM_MPT24</x:v>
      </x:c>
      <x:c r="C177" s="18" t="str">
        <x:v>Preoperative electroacupuncture</x:v>
      </x:c>
      <x:c r="D177" s="18" t="str">
        <x:v>Sham electroacupuncture</x:v>
      </x:c>
      <x:c r="E177" s="18" t="str">
        <x:v>Experimental pain</x:v>
      </x:c>
      <x:c r="F177" s="18" t="str">
        <x:v>Mechanical pain threshold around surgical incision</x:v>
      </x:c>
      <x:c r="G177" s="18" t="str">
        <x:v>24 h</x:v>
      </x:c>
      <x:c r="H177" s="18" t="str">
        <x:v>Source-reported direction; exact value not promoted</x:v>
      </x:c>
      <x:c r="I177" s="18" t="n">
        <x:v>40</x:v>
      </x:c>
      <x:c r="J177" s="18" t="n">
        <x:v>40</x:v>
      </x:c>
      <x:c r="K177" s="18" t="n">
        <x:v>39</x:v>
      </x:c>
      <x:c r="L177" s="18" t="n">
        <x:v>40</x:v>
      </x:c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 t="str">
        <x:v>mechanical threshold</x:v>
      </x:c>
      <x:c r="Z177" s="18" t="str">
        <x:v>No significant between-group difference at 24 h</x:v>
      </x:c>
      <x:c r="AA177" s="18" t="str">
        <x:v>Yes</x:v>
      </x:c>
      <x:c r="AB177" s="18" t="str">
        <x:v>No</x:v>
      </x:c>
      <x:c r="AC177" s="18"/>
      <x:c r="AD177" s="18"/>
      <x:c r="AE177" s="18" t="str">
        <x:v>No</x:v>
      </x:c>
      <x:c r="AF177" s="18" t="str">
        <x:v>No</x:v>
      </x:c>
      <x:c r="AG177" s="18" t="str">
        <x:v>Do not use as a continuous meta-analysis value without the exact source table/figure numbers</x:v>
      </x:c>
      <x:c r="AH177" s="18" t="str">
        <x:v>No</x:v>
      </x:c>
      <x:c r="AI177" s="18" t="str">
        <x:v>EA advantage was reported at 30 min and 6 h, not at 24 or 48 h; the earlier stored RoB fabricated a significant 24-h result</x:v>
      </x:c>
      <x:c r="AJ177" s="18" t="str">
        <x:v>Mechanical-threshold longitudinal result</x:v>
      </x:c>
      <x:c r="AK177" s="18" t="str">
        <x:v>https://drive.google.com/file/d/1rQTrwnCvj72poJrGGvYjpxSZXvUhSD0u/view?usp=drivesdk</x:v>
      </x:c>
      <x:c r="AL177" s="18" t="str">
        <x:v>SOURCE-VERIFIED / NO 24H BENEFIT</x:v>
      </x:c>
      <x:c r="AM177" s="18" t="str">
        <x:v>Pain</x:v>
      </x:c>
      <x:c r="AN177" s="18" t="str">
        <x:v>Exact/explicit 24 h</x:v>
      </x:c>
      <x:c r="AO177" s="18" t="str">
        <x:v>INCLUDE</x:v>
      </x:c>
      <x:c r="AP177" s="18" t="str">
        <x:v>Explicit 24-h pain endpoint with quantitative source data.</x:v>
      </x:c>
      <x:c r="AQ177" s="18" t="str">
        <x:v>Yes</x:v>
      </x:c>
      <x:c r="AR177" s="18" t="str"/>
      <x:c r="AS177" s="18" t="str">
        <x:v>None</x:v>
      </x:c>
      <x:c r="AT177" s="18" t="str">
        <x:v>Postoperative NRS pain</x:v>
      </x:c>
      <x:c r="AU177" s="18" t="str">
        <x:v>24 h</x:v>
      </x:c>
      <x:c r="AV177" s="18" t="str">
        <x:v>Some concerns</x:v>
      </x:c>
      <x:c r="AW177" s="18" t="str">
        <x:v>Yes — selected RoB is for a different result/timepoint</x:v>
      </x:c>
      <x:c r="AX177" s="18" t="str">
        <x:v>Li 2022</x:v>
      </x:c>
      <x:c r="AY177" s="18" t="str">
        <x:v>Primary eligible contrast</x:v>
      </x:c>
      <x:c r="AZ177" s="18" t="str">
        <x:v>Count this study once per synthesis unless a valid multi-arm method is used.</x:v>
      </x:c>
    </x:row>
    <x:row r="178">
      <x:c r="A178" s="18" t="str">
        <x:v>Li 2022</x:v>
      </x:c>
      <x:c r="B178" s="18" t="str">
        <x:v>LI22_EA_vs_SHAM_OPIOID24</x:v>
      </x:c>
      <x:c r="C178" s="18" t="str">
        <x:v>Preoperative electroacupuncture</x:v>
      </x:c>
      <x:c r="D178" s="18" t="str">
        <x:v>Sham electroacupuncture</x:v>
      </x:c>
      <x:c r="E178" s="18" t="str">
        <x:v>Opioid consumption</x:v>
      </x:c>
      <x:c r="F178" s="18" t="str">
        <x:v>Exact cumulative postoperative opioid consumption</x:v>
      </x:c>
      <x:c r="G178" s="18" t="str">
        <x:v>0-24 h</x:v>
      </x:c>
      <x:c r="H178" s="18" t="str">
        <x:v>Not reported</x:v>
      </x:c>
      <x:c r="I178" s="18" t="n">
        <x:v>40</x:v>
      </x:c>
      <x:c r="J178" s="18" t="n">
        <x:v>40</x:v>
      </x:c>
      <x:c r="K178" s="18" t="n">
        <x:v>39</x:v>
      </x:c>
      <x:c r="L178" s="18" t="n">
        <x:v>40</x:v>
      </x:c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 t="str">
        <x:v>mg/µg</x:v>
      </x:c>
      <x:c r="Z178" s="18"/>
      <x:c r="AA178" s="18" t="str">
        <x:v>No</x:v>
      </x:c>
      <x:c r="AB178" s="18" t="str">
        <x:v>No</x:v>
      </x:c>
      <x:c r="AC178" s="18"/>
      <x:c r="AD178" s="18"/>
      <x:c r="AE178" s="18" t="str">
        <x:v>No</x:v>
      </x:c>
      <x:c r="AF178" s="18" t="str">
        <x:v>No</x:v>
      </x:c>
      <x:c r="AG178" s="18" t="str">
        <x:v>Not eligible for continuous 24-h opioid/MME meta-analysis</x:v>
      </x:c>
      <x:c r="AH178" s="18" t="str">
        <x:v>No</x:v>
      </x:c>
      <x:c r="AI178" s="18" t="str">
        <x:v>The prior derivative's 24-h sufentanil result was fabricated; no source-grounded exact 24-h postoperative opioid total is available</x:v>
      </x:c>
      <x:c r="AJ178" s="18" t="str">
        <x:v>Exact 24-h opioid endpoint absent</x:v>
      </x:c>
      <x:c r="AK178" s="18" t="str">
        <x:v>https://drive.google.com/file/d/1rQTrwnCvj72poJrGGvYjpxSZXvUhSD0u/view?usp=drivesdk</x:v>
      </x:c>
      <x:c r="AL178" s="18" t="str">
        <x:v>MISSING / NOT REPORTED</x:v>
      </x:c>
      <x:c r="AM178" s="18" t="str">
        <x:v>Postoperative opioid consumption</x:v>
      </x:c>
      <x:c r="AN178" s="18" t="str">
        <x:v>Exact/explicit 24 h</x:v>
      </x:c>
      <x:c r="AO178" s="18" t="str">
        <x:v>EXCLUDE — DATA UNAVAILABLE</x:v>
      </x:c>
      <x:c r="AP178" s="18" t="str">
        <x:v>The source does not provide a defensible quantitative value for this analysis.</x:v>
      </x:c>
      <x:c r="AQ178" s="18" t="str">
        <x:v>No</x:v>
      </x:c>
      <x:c r="AR178" s="18" t="str"/>
      <x:c r="AS178" s="18" t="str">
        <x:v>None</x:v>
      </x:c>
      <x:c r="AT178" s="18" t="str">
        <x:v>Postoperative NRS pain</x:v>
      </x:c>
      <x:c r="AU178" s="18" t="str">
        <x:v>24 h</x:v>
      </x:c>
      <x:c r="AV178" s="18" t="str">
        <x:v>Some concerns</x:v>
      </x:c>
      <x:c r="AW178" s="18" t="str">
        <x:v>Yes — selected RoB is for a different result/timepoint</x:v>
      </x:c>
      <x:c r="AX178" s="18" t="str">
        <x:v>Li 2022</x:v>
      </x:c>
      <x:c r="AY178" s="18" t="str">
        <x:v>Primary eligible contrast</x:v>
      </x:c>
      <x:c r="AZ178" s="18" t="str">
        <x:v>Count this study once per synthesis unless a valid multi-arm method is used.</x:v>
      </x:c>
    </x:row>
    <x:row r="179">
      <x:c r="A179" s="18" t="str">
        <x:v>Liang 2021</x:v>
      </x:c>
      <x:c r="B179" s="18" t="str">
        <x:v>LIANG21_TEAS_vs_CTRL_CRBD_END</x:v>
      </x:c>
      <x:c r="C179" s="18" t="str">
        <x:v>Preoperative TEAS</x:v>
      </x:c>
      <x:c r="D179" s="18" t="str">
        <x:v>Control/no stimulation</x:v>
      </x:c>
      <x:c r="E179" s="18" t="str">
        <x:v>Catheter-related bladder discomfort</x:v>
      </x:c>
      <x:c r="F179" s="18" t="str">
        <x:v>CRBD incidence</x:v>
      </x:c>
      <x:c r="G179" s="18" t="str">
        <x:v>End of surgery</x:v>
      </x:c>
      <x:c r="H179" s="18" t="str">
        <x:v>Events/total</x:v>
      </x:c>
      <x:c r="I179" s="18" t="n">
        <x:v>38</x:v>
      </x:c>
      <x:c r="J179" s="18" t="n">
        <x:v>37</x:v>
      </x:c>
      <x:c r="K179" s="18" t="n">
        <x:v>35</x:v>
      </x:c>
      <x:c r="L179" s="18" t="n">
        <x:v>35</x:v>
      </x:c>
      <x:c r="M179" s="18"/>
      <x:c r="N179" s="18"/>
      <x:c r="O179" s="18"/>
      <x:c r="P179" s="18"/>
      <x:c r="Q179" s="18"/>
      <x:c r="R179" s="18" t="n">
        <x:v>9</x:v>
      </x:c>
      <x:c r="S179" s="18"/>
      <x:c r="T179" s="18"/>
      <x:c r="U179" s="18"/>
      <x:c r="V179" s="18"/>
      <x:c r="W179" s="18"/>
      <x:c r="X179" s="18" t="n">
        <x:v>28</x:v>
      </x:c>
      <x:c r="Y179" s="18" t="str">
        <x:v>participants</x:v>
      </x:c>
      <x:c r="Z179" s="18" t="str">
        <x:v>NR</x:v>
      </x:c>
      <x:c r="AA179" s="18" t="str">
        <x:v>Yes</x:v>
      </x:c>
      <x:c r="AB179" s="18" t="str">
        <x:v>No</x:v>
      </x:c>
      <x:c r="AC179" s="18" t="str">
        <x:v>RR</x:v>
      </x:c>
      <x:c r="AD179" s="18" t="n">
        <x:v>0.3214285714285714</x:v>
      </x:c>
      <x:c r="AE179" s="18" t="str">
        <x:v>No</x:v>
      </x:c>
      <x:c r="AF179" s="18" t="str">
        <x:v>No</x:v>
      </x:c>
      <x:c r="AG179" s="18" t="str">
        <x:v>Eligible for CRBD analysis at the matching timepoint</x:v>
      </x:c>
      <x:c r="AH179" s="18" t="str">
        <x:v>No</x:v>
      </x:c>
      <x:c r="AI179" s="18" t="str">
        <x:v>75 randomized but only 70 analyzed; preserve 35/35 outcome denominators. The stored 6-h CRBD endpoint does not exist in the source</x:v>
      </x:c>
      <x:c r="AJ179" s="18" t="str">
        <x:v>CRBD incidence table</x:v>
      </x:c>
      <x:c r="AK179" s="18" t="str">
        <x:v>https://drive.google.com/file/d/1guriAcqNbJNXpfd_UjYwevULLVSeiHXS/view?usp=drivesdk</x:v>
      </x:c>
      <x:c r="AL179" s="18" t="str">
        <x:v>SOURCE-VERIFIED / ATTRITION QC</x:v>
      </x:c>
      <x:c r="AM179" s="18" t="str">
        <x:v>Catheter-related bladder discomfort</x:v>
      </x:c>
      <x:c r="AN179" s="18" t="str">
        <x:v>End of surgery</x:v>
      </x:c>
      <x:c r="AO179" s="18" t="str">
        <x:v>CONDITIONAL</x:v>
      </x:c>
      <x:c r="AP179" s="18" t="str">
        <x:v>Source-grounded but carries a QC qualification.</x:v>
      </x:c>
      <x:c r="AQ179" s="18" t="str">
        <x:v>No</x:v>
      </x:c>
      <x:c r="AR179" s="18" t="str"/>
      <x:c r="AS179" s="18" t="str">
        <x:v>Binary effect measure (RR preferred per protocol)</x:v>
      </x:c>
      <x:c r="AT179" s="18" t="str">
        <x:v>CRBD incidence</x:v>
      </x:c>
      <x:c r="AU179" s="18" t="str">
        <x:v>24 h</x:v>
      </x:c>
      <x:c r="AV179" s="18" t="str">
        <x:v>High</x:v>
      </x:c>
      <x:c r="AW179" s="18" t="str">
        <x:v>No — selected RoB matches this result</x:v>
      </x:c>
      <x:c r="AX179" s="18" t="str">
        <x:v>Liang 2021</x:v>
      </x:c>
      <x:c r="AY179" s="18" t="str">
        <x:v>Primary eligible contrast</x:v>
      </x:c>
      <x:c r="AZ179" s="18" t="str">
        <x:v>Count this study once per synthesis unless a valid multi-arm method is used.</x:v>
      </x:c>
    </x:row>
    <x:row r="180">
      <x:c r="A180" s="18" t="str">
        <x:v>Liang 2021</x:v>
      </x:c>
      <x:c r="B180" s="18" t="str">
        <x:v>LIANG21_TEAS_vs_CTRL_CRBD_PACU</x:v>
      </x:c>
      <x:c r="C180" s="18" t="str">
        <x:v>Preoperative TEAS</x:v>
      </x:c>
      <x:c r="D180" s="18" t="str">
        <x:v>Control/no stimulation</x:v>
      </x:c>
      <x:c r="E180" s="18" t="str">
        <x:v>Catheter-related bladder discomfort</x:v>
      </x:c>
      <x:c r="F180" s="18" t="str">
        <x:v>CRBD incidence</x:v>
      </x:c>
      <x:c r="G180" s="18" t="str">
        <x:v>PACU discharge</x:v>
      </x:c>
      <x:c r="H180" s="18" t="str">
        <x:v>Events/total</x:v>
      </x:c>
      <x:c r="I180" s="18" t="n">
        <x:v>38</x:v>
      </x:c>
      <x:c r="J180" s="18" t="n">
        <x:v>37</x:v>
      </x:c>
      <x:c r="K180" s="18" t="n">
        <x:v>35</x:v>
      </x:c>
      <x:c r="L180" s="18" t="n">
        <x:v>35</x:v>
      </x:c>
      <x:c r="M180" s="18"/>
      <x:c r="N180" s="18"/>
      <x:c r="O180" s="18"/>
      <x:c r="P180" s="18"/>
      <x:c r="Q180" s="18"/>
      <x:c r="R180" s="18" t="n">
        <x:v>20</x:v>
      </x:c>
      <x:c r="S180" s="18"/>
      <x:c r="T180" s="18"/>
      <x:c r="U180" s="18"/>
      <x:c r="V180" s="18"/>
      <x:c r="W180" s="18"/>
      <x:c r="X180" s="18" t="n">
        <x:v>28</x:v>
      </x:c>
      <x:c r="Y180" s="18" t="str">
        <x:v>participants</x:v>
      </x:c>
      <x:c r="Z180" s="18" t="str">
        <x:v>NR</x:v>
      </x:c>
      <x:c r="AA180" s="18" t="str">
        <x:v>Yes</x:v>
      </x:c>
      <x:c r="AB180" s="18" t="str">
        <x:v>No</x:v>
      </x:c>
      <x:c r="AC180" s="18" t="str">
        <x:v>RR</x:v>
      </x:c>
      <x:c r="AD180" s="18" t="n">
        <x:v>0.7142857142857142</x:v>
      </x:c>
      <x:c r="AE180" s="18" t="str">
        <x:v>No</x:v>
      </x:c>
      <x:c r="AF180" s="18" t="str">
        <x:v>No</x:v>
      </x:c>
      <x:c r="AG180" s="18" t="str">
        <x:v>Eligible for CRBD analysis at the matching timepoint</x:v>
      </x:c>
      <x:c r="AH180" s="18" t="str">
        <x:v>No</x:v>
      </x:c>
      <x:c r="AI180" s="18" t="str">
        <x:v>75 randomized but only 70 analyzed; preserve 35/35 outcome denominators. The stored 6-h CRBD endpoint does not exist in the source</x:v>
      </x:c>
      <x:c r="AJ180" s="18" t="str">
        <x:v>CRBD incidence table</x:v>
      </x:c>
      <x:c r="AK180" s="18" t="str">
        <x:v>https://drive.google.com/file/d/1guriAcqNbJNXpfd_UjYwevULLVSeiHXS/view?usp=drivesdk</x:v>
      </x:c>
      <x:c r="AL180" s="18" t="str">
        <x:v>SOURCE-VERIFIED / ATTRITION QC</x:v>
      </x:c>
      <x:c r="AM180" s="18" t="str">
        <x:v>Catheter-related bladder discomfort</x:v>
      </x:c>
      <x:c r="AN180" s="18" t="str">
        <x:v>PACU discharge</x:v>
      </x:c>
      <x:c r="AO180" s="18" t="str">
        <x:v>CONDITIONAL</x:v>
      </x:c>
      <x:c r="AP180" s="18" t="str">
        <x:v>Source-grounded but carries a QC qualification.</x:v>
      </x:c>
      <x:c r="AQ180" s="18" t="str">
        <x:v>No</x:v>
      </x:c>
      <x:c r="AR180" s="18" t="str"/>
      <x:c r="AS180" s="18" t="str">
        <x:v>Binary effect measure (RR preferred per protocol)</x:v>
      </x:c>
      <x:c r="AT180" s="18" t="str">
        <x:v>CRBD incidence</x:v>
      </x:c>
      <x:c r="AU180" s="18" t="str">
        <x:v>24 h</x:v>
      </x:c>
      <x:c r="AV180" s="18" t="str">
        <x:v>High</x:v>
      </x:c>
      <x:c r="AW180" s="18" t="str">
        <x:v>No — selected RoB matches this result</x:v>
      </x:c>
      <x:c r="AX180" s="18" t="str">
        <x:v>Liang 2021</x:v>
      </x:c>
      <x:c r="AY180" s="18" t="str">
        <x:v>Primary eligible contrast</x:v>
      </x:c>
      <x:c r="AZ180" s="18" t="str">
        <x:v>Count this study once per synthesis unless a valid multi-arm method is used.</x:v>
      </x:c>
    </x:row>
    <x:row r="181">
      <x:c r="A181" s="18" t="str">
        <x:v>Liang 2021</x:v>
      </x:c>
      <x:c r="B181" s="18" t="str">
        <x:v>LIANG21_TEAS_vs_CTRL_CRBD24</x:v>
      </x:c>
      <x:c r="C181" s="18" t="str">
        <x:v>Preoperative TEAS</x:v>
      </x:c>
      <x:c r="D181" s="18" t="str">
        <x:v>Control/no stimulation</x:v>
      </x:c>
      <x:c r="E181" s="18" t="str">
        <x:v>Catheter-related bladder discomfort</x:v>
      </x:c>
      <x:c r="F181" s="18" t="str">
        <x:v>CRBD incidence</x:v>
      </x:c>
      <x:c r="G181" s="18" t="str">
        <x:v>24 h</x:v>
      </x:c>
      <x:c r="H181" s="18" t="str">
        <x:v>Events/total</x:v>
      </x:c>
      <x:c r="I181" s="18" t="n">
        <x:v>38</x:v>
      </x:c>
      <x:c r="J181" s="18" t="n">
        <x:v>37</x:v>
      </x:c>
      <x:c r="K181" s="18" t="n">
        <x:v>35</x:v>
      </x:c>
      <x:c r="L181" s="18" t="n">
        <x:v>35</x:v>
      </x:c>
      <x:c r="M181" s="18"/>
      <x:c r="N181" s="18"/>
      <x:c r="O181" s="18"/>
      <x:c r="P181" s="18"/>
      <x:c r="Q181" s="18"/>
      <x:c r="R181" s="18" t="n">
        <x:v>7</x:v>
      </x:c>
      <x:c r="S181" s="18"/>
      <x:c r="T181" s="18"/>
      <x:c r="U181" s="18"/>
      <x:c r="V181" s="18"/>
      <x:c r="W181" s="18"/>
      <x:c r="X181" s="18" t="n">
        <x:v>31</x:v>
      </x:c>
      <x:c r="Y181" s="18" t="str">
        <x:v>participants</x:v>
      </x:c>
      <x:c r="Z181" s="18" t="str">
        <x:v>&lt;0.05</x:v>
      </x:c>
      <x:c r="AA181" s="18" t="str">
        <x:v>Yes</x:v>
      </x:c>
      <x:c r="AB181" s="18" t="str">
        <x:v>No</x:v>
      </x:c>
      <x:c r="AC181" s="18" t="str">
        <x:v>RR</x:v>
      </x:c>
      <x:c r="AD181" s="18" t="n">
        <x:v>0.22580645161290325</x:v>
      </x:c>
      <x:c r="AE181" s="18" t="str">
        <x:v>No</x:v>
      </x:c>
      <x:c r="AF181" s="18" t="str">
        <x:v>No</x:v>
      </x:c>
      <x:c r="AG181" s="18" t="str">
        <x:v>Eligible for CRBD analysis at the matching timepoint</x:v>
      </x:c>
      <x:c r="AH181" s="18" t="str">
        <x:v>No</x:v>
      </x:c>
      <x:c r="AI181" s="18" t="str">
        <x:v>75 randomized but only 70 analyzed; preserve 35/35 outcome denominators. The stored 6-h CRBD endpoint does not exist in the source</x:v>
      </x:c>
      <x:c r="AJ181" s="18" t="str">
        <x:v>CRBD incidence table</x:v>
      </x:c>
      <x:c r="AK181" s="18" t="str">
        <x:v>https://drive.google.com/file/d/1guriAcqNbJNXpfd_UjYwevULLVSeiHXS/view?usp=drivesdk</x:v>
      </x:c>
      <x:c r="AL181" s="18" t="str">
        <x:v>SOURCE-VERIFIED / ATTRITION QC</x:v>
      </x:c>
      <x:c r="AM181" s="18" t="str">
        <x:v>Catheter-related bladder discomfort</x:v>
      </x:c>
      <x:c r="AN181" s="18" t="str">
        <x:v>Exact/explicit 24 h</x:v>
      </x:c>
      <x:c r="AO181" s="18" t="str">
        <x:v>CONDITIONAL</x:v>
      </x:c>
      <x:c r="AP181" s="18" t="str">
        <x:v>Source-grounded but carries a QC qualification.</x:v>
      </x:c>
      <x:c r="AQ181" s="18" t="str">
        <x:v>No</x:v>
      </x:c>
      <x:c r="AR181" s="18" t="str"/>
      <x:c r="AS181" s="18" t="str">
        <x:v>Binary effect measure (RR preferred per protocol)</x:v>
      </x:c>
      <x:c r="AT181" s="18" t="str">
        <x:v>CRBD incidence</x:v>
      </x:c>
      <x:c r="AU181" s="18" t="str">
        <x:v>24 h</x:v>
      </x:c>
      <x:c r="AV181" s="18" t="str">
        <x:v>High</x:v>
      </x:c>
      <x:c r="AW181" s="18" t="str">
        <x:v>No — selected RoB matches this result</x:v>
      </x:c>
      <x:c r="AX181" s="18" t="str">
        <x:v>Liang 2021</x:v>
      </x:c>
      <x:c r="AY181" s="18" t="str">
        <x:v>Primary eligible contrast</x:v>
      </x:c>
      <x:c r="AZ181" s="18" t="str">
        <x:v>Count this study once per synthesis unless a valid multi-arm method is used.</x:v>
      </x:c>
    </x:row>
    <x:row r="182">
      <x:c r="A182" s="18" t="str">
        <x:v>Liang 2021</x:v>
      </x:c>
      <x:c r="B182" s="18" t="str">
        <x:v>LIANG21_TEAS_vs_CTRL_CRBD48</x:v>
      </x:c>
      <x:c r="C182" s="18" t="str">
        <x:v>Preoperative TEAS</x:v>
      </x:c>
      <x:c r="D182" s="18" t="str">
        <x:v>Control/no stimulation</x:v>
      </x:c>
      <x:c r="E182" s="18" t="str">
        <x:v>Catheter-related bladder discomfort</x:v>
      </x:c>
      <x:c r="F182" s="18" t="str">
        <x:v>CRBD incidence</x:v>
      </x:c>
      <x:c r="G182" s="18" t="str">
        <x:v>48 h</x:v>
      </x:c>
      <x:c r="H182" s="18" t="str">
        <x:v>Events/total</x:v>
      </x:c>
      <x:c r="I182" s="18" t="n">
        <x:v>38</x:v>
      </x:c>
      <x:c r="J182" s="18" t="n">
        <x:v>37</x:v>
      </x:c>
      <x:c r="K182" s="18" t="n">
        <x:v>35</x:v>
      </x:c>
      <x:c r="L182" s="18" t="n">
        <x:v>35</x:v>
      </x:c>
      <x:c r="M182" s="18"/>
      <x:c r="N182" s="18"/>
      <x:c r="O182" s="18"/>
      <x:c r="P182" s="18"/>
      <x:c r="Q182" s="18"/>
      <x:c r="R182" s="18" t="n">
        <x:v>4</x:v>
      </x:c>
      <x:c r="S182" s="18"/>
      <x:c r="T182" s="18"/>
      <x:c r="U182" s="18"/>
      <x:c r="V182" s="18"/>
      <x:c r="W182" s="18"/>
      <x:c r="X182" s="18" t="n">
        <x:v>19</x:v>
      </x:c>
      <x:c r="Y182" s="18" t="str">
        <x:v>participants</x:v>
      </x:c>
      <x:c r="Z182" s="18" t="str">
        <x:v>&lt;0.05</x:v>
      </x:c>
      <x:c r="AA182" s="18" t="str">
        <x:v>Yes</x:v>
      </x:c>
      <x:c r="AB182" s="18" t="str">
        <x:v>No</x:v>
      </x:c>
      <x:c r="AC182" s="18" t="str">
        <x:v>RR</x:v>
      </x:c>
      <x:c r="AD182" s="18" t="n">
        <x:v>0.2105263157894737</x:v>
      </x:c>
      <x:c r="AE182" s="18" t="str">
        <x:v>No</x:v>
      </x:c>
      <x:c r="AF182" s="18" t="str">
        <x:v>No</x:v>
      </x:c>
      <x:c r="AG182" s="18" t="str">
        <x:v>Eligible for CRBD analysis at the matching timepoint</x:v>
      </x:c>
      <x:c r="AH182" s="18" t="str">
        <x:v>No</x:v>
      </x:c>
      <x:c r="AI182" s="18" t="str">
        <x:v>75 randomized but only 70 analyzed; preserve 35/35 outcome denominators. The stored 6-h CRBD endpoint does not exist in the source</x:v>
      </x:c>
      <x:c r="AJ182" s="18" t="str">
        <x:v>CRBD incidence table</x:v>
      </x:c>
      <x:c r="AK182" s="18" t="str">
        <x:v>https://drive.google.com/file/d/1guriAcqNbJNXpfd_UjYwevULLVSeiHXS/view?usp=drivesdk</x:v>
      </x:c>
      <x:c r="AL182" s="18" t="str">
        <x:v>SOURCE-VERIFIED / ATTRITION QC</x:v>
      </x:c>
      <x:c r="AM182" s="18" t="str">
        <x:v>Catheter-related bladder discomfort</x:v>
      </x:c>
      <x:c r="AN182" s="18" t="str">
        <x:v>48 h</x:v>
      </x:c>
      <x:c r="AO182" s="18" t="str">
        <x:v>CONDITIONAL</x:v>
      </x:c>
      <x:c r="AP182" s="18" t="str">
        <x:v>Source-grounded but carries a QC qualification.</x:v>
      </x:c>
      <x:c r="AQ182" s="18" t="str">
        <x:v>No</x:v>
      </x:c>
      <x:c r="AR182" s="18" t="str"/>
      <x:c r="AS182" s="18" t="str">
        <x:v>Binary effect measure (RR preferred per protocol)</x:v>
      </x:c>
      <x:c r="AT182" s="18" t="str">
        <x:v>CRBD incidence</x:v>
      </x:c>
      <x:c r="AU182" s="18" t="str">
        <x:v>24 h</x:v>
      </x:c>
      <x:c r="AV182" s="18" t="str">
        <x:v>High</x:v>
      </x:c>
      <x:c r="AW182" s="18" t="str">
        <x:v>No — selected RoB matches this result</x:v>
      </x:c>
      <x:c r="AX182" s="18" t="str">
        <x:v>Liang 2021</x:v>
      </x:c>
      <x:c r="AY182" s="18" t="str">
        <x:v>Primary eligible contrast</x:v>
      </x:c>
      <x:c r="AZ182" s="18" t="str">
        <x:v>Count this study once per synthesis unless a valid multi-arm method is used.</x:v>
      </x:c>
    </x:row>
    <x:row r="183">
      <x:c r="A183" s="18" t="str">
        <x:v>Liang 2021</x:v>
      </x:c>
      <x:c r="B183" s="18" t="str">
        <x:v>LIANG21_TEAS_vs_CTRL_OPIOID24</x:v>
      </x:c>
      <x:c r="C183" s="18" t="str">
        <x:v>Preoperative TEAS</x:v>
      </x:c>
      <x:c r="D183" s="18" t="str">
        <x:v>Control/no stimulation</x:v>
      </x:c>
      <x:c r="E183" s="18" t="str">
        <x:v>Opioid consumption</x:v>
      </x:c>
      <x:c r="F183" s="18" t="str">
        <x:v>Exact cumulative postoperative opioid consumption</x:v>
      </x:c>
      <x:c r="G183" s="18" t="str">
        <x:v>0-24 h</x:v>
      </x:c>
      <x:c r="H183" s="18" t="str">
        <x:v>Not reported</x:v>
      </x:c>
      <x:c r="I183" s="18" t="n">
        <x:v>38</x:v>
      </x:c>
      <x:c r="J183" s="18" t="n">
        <x:v>37</x:v>
      </x:c>
      <x:c r="K183" s="18" t="n">
        <x:v>35</x:v>
      </x:c>
      <x:c r="L183" s="18" t="n">
        <x:v>35</x:v>
      </x:c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 t="str">
        <x:v>mg/µg</x:v>
      </x:c>
      <x:c r="Z183" s="18"/>
      <x:c r="AA183" s="18" t="str">
        <x:v>No</x:v>
      </x:c>
      <x:c r="AB183" s="18" t="str">
        <x:v>No</x:v>
      </x:c>
      <x:c r="AC183" s="18"/>
      <x:c r="AD183" s="18"/>
      <x:c r="AE183" s="18" t="str">
        <x:v>No</x:v>
      </x:c>
      <x:c r="AF183" s="18" t="str">
        <x:v>No</x:v>
      </x:c>
      <x:c r="AG183" s="18" t="str">
        <x:v>Not eligible for continuous 24-h opioid/MME meta-analysis</x:v>
      </x:c>
      <x:c r="AH183" s="18" t="str">
        <x:v>No</x:v>
      </x:c>
      <x:c r="AI183" s="18" t="str">
        <x:v>The source trial focuses on CRBD; no source-grounded exact cumulative 24-h opioid endpoint is available</x:v>
      </x:c>
      <x:c r="AJ183" s="18" t="str">
        <x:v>Exact 24-h opioid endpoint absent</x:v>
      </x:c>
      <x:c r="AK183" s="18" t="str">
        <x:v>https://drive.google.com/file/d/1guriAcqNbJNXpfd_UjYwevULLVSeiHXS/view?usp=drivesdk</x:v>
      </x:c>
      <x:c r="AL183" s="18" t="str">
        <x:v>MISSING / NOT REPORTED</x:v>
      </x:c>
      <x:c r="AM183" s="18" t="str">
        <x:v>Postoperative opioid consumption</x:v>
      </x:c>
      <x:c r="AN183" s="18" t="str">
        <x:v>Exact/explicit 24 h</x:v>
      </x:c>
      <x:c r="AO183" s="18" t="str">
        <x:v>EXCLUDE — DATA UNAVAILABLE</x:v>
      </x:c>
      <x:c r="AP183" s="18" t="str">
        <x:v>The source does not provide a defensible quantitative value for this analysis.</x:v>
      </x:c>
      <x:c r="AQ183" s="18" t="str">
        <x:v>No</x:v>
      </x:c>
      <x:c r="AR183" s="18" t="str"/>
      <x:c r="AS183" s="18" t="str">
        <x:v>None</x:v>
      </x:c>
      <x:c r="AT183" s="18" t="str">
        <x:v>CRBD incidence</x:v>
      </x:c>
      <x:c r="AU183" s="18" t="str">
        <x:v>24 h</x:v>
      </x:c>
      <x:c r="AV183" s="18" t="str">
        <x:v>High</x:v>
      </x:c>
      <x:c r="AW183" s="18" t="str">
        <x:v>Yes — selected RoB is for a different result/timepoint</x:v>
      </x:c>
      <x:c r="AX183" s="18" t="str">
        <x:v>Liang 2021</x:v>
      </x:c>
      <x:c r="AY183" s="18" t="str">
        <x:v>Primary eligible contrast</x:v>
      </x:c>
      <x:c r="AZ183" s="18" t="str">
        <x:v>Count this study once per synthesis unless a valid multi-arm method is used.</x:v>
      </x:c>
    </x:row>
    <x:row r="184">
      <x:c r="A184" s="18" t="str">
        <x:v>Lee 2011</x:v>
      </x:c>
      <x:c r="B184" s="18" t="str">
        <x:v>LEE11_LOW_vs_SHAM_MORPH24</x:v>
      </x:c>
      <x:c r="C184" s="18" t="str">
        <x:v>Low-frequency dense-sparse SSP</x:v>
      </x:c>
      <x:c r="D184" s="18" t="str">
        <x:v>Sham SSP</x:v>
      </x:c>
      <x:c r="E184" s="18" t="str">
        <x:v>Opioid consumption</x:v>
      </x:c>
      <x:c r="F184" s="18" t="str">
        <x:v>Cumulative IV PCA morphine delivered</x:v>
      </x:c>
      <x:c r="G184" s="18" t="str">
        <x:v>First 24 postoperative hours</x:v>
      </x:c>
      <x:c r="H184" s="18" t="str">
        <x:v>Mean/SD</x:v>
      </x:c>
      <x:c r="I184" s="18" t="n">
        <x:v>12</x:v>
      </x:c>
      <x:c r="J184" s="18" t="n">
        <x:v>12</x:v>
      </x:c>
      <x:c r="K184" s="18" t="n">
        <x:v>10</x:v>
      </x:c>
      <x:c r="L184" s="18" t="n">
        <x:v>12</x:v>
      </x:c>
      <x:c r="M184" s="18" t="n">
        <x:v>29.29</x:v>
      </x:c>
      <x:c r="N184" s="18" t="n">
        <x:v>8.89</x:v>
      </x:c>
      <x:c r="O184" s="18"/>
      <x:c r="P184" s="18"/>
      <x:c r="Q184" s="18"/>
      <x:c r="R184" s="18"/>
      <x:c r="S184" s="18" t="n">
        <x:v>34.2</x:v>
      </x:c>
      <x:c r="T184" s="18" t="n">
        <x:v>6.4</x:v>
      </x:c>
      <x:c r="U184" s="18"/>
      <x:c r="V184" s="18"/>
      <x:c r="W184" s="18"/>
      <x:c r="X184" s="18"/>
      <x:c r="Y184" s="18" t="str">
        <x:v>mg IV morphine</x:v>
      </x:c>
      <x:c r="Z184" s="18" t="str">
        <x:v>Pairwise significance not clearly reported</x:v>
      </x:c>
      <x:c r="AA184" s="18" t="str">
        <x:v>Yes</x:v>
      </x:c>
      <x:c r="AB184" s="18" t="str">
        <x:v>No</x:v>
      </x:c>
      <x:c r="AC184" s="18" t="str">
        <x:v>MD</x:v>
      </x:c>
      <x:c r="AD184" s="18" t="n">
        <x:v>-4.910000000000004</x:v>
      </x:c>
      <x:c r="AE184" s="18" t="str">
        <x:v>Yes</x:v>
      </x:c>
      <x:c r="AF184" s="18" t="str">
        <x:v>Yes</x:v>
      </x:c>
      <x:c r="AG184" s="18" t="str">
        <x:v>Eligible for 24-h opioid analysis; shared sham comparator requires multi-arm handling</x:v>
      </x:c>
      <x:c r="AH184" s="18" t="str">
        <x:v>Yes</x:v>
      </x:c>
      <x:c r="AI184" s="18" t="str">
        <x:v>Two of 12 low-frequency participants discontinued because they could not complete VAS; publication analyzed 47/49 with no ITT</x:v>
      </x:c>
      <x:c r="AJ184" s="18" t="str">
        <x:v>Table 8 / total morphine delivered</x:v>
      </x:c>
      <x:c r="AK184" s="18" t="str">
        <x:v>https://drive.google.com/file/d/1kQDSBtx3OpFOsim5oUMwhpfHOqaMy8Q9/view?usp=drivesdk</x:v>
      </x:c>
      <x:c r="AL184" s="18" t="str">
        <x:v>SOURCE-VERIFIED / MULTI-ARM + ATTRITION QC</x:v>
      </x:c>
      <x:c r="AM184" s="18" t="str">
        <x:v>PCA demand/proxy</x:v>
      </x:c>
      <x:c r="AN184" s="18" t="str">
        <x:v>Exact/explicit 24 h</x:v>
      </x:c>
      <x:c r="AO184" s="18" t="str">
        <x:v>SECONDARY / PROXY ONLY</x:v>
      </x:c>
      <x:c r="AP184" s="18" t="str">
        <x:v>PCA presses, attempts, deliveries, or solution volume are not equivalent to opioid dose unless the pump prescription permits exact reconstruction.</x:v>
      </x:c>
      <x:c r="AQ184" s="18" t="str">
        <x:v>No</x:v>
      </x:c>
      <x:c r="AR184" s="18" t="str"/>
      <x:c r="AS184" s="18" t="str">
        <x:v>None</x:v>
      </x:c>
      <x:c r="AT184" s="18" t="str">
        <x:v>Cumulative IV PCA morphine delivered</x:v>
      </x:c>
      <x:c r="AU184" s="18" t="str">
        <x:v>First 24 postoperative hours</x:v>
      </x:c>
      <x:c r="AV184" s="18" t="str">
        <x:v>Some concerns</x:v>
      </x:c>
      <x:c r="AW184" s="18" t="str">
        <x:v>No — selected RoB matches this result</x:v>
      </x:c>
      <x:c r="AX184" s="18" t="str">
        <x:v>Lee 2011</x:v>
      </x:c>
      <x:c r="AY184" s="18" t="str">
        <x:v>Shared-control / multi-arm contrast</x:v>
      </x:c>
      <x:c r="AZ184" s="18" t="str">
        <x:v>Shared comparator present; avoid double-counting controls.</x:v>
      </x:c>
    </x:row>
    <x:row r="185">
      <x:c r="A185" s="18" t="str">
        <x:v>Lee 2011</x:v>
      </x:c>
      <x:c r="B185" s="18" t="str">
        <x:v>LEE11_HIGH_vs_SHAM_MORPH24</x:v>
      </x:c>
      <x:c r="C185" s="18" t="str">
        <x:v>100-Hz SSP</x:v>
      </x:c>
      <x:c r="D185" s="18" t="str">
        <x:v>Sham SSP</x:v>
      </x:c>
      <x:c r="E185" s="18" t="str">
        <x:v>Opioid consumption</x:v>
      </x:c>
      <x:c r="F185" s="18" t="str">
        <x:v>Cumulative IV PCA morphine delivered</x:v>
      </x:c>
      <x:c r="G185" s="18" t="str">
        <x:v>First 24 postoperative hours</x:v>
      </x:c>
      <x:c r="H185" s="18" t="str">
        <x:v>Mean/SD</x:v>
      </x:c>
      <x:c r="I185" s="18" t="n">
        <x:v>12</x:v>
      </x:c>
      <x:c r="J185" s="18" t="n">
        <x:v>12</x:v>
      </x:c>
      <x:c r="K185" s="18" t="n">
        <x:v>12</x:v>
      </x:c>
      <x:c r="L185" s="18" t="n">
        <x:v>12</x:v>
      </x:c>
      <x:c r="M185" s="18" t="n">
        <x:v>31.14</x:v>
      </x:c>
      <x:c r="N185" s="18" t="n">
        <x:v>8.15</x:v>
      </x:c>
      <x:c r="O185" s="18"/>
      <x:c r="P185" s="18"/>
      <x:c r="Q185" s="18"/>
      <x:c r="R185" s="18"/>
      <x:c r="S185" s="18" t="n">
        <x:v>34.2</x:v>
      </x:c>
      <x:c r="T185" s="18" t="n">
        <x:v>6.4</x:v>
      </x:c>
      <x:c r="U185" s="18"/>
      <x:c r="V185" s="18"/>
      <x:c r="W185" s="18"/>
      <x:c r="X185" s="18"/>
      <x:c r="Y185" s="18" t="str">
        <x:v>mg IV morphine</x:v>
      </x:c>
      <x:c r="Z185" s="18" t="str">
        <x:v>Pairwise significance not clearly reported</x:v>
      </x:c>
      <x:c r="AA185" s="18" t="str">
        <x:v>Yes</x:v>
      </x:c>
      <x:c r="AB185" s="18" t="str">
        <x:v>No</x:v>
      </x:c>
      <x:c r="AC185" s="18" t="str">
        <x:v>MD</x:v>
      </x:c>
      <x:c r="AD185" s="18" t="n">
        <x:v>-3.0600000000000023</x:v>
      </x:c>
      <x:c r="AE185" s="18" t="str">
        <x:v>Yes</x:v>
      </x:c>
      <x:c r="AF185" s="18" t="str">
        <x:v>Yes</x:v>
      </x:c>
      <x:c r="AG185" s="18" t="str">
        <x:v>Eligible for 24-h opioid analysis; shared sham comparator requires multi-arm handling</x:v>
      </x:c>
      <x:c r="AH185" s="18" t="str">
        <x:v>Yes</x:v>
      </x:c>
      <x:c r="AI185" s="18" t="str">
        <x:v>Four-arm RCT; do not reconstruct total dose by summing interval means</x:v>
      </x:c>
      <x:c r="AJ185" s="18" t="str">
        <x:v>Table 8 / total morphine delivered</x:v>
      </x:c>
      <x:c r="AK185" s="18" t="str">
        <x:v>https://drive.google.com/file/d/1kQDSBtx3OpFOsim5oUMwhpfHOqaMy8Q9/view?usp=drivesdk</x:v>
      </x:c>
      <x:c r="AL185" s="18" t="str">
        <x:v>SOURCE-VERIFIED</x:v>
      </x:c>
      <x:c r="AM185" s="18" t="str">
        <x:v>PCA demand/proxy</x:v>
      </x:c>
      <x:c r="AN185" s="18" t="str">
        <x:v>Exact/explicit 24 h</x:v>
      </x:c>
      <x:c r="AO185" s="18" t="str">
        <x:v>SECONDARY / PROXY ONLY</x:v>
      </x:c>
      <x:c r="AP185" s="18" t="str">
        <x:v>PCA presses, attempts, deliveries, or solution volume are not equivalent to opioid dose unless the pump prescription permits exact reconstruction.</x:v>
      </x:c>
      <x:c r="AQ185" s="18" t="str">
        <x:v>No</x:v>
      </x:c>
      <x:c r="AR185" s="18" t="str"/>
      <x:c r="AS185" s="18" t="str">
        <x:v>None</x:v>
      </x:c>
      <x:c r="AT185" s="18" t="str">
        <x:v>Cumulative IV PCA morphine delivered</x:v>
      </x:c>
      <x:c r="AU185" s="18" t="str">
        <x:v>First 24 postoperative hours</x:v>
      </x:c>
      <x:c r="AV185" s="18" t="str">
        <x:v>Some concerns</x:v>
      </x:c>
      <x:c r="AW185" s="18" t="str">
        <x:v>No — selected RoB matches this result</x:v>
      </x:c>
      <x:c r="AX185" s="18" t="str">
        <x:v>Lee 2011</x:v>
      </x:c>
      <x:c r="AY185" s="18" t="str">
        <x:v>Shared-control / multi-arm contrast</x:v>
      </x:c>
      <x:c r="AZ185" s="18" t="str">
        <x:v>Shared comparator present; avoid double-counting controls.</x:v>
      </x:c>
    </x:row>
    <x:row r="186">
      <x:c r="A186" s="18" t="str">
        <x:v>Lee 2011</x:v>
      </x:c>
      <x:c r="B186" s="18" t="str">
        <x:v>LEE11_LOW_vs_CONTROL_MORPH24</x:v>
      </x:c>
      <x:c r="C186" s="18" t="str">
        <x:v>Low-frequency dense-sparse SSP</x:v>
      </x:c>
      <x:c r="D186" s="18" t="str">
        <x:v>Untreated control</x:v>
      </x:c>
      <x:c r="E186" s="18" t="str">
        <x:v>Opioid consumption</x:v>
      </x:c>
      <x:c r="F186" s="18" t="str">
        <x:v>Cumulative IV PCA morphine delivered</x:v>
      </x:c>
      <x:c r="G186" s="18" t="str">
        <x:v>First 24 postoperative hours</x:v>
      </x:c>
      <x:c r="H186" s="18" t="str">
        <x:v>Mean/SD</x:v>
      </x:c>
      <x:c r="I186" s="18" t="n">
        <x:v>12</x:v>
      </x:c>
      <x:c r="J186" s="18" t="n">
        <x:v>13</x:v>
      </x:c>
      <x:c r="K186" s="18" t="n">
        <x:v>10</x:v>
      </x:c>
      <x:c r="L186" s="18" t="n">
        <x:v>13</x:v>
      </x:c>
      <x:c r="M186" s="18" t="n">
        <x:v>29.29</x:v>
      </x:c>
      <x:c r="N186" s="18" t="n">
        <x:v>8.89</x:v>
      </x:c>
      <x:c r="O186" s="18"/>
      <x:c r="P186" s="18"/>
      <x:c r="Q186" s="18"/>
      <x:c r="R186" s="18"/>
      <x:c r="S186" s="18" t="n">
        <x:v>38.63</x:v>
      </x:c>
      <x:c r="T186" s="18" t="n">
        <x:v>11.08</x:v>
      </x:c>
      <x:c r="U186" s="18"/>
      <x:c r="V186" s="18"/>
      <x:c r="W186" s="18"/>
      <x:c r="X186" s="18"/>
      <x:c r="Y186" s="18" t="str">
        <x:v>mg IV morphine</x:v>
      </x:c>
      <x:c r="Z186" s="18" t="str">
        <x:v>Authors report significant post-hoc difference</x:v>
      </x:c>
      <x:c r="AA186" s="18" t="str">
        <x:v>Yes</x:v>
      </x:c>
      <x:c r="AB186" s="18" t="str">
        <x:v>No</x:v>
      </x:c>
      <x:c r="AC186" s="18" t="str">
        <x:v>MD</x:v>
      </x:c>
      <x:c r="AD186" s="18" t="n">
        <x:v>-9.340000000000003</x:v>
      </x:c>
      <x:c r="AE186" s="18" t="str">
        <x:v>Yes</x:v>
      </x:c>
      <x:c r="AF186" s="18" t="str">
        <x:v>Yes</x:v>
      </x:c>
      <x:c r="AG186" s="18" t="str">
        <x:v>Eligible for active-vs-usual-care 24-h opioid analysis</x:v>
      </x:c>
      <x:c r="AH186" s="18" t="str">
        <x:v>Yes</x:v>
      </x:c>
      <x:c r="AI186" s="18" t="str">
        <x:v>This is not the sham-controlled contrast; keep separate from active-vs-sham synthesis</x:v>
      </x:c>
      <x:c r="AJ186" s="18" t="str">
        <x:v>Table 8 / total morphine delivered</x:v>
      </x:c>
      <x:c r="AK186" s="18" t="str">
        <x:v>https://drive.google.com/file/d/1kQDSBtx3OpFOsim5oUMwhpfHOqaMy8Q9/view?usp=drivesdk</x:v>
      </x:c>
      <x:c r="AL186" s="18" t="str">
        <x:v>SOURCE-VERIFIED</x:v>
      </x:c>
      <x:c r="AM186" s="18" t="str">
        <x:v>PCA demand/proxy</x:v>
      </x:c>
      <x:c r="AN186" s="18" t="str">
        <x:v>Exact/explicit 24 h</x:v>
      </x:c>
      <x:c r="AO186" s="18" t="str">
        <x:v>SECONDARY / PROXY ONLY</x:v>
      </x:c>
      <x:c r="AP186" s="18" t="str">
        <x:v>PCA presses, attempts, deliveries, or solution volume are not equivalent to opioid dose unless the pump prescription permits exact reconstruction.</x:v>
      </x:c>
      <x:c r="AQ186" s="18" t="str">
        <x:v>No</x:v>
      </x:c>
      <x:c r="AR186" s="18" t="str"/>
      <x:c r="AS186" s="18" t="str">
        <x:v>None</x:v>
      </x:c>
      <x:c r="AT186" s="18" t="str">
        <x:v>Cumulative IV PCA morphine delivered</x:v>
      </x:c>
      <x:c r="AU186" s="18" t="str">
        <x:v>First 24 postoperative hours</x:v>
      </x:c>
      <x:c r="AV186" s="18" t="str">
        <x:v>Some concerns</x:v>
      </x:c>
      <x:c r="AW186" s="18" t="str">
        <x:v>No — selected RoB matches this result</x:v>
      </x:c>
      <x:c r="AX186" s="18" t="str">
        <x:v>Lee 2011</x:v>
      </x:c>
      <x:c r="AY186" s="18" t="str">
        <x:v>Shared-control / multi-arm contrast</x:v>
      </x:c>
      <x:c r="AZ186" s="18" t="str">
        <x:v>Shared comparator present; avoid double-counting controls.</x:v>
      </x:c>
    </x:row>
    <x:row r="187">
      <x:c r="A187" s="18" t="str">
        <x:v>Lee 2011</x:v>
      </x:c>
      <x:c r="B187" s="18" t="str">
        <x:v>LEE11_LOW_vs_SHAM_VAS24</x:v>
      </x:c>
      <x:c r="C187" s="18" t="str">
        <x:v>Low-frequency dense-sparse SSP</x:v>
      </x:c>
      <x:c r="D187" s="18" t="str">
        <x:v>Sham SSP</x:v>
      </x:c>
      <x:c r="E187" s="18" t="str">
        <x:v>Pain</x:v>
      </x:c>
      <x:c r="F187" s="18" t="str">
        <x:v>VAS pain intensity</x:v>
      </x:c>
      <x:c r="G187" s="18" t="str">
        <x:v>24 h</x:v>
      </x:c>
      <x:c r="H187" s="18" t="str">
        <x:v>Mean/SD</x:v>
      </x:c>
      <x:c r="I187" s="18" t="n">
        <x:v>12</x:v>
      </x:c>
      <x:c r="J187" s="18" t="n">
        <x:v>12</x:v>
      </x:c>
      <x:c r="K187" s="18" t="n">
        <x:v>10</x:v>
      </x:c>
      <x:c r="L187" s="18" t="n">
        <x:v>12</x:v>
      </x:c>
      <x:c r="M187" s="18" t="n">
        <x:v>1.21</x:v>
      </x:c>
      <x:c r="N187" s="18" t="n">
        <x:v>1.31</x:v>
      </x:c>
      <x:c r="O187" s="18"/>
      <x:c r="P187" s="18"/>
      <x:c r="Q187" s="18"/>
      <x:c r="R187" s="18"/>
      <x:c r="S187" s="18" t="n">
        <x:v>2.54</x:v>
      </x:c>
      <x:c r="T187" s="18" t="n">
        <x:v>0.86</x:v>
      </x:c>
      <x:c r="U187" s="18"/>
      <x:c r="V187" s="18"/>
      <x:c r="W187" s="18"/>
      <x:c r="X187" s="18"/>
      <x:c r="Y187" s="18" t="str">
        <x:v>VAS 0-10</x:v>
      </x:c>
      <x:c r="Z187" s="18" t="str">
        <x:v>Group 4 significantly different from Groups 1-3</x:v>
      </x:c>
      <x:c r="AA187" s="18" t="str">
        <x:v>Yes</x:v>
      </x:c>
      <x:c r="AB187" s="18" t="str">
        <x:v>No</x:v>
      </x:c>
      <x:c r="AC187" s="18" t="str">
        <x:v>MD</x:v>
      </x:c>
      <x:c r="AD187" s="18" t="n">
        <x:v>-1.33</x:v>
      </x:c>
      <x:c r="AE187" s="18" t="str">
        <x:v>No</x:v>
      </x:c>
      <x:c r="AF187" s="18" t="str">
        <x:v>No</x:v>
      </x:c>
      <x:c r="AG187" s="18" t="str">
        <x:v>Eligible for 24-h pain analysis with shared-control adjustment</x:v>
      </x:c>
      <x:c r="AH187" s="18" t="str">
        <x:v>Yes</x:v>
      </x:c>
      <x:c r="AI187" s="18" t="str">
        <x:v>Rest vs movement not reported; two low-frequency participants excluded because unable to complete VAS</x:v>
      </x:c>
      <x:c r="AJ187" s="18" t="str">
        <x:v>24-h VAS table</x:v>
      </x:c>
      <x:c r="AK187" s="18" t="str">
        <x:v>https://drive.google.com/file/d/1kQDSBtx3OpFOsim5oUMwhpfHOqaMy8Q9/view?usp=drivesdk</x:v>
      </x:c>
      <x:c r="AL187" s="18" t="str">
        <x:v>SOURCE-VERIFIED / ATTRITION QC</x:v>
      </x:c>
      <x:c r="AM187" s="18" t="str">
        <x:v>Pain</x:v>
      </x:c>
      <x:c r="AN187" s="18" t="str">
        <x:v>Exact/explicit 24 h</x:v>
      </x:c>
      <x:c r="AO187" s="18" t="str">
        <x:v>INCLUDE</x:v>
      </x:c>
      <x:c r="AP187" s="18" t="str">
        <x:v>Explicit 24-h pain endpoint with quantitative source data.</x:v>
      </x:c>
      <x:c r="AQ187" s="18" t="str">
        <x:v>Yes</x:v>
      </x:c>
      <x:c r="AR187" s="18" t="str"/>
      <x:c r="AS187" s="18" t="str">
        <x:v>None</x:v>
      </x:c>
      <x:c r="AT187" s="18" t="str">
        <x:v>Cumulative IV PCA morphine delivered</x:v>
      </x:c>
      <x:c r="AU187" s="18" t="str">
        <x:v>First 24 postoperative hours</x:v>
      </x:c>
      <x:c r="AV187" s="18" t="str">
        <x:v>Some concerns</x:v>
      </x:c>
      <x:c r="AW187" s="18" t="str">
        <x:v>Yes — selected RoB is for a different result/timepoint</x:v>
      </x:c>
      <x:c r="AX187" s="18" t="str">
        <x:v>Lee 2011</x:v>
      </x:c>
      <x:c r="AY187" s="18" t="str">
        <x:v>Shared-control / multi-arm contrast</x:v>
      </x:c>
      <x:c r="AZ187" s="18" t="str">
        <x:v>Shared comparator present; avoid double-counting controls.</x:v>
      </x:c>
    </x:row>
    <x:row r="188">
      <x:c r="A188" s="18" t="str">
        <x:v>Jin 2023</x:v>
      </x:c>
      <x:c r="B188" s="18" t="str">
        <x:v>JIN23_2HZ_vs_SHAM_NAPC48</x:v>
      </x:c>
      <x:c r="C188" s="18" t="str">
        <x:v>2-Hz postoperative EA</x:v>
      </x:c>
      <x:c r="D188" s="18" t="str">
        <x:v>Sham nonpenetrating EA/no current</x:v>
      </x:c>
      <x:c r="E188" s="18" t="str">
        <x:v>Opioid demand</x:v>
      </x:c>
      <x:c r="F188" s="18" t="str">
        <x:v>Cumulative analgesic pump compressions</x:v>
      </x:c>
      <x:c r="G188" s="18" t="str">
        <x:v>48 h</x:v>
      </x:c>
      <x:c r="H188" s="18" t="str">
        <x:v>Median/IQR</x:v>
      </x:c>
      <x:c r="I188" s="18" t="n">
        <x:v>58</x:v>
      </x:c>
      <x:c r="J188" s="18" t="n">
        <x:v>58</x:v>
      </x:c>
      <x:c r="K188" s="18" t="n">
        <x:v>53</x:v>
      </x:c>
      <x:c r="L188" s="18" t="n">
        <x:v>52</x:v>
      </x:c>
      <x:c r="M188" s="18"/>
      <x:c r="N188" s="18"/>
      <x:c r="O188" s="18" t="n">
        <x:v>1</x:v>
      </x:c>
      <x:c r="P188" s="18" t="n">
        <x:v>0</x:v>
      </x:c>
      <x:c r="Q188" s="18" t="n">
        <x:v>3</x:v>
      </x:c>
      <x:c r="R188" s="18"/>
      <x:c r="S188" s="18"/>
      <x:c r="T188" s="18"/>
      <x:c r="U188" s="18" t="n">
        <x:v>9</x:v>
      </x:c>
      <x:c r="V188" s="18" t="n">
        <x:v>4.3</x:v>
      </x:c>
      <x:c r="W188" s="18" t="n">
        <x:v>12</x:v>
      </x:c>
      <x:c r="X188" s="18"/>
      <x:c r="Y188" s="18" t="str">
        <x:v>pump compressions</x:v>
      </x:c>
      <x:c r="Z188" s="18" t="str">
        <x:v>&lt;0.001 vs sham</x:v>
      </x:c>
      <x:c r="AA188" s="18" t="str">
        <x:v>Yes</x:v>
      </x:c>
      <x:c r="AB188" s="18" t="str">
        <x:v>No</x:v>
      </x:c>
      <x:c r="AC188" s="18"/>
      <x:c r="AD188" s="18"/>
      <x:c r="AE188" s="18" t="str">
        <x:v>No</x:v>
      </x:c>
      <x:c r="AF188" s="18" t="str">
        <x:v>No</x:v>
      </x:c>
      <x:c r="AG188" s="18" t="str">
        <x:v>Eligible for 48-h PCA-demand analysis; shared sham comparator requires multi-arm handling</x:v>
      </x:c>
      <x:c r="AH188" s="18" t="str">
        <x:v>Yes</x:v>
      </x:c>
      <x:c r="AI188" s="18" t="str">
        <x:v>174 randomized but outcome tables use only 158 completers; dropout reasons include 'unsatisfactory effects' despite ITT terminology</x:v>
      </x:c>
      <x:c r="AJ188" s="18" t="str">
        <x:v>Primary outcome / Table 3</x:v>
      </x:c>
      <x:c r="AK188" s="18" t="str">
        <x:v>https://drive.google.com/file/d/1fkNAFra0gZ9jkWkzp_S0TWy-5zVrXCtj/view?usp=drivesdk</x:v>
      </x:c>
      <x:c r="AL188" s="18" t="str">
        <x:v>SOURCE-VERIFIED / COMPLETE-CASE + MULTI-ARM QC</x:v>
      </x:c>
      <x:c r="AM188" s="18" t="str">
        <x:v>PCA demand/proxy</x:v>
      </x:c>
      <x:c r="AN188" s="18" t="str">
        <x:v>48 h</x:v>
      </x:c>
      <x:c r="AO188" s="18" t="str">
        <x:v>SECONDARY / PROXY ONLY</x:v>
      </x:c>
      <x:c r="AP188" s="18" t="str">
        <x:v>PCA presses, attempts, deliveries, or solution volume are not equivalent to opioid dose unless the pump prescription permits exact reconstruction.</x:v>
      </x:c>
      <x:c r="AQ188" s="18" t="str">
        <x:v>No</x:v>
      </x:c>
      <x:c r="AR188" s="18" t="str"/>
      <x:c r="AS188" s="18" t="str">
        <x:v>Use median/IQR-compatible meta-analysis method; do not relabel as mean/SD</x:v>
      </x:c>
      <x:c r="AT188" s="18" t="str">
        <x:v>Cumulative analgesic pump compressions</x:v>
      </x:c>
      <x:c r="AU188" s="18" t="str">
        <x:v>48 h</x:v>
      </x:c>
      <x:c r="AV188" s="18" t="str">
        <x:v>High</x:v>
      </x:c>
      <x:c r="AW188" s="18" t="str">
        <x:v>No — selected RoB matches this result</x:v>
      </x:c>
      <x:c r="AX188" s="18" t="str">
        <x:v>Jin 2023</x:v>
      </x:c>
      <x:c r="AY188" s="18" t="str">
        <x:v>Frequency-arm contrast</x:v>
      </x:c>
      <x:c r="AZ188" s="18" t="str">
        <x:v>Three-arm trial with shared sham; use multi-arm handling.</x:v>
      </x:c>
    </x:row>
    <x:row r="189">
      <x:c r="A189" s="18" t="str">
        <x:v>Jin 2023</x:v>
      </x:c>
      <x:c r="B189" s="18" t="str">
        <x:v>JIN23_20100_vs_SHAM_NAPC48</x:v>
      </x:c>
      <x:c r="C189" s="18" t="str">
        <x:v>20/100-Hz postoperative EA</x:v>
      </x:c>
      <x:c r="D189" s="18" t="str">
        <x:v>Sham nonpenetrating EA/no current</x:v>
      </x:c>
      <x:c r="E189" s="18" t="str">
        <x:v>Opioid demand</x:v>
      </x:c>
      <x:c r="F189" s="18" t="str">
        <x:v>Cumulative analgesic pump compressions</x:v>
      </x:c>
      <x:c r="G189" s="18" t="str">
        <x:v>48 h</x:v>
      </x:c>
      <x:c r="H189" s="18" t="str">
        <x:v>Median/IQR</x:v>
      </x:c>
      <x:c r="I189" s="18" t="n">
        <x:v>58</x:v>
      </x:c>
      <x:c r="J189" s="18" t="n">
        <x:v>58</x:v>
      </x:c>
      <x:c r="K189" s="18" t="n">
        <x:v>53</x:v>
      </x:c>
      <x:c r="L189" s="18" t="n">
        <x:v>52</x:v>
      </x:c>
      <x:c r="M189" s="18"/>
      <x:c r="N189" s="18"/>
      <x:c r="O189" s="18" t="n">
        <x:v>1</x:v>
      </x:c>
      <x:c r="P189" s="18" t="n">
        <x:v>0</x:v>
      </x:c>
      <x:c r="Q189" s="18" t="n">
        <x:v>4.5</x:v>
      </x:c>
      <x:c r="R189" s="18"/>
      <x:c r="S189" s="18"/>
      <x:c r="T189" s="18"/>
      <x:c r="U189" s="18" t="n">
        <x:v>9</x:v>
      </x:c>
      <x:c r="V189" s="18" t="n">
        <x:v>4.3</x:v>
      </x:c>
      <x:c r="W189" s="18" t="n">
        <x:v>12</x:v>
      </x:c>
      <x:c r="X189" s="18"/>
      <x:c r="Y189" s="18" t="str">
        <x:v>pump compressions</x:v>
      </x:c>
      <x:c r="Z189" s="18" t="str">
        <x:v>&lt;0.001 vs sham</x:v>
      </x:c>
      <x:c r="AA189" s="18" t="str">
        <x:v>Yes</x:v>
      </x:c>
      <x:c r="AB189" s="18" t="str">
        <x:v>No</x:v>
      </x:c>
      <x:c r="AC189" s="18"/>
      <x:c r="AD189" s="18"/>
      <x:c r="AE189" s="18" t="str">
        <x:v>No</x:v>
      </x:c>
      <x:c r="AF189" s="18" t="str">
        <x:v>No</x:v>
      </x:c>
      <x:c r="AG189" s="18" t="str">
        <x:v>Eligible for 48-h PCA-demand analysis; shared sham comparator requires multi-arm handling</x:v>
      </x:c>
      <x:c r="AH189" s="18" t="str">
        <x:v>Yes</x:v>
      </x:c>
      <x:c r="AI189" s="18" t="str">
        <x:v>174 randomized but outcome tables use only 158 completers; dropout reasons include 'unsatisfactory effects' despite ITT terminology</x:v>
      </x:c>
      <x:c r="AJ189" s="18" t="str">
        <x:v>Primary outcome / Table 3</x:v>
      </x:c>
      <x:c r="AK189" s="18" t="str">
        <x:v>https://drive.google.com/file/d/1fkNAFra0gZ9jkWkzp_S0TWy-5zVrXCtj/view?usp=drivesdk</x:v>
      </x:c>
      <x:c r="AL189" s="18" t="str">
        <x:v>SOURCE-VERIFIED / COMPLETE-CASE + MULTI-ARM QC</x:v>
      </x:c>
      <x:c r="AM189" s="18" t="str">
        <x:v>PCA demand/proxy</x:v>
      </x:c>
      <x:c r="AN189" s="18" t="str">
        <x:v>48 h</x:v>
      </x:c>
      <x:c r="AO189" s="18" t="str">
        <x:v>SECONDARY / PROXY ONLY</x:v>
      </x:c>
      <x:c r="AP189" s="18" t="str">
        <x:v>PCA presses, attempts, deliveries, or solution volume are not equivalent to opioid dose unless the pump prescription permits exact reconstruction.</x:v>
      </x:c>
      <x:c r="AQ189" s="18" t="str">
        <x:v>No</x:v>
      </x:c>
      <x:c r="AR189" s="18" t="str"/>
      <x:c r="AS189" s="18" t="str">
        <x:v>Use median/IQR-compatible meta-analysis method; do not relabel as mean/SD</x:v>
      </x:c>
      <x:c r="AT189" s="18" t="str">
        <x:v>Cumulative analgesic pump compressions</x:v>
      </x:c>
      <x:c r="AU189" s="18" t="str">
        <x:v>48 h</x:v>
      </x:c>
      <x:c r="AV189" s="18" t="str">
        <x:v>High</x:v>
      </x:c>
      <x:c r="AW189" s="18" t="str">
        <x:v>No — selected RoB matches this result</x:v>
      </x:c>
      <x:c r="AX189" s="18" t="str">
        <x:v>Jin 2023</x:v>
      </x:c>
      <x:c r="AY189" s="18" t="str">
        <x:v>Frequency-arm contrast</x:v>
      </x:c>
      <x:c r="AZ189" s="18" t="str">
        <x:v>Three-arm trial with shared sham; use multi-arm handling.</x:v>
      </x:c>
    </x:row>
    <x:row r="190">
      <x:c r="A190" s="18" t="str">
        <x:v>Jin 2023</x:v>
      </x:c>
      <x:c r="B190" s="18" t="str">
        <x:v>JIN23_2HZ_vs_SHAM_VOL24</x:v>
      </x:c>
      <x:c r="C190" s="18" t="str">
        <x:v>2-Hz postoperative EA</x:v>
      </x:c>
      <x:c r="D190" s="18" t="str">
        <x:v>Sham nonpenetrating EA/no current</x:v>
      </x:c>
      <x:c r="E190" s="18" t="str">
        <x:v>Opioid consumption</x:v>
      </x:c>
      <x:c r="F190" s="18" t="str">
        <x:v>Published 'fentanyl consumption' / PCIA solution volume</x:v>
      </x:c>
      <x:c r="G190" s="18" t="str">
        <x:v>24 h</x:v>
      </x:c>
      <x:c r="H190" s="18" t="str">
        <x:v>Mean/SD</x:v>
      </x:c>
      <x:c r="I190" s="18" t="n">
        <x:v>58</x:v>
      </x:c>
      <x:c r="J190" s="18" t="n">
        <x:v>58</x:v>
      </x:c>
      <x:c r="K190" s="18" t="n">
        <x:v>53</x:v>
      </x:c>
      <x:c r="L190" s="18" t="n">
        <x:v>52</x:v>
      </x:c>
      <x:c r="M190" s="18" t="n">
        <x:v>39.31</x:v>
      </x:c>
      <x:c r="N190" s="18" t="n">
        <x:v>15.58</x:v>
      </x:c>
      <x:c r="O190" s="18"/>
      <x:c r="P190" s="18"/>
      <x:c r="Q190" s="18"/>
      <x:c r="R190" s="18"/>
      <x:c r="S190" s="18" t="n">
        <x:v>56.54</x:v>
      </x:c>
      <x:c r="T190" s="18" t="n">
        <x:v>12.5</x:v>
      </x:c>
      <x:c r="U190" s="18"/>
      <x:c r="V190" s="18"/>
      <x:c r="W190" s="18"/>
      <x:c r="X190" s="18"/>
      <x:c r="Y190" s="18" t="str">
        <x:v>mL PCIA solution</x:v>
      </x:c>
      <x:c r="Z190" s="18" t="str">
        <x:v>&lt;0.001 overall; pairwise P&lt;0.001 (2 Hz) / 0.001 (20/100 Hz)</x:v>
      </x:c>
      <x:c r="AA190" s="18" t="str">
        <x:v>Yes</x:v>
      </x:c>
      <x:c r="AB190" s="18" t="str">
        <x:v>No</x:v>
      </x:c>
      <x:c r="AC190" s="18" t="str">
        <x:v>MD</x:v>
      </x:c>
      <x:c r="AD190" s="18" t="n">
        <x:v>-17.229999999999997</x:v>
      </x:c>
      <x:c r="AE190" s="18" t="str">
        <x:v>Yes</x:v>
      </x:c>
      <x:c r="AF190" s="18" t="str">
        <x:v>No</x:v>
      </x:c>
      <x:c r="AG190" s="18" t="str">
        <x:v>Raw 24-h solution-volume endpoint is usable; not eligible as fentanyl mass/MME until concentration is obtained</x:v>
      </x:c>
      <x:c r="AH190" s="18" t="str">
        <x:v>Yes</x:v>
      </x:c>
      <x:c r="AI190" s="18" t="str">
        <x:v>Main article does not report fentanyl concentration. Do not convert mL to µg/mg/MME. 2-Hz vs 20/100-Hz inferential statistics conflict between table and prose</x:v>
      </x:c>
      <x:c r="AJ190" s="18" t="str">
        <x:v>Table 3 / 24-h 'fentanyl consumption'</x:v>
      </x:c>
      <x:c r="AK190" s="18" t="str">
        <x:v>https://drive.google.com/file/d/1fkNAFra0gZ9jkWkzp_S0TWy-5zVrXCtj/view?usp=drivesdk</x:v>
      </x:c>
      <x:c r="AL190" s="18" t="str">
        <x:v>SOURCE-VERIFIED / CONCENTRATION + MULTIPLICITY QC</x:v>
      </x:c>
      <x:c r="AM190" s="18" t="str">
        <x:v>Postoperative opioid consumption</x:v>
      </x:c>
      <x:c r="AN190" s="18" t="str">
        <x:v>Exact/explicit 24 h</x:v>
      </x:c>
      <x:c r="AO190" s="18" t="str">
        <x:v>CONDITIONAL</x:v>
      </x:c>
      <x:c r="AP190" s="18" t="str">
        <x:v>Source value is valid in its native metric but cannot be converted to the target opioid mass/MME without additional information.</x:v>
      </x:c>
      <x:c r="AQ190" s="18" t="str">
        <x:v>No</x:v>
      </x:c>
      <x:c r="AR190" s="18" t="str"/>
      <x:c r="AS190" s="18" t="str">
        <x:v>Do not convert unless concentration and delivered dose are fully known</x:v>
      </x:c>
      <x:c r="AT190" s="18" t="str">
        <x:v>Cumulative analgesic pump compressions</x:v>
      </x:c>
      <x:c r="AU190" s="18" t="str">
        <x:v>48 h</x:v>
      </x:c>
      <x:c r="AV190" s="18" t="str">
        <x:v>High</x:v>
      </x:c>
      <x:c r="AW190" s="18" t="str">
        <x:v>Yes — selected RoB is for a different result/timepoint</x:v>
      </x:c>
      <x:c r="AX190" s="18" t="str">
        <x:v>Jin 2023</x:v>
      </x:c>
      <x:c r="AY190" s="18" t="str">
        <x:v>Frequency-arm contrast</x:v>
      </x:c>
      <x:c r="AZ190" s="18" t="str">
        <x:v>Three-arm trial with shared sham; use multi-arm handling.</x:v>
      </x:c>
    </x:row>
    <x:row r="191">
      <x:c r="A191" s="18" t="str">
        <x:v>Jin 2023</x:v>
      </x:c>
      <x:c r="B191" s="18" t="str">
        <x:v>JIN23_20100_vs_SHAM_VOL24</x:v>
      </x:c>
      <x:c r="C191" s="18" t="str">
        <x:v>20/100-Hz postoperative EA</x:v>
      </x:c>
      <x:c r="D191" s="18" t="str">
        <x:v>Sham nonpenetrating EA/no current</x:v>
      </x:c>
      <x:c r="E191" s="18" t="str">
        <x:v>Opioid consumption</x:v>
      </x:c>
      <x:c r="F191" s="18" t="str">
        <x:v>Published 'fentanyl consumption' / PCIA solution volume</x:v>
      </x:c>
      <x:c r="G191" s="18" t="str">
        <x:v>24 h</x:v>
      </x:c>
      <x:c r="H191" s="18" t="str">
        <x:v>Mean/SD</x:v>
      </x:c>
      <x:c r="I191" s="18" t="n">
        <x:v>58</x:v>
      </x:c>
      <x:c r="J191" s="18" t="n">
        <x:v>58</x:v>
      </x:c>
      <x:c r="K191" s="18" t="n">
        <x:v>53</x:v>
      </x:c>
      <x:c r="L191" s="18" t="n">
        <x:v>52</x:v>
      </x:c>
      <x:c r="M191" s="18" t="n">
        <x:v>45.72</x:v>
      </x:c>
      <x:c r="N191" s="18" t="n">
        <x:v>16.92</x:v>
      </x:c>
      <x:c r="O191" s="18"/>
      <x:c r="P191" s="18"/>
      <x:c r="Q191" s="18"/>
      <x:c r="R191" s="18"/>
      <x:c r="S191" s="18" t="n">
        <x:v>56.54</x:v>
      </x:c>
      <x:c r="T191" s="18" t="n">
        <x:v>12.5</x:v>
      </x:c>
      <x:c r="U191" s="18"/>
      <x:c r="V191" s="18"/>
      <x:c r="W191" s="18"/>
      <x:c r="X191" s="18"/>
      <x:c r="Y191" s="18" t="str">
        <x:v>mL PCIA solution</x:v>
      </x:c>
      <x:c r="Z191" s="18" t="str">
        <x:v>&lt;0.001 overall; pairwise P&lt;0.001 (2 Hz) / 0.001 (20/100 Hz)</x:v>
      </x:c>
      <x:c r="AA191" s="18" t="str">
        <x:v>Yes</x:v>
      </x:c>
      <x:c r="AB191" s="18" t="str">
        <x:v>No</x:v>
      </x:c>
      <x:c r="AC191" s="18" t="str">
        <x:v>MD</x:v>
      </x:c>
      <x:c r="AD191" s="18" t="n">
        <x:v>-10.82</x:v>
      </x:c>
      <x:c r="AE191" s="18" t="str">
        <x:v>Yes</x:v>
      </x:c>
      <x:c r="AF191" s="18" t="str">
        <x:v>No</x:v>
      </x:c>
      <x:c r="AG191" s="18" t="str">
        <x:v>Raw 24-h solution-volume endpoint is usable; not eligible as fentanyl mass/MME until concentration is obtained</x:v>
      </x:c>
      <x:c r="AH191" s="18" t="str">
        <x:v>Yes</x:v>
      </x:c>
      <x:c r="AI191" s="18" t="str">
        <x:v>Main article does not report fentanyl concentration. Do not convert mL to µg/mg/MME. 2-Hz vs 20/100-Hz inferential statistics conflict between table and prose</x:v>
      </x:c>
      <x:c r="AJ191" s="18" t="str">
        <x:v>Table 3 / 24-h 'fentanyl consumption'</x:v>
      </x:c>
      <x:c r="AK191" s="18" t="str">
        <x:v>https://drive.google.com/file/d/1fkNAFra0gZ9jkWkzp_S0TWy-5zVrXCtj/view?usp=drivesdk</x:v>
      </x:c>
      <x:c r="AL191" s="18" t="str">
        <x:v>SOURCE-VERIFIED / CONCENTRATION + MULTIPLICITY QC</x:v>
      </x:c>
      <x:c r="AM191" s="18" t="str">
        <x:v>Postoperative opioid consumption</x:v>
      </x:c>
      <x:c r="AN191" s="18" t="str">
        <x:v>Exact/explicit 24 h</x:v>
      </x:c>
      <x:c r="AO191" s="18" t="str">
        <x:v>CONDITIONAL</x:v>
      </x:c>
      <x:c r="AP191" s="18" t="str">
        <x:v>Source value is valid in its native metric but cannot be converted to the target opioid mass/MME without additional information.</x:v>
      </x:c>
      <x:c r="AQ191" s="18" t="str">
        <x:v>No</x:v>
      </x:c>
      <x:c r="AR191" s="18" t="str"/>
      <x:c r="AS191" s="18" t="str">
        <x:v>Do not convert unless concentration and delivered dose are fully known</x:v>
      </x:c>
      <x:c r="AT191" s="18" t="str">
        <x:v>Cumulative analgesic pump compressions</x:v>
      </x:c>
      <x:c r="AU191" s="18" t="str">
        <x:v>48 h</x:v>
      </x:c>
      <x:c r="AV191" s="18" t="str">
        <x:v>High</x:v>
      </x:c>
      <x:c r="AW191" s="18" t="str">
        <x:v>Yes — selected RoB is for a different result/timepoint</x:v>
      </x:c>
      <x:c r="AX191" s="18" t="str">
        <x:v>Jin 2023</x:v>
      </x:c>
      <x:c r="AY191" s="18" t="str">
        <x:v>Frequency-arm contrast</x:v>
      </x:c>
      <x:c r="AZ191" s="18" t="str">
        <x:v>Three-arm trial with shared sham; use multi-arm handling.</x:v>
      </x:c>
    </x:row>
    <x:row r="192">
      <x:c r="A192" s="18" t="str">
        <x:v>Jin 2023</x:v>
      </x:c>
      <x:c r="B192" s="18" t="str">
        <x:v>JIN23_OPIOID24_MASS</x:v>
      </x:c>
      <x:c r="C192" s="18" t="str">
        <x:v>Active EA arms</x:v>
      </x:c>
      <x:c r="D192" s="18" t="str">
        <x:v>Sham nonpenetrating EA/no current</x:v>
      </x:c>
      <x:c r="E192" s="18" t="str">
        <x:v>Opioid consumption</x:v>
      </x:c>
      <x:c r="F192" s="18" t="str">
        <x:v>Exact cumulative fentanyl mass / MME</x:v>
      </x:c>
      <x:c r="G192" s="18" t="str">
        <x:v>0-24 h</x:v>
      </x:c>
      <x:c r="H192" s="18" t="str">
        <x:v>Not calculable</x:v>
      </x:c>
      <x:c r="I192" s="18" t="n">
        <x:v>58</x:v>
      </x:c>
      <x:c r="J192" s="18" t="n">
        <x:v>58</x:v>
      </x:c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 t="str">
        <x:v>µg fentanyl / MME</x:v>
      </x:c>
      <x:c r="Z192" s="18"/>
      <x:c r="AA192" s="18" t="str">
        <x:v>No</x:v>
      </x:c>
      <x:c r="AB192" s="18" t="str">
        <x:v>No</x:v>
      </x:c>
      <x:c r="AC192" s="18"/>
      <x:c r="AD192" s="18"/>
      <x:c r="AE192" s="18" t="str">
        <x:v>Yes</x:v>
      </x:c>
      <x:c r="AF192" s="18" t="str">
        <x:v>No</x:v>
      </x:c>
      <x:c r="AG192" s="18" t="str">
        <x:v>Not eligible for mass-based 24-h opioid/MME meta-analysis until PCIA concentration is recovered</x:v>
      </x:c>
      <x:c r="AH192" s="18" t="str">
        <x:v>Yes</x:v>
      </x:c>
      <x:c r="AI192" s="18" t="str">
        <x:v>Only mL of solution are reported in the main article</x:v>
      </x:c>
      <x:c r="AJ192" s="18" t="str">
        <x:v>PCIA formulation absent from main article</x:v>
      </x:c>
      <x:c r="AK192" s="18" t="str">
        <x:v>https://drive.google.com/file/d/1fkNAFra0gZ9jkWkzp_S0TWy-5zVrXCtj/view?usp=drivesdk</x:v>
      </x:c>
      <x:c r="AL192" s="18" t="str">
        <x:v>MISSING / SUPPLEMENT NEEDED</x:v>
      </x:c>
      <x:c r="AM192" s="18" t="str">
        <x:v>Postoperative opioid consumption</x:v>
      </x:c>
      <x:c r="AN192" s="18" t="str">
        <x:v>Exact/explicit 24 h</x:v>
      </x:c>
      <x:c r="AO192" s="18" t="str">
        <x:v>EXCLUDE — DATA UNAVAILABLE</x:v>
      </x:c>
      <x:c r="AP192" s="18" t="str">
        <x:v>The source does not provide a defensible quantitative value for this analysis.</x:v>
      </x:c>
      <x:c r="AQ192" s="18" t="str">
        <x:v>No</x:v>
      </x:c>
      <x:c r="AR192" s="18" t="str"/>
      <x:c r="AS192" s="18" t="str">
        <x:v>Opioid/MME conversion required using prespecified review conversion</x:v>
      </x:c>
      <x:c r="AT192" s="18" t="str">
        <x:v>Cumulative analgesic pump compressions</x:v>
      </x:c>
      <x:c r="AU192" s="18" t="str">
        <x:v>48 h</x:v>
      </x:c>
      <x:c r="AV192" s="18" t="str">
        <x:v>High</x:v>
      </x:c>
      <x:c r="AW192" s="18" t="str">
        <x:v>Yes — selected RoB is for a different result/timepoint</x:v>
      </x:c>
      <x:c r="AX192" s="18" t="str">
        <x:v>Jin 2023</x:v>
      </x:c>
      <x:c r="AY192" s="18" t="str">
        <x:v>Frequency-arm contrast</x:v>
      </x:c>
      <x:c r="AZ192" s="18" t="str">
        <x:v>Three-arm trial with shared sham; use multi-arm handling.</x:v>
      </x:c>
    </x:row>
    <x:row r="193">
      <x:c r="A193" s="18" t="str">
        <x:v>Jiang 2026</x:v>
      </x:c>
      <x:c r="B193" s="18" t="str">
        <x:v>JIANG26_TEAS_vs_SHAM_FLATUS_PP</x:v>
      </x:c>
      <x:c r="C193" s="18" t="str">
        <x:v>Perioperative TEAS</x:v>
      </x:c>
      <x:c r="D193" s="18" t="str">
        <x:v>Sham/no current</x:v>
      </x:c>
      <x:c r="E193" s="18" t="str">
        <x:v>GI recovery</x:v>
      </x:c>
      <x:c r="F193" s="18" t="str">
        <x:v>Time to first flatus</x:v>
      </x:c>
      <x:c r="G193" s="18" t="str">
        <x:v>Postoperative</x:v>
      </x:c>
      <x:c r="H193" s="18" t="str">
        <x:v>Median/IQR</x:v>
      </x:c>
      <x:c r="I193" s="18" t="n">
        <x:v>308</x:v>
      </x:c>
      <x:c r="J193" s="18" t="n">
        <x:v>306</x:v>
      </x:c>
      <x:c r="K193" s="18" t="n">
        <x:v>294</x:v>
      </x:c>
      <x:c r="L193" s="18" t="n">
        <x:v>293</x:v>
      </x:c>
      <x:c r="M193" s="18"/>
      <x:c r="N193" s="18"/>
      <x:c r="O193" s="18" t="n">
        <x:v>21.5</x:v>
      </x:c>
      <x:c r="P193" s="18" t="n">
        <x:v>19</x:v>
      </x:c>
      <x:c r="Q193" s="18" t="n">
        <x:v>23.5</x:v>
      </x:c>
      <x:c r="R193" s="18"/>
      <x:c r="S193" s="18"/>
      <x:c r="T193" s="18"/>
      <x:c r="U193" s="18" t="n">
        <x:v>23.5</x:v>
      </x:c>
      <x:c r="V193" s="18" t="n">
        <x:v>21</x:v>
      </x:c>
      <x:c r="W193" s="18" t="n">
        <x:v>26</x:v>
      </x:c>
      <x:c r="X193" s="18"/>
      <x:c r="Y193" s="18" t="str">
        <x:v>hours</x:v>
      </x:c>
      <x:c r="Z193" s="18" t="str">
        <x:v>&lt;0.001</x:v>
      </x:c>
      <x:c r="AA193" s="18" t="str">
        <x:v>Yes</x:v>
      </x:c>
      <x:c r="AB193" s="18" t="str">
        <x:v>No</x:v>
      </x:c>
      <x:c r="AC193" s="18"/>
      <x:c r="AD193" s="18"/>
      <x:c r="AE193" s="18" t="str">
        <x:v>No</x:v>
      </x:c>
      <x:c r="AF193" s="18" t="str">
        <x:v>No</x:v>
      </x:c>
      <x:c r="AG193" s="18" t="str">
        <x:v>Eligible for GI-recovery analysis as per-protocol result; prefer modified-ITT sensitivity where appropriate</x:v>
      </x:c>
      <x:c r="AH193" s="18" t="str">
        <x:v>No</x:v>
      </x:c>
      <x:c r="AI193" s="18" t="str">
        <x:v>614 randomized but only 587 in PP. Sex/ASA baseline counts contain internal denominator errors</x:v>
      </x:c>
      <x:c r="AJ193" s="18" t="str">
        <x:v>Primary outcome / PP analysis</x:v>
      </x:c>
      <x:c r="AK193" s="18" t="str">
        <x:v>https://drive.google.com/file/d/1nujlP9A_IMWUfd3HdCD2rOxTc9-I8v92/view?usp=drivesdk</x:v>
      </x:c>
      <x:c r="AL193" s="18" t="str">
        <x:v>SOURCE-VERIFIED / PP ATTRITION QC</x:v>
      </x:c>
      <x:c r="AM193" s="18" t="str">
        <x:v>GI recovery</x:v>
      </x:c>
      <x:c r="AN193" s="18" t="str">
        <x:v>Postoperative</x:v>
      </x:c>
      <x:c r="AO193" s="18" t="str">
        <x:v>INCLUDE</x:v>
      </x:c>
      <x:c r="AP193" s="18" t="str">
        <x:v>Source-valid first-flatus/ileus endpoint; retain reported distribution (mean/SD, median/IQR, or events).</x:v>
      </x:c>
      <x:c r="AQ193" s="18" t="str">
        <x:v>Yes</x:v>
      </x:c>
      <x:c r="AR193" s="18" t="str"/>
      <x:c r="AS193" s="18" t="str">
        <x:v>Use median/IQR-compatible meta-analysis method; do not relabel as mean/SD</x:v>
      </x:c>
      <x:c r="AT193" s="18" t="str">
        <x:v>Time to first flatus</x:v>
      </x:c>
      <x:c r="AU193" s="18" t="str">
        <x:v>Modified-ITT-type analysis</x:v>
      </x:c>
      <x:c r="AV193" s="18" t="str">
        <x:v>Some concerns</x:v>
      </x:c>
      <x:c r="AW193" s="18" t="str">
        <x:v>No — selected RoB matches this result</x:v>
      </x:c>
      <x:c r="AX193" s="18" t="str">
        <x:v>Jiang 2026</x:v>
      </x:c>
      <x:c r="AY193" s="18" t="str">
        <x:v>Primary eligible contrast</x:v>
      </x:c>
      <x:c r="AZ193" s="18" t="str">
        <x:v>Count this study once per synthesis unless a valid multi-arm method is used.</x:v>
      </x:c>
    </x:row>
    <x:row r="194">
      <x:c r="A194" s="18" t="str">
        <x:v>Jiang 2026</x:v>
      </x:c>
      <x:c r="B194" s="18" t="str">
        <x:v>JIANG26_TEAS_vs_SHAM_FLATUS_MITT</x:v>
      </x:c>
      <x:c r="C194" s="18" t="str">
        <x:v>Perioperative TEAS</x:v>
      </x:c>
      <x:c r="D194" s="18" t="str">
        <x:v>Sham/no current</x:v>
      </x:c>
      <x:c r="E194" s="18" t="str">
        <x:v>GI recovery</x:v>
      </x:c>
      <x:c r="F194" s="18" t="str">
        <x:v>Time to first flatus</x:v>
      </x:c>
      <x:c r="G194" s="18" t="str">
        <x:v>Modified-ITT-type analysis among intervention recipients</x:v>
      </x:c>
      <x:c r="H194" s="18" t="str">
        <x:v>Median/IQR</x:v>
      </x:c>
      <x:c r="I194" s="18" t="n">
        <x:v>308</x:v>
      </x:c>
      <x:c r="J194" s="18" t="n">
        <x:v>306</x:v>
      </x:c>
      <x:c r="K194" s="18" t="n">
        <x:v>296</x:v>
      </x:c>
      <x:c r="L194" s="18" t="n">
        <x:v>297</x:v>
      </x:c>
      <x:c r="M194" s="18"/>
      <x:c r="N194" s="18"/>
      <x:c r="O194" s="18" t="n">
        <x:v>21.3</x:v>
      </x:c>
      <x:c r="P194" s="18" t="n">
        <x:v>19</x:v>
      </x:c>
      <x:c r="Q194" s="18" t="n">
        <x:v>23.5</x:v>
      </x:c>
      <x:c r="R194" s="18"/>
      <x:c r="S194" s="18"/>
      <x:c r="T194" s="18"/>
      <x:c r="U194" s="18" t="n">
        <x:v>23.4</x:v>
      </x:c>
      <x:c r="V194" s="18" t="n">
        <x:v>21</x:v>
      </x:c>
      <x:c r="W194" s="18" t="n">
        <x:v>26</x:v>
      </x:c>
      <x:c r="X194" s="18"/>
      <x:c r="Y194" s="18" t="str">
        <x:v>hours</x:v>
      </x:c>
      <x:c r="Z194" s="18" t="str">
        <x:v>&lt;0.001</x:v>
      </x:c>
      <x:c r="AA194" s="18" t="str">
        <x:v>Yes</x:v>
      </x:c>
      <x:c r="AB194" s="18" t="str">
        <x:v>No</x:v>
      </x:c>
      <x:c r="AC194" s="18"/>
      <x:c r="AD194" s="18"/>
      <x:c r="AE194" s="18" t="str">
        <x:v>No</x:v>
      </x:c>
      <x:c r="AF194" s="18" t="str">
        <x:v>No</x:v>
      </x:c>
      <x:c r="AG194" s="18" t="str">
        <x:v>Preferred sensitivity result for first flatus, but still excludes 21 randomized non-recipients</x:v>
      </x:c>
      <x:c r="AH194" s="18" t="str">
        <x:v>No</x:v>
      </x:c>
      <x:c r="AI194" s="18" t="str">
        <x:v>Authors call this ITT, but it includes 593 who received allocated intervention, not all 614 randomized; 6 post-treatment missing values were conservatively imputed</x:v>
      </x:c>
      <x:c r="AJ194" s="18" t="str">
        <x:v>Primary outcome / reported ITT analysis</x:v>
      </x:c>
      <x:c r="AK194" s="18" t="str">
        <x:v>https://drive.google.com/file/d/1nujlP9A_IMWUfd3HdCD2rOxTc9-I8v92/view?usp=drivesdk</x:v>
      </x:c>
      <x:c r="AL194" s="18" t="str">
        <x:v>SOURCE-VERIFIED / MODIFIED-ITT QC</x:v>
      </x:c>
      <x:c r="AM194" s="18" t="str">
        <x:v>GI recovery</x:v>
      </x:c>
      <x:c r="AN194" s="18" t="str">
        <x:v>Modified-ITT-type analysis among intervention recipients</x:v>
      </x:c>
      <x:c r="AO194" s="18" t="str">
        <x:v>INCLUDE</x:v>
      </x:c>
      <x:c r="AP194" s="18" t="str">
        <x:v>Source-valid first-flatus/ileus endpoint; retain reported distribution (mean/SD, median/IQR, or events).</x:v>
      </x:c>
      <x:c r="AQ194" s="18" t="str">
        <x:v>Yes</x:v>
      </x:c>
      <x:c r="AR194" s="18" t="str"/>
      <x:c r="AS194" s="18" t="str">
        <x:v>Use median/IQR-compatible meta-analysis method; do not relabel as mean/SD</x:v>
      </x:c>
      <x:c r="AT194" s="18" t="str">
        <x:v>Time to first flatus</x:v>
      </x:c>
      <x:c r="AU194" s="18" t="str">
        <x:v>Modified-ITT-type analysis</x:v>
      </x:c>
      <x:c r="AV194" s="18" t="str">
        <x:v>Some concerns</x:v>
      </x:c>
      <x:c r="AW194" s="18" t="str">
        <x:v>No — selected RoB matches this result</x:v>
      </x:c>
      <x:c r="AX194" s="18" t="str">
        <x:v>Jiang 2026</x:v>
      </x:c>
      <x:c r="AY194" s="18" t="str">
        <x:v>Primary eligible contrast</x:v>
      </x:c>
      <x:c r="AZ194" s="18" t="str">
        <x:v>Count this study once per synthesis unless a valid multi-arm method is used.</x:v>
      </x:c>
    </x:row>
    <x:row r="195">
      <x:c r="A195" s="18" t="str">
        <x:v>Jiang 2026</x:v>
      </x:c>
      <x:c r="B195" s="18" t="str">
        <x:v>JIANG26_TEAS_vs_SHAM_PONV24</x:v>
      </x:c>
      <x:c r="C195" s="18" t="str">
        <x:v>Perioperative TEAS</x:v>
      </x:c>
      <x:c r="D195" s="18" t="str">
        <x:v>Sham/no current</x:v>
      </x:c>
      <x:c r="E195" s="18" t="str">
        <x:v>PONV</x:v>
      </x:c>
      <x:c r="F195" s="18" t="str">
        <x:v>PONV incidence</x:v>
      </x:c>
      <x:c r="G195" s="18" t="str">
        <x:v>Within 24 h</x:v>
      </x:c>
      <x:c r="H195" s="18" t="str">
        <x:v>Events/total</x:v>
      </x:c>
      <x:c r="I195" s="18" t="n">
        <x:v>308</x:v>
      </x:c>
      <x:c r="J195" s="18" t="n">
        <x:v>306</x:v>
      </x:c>
      <x:c r="K195" s="18" t="n">
        <x:v>294</x:v>
      </x:c>
      <x:c r="L195" s="18" t="n">
        <x:v>293</x:v>
      </x:c>
      <x:c r="M195" s="18"/>
      <x:c r="N195" s="18"/>
      <x:c r="O195" s="18"/>
      <x:c r="P195" s="18"/>
      <x:c r="Q195" s="18"/>
      <x:c r="R195" s="18" t="n">
        <x:v>44</x:v>
      </x:c>
      <x:c r="S195" s="18"/>
      <x:c r="T195" s="18"/>
      <x:c r="U195" s="18"/>
      <x:c r="V195" s="18"/>
      <x:c r="W195" s="18"/>
      <x:c r="X195" s="18" t="n">
        <x:v>67</x:v>
      </x:c>
      <x:c r="Y195" s="18" t="str">
        <x:v>participants</x:v>
      </x:c>
      <x:c r="Z195" s="18" t="str">
        <x:v>0.015</x:v>
      </x:c>
      <x:c r="AA195" s="18" t="str">
        <x:v>Yes</x:v>
      </x:c>
      <x:c r="AB195" s="18" t="str">
        <x:v>No</x:v>
      </x:c>
      <x:c r="AC195" s="18" t="str">
        <x:v>RR</x:v>
      </x:c>
      <x:c r="AD195" s="18" t="n">
        <x:v>0.6544826885978272</x:v>
      </x:c>
      <x:c r="AE195" s="18" t="str">
        <x:v>No</x:v>
      </x:c>
      <x:c r="AF195" s="18" t="str">
        <x:v>No</x:v>
      </x:c>
      <x:c r="AG195" s="18" t="str">
        <x:v>Eligible for dichotomous 24-h PONV analysis using PP denominators</x:v>
      </x:c>
      <x:c r="AH195" s="18" t="str">
        <x:v>No</x:v>
      </x:c>
      <x:c r="AI195" s="18" t="str">
        <x:v>Use 44/294 vs 67/293; do not relabel 587 as randomized/ITT</x:v>
      </x:c>
      <x:c r="AJ195" s="18" t="str">
        <x:v>24-h PONV result</x:v>
      </x:c>
      <x:c r="AK195" s="18" t="str">
        <x:v>https://drive.google.com/file/d/1nujlP9A_IMWUfd3HdCD2rOxTc9-I8v92/view?usp=drivesdk</x:v>
      </x:c>
      <x:c r="AL195" s="18" t="str">
        <x:v>SOURCE-VERIFIED / PP ATTRITION QC</x:v>
      </x:c>
      <x:c r="AM195" s="18" t="str">
        <x:v>PONV</x:v>
      </x:c>
      <x:c r="AN195" s="18" t="str">
        <x:v>Contains 24 h but definition differs</x:v>
      </x:c>
      <x:c r="AO195" s="18" t="str">
        <x:v>CONDITIONAL</x:v>
      </x:c>
      <x:c r="AP195" s="18" t="str">
        <x:v>Valid PONV result, but the postoperative observation window should be matched to the intended synthesis.</x:v>
      </x:c>
      <x:c r="AQ195" s="18" t="str">
        <x:v>No</x:v>
      </x:c>
      <x:c r="AR195" s="18" t="str"/>
      <x:c r="AS195" s="18" t="str">
        <x:v>Binary effect measure (RR preferred per protocol)</x:v>
      </x:c>
      <x:c r="AT195" s="18" t="str">
        <x:v>Time to first flatus</x:v>
      </x:c>
      <x:c r="AU195" s="18" t="str">
        <x:v>Modified-ITT-type analysis</x:v>
      </x:c>
      <x:c r="AV195" s="18" t="str">
        <x:v>Some concerns</x:v>
      </x:c>
      <x:c r="AW195" s="18" t="str">
        <x:v>Yes — selected RoB is for a different result/timepoint</x:v>
      </x:c>
      <x:c r="AX195" s="18" t="str">
        <x:v>Jiang 2026</x:v>
      </x:c>
      <x:c r="AY195" s="18" t="str">
        <x:v>Primary eligible contrast</x:v>
      </x:c>
      <x:c r="AZ195" s="18" t="str">
        <x:v>Count this study once per synthesis unless a valid multi-arm method is used.</x:v>
      </x:c>
    </x:row>
    <x:row r="196">
      <x:c r="A196" s="18" t="str">
        <x:v>Jiang 2026</x:v>
      </x:c>
      <x:c r="B196" s="18" t="str">
        <x:v>JIANG26_TEAS_vs_SHAM_INTRAOP_REMI</x:v>
      </x:c>
      <x:c r="C196" s="18" t="str">
        <x:v>Perioperative TEAS</x:v>
      </x:c>
      <x:c r="D196" s="18" t="str">
        <x:v>Sham/no current</x:v>
      </x:c>
      <x:c r="E196" s="18" t="str">
        <x:v>Intraoperative opioid</x:v>
      </x:c>
      <x:c r="F196" s="18" t="str">
        <x:v>Remifentanil consumption</x:v>
      </x:c>
      <x:c r="G196" s="18" t="str">
        <x:v>Intraoperative</x:v>
      </x:c>
      <x:c r="H196" s="18" t="str">
        <x:v>Median/IQR</x:v>
      </x:c>
      <x:c r="I196" s="18" t="n">
        <x:v>308</x:v>
      </x:c>
      <x:c r="J196" s="18" t="n">
        <x:v>306</x:v>
      </x:c>
      <x:c r="K196" s="18" t="n">
        <x:v>294</x:v>
      </x:c>
      <x:c r="L196" s="18" t="n">
        <x:v>293</x:v>
      </x:c>
      <x:c r="M196" s="18"/>
      <x:c r="N196" s="18"/>
      <x:c r="O196" s="18" t="n">
        <x:v>841.4</x:v>
      </x:c>
      <x:c r="P196" s="18" t="n">
        <x:v>593.85</x:v>
      </x:c>
      <x:c r="Q196" s="18" t="n">
        <x:v>1278</x:v>
      </x:c>
      <x:c r="R196" s="18"/>
      <x:c r="S196" s="18"/>
      <x:c r="T196" s="18"/>
      <x:c r="U196" s="18" t="n">
        <x:v>795.2</x:v>
      </x:c>
      <x:c r="V196" s="18" t="n">
        <x:v>584</x:v>
      </x:c>
      <x:c r="W196" s="18" t="n">
        <x:v>1228.2</x:v>
      </x:c>
      <x:c r="X196" s="18"/>
      <x:c r="Y196" s="18" t="str">
        <x:v>µg remifentanil</x:v>
      </x:c>
      <x:c r="Z196" s="18" t="str">
        <x:v>0.284</x:v>
      </x:c>
      <x:c r="AA196" s="18" t="str">
        <x:v>Yes</x:v>
      </x:c>
      <x:c r="AB196" s="18" t="str">
        <x:v>No</x:v>
      </x:c>
      <x:c r="AC196" s="18"/>
      <x:c r="AD196" s="18"/>
      <x:c r="AE196" s="18" t="str">
        <x:v>No</x:v>
      </x:c>
      <x:c r="AF196" s="18" t="str">
        <x:v>No</x:v>
      </x:c>
      <x:c r="AG196" s="18" t="str">
        <x:v>Eligible for intraoperative opioid analysis; no opioid-sparing signal</x:v>
      </x:c>
      <x:c r="AH196" s="18" t="str">
        <x:v>No</x:v>
      </x:c>
      <x:c r="AI196" s="18" t="str">
        <x:v>Direct source result; not a postoperative endpoint</x:v>
      </x:c>
      <x:c r="AJ196" s="18" t="str">
        <x:v>Perioperative characteristics table</x:v>
      </x:c>
      <x:c r="AK196" s="18" t="str">
        <x:v>https://drive.google.com/file/d/1nujlP9A_IMWUfd3HdCD2rOxTc9-I8v92/view?usp=drivesdk</x:v>
      </x:c>
      <x:c r="AL196" s="18" t="str">
        <x:v>SOURCE-VERIFIED</x:v>
      </x:c>
      <x:c r="AM196" s="18" t="str">
        <x:v>Intraoperative opioid</x:v>
      </x:c>
      <x:c r="AN196" s="18" t="str">
        <x:v>Intraoperative</x:v>
      </x:c>
      <x:c r="AO196" s="18" t="str">
        <x:v>INCLUDE — INTRAOPERATIVE</x:v>
      </x:c>
      <x:c r="AP196" s="18" t="str">
        <x:v>Valid intraoperative opioid endpoint; must remain separate from postoperative opioid consumption.</x:v>
      </x:c>
      <x:c r="AQ196" s="18" t="str">
        <x:v>No</x:v>
      </x:c>
      <x:c r="AR196" s="18" t="str"/>
      <x:c r="AS196" s="18" t="str">
        <x:v>Use median/IQR-compatible meta-analysis method; do not relabel as mean/SD</x:v>
      </x:c>
      <x:c r="AT196" s="18" t="str">
        <x:v>Time to first flatus</x:v>
      </x:c>
      <x:c r="AU196" s="18" t="str">
        <x:v>Modified-ITT-type analysis</x:v>
      </x:c>
      <x:c r="AV196" s="18" t="str">
        <x:v>Some concerns</x:v>
      </x:c>
      <x:c r="AW196" s="18" t="str">
        <x:v>Yes — selected RoB is for a different result/timepoint</x:v>
      </x:c>
      <x:c r="AX196" s="18" t="str">
        <x:v>Jiang 2026</x:v>
      </x:c>
      <x:c r="AY196" s="18" t="str">
        <x:v>Primary eligible contrast</x:v>
      </x:c>
      <x:c r="AZ196" s="18" t="str">
        <x:v>Count this study once per synthesis unless a valid multi-arm method is used.</x:v>
      </x:c>
    </x:row>
    <x:row r="197">
      <x:c r="A197" s="18" t="str">
        <x:v>Jiang 2026</x:v>
      </x:c>
      <x:c r="B197" s="18" t="str">
        <x:v>JIANG26_TEAS_vs_SHAM_OPIOID24</x:v>
      </x:c>
      <x:c r="C197" s="18" t="str">
        <x:v>Perioperative TEAS</x:v>
      </x:c>
      <x:c r="D197" s="18" t="str">
        <x:v>Sham/no current</x:v>
      </x:c>
      <x:c r="E197" s="18" t="str">
        <x:v>Opioid consumption</x:v>
      </x:c>
      <x:c r="F197" s="18" t="str">
        <x:v>Exact cumulative postoperative opioid consumption</x:v>
      </x:c>
      <x:c r="G197" s="18" t="str">
        <x:v>0-24 h</x:v>
      </x:c>
      <x:c r="H197" s="18" t="str">
        <x:v>Not reported</x:v>
      </x:c>
      <x:c r="I197" s="18" t="n">
        <x:v>308</x:v>
      </x:c>
      <x:c r="J197" s="18" t="n">
        <x:v>306</x:v>
      </x:c>
      <x:c r="K197" s="18" t="n">
        <x:v>294</x:v>
      </x:c>
      <x:c r="L197" s="18" t="n">
        <x:v>293</x:v>
      </x:c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 t="str">
        <x:v>mg/µg</x:v>
      </x:c>
      <x:c r="Z197" s="18"/>
      <x:c r="AA197" s="18" t="str">
        <x:v>No</x:v>
      </x:c>
      <x:c r="AB197" s="18" t="str">
        <x:v>No</x:v>
      </x:c>
      <x:c r="AC197" s="18"/>
      <x:c r="AD197" s="18"/>
      <x:c r="AE197" s="18" t="str">
        <x:v>No</x:v>
      </x:c>
      <x:c r="AF197" s="18" t="str">
        <x:v>No</x:v>
      </x:c>
      <x:c r="AG197" s="18" t="str">
        <x:v>Not eligible for continuous 24-h opioid/MME meta-analysis from main publication</x:v>
      </x:c>
      <x:c r="AH197" s="18" t="str">
        <x:v>No</x:v>
      </x:c>
      <x:c r="AI197" s="18" t="str">
        <x:v>PCIA use is reported but exact group-specific postoperative dose is not</x:v>
      </x:c>
      <x:c r="AJ197" s="18" t="str">
        <x:v>Postoperative analgesia section</x:v>
      </x:c>
      <x:c r="AK197" s="18" t="str">
        <x:v>https://drive.google.com/file/d/1nujlP9A_IMWUfd3HdCD2rOxTc9-I8v92/view?usp=drivesdk</x:v>
      </x:c>
      <x:c r="AL197" s="18" t="str">
        <x:v>MISSING / NOT REPORTED</x:v>
      </x:c>
      <x:c r="AM197" s="18" t="str">
        <x:v>Postoperative opioid consumption</x:v>
      </x:c>
      <x:c r="AN197" s="18" t="str">
        <x:v>Exact/explicit 24 h</x:v>
      </x:c>
      <x:c r="AO197" s="18" t="str">
        <x:v>EXCLUDE — DATA UNAVAILABLE</x:v>
      </x:c>
      <x:c r="AP197" s="18" t="str">
        <x:v>The source does not provide a defensible quantitative value for this analysis.</x:v>
      </x:c>
      <x:c r="AQ197" s="18" t="str">
        <x:v>No</x:v>
      </x:c>
      <x:c r="AR197" s="18" t="str"/>
      <x:c r="AS197" s="18" t="str">
        <x:v>None</x:v>
      </x:c>
      <x:c r="AT197" s="18" t="str">
        <x:v>Time to first flatus</x:v>
      </x:c>
      <x:c r="AU197" s="18" t="str">
        <x:v>Modified-ITT-type analysis</x:v>
      </x:c>
      <x:c r="AV197" s="18" t="str">
        <x:v>Some concerns</x:v>
      </x:c>
      <x:c r="AW197" s="18" t="str">
        <x:v>Yes — selected RoB is for a different result/timepoint</x:v>
      </x:c>
      <x:c r="AX197" s="18" t="str">
        <x:v>Jiang 2026</x:v>
      </x:c>
      <x:c r="AY197" s="18" t="str">
        <x:v>Primary eligible contrast</x:v>
      </x:c>
      <x:c r="AZ197" s="18" t="str">
        <x:v>Count this study once per synthesis unless a valid multi-arm method is used.</x:v>
      </x:c>
    </x:row>
    <x:row r="198">
      <x:c r="A198" s="18" t="str">
        <x:v>Huang 2025</x:v>
      </x:c>
      <x:c r="B198" s="18" t="str">
        <x:v>HUANG25_EA_vs_UC_FLATUS</x:v>
      </x:c>
      <x:c r="C198" s="18" t="str">
        <x:v>Postoperative EA + ERAS</x:v>
      </x:c>
      <x:c r="D198" s="18" t="str">
        <x:v>ERAS/standard care</x:v>
      </x:c>
      <x:c r="E198" s="18" t="str">
        <x:v>GI recovery</x:v>
      </x:c>
      <x:c r="F198" s="18" t="str">
        <x:v>Time to first flatus</x:v>
      </x:c>
      <x:c r="G198" s="18" t="str">
        <x:v>Postoperative</x:v>
      </x:c>
      <x:c r="H198" s="18" t="str">
        <x:v>Mean/SD</x:v>
      </x:c>
      <x:c r="I198" s="18" t="n">
        <x:v>51</x:v>
      </x:c>
      <x:c r="J198" s="18" t="n">
        <x:v>50</x:v>
      </x:c>
      <x:c r="K198" s="18" t="n">
        <x:v>43</x:v>
      </x:c>
      <x:c r="L198" s="18" t="n">
        <x:v>45</x:v>
      </x:c>
      <x:c r="M198" s="18" t="n">
        <x:v>36.4</x:v>
      </x:c>
      <x:c r="N198" s="18" t="n">
        <x:v>8</x:v>
      </x:c>
      <x:c r="O198" s="18"/>
      <x:c r="P198" s="18"/>
      <x:c r="Q198" s="18"/>
      <x:c r="R198" s="18"/>
      <x:c r="S198" s="18" t="n">
        <x:v>42.2</x:v>
      </x:c>
      <x:c r="T198" s="18" t="n">
        <x:v>8.5</x:v>
      </x:c>
      <x:c r="U198" s="18"/>
      <x:c r="V198" s="18"/>
      <x:c r="W198" s="18"/>
      <x:c r="X198" s="18"/>
      <x:c r="Y198" s="18" t="str">
        <x:v>hours</x:v>
      </x:c>
      <x:c r="Z198" s="18" t="str">
        <x:v>&lt;0.001</x:v>
      </x:c>
      <x:c r="AA198" s="18" t="str">
        <x:v>Yes</x:v>
      </x:c>
      <x:c r="AB198" s="18" t="str">
        <x:v>No</x:v>
      </x:c>
      <x:c r="AC198" s="18" t="str">
        <x:v>MD</x:v>
      </x:c>
      <x:c r="AD198" s="18" t="n">
        <x:v>-5.800000000000004</x:v>
      </x:c>
      <x:c r="AE198" s="18" t="str">
        <x:v>No</x:v>
      </x:c>
      <x:c r="AF198" s="18" t="str">
        <x:v>No</x:v>
      </x:c>
      <x:c r="AG198" s="18" t="str">
        <x:v>Eligible for GI-recovery meta-analysis</x:v>
      </x:c>
      <x:c r="AH198" s="18" t="str">
        <x:v>No</x:v>
      </x:c>
      <x:c r="AI198" s="18" t="str">
        <x:v>13/101 randomized participants excluded after randomization; no sham procedure and patient blinding is not credible for penetrating postoperative EA</x:v>
      </x:c>
      <x:c r="AJ198" s="18" t="str">
        <x:v>Co-primary outcome / first flatus</x:v>
      </x:c>
      <x:c r="AK198" s="18" t="str">
        <x:v>https://drive.google.com/file/d/1VnJCbIPz8Uy1kXYCTKk7l9Zqj-rTECrY/view?usp=drivesdk</x:v>
      </x:c>
      <x:c r="AL198" s="18" t="str">
        <x:v>SOURCE-VERIFIED / ATTRITION + BLINDING QC</x:v>
      </x:c>
      <x:c r="AM198" s="18" t="str">
        <x:v>GI recovery</x:v>
      </x:c>
      <x:c r="AN198" s="18" t="str">
        <x:v>Postoperative</x:v>
      </x:c>
      <x:c r="AO198" s="18" t="str">
        <x:v>INCLUDE</x:v>
      </x:c>
      <x:c r="AP198" s="18" t="str">
        <x:v>Source-valid first-flatus/ileus endpoint; retain reported distribution (mean/SD, median/IQR, or events).</x:v>
      </x:c>
      <x:c r="AQ198" s="18" t="str">
        <x:v>Yes</x:v>
      </x:c>
      <x:c r="AR198" s="18" t="str"/>
      <x:c r="AS198" s="18" t="str">
        <x:v>None</x:v>
      </x:c>
      <x:c r="AT198" s="18" t="str">
        <x:v>Time to first flatus</x:v>
      </x:c>
      <x:c r="AU198" s="18" t="str">
        <x:v>Postoperative</x:v>
      </x:c>
      <x:c r="AV198" s="18" t="str">
        <x:v>High</x:v>
      </x:c>
      <x:c r="AW198" s="18" t="str">
        <x:v>No — selected RoB matches this result</x:v>
      </x:c>
      <x:c r="AX198" s="18" t="str">
        <x:v>Huang 2025</x:v>
      </x:c>
      <x:c r="AY198" s="18" t="str">
        <x:v>Primary eligible contrast</x:v>
      </x:c>
      <x:c r="AZ198" s="18" t="str">
        <x:v>Count this study once per synthesis unless a valid multi-arm method is used.</x:v>
      </x:c>
    </x:row>
    <x:row r="199">
      <x:c r="A199" s="18" t="str">
        <x:v>Huang 2025</x:v>
      </x:c>
      <x:c r="B199" s="18" t="str">
        <x:v>HUANG25_EA_vs_UC_DEFEC</x:v>
      </x:c>
      <x:c r="C199" s="18" t="str">
        <x:v>Postoperative EA + ERAS</x:v>
      </x:c>
      <x:c r="D199" s="18" t="str">
        <x:v>ERAS/standard care</x:v>
      </x:c>
      <x:c r="E199" s="18" t="str">
        <x:v>GI recovery</x:v>
      </x:c>
      <x:c r="F199" s="18" t="str">
        <x:v>Time to first defecation</x:v>
      </x:c>
      <x:c r="G199" s="18" t="str">
        <x:v>Postoperative</x:v>
      </x:c>
      <x:c r="H199" s="18" t="str">
        <x:v>Mean/SD</x:v>
      </x:c>
      <x:c r="I199" s="18" t="n">
        <x:v>51</x:v>
      </x:c>
      <x:c r="J199" s="18" t="n">
        <x:v>50</x:v>
      </x:c>
      <x:c r="K199" s="18" t="n">
        <x:v>43</x:v>
      </x:c>
      <x:c r="L199" s="18" t="n">
        <x:v>45</x:v>
      </x:c>
      <x:c r="M199" s="18" t="n">
        <x:v>46</x:v>
      </x:c>
      <x:c r="N199" s="18" t="n">
        <x:v>8</x:v>
      </x:c>
      <x:c r="O199" s="18"/>
      <x:c r="P199" s="18"/>
      <x:c r="Q199" s="18"/>
      <x:c r="R199" s="18"/>
      <x:c r="S199" s="18" t="n">
        <x:v>51.3</x:v>
      </x:c>
      <x:c r="T199" s="18" t="n">
        <x:v>9.4</x:v>
      </x:c>
      <x:c r="U199" s="18"/>
      <x:c r="V199" s="18"/>
      <x:c r="W199" s="18"/>
      <x:c r="X199" s="18"/>
      <x:c r="Y199" s="18" t="str">
        <x:v>hours</x:v>
      </x:c>
      <x:c r="Z199" s="18" t="str">
        <x:v>0.010</x:v>
      </x:c>
      <x:c r="AA199" s="18" t="str">
        <x:v>Yes</x:v>
      </x:c>
      <x:c r="AB199" s="18" t="str">
        <x:v>No</x:v>
      </x:c>
      <x:c r="AC199" s="18" t="str">
        <x:v>MD</x:v>
      </x:c>
      <x:c r="AD199" s="18" t="n">
        <x:v>-5.299999999999997</x:v>
      </x:c>
      <x:c r="AE199" s="18" t="str">
        <x:v>No</x:v>
      </x:c>
      <x:c r="AF199" s="18" t="str">
        <x:v>No</x:v>
      </x:c>
      <x:c r="AG199" s="18" t="str">
        <x:v>Eligible for GI-recovery meta-analysis</x:v>
      </x:c>
      <x:c r="AH199" s="18" t="str">
        <x:v>No</x:v>
      </x:c>
      <x:c r="AI199" s="18" t="str">
        <x:v>Same post-randomization exclusion and no-sham concerns apply</x:v>
      </x:c>
      <x:c r="AJ199" s="18" t="str">
        <x:v>Co-primary outcome / first defecation</x:v>
      </x:c>
      <x:c r="AK199" s="18" t="str">
        <x:v>https://drive.google.com/file/d/1VnJCbIPz8Uy1kXYCTKk7l9Zqj-rTECrY/view?usp=drivesdk</x:v>
      </x:c>
      <x:c r="AL199" s="18" t="str">
        <x:v>SOURCE-VERIFIED / ATTRITION + BLINDING QC</x:v>
      </x:c>
      <x:c r="AM199" s="18" t="str">
        <x:v>GI recovery</x:v>
      </x:c>
      <x:c r="AN199" s="18" t="str">
        <x:v>Postoperative</x:v>
      </x:c>
      <x:c r="AO199" s="18" t="str">
        <x:v>INCLUDE — SECONDARY GI</x:v>
      </x:c>
      <x:c r="AP199" s="18" t="str">
        <x:v>Source-valid GI recovery outcome; analyze separately by outcome definition.</x:v>
      </x:c>
      <x:c r="AQ199" s="18" t="str">
        <x:v>No</x:v>
      </x:c>
      <x:c r="AR199" s="18" t="str"/>
      <x:c r="AS199" s="18" t="str">
        <x:v>None</x:v>
      </x:c>
      <x:c r="AT199" s="18" t="str">
        <x:v>Time to first flatus</x:v>
      </x:c>
      <x:c r="AU199" s="18" t="str">
        <x:v>Postoperative</x:v>
      </x:c>
      <x:c r="AV199" s="18" t="str">
        <x:v>High</x:v>
      </x:c>
      <x:c r="AW199" s="18" t="str">
        <x:v>Yes — selected RoB is for a different result/timepoint</x:v>
      </x:c>
      <x:c r="AX199" s="18" t="str">
        <x:v>Huang 2025</x:v>
      </x:c>
      <x:c r="AY199" s="18" t="str">
        <x:v>Primary eligible contrast</x:v>
      </x:c>
      <x:c r="AZ199" s="18" t="str">
        <x:v>Count this study once per synthesis unless a valid multi-arm method is used.</x:v>
      </x:c>
    </x:row>
    <x:row r="200">
      <x:c r="A200" s="18" t="str">
        <x:v>Huang 2025</x:v>
      </x:c>
      <x:c r="B200" s="18" t="str">
        <x:v>HUANG25_EA_vs_UC_OPIOID24</x:v>
      </x:c>
      <x:c r="C200" s="18" t="str">
        <x:v>Postoperative EA + ERAS</x:v>
      </x:c>
      <x:c r="D200" s="18" t="str">
        <x:v>ERAS/standard care</x:v>
      </x:c>
      <x:c r="E200" s="18" t="str">
        <x:v>Opioid consumption</x:v>
      </x:c>
      <x:c r="F200" s="18" t="str">
        <x:v>Exact cumulative postoperative opioid consumption</x:v>
      </x:c>
      <x:c r="G200" s="18" t="str">
        <x:v>0-24 h</x:v>
      </x:c>
      <x:c r="H200" s="18" t="str">
        <x:v>Not reported</x:v>
      </x:c>
      <x:c r="I200" s="18" t="n">
        <x:v>51</x:v>
      </x:c>
      <x:c r="J200" s="18" t="n">
        <x:v>50</x:v>
      </x:c>
      <x:c r="K200" s="18" t="n">
        <x:v>43</x:v>
      </x:c>
      <x:c r="L200" s="18" t="n">
        <x:v>45</x:v>
      </x:c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 t="str">
        <x:v>mg/µg</x:v>
      </x:c>
      <x:c r="Z200" s="18"/>
      <x:c r="AA200" s="18" t="str">
        <x:v>No</x:v>
      </x:c>
      <x:c r="AB200" s="18" t="str">
        <x:v>No</x:v>
      </x:c>
      <x:c r="AC200" s="18"/>
      <x:c r="AD200" s="18"/>
      <x:c r="AE200" s="18" t="str">
        <x:v>No</x:v>
      </x:c>
      <x:c r="AF200" s="18" t="str">
        <x:v>No</x:v>
      </x:c>
      <x:c r="AG200" s="18" t="str">
        <x:v>Not eligible for continuous 24-h opioid/MME meta-analysis</x:v>
      </x:c>
      <x:c r="AH200" s="18" t="str">
        <x:v>No</x:v>
      </x:c>
      <x:c r="AI200" s="18" t="str">
        <x:v>PCA drug/composition and consumption are not reported; rescue analgesia was ketorolac, a non-opioid NSAID</x:v>
      </x:c>
      <x:c r="AJ200" s="18" t="str">
        <x:v>Postoperative analgesia section</x:v>
      </x:c>
      <x:c r="AK200" s="18" t="str">
        <x:v>https://drive.google.com/file/d/1VnJCbIPz8Uy1kXYCTKk7l9Zqj-rTECrY/view?usp=drivesdk</x:v>
      </x:c>
      <x:c r="AL200" s="18" t="str">
        <x:v>MISSING / PCA DRUG AND DOSE NR</x:v>
      </x:c>
      <x:c r="AM200" s="18" t="str">
        <x:v>Postoperative opioid consumption</x:v>
      </x:c>
      <x:c r="AN200" s="18" t="str">
        <x:v>Exact/explicit 24 h</x:v>
      </x:c>
      <x:c r="AO200" s="18" t="str">
        <x:v>EXCLUDE — DATA UNAVAILABLE</x:v>
      </x:c>
      <x:c r="AP200" s="18" t="str">
        <x:v>The source does not provide a defensible quantitative value for this analysis.</x:v>
      </x:c>
      <x:c r="AQ200" s="18" t="str">
        <x:v>No</x:v>
      </x:c>
      <x:c r="AR200" s="18" t="str"/>
      <x:c r="AS200" s="18" t="str">
        <x:v>None</x:v>
      </x:c>
      <x:c r="AT200" s="18" t="str">
        <x:v>Time to first flatus</x:v>
      </x:c>
      <x:c r="AU200" s="18" t="str">
        <x:v>Postoperative</x:v>
      </x:c>
      <x:c r="AV200" s="18" t="str">
        <x:v>High</x:v>
      </x:c>
      <x:c r="AW200" s="18" t="str">
        <x:v>Yes — selected RoB is for a different result/timepoint</x:v>
      </x:c>
      <x:c r="AX200" s="18" t="str">
        <x:v>Huang 2025</x:v>
      </x:c>
      <x:c r="AY200" s="18" t="str">
        <x:v>Primary eligible contrast</x:v>
      </x:c>
      <x:c r="AZ200" s="18" t="str">
        <x:v>Count this study once per synthesis unless a valid multi-arm method is used.</x:v>
      </x:c>
    </x:row>
    <x:row r="201">
      <x:c r="A201" s="18" t="str">
        <x:v>Huang 2024</x:v>
      </x:c>
      <x:c r="B201" s="18" t="str">
        <x:v>HUANG24_CONTRA_vs_SHAM_VASD1</x:v>
      </x:c>
      <x:c r="C201" s="18" t="str">
        <x:v>Contralateral EA</x:v>
      </x:c>
      <x:c r="D201" s="18" t="str">
        <x:v>Bilateral sham EA</x:v>
      </x:c>
      <x:c r="E201" s="18" t="str">
        <x:v>Pain</x:v>
      </x:c>
      <x:c r="F201" s="18" t="str">
        <x:v>VAS during walking/knee movement</x:v>
      </x:c>
      <x:c r="G201" s="18" t="str">
        <x:v>POD1</x:v>
      </x:c>
      <x:c r="H201" s="18" t="str">
        <x:v>Mean/SD</x:v>
      </x:c>
      <x:c r="I201" s="18" t="n">
        <x:v>38</x:v>
      </x:c>
      <x:c r="J201" s="18" t="n">
        <x:v>38</x:v>
      </x:c>
      <x:c r="K201" s="18" t="n">
        <x:v>38</x:v>
      </x:c>
      <x:c r="L201" s="18" t="n">
        <x:v>38</x:v>
      </x:c>
      <x:c r="M201" s="18" t="n">
        <x:v>53.16</x:v>
      </x:c>
      <x:c r="N201" s="18" t="n">
        <x:v>9.99</x:v>
      </x:c>
      <x:c r="O201" s="18"/>
      <x:c r="P201" s="18"/>
      <x:c r="Q201" s="18"/>
      <x:c r="R201" s="18"/>
      <x:c r="S201" s="18" t="n">
        <x:v>56.71</x:v>
      </x:c>
      <x:c r="T201" s="18" t="n">
        <x:v>9.84</x:v>
      </x:c>
      <x:c r="U201" s="18"/>
      <x:c r="V201" s="18"/>
      <x:c r="W201" s="18"/>
      <x:c r="X201" s="18"/>
      <x:c r="Y201" s="18" t="str">
        <x:v>VAS 0-100</x:v>
      </x:c>
      <x:c r="Z201" s="18" t="str">
        <x:v>Adjusted pairwise not significant on Day 1</x:v>
      </x:c>
      <x:c r="AA201" s="18" t="str">
        <x:v>Yes</x:v>
      </x:c>
      <x:c r="AB201" s="18" t="str">
        <x:v>No</x:v>
      </x:c>
      <x:c r="AC201" s="18" t="str">
        <x:v>MD</x:v>
      </x:c>
      <x:c r="AD201" s="18" t="n">
        <x:v>-3.5500000000000043</x:v>
      </x:c>
      <x:c r="AE201" s="18" t="str">
        <x:v>No</x:v>
      </x:c>
      <x:c r="AF201" s="18" t="str">
        <x:v>No</x:v>
      </x:c>
      <x:c r="AG201" s="18" t="str">
        <x:v>Eligible for POD1 movement-pain analysis with shared sham adjustment</x:v>
      </x:c>
      <x:c r="AH201" s="18" t="str">
        <x:v>Yes</x:v>
      </x:c>
      <x:c r="AI201" s="18" t="str">
        <x:v>Three-arm trial; 6 did not complete allocated intervention but authors state ITT and follow-up was obtained for all 114</x:v>
      </x:c>
      <x:c r="AJ201" s="18" t="str">
        <x:v>Primary serial VAS / Day 1</x:v>
      </x:c>
      <x:c r="AK201" s="18" t="str">
        <x:v>https://drive.google.com/file/d/1z-76QoxqmtMRV32wOpem7jAyDnuD6fb8/view?usp=drivesdk</x:v>
      </x:c>
      <x:c r="AL201" s="18" t="str">
        <x:v>SOURCE-VERIFIED / MULTI-ARM QC</x:v>
      </x:c>
      <x:c r="AM201" s="18" t="str">
        <x:v>Pain</x:v>
      </x:c>
      <x:c r="AN201" s="18" t="str">
        <x:v>POD1 / approximate 24 h</x:v>
      </x:c>
      <x:c r="AO201" s="18" t="str">
        <x:v>CONDITIONAL — POD1</x:v>
      </x:c>
      <x:c r="AP201" s="18" t="str">
        <x:v>POD1/day-after-surgery is not necessarily a clock-defined 24-h measurement; pool only if protocol permits.</x:v>
      </x:c>
      <x:c r="AQ201" s="18" t="str">
        <x:v>No</x:v>
      </x:c>
      <x:c r="AR201" s="18" t="str"/>
      <x:c r="AS201" s="18" t="str">
        <x:v>None</x:v>
      </x:c>
      <x:c r="AT201" s="18" t="str">
        <x:v>VAS during walking/knee movement</x:v>
      </x:c>
      <x:c r="AU201" s="18" t="str">
        <x:v>POD1</x:v>
      </x:c>
      <x:c r="AV201" s="18" t="str">
        <x:v>Some concerns</x:v>
      </x:c>
      <x:c r="AW201" s="18" t="str">
        <x:v>No — selected RoB matches this result</x:v>
      </x:c>
      <x:c r="AX201" s="18" t="str">
        <x:v>Huang 2024</x:v>
      </x:c>
      <x:c r="AY201" s="18" t="str">
        <x:v>Laterality-arm contrast</x:v>
      </x:c>
      <x:c r="AZ201" s="18" t="str">
        <x:v>Three-arm trial with shared sham; contralateral and ipsilateral EA are not independent studies.</x:v>
      </x:c>
    </x:row>
    <x:row r="202">
      <x:c r="A202" s="18" t="str">
        <x:v>Huang 2024</x:v>
      </x:c>
      <x:c r="B202" s="18" t="str">
        <x:v>HUANG24_IPSI_vs_SHAM_VASD1</x:v>
      </x:c>
      <x:c r="C202" s="18" t="str">
        <x:v>Ipsilateral EA</x:v>
      </x:c>
      <x:c r="D202" s="18" t="str">
        <x:v>Bilateral sham EA</x:v>
      </x:c>
      <x:c r="E202" s="18" t="str">
        <x:v>Pain</x:v>
      </x:c>
      <x:c r="F202" s="18" t="str">
        <x:v>VAS during walking/knee movement</x:v>
      </x:c>
      <x:c r="G202" s="18" t="str">
        <x:v>POD1</x:v>
      </x:c>
      <x:c r="H202" s="18" t="str">
        <x:v>Mean/SD</x:v>
      </x:c>
      <x:c r="I202" s="18" t="n">
        <x:v>38</x:v>
      </x:c>
      <x:c r="J202" s="18" t="n">
        <x:v>38</x:v>
      </x:c>
      <x:c r="K202" s="18" t="n">
        <x:v>38</x:v>
      </x:c>
      <x:c r="L202" s="18" t="n">
        <x:v>38</x:v>
      </x:c>
      <x:c r="M202" s="18" t="n">
        <x:v>53.5</x:v>
      </x:c>
      <x:c r="N202" s="18" t="n">
        <x:v>10.79</x:v>
      </x:c>
      <x:c r="O202" s="18"/>
      <x:c r="P202" s="18"/>
      <x:c r="Q202" s="18"/>
      <x:c r="R202" s="18"/>
      <x:c r="S202" s="18" t="n">
        <x:v>56.71</x:v>
      </x:c>
      <x:c r="T202" s="18" t="n">
        <x:v>9.84</x:v>
      </x:c>
      <x:c r="U202" s="18"/>
      <x:c r="V202" s="18"/>
      <x:c r="W202" s="18"/>
      <x:c r="X202" s="18"/>
      <x:c r="Y202" s="18" t="str">
        <x:v>VAS 0-100</x:v>
      </x:c>
      <x:c r="Z202" s="18" t="str">
        <x:v>Adjusted pairwise not significant on Day 1</x:v>
      </x:c>
      <x:c r="AA202" s="18" t="str">
        <x:v>Yes</x:v>
      </x:c>
      <x:c r="AB202" s="18" t="str">
        <x:v>No</x:v>
      </x:c>
      <x:c r="AC202" s="18" t="str">
        <x:v>MD</x:v>
      </x:c>
      <x:c r="AD202" s="18" t="n">
        <x:v>-3.210000000000001</x:v>
      </x:c>
      <x:c r="AE202" s="18" t="str">
        <x:v>No</x:v>
      </x:c>
      <x:c r="AF202" s="18" t="str">
        <x:v>No</x:v>
      </x:c>
      <x:c r="AG202" s="18" t="str">
        <x:v>Eligible for POD1 movement-pain analysis with shared sham adjustment</x:v>
      </x:c>
      <x:c r="AH202" s="18" t="str">
        <x:v>Yes</x:v>
      </x:c>
      <x:c r="AI202" s="18" t="str">
        <x:v>Three-arm trial; 6 did not complete allocated intervention but authors state ITT and follow-up was obtained for all 114</x:v>
      </x:c>
      <x:c r="AJ202" s="18" t="str">
        <x:v>Primary serial VAS / Day 1</x:v>
      </x:c>
      <x:c r="AK202" s="18" t="str">
        <x:v>https://drive.google.com/file/d/1z-76QoxqmtMRV32wOpem7jAyDnuD6fb8/view?usp=drivesdk</x:v>
      </x:c>
      <x:c r="AL202" s="18" t="str">
        <x:v>SOURCE-VERIFIED / MULTI-ARM QC</x:v>
      </x:c>
      <x:c r="AM202" s="18" t="str">
        <x:v>Pain</x:v>
      </x:c>
      <x:c r="AN202" s="18" t="str">
        <x:v>POD1 / approximate 24 h</x:v>
      </x:c>
      <x:c r="AO202" s="18" t="str">
        <x:v>CONDITIONAL — POD1</x:v>
      </x:c>
      <x:c r="AP202" s="18" t="str">
        <x:v>POD1/day-after-surgery is not necessarily a clock-defined 24-h measurement; pool only if protocol permits.</x:v>
      </x:c>
      <x:c r="AQ202" s="18" t="str">
        <x:v>No</x:v>
      </x:c>
      <x:c r="AR202" s="18" t="str"/>
      <x:c r="AS202" s="18" t="str">
        <x:v>None</x:v>
      </x:c>
      <x:c r="AT202" s="18" t="str">
        <x:v>VAS during walking/knee movement</x:v>
      </x:c>
      <x:c r="AU202" s="18" t="str">
        <x:v>POD1</x:v>
      </x:c>
      <x:c r="AV202" s="18" t="str">
        <x:v>Some concerns</x:v>
      </x:c>
      <x:c r="AW202" s="18" t="str">
        <x:v>No — selected RoB matches this result</x:v>
      </x:c>
      <x:c r="AX202" s="18" t="str">
        <x:v>Huang 2024</x:v>
      </x:c>
      <x:c r="AY202" s="18" t="str">
        <x:v>Laterality-arm contrast</x:v>
      </x:c>
      <x:c r="AZ202" s="18" t="str">
        <x:v>Three-arm trial with shared sham; contralateral and ipsilateral EA are not independent studies.</x:v>
      </x:c>
    </x:row>
    <x:row r="203">
      <x:c r="A203" s="18" t="str">
        <x:v>Huang 2024</x:v>
      </x:c>
      <x:c r="B203" s="18" t="str">
        <x:v>HUANG24_CONTRA_vs_SHAM_PCA_D2</x:v>
      </x:c>
      <x:c r="C203" s="18" t="str">
        <x:v>Contralateral EA</x:v>
      </x:c>
      <x:c r="D203" s="18" t="str">
        <x:v>Bilateral sham EA</x:v>
      </x:c>
      <x:c r="E203" s="18" t="str">
        <x:v>Opioid demand</x:v>
      </x:c>
      <x:c r="F203" s="18" t="str">
        <x:v>Additional PCA dose/release</x:v>
      </x:c>
      <x:c r="G203" s="18" t="str">
        <x:v>POD2; 24 h after first EA session, not necessarily 24 h after surgery</x:v>
      </x:c>
      <x:c r="H203" s="18" t="str">
        <x:v>Median/IQR</x:v>
      </x:c>
      <x:c r="I203" s="18" t="n">
        <x:v>38</x:v>
      </x:c>
      <x:c r="J203" s="18" t="n">
        <x:v>38</x:v>
      </x:c>
      <x:c r="K203" s="18" t="n">
        <x:v>38</x:v>
      </x:c>
      <x:c r="L203" s="18" t="n">
        <x:v>38</x:v>
      </x:c>
      <x:c r="M203" s="18"/>
      <x:c r="N203" s="18"/>
      <x:c r="O203" s="18" t="n">
        <x:v>0</x:v>
      </x:c>
      <x:c r="P203" s="18" t="n">
        <x:v>0</x:v>
      </x:c>
      <x:c r="Q203" s="18" t="n">
        <x:v>2</x:v>
      </x:c>
      <x:c r="R203" s="18"/>
      <x:c r="S203" s="18"/>
      <x:c r="T203" s="18"/>
      <x:c r="U203" s="18" t="n">
        <x:v>2</x:v>
      </x:c>
      <x:c r="V203" s="18" t="n">
        <x:v>2</x:v>
      </x:c>
      <x:c r="W203" s="18" t="n">
        <x:v>4</x:v>
      </x:c>
      <x:c r="X203" s="18"/>
      <x:c r="Y203" s="18" t="str">
        <x:v>source unit not reported</x:v>
      </x:c>
      <x:c r="Z203" s="18" t="str">
        <x:v>P&lt;0.001</x:v>
      </x:c>
      <x:c r="AA203" s="18" t="str">
        <x:v>Yes</x:v>
      </x:c>
      <x:c r="AB203" s="18" t="str">
        <x:v>No</x:v>
      </x:c>
      <x:c r="AC203" s="18"/>
      <x:c r="AD203" s="18"/>
      <x:c r="AE203" s="18" t="str">
        <x:v>No</x:v>
      </x:c>
      <x:c r="AF203" s="18" t="str">
        <x:v>No</x:v>
      </x:c>
      <x:c r="AG203" s="18" t="str">
        <x:v>Eligible only as supplemental PCA-use proxy; not as opioid mass/MME</x:v>
      </x:c>
      <x:c r="AH203" s="18" t="str">
        <x:v>Yes</x:v>
      </x:c>
      <x:c r="AI203" s="18" t="str">
        <x:v>PCA drug, dose per release and outcome unit are not reported; timing is 24 h after first EA rather than explicitly 24 h after surgery</x:v>
      </x:c>
      <x:c r="AJ203" s="18" t="str">
        <x:v>Primary PCA outcome / POD2</x:v>
      </x:c>
      <x:c r="AK203" s="18" t="str">
        <x:v>https://drive.google.com/file/d/1z-76QoxqmtMRV32wOpem7jAyDnuD6fb8/view?usp=drivesdk</x:v>
      </x:c>
      <x:c r="AL203" s="18" t="str">
        <x:v>SOURCE-VERIFIED / UNIT + TIMEPOINT QC</x:v>
      </x:c>
      <x:c r="AM203" s="18" t="str">
        <x:v>PCA demand/proxy</x:v>
      </x:c>
      <x:c r="AN203" s="18" t="str">
        <x:v>Contains 24 h but definition differs</x:v>
      </x:c>
      <x:c r="AO203" s="18" t="str">
        <x:v>SECONDARY / PROXY ONLY</x:v>
      </x:c>
      <x:c r="AP203" s="18" t="str">
        <x:v>PCA presses, attempts, deliveries, or solution volume are not equivalent to opioid dose unless the pump prescription permits exact reconstruction.</x:v>
      </x:c>
      <x:c r="AQ203" s="18" t="str">
        <x:v>No</x:v>
      </x:c>
      <x:c r="AR203" s="18" t="str"/>
      <x:c r="AS203" s="18" t="str">
        <x:v>Use median/IQR-compatible meta-analysis method; do not relabel as mean/SD</x:v>
      </x:c>
      <x:c r="AT203" s="18" t="str">
        <x:v>VAS during walking/knee movement</x:v>
      </x:c>
      <x:c r="AU203" s="18" t="str">
        <x:v>POD1</x:v>
      </x:c>
      <x:c r="AV203" s="18" t="str">
        <x:v>Some concerns</x:v>
      </x:c>
      <x:c r="AW203" s="18" t="str">
        <x:v>Yes — selected RoB is for a different result/timepoint</x:v>
      </x:c>
      <x:c r="AX203" s="18" t="str">
        <x:v>Huang 2024</x:v>
      </x:c>
      <x:c r="AY203" s="18" t="str">
        <x:v>Laterality-arm contrast</x:v>
      </x:c>
      <x:c r="AZ203" s="18" t="str">
        <x:v>Three-arm trial with shared sham; contralateral and ipsilateral EA are not independent studies.</x:v>
      </x:c>
    </x:row>
    <x:row r="204">
      <x:c r="A204" s="18" t="str">
        <x:v>Huang 2024</x:v>
      </x:c>
      <x:c r="B204" s="18" t="str">
        <x:v>HUANG24_OPIOID24</x:v>
      </x:c>
      <x:c r="C204" s="18" t="str">
        <x:v>True-EA arms</x:v>
      </x:c>
      <x:c r="D204" s="18" t="str">
        <x:v>Bilateral sham EA</x:v>
      </x:c>
      <x:c r="E204" s="18" t="str">
        <x:v>Opioid consumption</x:v>
      </x:c>
      <x:c r="F204" s="18" t="str">
        <x:v>Exact cumulative postoperative opioid dose</x:v>
      </x:c>
      <x:c r="G204" s="18" t="str">
        <x:v>0-24 h</x:v>
      </x:c>
      <x:c r="H204" s="18" t="str">
        <x:v>Not calculable</x:v>
      </x:c>
      <x:c r="I204" s="18" t="n">
        <x:v>38</x:v>
      </x:c>
      <x:c r="J204" s="18" t="n">
        <x:v>38</x:v>
      </x:c>
      <x:c r="K204" s="18" t="n">
        <x:v>38</x:v>
      </x:c>
      <x:c r="L204" s="18" t="n">
        <x:v>38</x:v>
      </x:c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 t="str">
        <x:v>MME</x:v>
      </x:c>
      <x:c r="Z204" s="18"/>
      <x:c r="AA204" s="18" t="str">
        <x:v>No</x:v>
      </x:c>
      <x:c r="AB204" s="18" t="str">
        <x:v>No</x:v>
      </x:c>
      <x:c r="AC204" s="18"/>
      <x:c r="AD204" s="18"/>
      <x:c r="AE204" s="18" t="str">
        <x:v>No</x:v>
      </x:c>
      <x:c r="AF204" s="18" t="str">
        <x:v>No</x:v>
      </x:c>
      <x:c r="AG204" s="18" t="str">
        <x:v>Not eligible for continuous 24-h opioid/MME meta-analysis</x:v>
      </x:c>
      <x:c r="AH204" s="18" t="str">
        <x:v>Yes</x:v>
      </x:c>
      <x:c r="AI204" s="18" t="str">
        <x:v>PCA drug identity/composition, bolus dose and exact 24-h-after-surgery exposure are unavailable</x:v>
      </x:c>
      <x:c r="AJ204" s="18" t="str">
        <x:v>PCA regimen incomplete</x:v>
      </x:c>
      <x:c r="AK204" s="18" t="str">
        <x:v>https://drive.google.com/file/d/1z-76QoxqmtMRV32wOpem7jAyDnuD6fb8/view?usp=drivesdk</x:v>
      </x:c>
      <x:c r="AL204" s="18" t="str">
        <x:v>MISSING / AUTHOR OR SUPPLEMENT DATA NEEDED</x:v>
      </x:c>
      <x:c r="AM204" s="18" t="str">
        <x:v>Postoperative opioid consumption</x:v>
      </x:c>
      <x:c r="AN204" s="18" t="str">
        <x:v>Exact/explicit 24 h</x:v>
      </x:c>
      <x:c r="AO204" s="18" t="str">
        <x:v>EXCLUDE — DATA UNAVAILABLE</x:v>
      </x:c>
      <x:c r="AP204" s="18" t="str">
        <x:v>The source does not provide a defensible quantitative value for this analysis.</x:v>
      </x:c>
      <x:c r="AQ204" s="18" t="str">
        <x:v>No</x:v>
      </x:c>
      <x:c r="AR204" s="18" t="str"/>
      <x:c r="AS204" s="18" t="str">
        <x:v>None</x:v>
      </x:c>
      <x:c r="AT204" s="18" t="str">
        <x:v>VAS during walking/knee movement</x:v>
      </x:c>
      <x:c r="AU204" s="18" t="str">
        <x:v>POD1</x:v>
      </x:c>
      <x:c r="AV204" s="18" t="str">
        <x:v>Some concerns</x:v>
      </x:c>
      <x:c r="AW204" s="18" t="str">
        <x:v>Yes — selected RoB is for a different result/timepoint</x:v>
      </x:c>
      <x:c r="AX204" s="18" t="str">
        <x:v>Huang 2024</x:v>
      </x:c>
      <x:c r="AY204" s="18" t="str">
        <x:v>Laterality-arm contrast</x:v>
      </x:c>
      <x:c r="AZ204" s="18" t="str">
        <x:v>Three-arm trial with shared sham; contralateral and ipsilateral EA are not independent studies.</x:v>
      </x:c>
    </x:row>
    <x:row r="205">
      <x:c r="A205" s="18" t="str">
        <x:v>Hou 2023</x:v>
      </x:c>
      <x:c r="B205" s="18" t="str">
        <x:v>HOU23_TEAS_vs_SHAM_PONV</x:v>
      </x:c>
      <x:c r="C205" s="18" t="str">
        <x:v>Perioperative TEAS</x:v>
      </x:c>
      <x:c r="D205" s="18" t="str">
        <x:v>Sham/no-current TEAS</x:v>
      </x:c>
      <x:c r="E205" s="18" t="str">
        <x:v>PONV</x:v>
      </x:c>
      <x:c r="F205" s="18" t="str">
        <x:v>PONV incidence</x:v>
      </x:c>
      <x:c r="G205" s="18" t="str">
        <x:v>Postoperative / reported review window</x:v>
      </x:c>
      <x:c r="H205" s="18" t="str">
        <x:v>Events/total</x:v>
      </x:c>
      <x:c r="I205" s="18" t="n">
        <x:v>37</x:v>
      </x:c>
      <x:c r="J205" s="18" t="n">
        <x:v>37</x:v>
      </x:c>
      <x:c r="K205" s="18" t="n">
        <x:v>36</x:v>
      </x:c>
      <x:c r="L205" s="18" t="n">
        <x:v>36</x:v>
      </x:c>
      <x:c r="M205" s="18"/>
      <x:c r="N205" s="18"/>
      <x:c r="O205" s="18"/>
      <x:c r="P205" s="18"/>
      <x:c r="Q205" s="18"/>
      <x:c r="R205" s="18" t="n">
        <x:v>4</x:v>
      </x:c>
      <x:c r="S205" s="18"/>
      <x:c r="T205" s="18"/>
      <x:c r="U205" s="18"/>
      <x:c r="V205" s="18"/>
      <x:c r="W205" s="18"/>
      <x:c r="X205" s="18" t="n">
        <x:v>12</x:v>
      </x:c>
      <x:c r="Y205" s="18" t="str">
        <x:v>participants</x:v>
      </x:c>
      <x:c r="Z205" s="18" t="str">
        <x:v>0.023</x:v>
      </x:c>
      <x:c r="AA205" s="18" t="str">
        <x:v>Yes</x:v>
      </x:c>
      <x:c r="AB205" s="18" t="str">
        <x:v>No</x:v>
      </x:c>
      <x:c r="AC205" s="18" t="str">
        <x:v>RR</x:v>
      </x:c>
      <x:c r="AD205" s="18" t="n">
        <x:v>0.3333333333333333</x:v>
      </x:c>
      <x:c r="AE205" s="18" t="str">
        <x:v>No</x:v>
      </x:c>
      <x:c r="AF205" s="18" t="str">
        <x:v>No</x:v>
      </x:c>
      <x:c r="AG205" s="18" t="str">
        <x:v>Eligible for dichotomous PONV analysis</x:v>
      </x:c>
      <x:c r="AH205" s="18" t="str">
        <x:v>No</x:v>
      </x:c>
      <x:c r="AI205" s="18" t="str">
        <x:v>Two withdrawals (one/group) for personal reasons; no blinding-success test despite active 6-15 mA vibration vs no current</x:v>
      </x:c>
      <x:c r="AJ205" s="18" t="str">
        <x:v>PONV result</x:v>
      </x:c>
      <x:c r="AK205" s="18" t="str">
        <x:v>https://drive.google.com/file/d/161WdTRehgwvDHvQ8OkRf8U9TbUmVQgaR/view?usp=drivesdk</x:v>
      </x:c>
      <x:c r="AL205" s="18" t="str">
        <x:v>SOURCE-VERIFIED</x:v>
      </x:c>
      <x:c r="AM205" s="18" t="str">
        <x:v>PONV</x:v>
      </x:c>
      <x:c r="AN205" s="18" t="str">
        <x:v>Postoperative / reported review window</x:v>
      </x:c>
      <x:c r="AO205" s="18" t="str">
        <x:v>CONDITIONAL</x:v>
      </x:c>
      <x:c r="AP205" s="18" t="str">
        <x:v>Valid PONV result, but the postoperative observation window should be matched to the intended synthesis.</x:v>
      </x:c>
      <x:c r="AQ205" s="18" t="str">
        <x:v>No</x:v>
      </x:c>
      <x:c r="AR205" s="18" t="str"/>
      <x:c r="AS205" s="18" t="str">
        <x:v>Binary effect measure (RR preferred per protocol)</x:v>
      </x:c>
      <x:c r="AT205" s="18" t="str">
        <x:v>PONV incidence</x:v>
      </x:c>
      <x:c r="AU205" s="18" t="str">
        <x:v>Postoperative</x:v>
      </x:c>
      <x:c r="AV205" s="18" t="str">
        <x:v>Some concerns</x:v>
      </x:c>
      <x:c r="AW205" s="18" t="str">
        <x:v>No — selected RoB matches this result</x:v>
      </x:c>
      <x:c r="AX205" s="18" t="str">
        <x:v>Hou 2023</x:v>
      </x:c>
      <x:c r="AY205" s="18" t="str">
        <x:v>Primary eligible contrast</x:v>
      </x:c>
      <x:c r="AZ205" s="18" t="str">
        <x:v>Count this study once per synthesis unless a valid multi-arm method is used.</x:v>
      </x:c>
    </x:row>
    <x:row r="206">
      <x:c r="A206" s="18" t="str">
        <x:v>Hou 2023</x:v>
      </x:c>
      <x:c r="B206" s="18" t="str">
        <x:v>HOU23_TEAS_vs_SHAM_PAIN_D2</x:v>
      </x:c>
      <x:c r="C206" s="18" t="str">
        <x:v>Perioperative TEAS</x:v>
      </x:c>
      <x:c r="D206" s="18" t="str">
        <x:v>Sham/no-current TEAS</x:v>
      </x:c>
      <x:c r="E206" s="18" t="str">
        <x:v>Pain</x:v>
      </x:c>
      <x:c r="F206" s="18" t="str">
        <x:v>VAS-P pain</x:v>
      </x:c>
      <x:c r="G206" s="18" t="str">
        <x:v>D2 = one day after surgery, not exact clock-time 24 h</x:v>
      </x:c>
      <x:c r="H206" s="18" t="str">
        <x:v>Median/IQR</x:v>
      </x:c>
      <x:c r="I206" s="18" t="n">
        <x:v>37</x:v>
      </x:c>
      <x:c r="J206" s="18" t="n">
        <x:v>37</x:v>
      </x:c>
      <x:c r="K206" s="18" t="n">
        <x:v>36</x:v>
      </x:c>
      <x:c r="L206" s="18" t="n">
        <x:v>36</x:v>
      </x:c>
      <x:c r="M206" s="18"/>
      <x:c r="N206" s="18"/>
      <x:c r="O206" s="18" t="n">
        <x:v>30</x:v>
      </x:c>
      <x:c r="P206" s="18" t="n">
        <x:v>30</x:v>
      </x:c>
      <x:c r="Q206" s="18" t="n">
        <x:v>47.5</x:v>
      </x:c>
      <x:c r="R206" s="18"/>
      <x:c r="S206" s="18"/>
      <x:c r="T206" s="18"/>
      <x:c r="U206" s="18" t="n">
        <x:v>55</x:v>
      </x:c>
      <x:c r="V206" s="18" t="n">
        <x:v>40</x:v>
      </x:c>
      <x:c r="W206" s="18" t="n">
        <x:v>60</x:v>
      </x:c>
      <x:c r="X206" s="18"/>
      <x:c r="Y206" s="18" t="str">
        <x:v>VAS 0-100 mm</x:v>
      </x:c>
      <x:c r="Z206" s="18" t="str">
        <x:v>0.001</x:v>
      </x:c>
      <x:c r="AA206" s="18" t="str">
        <x:v>Yes</x:v>
      </x:c>
      <x:c r="AB206" s="18" t="str">
        <x:v>No</x:v>
      </x:c>
      <x:c r="AC206" s="18"/>
      <x:c r="AD206" s="18"/>
      <x:c r="AE206" s="18" t="str">
        <x:v>No</x:v>
      </x:c>
      <x:c r="AF206" s="18" t="str">
        <x:v>No</x:v>
      </x:c>
      <x:c r="AG206" s="18" t="str">
        <x:v>Eligible for POD1/day-after-surgery pain analysis, not strict clock-time 24-h pooling without protocol allowance</x:v>
      </x:c>
      <x:c r="AH206" s="18" t="str">
        <x:v>No</x:v>
      </x:c>
      <x:c r="AI206" s="18" t="str">
        <x:v>D2 is author-defined as one day after surgery; do not silently label it exact 24 h</x:v>
      </x:c>
      <x:c r="AJ206" s="18" t="str">
        <x:v>Postoperative pain / D2</x:v>
      </x:c>
      <x:c r="AK206" s="18" t="str">
        <x:v>https://drive.google.com/file/d/161WdTRehgwvDHvQ8OkRf8U9TbUmVQgaR/view?usp=drivesdk</x:v>
      </x:c>
      <x:c r="AL206" s="18" t="str">
        <x:v>SOURCE-VERIFIED / TIMEPOINT QC</x:v>
      </x:c>
      <x:c r="AM206" s="18" t="str">
        <x:v>Pain</x:v>
      </x:c>
      <x:c r="AN206" s="18" t="str">
        <x:v>POD1 / approximate 24 h</x:v>
      </x:c>
      <x:c r="AO206" s="18" t="str">
        <x:v>CONDITIONAL — POD1</x:v>
      </x:c>
      <x:c r="AP206" s="18" t="str">
        <x:v>POD1/day-after-surgery is not necessarily a clock-defined 24-h measurement; pool only if protocol permits.</x:v>
      </x:c>
      <x:c r="AQ206" s="18" t="str">
        <x:v>No</x:v>
      </x:c>
      <x:c r="AR206" s="18" t="str"/>
      <x:c r="AS206" s="18" t="str">
        <x:v>Use median/IQR-compatible meta-analysis method; do not relabel as mean/SD</x:v>
      </x:c>
      <x:c r="AT206" s="18" t="str">
        <x:v>PONV incidence</x:v>
      </x:c>
      <x:c r="AU206" s="18" t="str">
        <x:v>Postoperative</x:v>
      </x:c>
      <x:c r="AV206" s="18" t="str">
        <x:v>Some concerns</x:v>
      </x:c>
      <x:c r="AW206" s="18" t="str">
        <x:v>Yes — selected RoB is for a different result/timepoint</x:v>
      </x:c>
      <x:c r="AX206" s="18" t="str">
        <x:v>Hou 2023</x:v>
      </x:c>
      <x:c r="AY206" s="18" t="str">
        <x:v>Primary eligible contrast</x:v>
      </x:c>
      <x:c r="AZ206" s="18" t="str">
        <x:v>Count this study once per synthesis unless a valid multi-arm method is used.</x:v>
      </x:c>
    </x:row>
    <x:row r="207">
      <x:c r="A207" s="18" t="str">
        <x:v>Hou 2023</x:v>
      </x:c>
      <x:c r="B207" s="18" t="str">
        <x:v>HOU23_TEAS_vs_SHAM_RESCUE</x:v>
      </x:c>
      <x:c r="C207" s="18" t="str">
        <x:v>Perioperative TEAS</x:v>
      </x:c>
      <x:c r="D207" s="18" t="str">
        <x:v>Sham/no-current TEAS</x:v>
      </x:c>
      <x:c r="E207" s="18" t="str">
        <x:v>Rescue analgesia</x:v>
      </x:c>
      <x:c r="F207" s="18" t="str">
        <x:v>Any rescue flurbiprofen use</x:v>
      </x:c>
      <x:c r="G207" s="18" t="str">
        <x:v>Postoperative</x:v>
      </x:c>
      <x:c r="H207" s="18" t="str">
        <x:v>Events/total</x:v>
      </x:c>
      <x:c r="I207" s="18" t="n">
        <x:v>37</x:v>
      </x:c>
      <x:c r="J207" s="18" t="n">
        <x:v>37</x:v>
      </x:c>
      <x:c r="K207" s="18" t="n">
        <x:v>36</x:v>
      </x:c>
      <x:c r="L207" s="18" t="n">
        <x:v>36</x:v>
      </x:c>
      <x:c r="M207" s="18"/>
      <x:c r="N207" s="18"/>
      <x:c r="O207" s="18"/>
      <x:c r="P207" s="18"/>
      <x:c r="Q207" s="18"/>
      <x:c r="R207" s="18" t="n">
        <x:v>15</x:v>
      </x:c>
      <x:c r="S207" s="18"/>
      <x:c r="T207" s="18"/>
      <x:c r="U207" s="18"/>
      <x:c r="V207" s="18"/>
      <x:c r="W207" s="18"/>
      <x:c r="X207" s="18" t="n">
        <x:v>28</x:v>
      </x:c>
      <x:c r="Y207" s="18" t="str">
        <x:v>participants</x:v>
      </x:c>
      <x:c r="Z207" s="18" t="str">
        <x:v>0.002</x:v>
      </x:c>
      <x:c r="AA207" s="18" t="str">
        <x:v>Yes</x:v>
      </x:c>
      <x:c r="AB207" s="18" t="str">
        <x:v>No</x:v>
      </x:c>
      <x:c r="AC207" s="18" t="str">
        <x:v>RR</x:v>
      </x:c>
      <x:c r="AD207" s="18" t="n">
        <x:v>0.5357142857142857</x:v>
      </x:c>
      <x:c r="AE207" s="18" t="str">
        <x:v>No</x:v>
      </x:c>
      <x:c r="AF207" s="18" t="str">
        <x:v>No</x:v>
      </x:c>
      <x:c r="AG207" s="18" t="str">
        <x:v>Eligible for non-opioid rescue-analgesia analysis only</x:v>
      </x:c>
      <x:c r="AH207" s="18" t="str">
        <x:v>No</x:v>
      </x:c>
      <x:c r="AI207" s="18" t="str">
        <x:v>Flurbiprofen is an NSAID, not an opioid</x:v>
      </x:c>
      <x:c r="AJ207" s="18" t="str">
        <x:v>Rescue analgesia</x:v>
      </x:c>
      <x:c r="AK207" s="18" t="str">
        <x:v>https://drive.google.com/file/d/161WdTRehgwvDHvQ8OkRf8U9TbUmVQgaR/view?usp=drivesdk</x:v>
      </x:c>
      <x:c r="AL207" s="18" t="str">
        <x:v>SOURCE-VERIFIED</x:v>
      </x:c>
      <x:c r="AM207" s="18" t="str">
        <x:v>Rescue analgesia</x:v>
      </x:c>
      <x:c r="AN207" s="18" t="str">
        <x:v>Postoperative</x:v>
      </x:c>
      <x:c r="AO207" s="18" t="str">
        <x:v>INCLUDE — SECONDARY</x:v>
      </x:c>
      <x:c r="AP207" s="18" t="str">
        <x:v>Source-verified outcome suitable for its matching secondary analysis.</x:v>
      </x:c>
      <x:c r="AQ207" s="18" t="str">
        <x:v>No</x:v>
      </x:c>
      <x:c r="AR207" s="18" t="str"/>
      <x:c r="AS207" s="18" t="str">
        <x:v>Binary effect measure (RR preferred per protocol)</x:v>
      </x:c>
      <x:c r="AT207" s="18" t="str">
        <x:v>PONV incidence</x:v>
      </x:c>
      <x:c r="AU207" s="18" t="str">
        <x:v>Postoperative</x:v>
      </x:c>
      <x:c r="AV207" s="18" t="str">
        <x:v>Some concerns</x:v>
      </x:c>
      <x:c r="AW207" s="18" t="str">
        <x:v>Yes — selected RoB is for a different result/timepoint</x:v>
      </x:c>
      <x:c r="AX207" s="18" t="str">
        <x:v>Hou 2023</x:v>
      </x:c>
      <x:c r="AY207" s="18" t="str">
        <x:v>Primary eligible contrast</x:v>
      </x:c>
      <x:c r="AZ207" s="18" t="str">
        <x:v>Count this study once per synthesis unless a valid multi-arm method is used.</x:v>
      </x:c>
    </x:row>
    <x:row r="208">
      <x:c r="A208" s="18" t="str">
        <x:v>Hou 2023</x:v>
      </x:c>
      <x:c r="B208" s="18" t="str">
        <x:v>HOU23_TEAS_vs_SHAM_OPIOID24</x:v>
      </x:c>
      <x:c r="C208" s="18" t="str">
        <x:v>Perioperative TEAS</x:v>
      </x:c>
      <x:c r="D208" s="18" t="str">
        <x:v>Sham/no-current TEAS</x:v>
      </x:c>
      <x:c r="E208" s="18" t="str">
        <x:v>Opioid consumption</x:v>
      </x:c>
      <x:c r="F208" s="18" t="str">
        <x:v>Actual total postoperative sufentanil consumption</x:v>
      </x:c>
      <x:c r="G208" s="18" t="str">
        <x:v>0-24 h</x:v>
      </x:c>
      <x:c r="H208" s="18" t="str">
        <x:v>Not reported</x:v>
      </x:c>
      <x:c r="I208" s="18" t="n">
        <x:v>37</x:v>
      </x:c>
      <x:c r="J208" s="18" t="n">
        <x:v>37</x:v>
      </x:c>
      <x:c r="K208" s="18" t="n">
        <x:v>36</x:v>
      </x:c>
      <x:c r="L208" s="18" t="n">
        <x:v>36</x:v>
      </x:c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 t="str">
        <x:v>µg sufentanil</x:v>
      </x:c>
      <x:c r="Z208" s="18"/>
      <x:c r="AA208" s="18" t="str">
        <x:v>No</x:v>
      </x:c>
      <x:c r="AB208" s="18" t="str">
        <x:v>No</x:v>
      </x:c>
      <x:c r="AC208" s="18"/>
      <x:c r="AD208" s="18"/>
      <x:c r="AE208" s="18" t="str">
        <x:v>Yes</x:v>
      </x:c>
      <x:c r="AF208" s="18" t="str">
        <x:v>No</x:v>
      </x:c>
      <x:c r="AG208" s="18" t="str">
        <x:v>Not eligible for continuous 24-h opioid/MME meta-analysis</x:v>
      </x:c>
      <x:c r="AH208" s="18" t="str">
        <x:v>No</x:v>
      </x:c>
      <x:c r="AI208" s="18" t="str">
        <x:v>PCIA concentration and basal/bolus settings are known, but actual bolus use/total delivered sufentanil are not reported; fixed basal exposure is not total consumption</x:v>
      </x:c>
      <x:c r="AJ208" s="18" t="str">
        <x:v>PCIA regimen / consumption absent</x:v>
      </x:c>
      <x:c r="AK208" s="18" t="str">
        <x:v>https://drive.google.com/file/d/161WdTRehgwvDHvQ8OkRf8U9TbUmVQgaR/view?usp=drivesdk</x:v>
      </x:c>
      <x:c r="AL208" s="18" t="str">
        <x:v>MISSING / ACTUAL TOTAL NOT REPORTED</x:v>
      </x:c>
      <x:c r="AM208" s="18" t="str">
        <x:v>Postoperative opioid consumption</x:v>
      </x:c>
      <x:c r="AN208" s="18" t="str">
        <x:v>Exact/explicit 24 h</x:v>
      </x:c>
      <x:c r="AO208" s="18" t="str">
        <x:v>EXCLUDE — DATA UNAVAILABLE</x:v>
      </x:c>
      <x:c r="AP208" s="18" t="str">
        <x:v>The source does not provide a defensible quantitative value for this analysis.</x:v>
      </x:c>
      <x:c r="AQ208" s="18" t="str">
        <x:v>No</x:v>
      </x:c>
      <x:c r="AR208" s="18" t="str"/>
      <x:c r="AS208" s="18" t="str">
        <x:v>Opioid/MME conversion required using prespecified review conversion</x:v>
      </x:c>
      <x:c r="AT208" s="18" t="str">
        <x:v>PONV incidence</x:v>
      </x:c>
      <x:c r="AU208" s="18" t="str">
        <x:v>Postoperative</x:v>
      </x:c>
      <x:c r="AV208" s="18" t="str">
        <x:v>Some concerns</x:v>
      </x:c>
      <x:c r="AW208" s="18" t="str">
        <x:v>Yes — selected RoB is for a different result/timepoint</x:v>
      </x:c>
      <x:c r="AX208" s="18" t="str">
        <x:v>Hou 2023</x:v>
      </x:c>
      <x:c r="AY208" s="18" t="str">
        <x:v>Primary eligible contrast</x:v>
      </x:c>
      <x:c r="AZ208" s="18" t="str">
        <x:v>Count this study once per synthesis unless a valid multi-arm method is used.</x:v>
      </x:c>
    </x:row>
    <x:row r="209">
      <x:c r="A209" s="18" t="str">
        <x:v>Huang 2017</x:v>
      </x:c>
      <x:c r="B209" s="18" t="str">
        <x:v>HUANG17_2100_vs_CTRL_REMI</x:v>
      </x:c>
      <x:c r="C209" s="18" t="str">
        <x:v>2/100-Hz TEAS</x:v>
      </x:c>
      <x:c r="D209" s="18" t="str">
        <x:v>Placebo TEAS/no current</x:v>
      </x:c>
      <x:c r="E209" s="18" t="str">
        <x:v>Intraoperative opioid</x:v>
      </x:c>
      <x:c r="F209" s="18" t="str">
        <x:v>Total opioid as remifentanil-equivalent rate</x:v>
      </x:c>
      <x:c r="G209" s="18" t="str">
        <x:v>Intraoperative</x:v>
      </x:c>
      <x:c r="H209" s="18" t="str">
        <x:v>Mean/SD</x:v>
      </x:c>
      <x:c r="I209" s="18" t="n">
        <x:v>20</x:v>
      </x:c>
      <x:c r="J209" s="18" t="n">
        <x:v>20</x:v>
      </x:c>
      <x:c r="K209" s="18" t="n">
        <x:v>20</x:v>
      </x:c>
      <x:c r="L209" s="18" t="n">
        <x:v>20</x:v>
      </x:c>
      <x:c r="M209" s="18" t="n">
        <x:v>0.1128</x:v>
      </x:c>
      <x:c r="N209" s="18" t="n">
        <x:v>0.034</x:v>
      </x:c>
      <x:c r="O209" s="18"/>
      <x:c r="P209" s="18"/>
      <x:c r="Q209" s="18"/>
      <x:c r="R209" s="18"/>
      <x:c r="S209" s="18" t="n">
        <x:v>0.1617</x:v>
      </x:c>
      <x:c r="T209" s="18" t="n">
        <x:v>0.037</x:v>
      </x:c>
      <x:c r="U209" s="18"/>
      <x:c r="V209" s="18"/>
      <x:c r="W209" s="18"/>
      <x:c r="X209" s="18"/>
      <x:c r="Y209" s="18" t="str">
        <x:v>µg/kg/min remifentanil-equivalent</x:v>
      </x:c>
      <x:c r="Z209" s="18" t="str">
        <x:v>2/100 vs control P≤0.001</x:v>
      </x:c>
      <x:c r="AA209" s="18" t="str">
        <x:v>Yes</x:v>
      </x:c>
      <x:c r="AB209" s="18" t="str">
        <x:v>No</x:v>
      </x:c>
      <x:c r="AC209" s="18" t="str">
        <x:v>MD</x:v>
      </x:c>
      <x:c r="AD209" s="18" t="n">
        <x:v>-0.04890000000000001</x:v>
      </x:c>
      <x:c r="AE209" s="18" t="str">
        <x:v>No</x:v>
      </x:c>
      <x:c r="AF209" s="18" t="str">
        <x:v>No</x:v>
      </x:c>
      <x:c r="AG209" s="18" t="str">
        <x:v>Eligible for intraoperative opioid analysis; shared control requires multi-arm handling</x:v>
      </x:c>
      <x:c r="AH209" s="18" t="str">
        <x:v>Yes</x:v>
      </x:c>
      <x:c r="AI209" s="18" t="str">
        <x:v>Four-arm frequency trial; preserve each active frequency separately</x:v>
      </x:c>
      <x:c r="AJ209" s="18" t="str">
        <x:v>Table 2 / intraoperative anesthetic consumption</x:v>
      </x:c>
      <x:c r="AK209" s="18" t="str">
        <x:v>https://drive.google.com/file/d/1RJGi1PYvw75qVW9UK8CBtJPH4G035ASs/view?usp=drivesdk</x:v>
      </x:c>
      <x:c r="AL209" s="18" t="str">
        <x:v>SOURCE-VERIFIED</x:v>
      </x:c>
      <x:c r="AM209" s="18" t="str">
        <x:v>Intraoperative opioid</x:v>
      </x:c>
      <x:c r="AN209" s="18" t="str">
        <x:v>Intraoperative</x:v>
      </x:c>
      <x:c r="AO209" s="18" t="str">
        <x:v>INCLUDE — INTRAOPERATIVE</x:v>
      </x:c>
      <x:c r="AP209" s="18" t="str">
        <x:v>Valid intraoperative opioid endpoint; must remain separate from postoperative opioid consumption.</x:v>
      </x:c>
      <x:c r="AQ209" s="18" t="str">
        <x:v>No</x:v>
      </x:c>
      <x:c r="AR209" s="18" t="str"/>
      <x:c r="AS209" s="18" t="str">
        <x:v>None</x:v>
      </x:c>
      <x:c r="AT209" s="18" t="str">
        <x:v>Total opioid as remifentanil-equivalent rate</x:v>
      </x:c>
      <x:c r="AU209" s="18" t="str">
        <x:v>Intraoperative</x:v>
      </x:c>
      <x:c r="AV209" s="18" t="str">
        <x:v>Some concerns</x:v>
      </x:c>
      <x:c r="AW209" s="18" t="str">
        <x:v>No — selected RoB matches this result</x:v>
      </x:c>
      <x:c r="AX209" s="18" t="str">
        <x:v>Huang 2017</x:v>
      </x:c>
      <x:c r="AY209" s="18" t="str">
        <x:v>Shared-control / multi-arm contrast</x:v>
      </x:c>
      <x:c r="AZ209" s="18" t="str">
        <x:v>Shared comparator present; avoid double-counting controls.</x:v>
      </x:c>
    </x:row>
    <x:row r="210">
      <x:c r="A210" s="18" t="str">
        <x:v>Huang 2017</x:v>
      </x:c>
      <x:c r="B210" s="18" t="str">
        <x:v>HUANG17_2HZ_vs_CTRL_REMI</x:v>
      </x:c>
      <x:c r="C210" s="18" t="str">
        <x:v>2-Hz TEAS</x:v>
      </x:c>
      <x:c r="D210" s="18" t="str">
        <x:v>Placebo TEAS/no current</x:v>
      </x:c>
      <x:c r="E210" s="18" t="str">
        <x:v>Intraoperative opioid</x:v>
      </x:c>
      <x:c r="F210" s="18" t="str">
        <x:v>Total opioid as remifentanil-equivalent rate</x:v>
      </x:c>
      <x:c r="G210" s="18" t="str">
        <x:v>Intraoperative</x:v>
      </x:c>
      <x:c r="H210" s="18" t="str">
        <x:v>Mean/SD</x:v>
      </x:c>
      <x:c r="I210" s="18" t="n">
        <x:v>20</x:v>
      </x:c>
      <x:c r="J210" s="18" t="n">
        <x:v>20</x:v>
      </x:c>
      <x:c r="K210" s="18" t="n">
        <x:v>20</x:v>
      </x:c>
      <x:c r="L210" s="18" t="n">
        <x:v>20</x:v>
      </x:c>
      <x:c r="M210" s="18" t="n">
        <x:v>0.1718</x:v>
      </x:c>
      <x:c r="N210" s="18" t="n">
        <x:v>0.066</x:v>
      </x:c>
      <x:c r="O210" s="18"/>
      <x:c r="P210" s="18"/>
      <x:c r="Q210" s="18"/>
      <x:c r="R210" s="18"/>
      <x:c r="S210" s="18" t="n">
        <x:v>0.1617</x:v>
      </x:c>
      <x:c r="T210" s="18" t="n">
        <x:v>0.037</x:v>
      </x:c>
      <x:c r="U210" s="18"/>
      <x:c r="V210" s="18"/>
      <x:c r="W210" s="18"/>
      <x:c r="X210" s="18"/>
      <x:c r="Y210" s="18" t="str">
        <x:v>µg/kg/min remifentanil-equivalent</x:v>
      </x:c>
      <x:c r="Z210" s="18" t="str">
        <x:v>NR pairwise vs control</x:v>
      </x:c>
      <x:c r="AA210" s="18" t="str">
        <x:v>Yes</x:v>
      </x:c>
      <x:c r="AB210" s="18" t="str">
        <x:v>No</x:v>
      </x:c>
      <x:c r="AC210" s="18" t="str">
        <x:v>MD</x:v>
      </x:c>
      <x:c r="AD210" s="18" t="n">
        <x:v>0.010099999999999998</x:v>
      </x:c>
      <x:c r="AE210" s="18" t="str">
        <x:v>No</x:v>
      </x:c>
      <x:c r="AF210" s="18" t="str">
        <x:v>No</x:v>
      </x:c>
      <x:c r="AG210" s="18" t="str">
        <x:v>Eligible for intraoperative opioid analysis; shared control requires multi-arm handling</x:v>
      </x:c>
      <x:c r="AH210" s="18" t="str">
        <x:v>Yes</x:v>
      </x:c>
      <x:c r="AI210" s="18" t="str">
        <x:v>Four-arm frequency trial; preserve each active frequency separately</x:v>
      </x:c>
      <x:c r="AJ210" s="18" t="str">
        <x:v>Table 2 / intraoperative anesthetic consumption</x:v>
      </x:c>
      <x:c r="AK210" s="18" t="str">
        <x:v>https://drive.google.com/file/d/1RJGi1PYvw75qVW9UK8CBtJPH4G035ASs/view?usp=drivesdk</x:v>
      </x:c>
      <x:c r="AL210" s="18" t="str">
        <x:v>SOURCE-VERIFIED</x:v>
      </x:c>
      <x:c r="AM210" s="18" t="str">
        <x:v>Intraoperative opioid</x:v>
      </x:c>
      <x:c r="AN210" s="18" t="str">
        <x:v>Intraoperative</x:v>
      </x:c>
      <x:c r="AO210" s="18" t="str">
        <x:v>INCLUDE — INTRAOPERATIVE</x:v>
      </x:c>
      <x:c r="AP210" s="18" t="str">
        <x:v>Valid intraoperative opioid endpoint; must remain separate from postoperative opioid consumption.</x:v>
      </x:c>
      <x:c r="AQ210" s="18" t="str">
        <x:v>No</x:v>
      </x:c>
      <x:c r="AR210" s="18" t="str"/>
      <x:c r="AS210" s="18" t="str">
        <x:v>None</x:v>
      </x:c>
      <x:c r="AT210" s="18" t="str">
        <x:v>Total opioid as remifentanil-equivalent rate</x:v>
      </x:c>
      <x:c r="AU210" s="18" t="str">
        <x:v>Intraoperative</x:v>
      </x:c>
      <x:c r="AV210" s="18" t="str">
        <x:v>Some concerns</x:v>
      </x:c>
      <x:c r="AW210" s="18" t="str">
        <x:v>No — selected RoB matches this result</x:v>
      </x:c>
      <x:c r="AX210" s="18" t="str">
        <x:v>Huang 2017</x:v>
      </x:c>
      <x:c r="AY210" s="18" t="str">
        <x:v>Shared-control / multi-arm contrast</x:v>
      </x:c>
      <x:c r="AZ210" s="18" t="str">
        <x:v>Shared comparator present; avoid double-counting controls.</x:v>
      </x:c>
    </x:row>
    <x:row r="211">
      <x:c r="A211" s="18" t="str">
        <x:v>Huang 2017</x:v>
      </x:c>
      <x:c r="B211" s="18" t="str">
        <x:v>HUANG17_100HZ_vs_CTRL_REMI</x:v>
      </x:c>
      <x:c r="C211" s="18" t="str">
        <x:v>100-Hz TEAS</x:v>
      </x:c>
      <x:c r="D211" s="18" t="str">
        <x:v>Placebo TEAS/no current</x:v>
      </x:c>
      <x:c r="E211" s="18" t="str">
        <x:v>Intraoperative opioid</x:v>
      </x:c>
      <x:c r="F211" s="18" t="str">
        <x:v>Total opioid as remifentanil-equivalent rate</x:v>
      </x:c>
      <x:c r="G211" s="18" t="str">
        <x:v>Intraoperative</x:v>
      </x:c>
      <x:c r="H211" s="18" t="str">
        <x:v>Mean/SD</x:v>
      </x:c>
      <x:c r="I211" s="18" t="n">
        <x:v>20</x:v>
      </x:c>
      <x:c r="J211" s="18" t="n">
        <x:v>20</x:v>
      </x:c>
      <x:c r="K211" s="18" t="n">
        <x:v>20</x:v>
      </x:c>
      <x:c r="L211" s="18" t="n">
        <x:v>20</x:v>
      </x:c>
      <x:c r="M211" s="18" t="n">
        <x:v>0.1451</x:v>
      </x:c>
      <x:c r="N211" s="18" t="n">
        <x:v>0.036</x:v>
      </x:c>
      <x:c r="O211" s="18"/>
      <x:c r="P211" s="18"/>
      <x:c r="Q211" s="18"/>
      <x:c r="R211" s="18"/>
      <x:c r="S211" s="18" t="n">
        <x:v>0.1617</x:v>
      </x:c>
      <x:c r="T211" s="18" t="n">
        <x:v>0.037</x:v>
      </x:c>
      <x:c r="U211" s="18"/>
      <x:c r="V211" s="18"/>
      <x:c r="W211" s="18"/>
      <x:c r="X211" s="18"/>
      <x:c r="Y211" s="18" t="str">
        <x:v>µg/kg/min remifentanil-equivalent</x:v>
      </x:c>
      <x:c r="Z211" s="18" t="str">
        <x:v>NR pairwise vs control</x:v>
      </x:c>
      <x:c r="AA211" s="18" t="str">
        <x:v>Yes</x:v>
      </x:c>
      <x:c r="AB211" s="18" t="str">
        <x:v>No</x:v>
      </x:c>
      <x:c r="AC211" s="18" t="str">
        <x:v>MD</x:v>
      </x:c>
      <x:c r="AD211" s="18" t="n">
        <x:v>-0.016600000000000004</x:v>
      </x:c>
      <x:c r="AE211" s="18" t="str">
        <x:v>No</x:v>
      </x:c>
      <x:c r="AF211" s="18" t="str">
        <x:v>No</x:v>
      </x:c>
      <x:c r="AG211" s="18" t="str">
        <x:v>Eligible for intraoperative opioid analysis; shared control requires multi-arm handling</x:v>
      </x:c>
      <x:c r="AH211" s="18" t="str">
        <x:v>Yes</x:v>
      </x:c>
      <x:c r="AI211" s="18" t="str">
        <x:v>Four-arm frequency trial; preserve each active frequency separately</x:v>
      </x:c>
      <x:c r="AJ211" s="18" t="str">
        <x:v>Table 2 / intraoperative anesthetic consumption</x:v>
      </x:c>
      <x:c r="AK211" s="18" t="str">
        <x:v>https://drive.google.com/file/d/1RJGi1PYvw75qVW9UK8CBtJPH4G035ASs/view?usp=drivesdk</x:v>
      </x:c>
      <x:c r="AL211" s="18" t="str">
        <x:v>SOURCE-VERIFIED</x:v>
      </x:c>
      <x:c r="AM211" s="18" t="str">
        <x:v>Intraoperative opioid</x:v>
      </x:c>
      <x:c r="AN211" s="18" t="str">
        <x:v>Intraoperative</x:v>
      </x:c>
      <x:c r="AO211" s="18" t="str">
        <x:v>INCLUDE — INTRAOPERATIVE</x:v>
      </x:c>
      <x:c r="AP211" s="18" t="str">
        <x:v>Valid intraoperative opioid endpoint; must remain separate from postoperative opioid consumption.</x:v>
      </x:c>
      <x:c r="AQ211" s="18" t="str">
        <x:v>No</x:v>
      </x:c>
      <x:c r="AR211" s="18" t="str"/>
      <x:c r="AS211" s="18" t="str">
        <x:v>None</x:v>
      </x:c>
      <x:c r="AT211" s="18" t="str">
        <x:v>Total opioid as remifentanil-equivalent rate</x:v>
      </x:c>
      <x:c r="AU211" s="18" t="str">
        <x:v>Intraoperative</x:v>
      </x:c>
      <x:c r="AV211" s="18" t="str">
        <x:v>Some concerns</x:v>
      </x:c>
      <x:c r="AW211" s="18" t="str">
        <x:v>No — selected RoB matches this result</x:v>
      </x:c>
      <x:c r="AX211" s="18" t="str">
        <x:v>Huang 2017</x:v>
      </x:c>
      <x:c r="AY211" s="18" t="str">
        <x:v>Shared-control / multi-arm contrast</x:v>
      </x:c>
      <x:c r="AZ211" s="18" t="str">
        <x:v>Shared comparator present; avoid double-counting controls.</x:v>
      </x:c>
    </x:row>
    <x:row r="212">
      <x:c r="A212" s="18" t="str">
        <x:v>Huang 2017</x:v>
      </x:c>
      <x:c r="B212" s="18" t="str">
        <x:v>HUANG17_POSTOP_SUF_AGG</x:v>
      </x:c>
      <x:c r="C212" s="18" t="str">
        <x:v>2/100-Hz TEAS</x:v>
      </x:c>
      <x:c r="D212" s="18" t="str">
        <x:v>Placebo TEAS/no current</x:v>
      </x:c>
      <x:c r="E212" s="18" t="str">
        <x:v>Opioid consumption</x:v>
      </x:c>
      <x:c r="F212" s="18" t="str">
        <x:v>Published postoperative sufentanil aggregate</x:v>
      </x:c>
      <x:c r="G212" s="18" t="str">
        <x:v>Observation window unclear</x:v>
      </x:c>
      <x:c r="H212" s="18" t="str">
        <x:v>Mean/SD</x:v>
      </x:c>
      <x:c r="I212" s="18" t="n">
        <x:v>20</x:v>
      </x:c>
      <x:c r="J212" s="18" t="n">
        <x:v>20</x:v>
      </x:c>
      <x:c r="K212" s="18" t="n">
        <x:v>20</x:v>
      </x:c>
      <x:c r="L212" s="18" t="n">
        <x:v>20</x:v>
      </x:c>
      <x:c r="M212" s="18" t="n">
        <x:v>1.67</x:v>
      </x:c>
      <x:c r="N212" s="18" t="n">
        <x:v>0.59</x:v>
      </x:c>
      <x:c r="O212" s="18"/>
      <x:c r="P212" s="18"/>
      <x:c r="Q212" s="18"/>
      <x:c r="R212" s="18"/>
      <x:c r="S212" s="18" t="n">
        <x:v>1.32</x:v>
      </x:c>
      <x:c r="T212" s="18" t="n">
        <x:v>0.48</x:v>
      </x:c>
      <x:c r="U212" s="18"/>
      <x:c r="V212" s="18"/>
      <x:c r="W212" s="18"/>
      <x:c r="X212" s="18"/>
      <x:c r="Y212" s="18" t="str">
        <x:v>µg/kg sufentanil</x:v>
      </x:c>
      <x:c r="Z212" s="18" t="str">
        <x:v>NS</x:v>
      </x:c>
      <x:c r="AA212" s="18" t="str">
        <x:v>Yes</x:v>
      </x:c>
      <x:c r="AB212" s="18" t="str">
        <x:v>No</x:v>
      </x:c>
      <x:c r="AC212" s="18" t="str">
        <x:v>MD</x:v>
      </x:c>
      <x:c r="AD212" s="18" t="n">
        <x:v>0.34999999999999987</x:v>
      </x:c>
      <x:c r="AE212" s="18" t="str">
        <x:v>No</x:v>
      </x:c>
      <x:c r="AF212" s="18" t="str">
        <x:v>No</x:v>
      </x:c>
      <x:c r="AG212" s="18" t="str">
        <x:v>Not eligible for strict 24-h opioid analysis because the aggregate time window is undefined</x:v>
      </x:c>
      <x:c r="AH212" s="18" t="str">
        <x:v>Yes</x:v>
      </x:c>
      <x:c r="AI212" s="18" t="str">
        <x:v>Methods mention 6/12/24/48-h assessments but Table 5 gives only one aggregate dose per group</x:v>
      </x:c>
      <x:c r="AJ212" s="18" t="str">
        <x:v>Table 5 / postoperative analgesic consumption</x:v>
      </x:c>
      <x:c r="AK212" s="18" t="str">
        <x:v>https://drive.google.com/file/d/1RJGi1PYvw75qVW9UK8CBtJPH4G035ASs/view?usp=drivesdk</x:v>
      </x:c>
      <x:c r="AL212" s="18" t="str">
        <x:v>SOURCE-VERIFIED / WINDOW UNRESOLVED</x:v>
      </x:c>
      <x:c r="AM212" s="18" t="str">
        <x:v>Postoperative opioid consumption</x:v>
      </x:c>
      <x:c r="AN212" s="18" t="str">
        <x:v>Observation window unclear</x:v>
      </x:c>
      <x:c r="AO212" s="18" t="str">
        <x:v>EXCLUDE — NOT PRIMARY 24H OPIOID</x:v>
      </x:c>
      <x:c r="AP212" s="18" t="str">
        <x:v>Not a strict 0-24-h postoperative opioid-consumption endpoint.</x:v>
      </x:c>
      <x:c r="AQ212" s="18" t="str">
        <x:v>No</x:v>
      </x:c>
      <x:c r="AR212" s="18" t="str"/>
      <x:c r="AS212" s="18" t="str">
        <x:v>Opioid/MME conversion required using prespecified review conversion</x:v>
      </x:c>
      <x:c r="AT212" s="18" t="str">
        <x:v>Total opioid as remifentanil-equivalent rate</x:v>
      </x:c>
      <x:c r="AU212" s="18" t="str">
        <x:v>Intraoperative</x:v>
      </x:c>
      <x:c r="AV212" s="18" t="str">
        <x:v>Some concerns</x:v>
      </x:c>
      <x:c r="AW212" s="18" t="str">
        <x:v>Yes — selected RoB is for a different result/timepoint</x:v>
      </x:c>
      <x:c r="AX212" s="18" t="str">
        <x:v>Huang 2017</x:v>
      </x:c>
      <x:c r="AY212" s="18" t="str">
        <x:v>Shared-control / multi-arm contrast</x:v>
      </x:c>
      <x:c r="AZ212" s="18" t="str">
        <x:v>Shared comparator present; avoid double-counting controls.</x:v>
      </x:c>
    </x:row>
    <x:row r="213">
      <x:c r="A213" s="18" t="str">
        <x:v>Huang 2017</x:v>
      </x:c>
      <x:c r="B213" s="18" t="str">
        <x:v>HUANG17_OPIOID24</x:v>
      </x:c>
      <x:c r="C213" s="18" t="str">
        <x:v>Active TEAS frequency arms</x:v>
      </x:c>
      <x:c r="D213" s="18" t="str">
        <x:v>Placebo TEAS/no current</x:v>
      </x:c>
      <x:c r="E213" s="18" t="str">
        <x:v>Opioid consumption</x:v>
      </x:c>
      <x:c r="F213" s="18" t="str">
        <x:v>Exact cumulative postoperative sufentanil consumption</x:v>
      </x:c>
      <x:c r="G213" s="18" t="str">
        <x:v>0-24 h</x:v>
      </x:c>
      <x:c r="H213" s="18" t="str">
        <x:v>Not reported</x:v>
      </x:c>
      <x:c r="I213" s="18" t="n">
        <x:v>20</x:v>
      </x:c>
      <x:c r="J213" s="18" t="n">
        <x:v>20</x:v>
      </x:c>
      <x:c r="K213" s="18" t="n">
        <x:v>20</x:v>
      </x:c>
      <x:c r="L213" s="18" t="n">
        <x:v>20</x:v>
      </x:c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 t="str">
        <x:v>µg/kg sufentanil</x:v>
      </x:c>
      <x:c r="Z213" s="18"/>
      <x:c r="AA213" s="18" t="str">
        <x:v>No</x:v>
      </x:c>
      <x:c r="AB213" s="18" t="str">
        <x:v>No</x:v>
      </x:c>
      <x:c r="AC213" s="18"/>
      <x:c r="AD213" s="18"/>
      <x:c r="AE213" s="18" t="str">
        <x:v>No</x:v>
      </x:c>
      <x:c r="AF213" s="18" t="str">
        <x:v>No</x:v>
      </x:c>
      <x:c r="AG213" s="18" t="str">
        <x:v>Not eligible for continuous 24-h opioid/MME meta-analysis</x:v>
      </x:c>
      <x:c r="AH213" s="18" t="str">
        <x:v>Yes</x:v>
      </x:c>
      <x:c r="AI213" s="18" t="str">
        <x:v>Exact 24-h group values and PCA demand/delivery counts are not published</x:v>
      </x:c>
      <x:c r="AJ213" s="18" t="str">
        <x:v>Exact 24-h postoperative endpoint absent</x:v>
      </x:c>
      <x:c r="AK213" s="18" t="str">
        <x:v>https://drive.google.com/file/d/1RJGi1PYvw75qVW9UK8CBtJPH4G035ASs/view?usp=drivesdk</x:v>
      </x:c>
      <x:c r="AL213" s="18" t="str">
        <x:v>MISSING / AUTHOR DATA NEEDED</x:v>
      </x:c>
      <x:c r="AM213" s="18" t="str">
        <x:v>Postoperative opioid consumption</x:v>
      </x:c>
      <x:c r="AN213" s="18" t="str">
        <x:v>Exact/explicit 24 h</x:v>
      </x:c>
      <x:c r="AO213" s="18" t="str">
        <x:v>EXCLUDE — DATA UNAVAILABLE</x:v>
      </x:c>
      <x:c r="AP213" s="18" t="str">
        <x:v>The source does not provide a defensible quantitative value for this analysis.</x:v>
      </x:c>
      <x:c r="AQ213" s="18" t="str">
        <x:v>No</x:v>
      </x:c>
      <x:c r="AR213" s="18" t="str"/>
      <x:c r="AS213" s="18" t="str">
        <x:v>Opioid/MME conversion required using prespecified review conversion</x:v>
      </x:c>
      <x:c r="AT213" s="18" t="str">
        <x:v>Total opioid as remifentanil-equivalent rate</x:v>
      </x:c>
      <x:c r="AU213" s="18" t="str">
        <x:v>Intraoperative</x:v>
      </x:c>
      <x:c r="AV213" s="18" t="str">
        <x:v>Some concerns</x:v>
      </x:c>
      <x:c r="AW213" s="18" t="str">
        <x:v>Yes — selected RoB is for a different result/timepoint</x:v>
      </x:c>
      <x:c r="AX213" s="18" t="str">
        <x:v>Huang 2017</x:v>
      </x:c>
      <x:c r="AY213" s="18" t="str">
        <x:v>Shared-control / multi-arm contrast</x:v>
      </x:c>
      <x:c r="AZ213" s="18" t="str">
        <x:v>Shared comparator present; avoid double-counting controls.</x:v>
      </x:c>
    </x:row>
    <x:row r="214">
      <x:c r="A214" s="18" t="str">
        <x:v>He 2026 (hepatectomy/JIS)</x:v>
      </x:c>
      <x:c r="B214" s="18" t="str">
        <x:v>HEJIS26_TEAS_vs_CTRL_MME24</x:v>
      </x:c>
      <x:c r="C214" s="18" t="str">
        <x:v>Intraoperative PC6 TEAS</x:v>
      </x:c>
      <x:c r="D214" s="18" t="str">
        <x:v>No-current PC6 control</x:v>
      </x:c>
      <x:c r="E214" s="18" t="str">
        <x:v>Opioid consumption</x:v>
      </x:c>
      <x:c r="F214" s="18" t="str">
        <x:v>Total postoperative opioid consumption in morphine equivalents</x:v>
      </x:c>
      <x:c r="G214" s="18" t="str">
        <x:v>0-24 h</x:v>
      </x:c>
      <x:c r="H214" s="18" t="str">
        <x:v>Mean/SD</x:v>
      </x:c>
      <x:c r="I214" s="18" t="n">
        <x:v>81</x:v>
      </x:c>
      <x:c r="J214" s="18" t="n">
        <x:v>80</x:v>
      </x:c>
      <x:c r="K214" s="18" t="n">
        <x:v>80</x:v>
      </x:c>
      <x:c r="L214" s="18" t="n">
        <x:v>79</x:v>
      </x:c>
      <x:c r="M214" s="18" t="n">
        <x:v>20</x:v>
      </x:c>
      <x:c r="N214" s="18" t="n">
        <x:v>2.5</x:v>
      </x:c>
      <x:c r="O214" s="18"/>
      <x:c r="P214" s="18"/>
      <x:c r="Q214" s="18"/>
      <x:c r="R214" s="18"/>
      <x:c r="S214" s="18" t="n">
        <x:v>20.6</x:v>
      </x:c>
      <x:c r="T214" s="18" t="n">
        <x:v>4.5</x:v>
      </x:c>
      <x:c r="U214" s="18"/>
      <x:c r="V214" s="18"/>
      <x:c r="W214" s="18"/>
      <x:c r="X214" s="18"/>
      <x:c r="Y214" s="18" t="str">
        <x:v>mg MME</x:v>
      </x:c>
      <x:c r="Z214" s="18" t="str">
        <x:v>0.30</x:v>
      </x:c>
      <x:c r="AA214" s="18" t="str">
        <x:v>Yes</x:v>
      </x:c>
      <x:c r="AB214" s="18" t="str">
        <x:v>No</x:v>
      </x:c>
      <x:c r="AC214" s="18" t="str">
        <x:v>MD</x:v>
      </x:c>
      <x:c r="AD214" s="18" t="n">
        <x:v>-0.6000000000000014</x:v>
      </x:c>
      <x:c r="AE214" s="18" t="str">
        <x:v>Yes</x:v>
      </x:c>
      <x:c r="AF214" s="18" t="str">
        <x:v>Yes</x:v>
      </x:c>
      <x:c r="AG214" s="18" t="str">
        <x:v>Primary continuous 24-h opioid endpoint</x:v>
      </x:c>
      <x:c r="AH214" s="18" t="str">
        <x:v>No</x:v>
      </x:c>
      <x:c r="AI214" s="18" t="str">
        <x:v>Supplemental eTable 1 directly reports MME; mITT excludes one canceled surgery and one consent withdrawal after randomization</x:v>
      </x:c>
      <x:c r="AJ214" s="18" t="str">
        <x:v>Supplemental Material 2, eTable 1</x:v>
      </x:c>
      <x:c r="AK214" s="18" t="str">
        <x:v>https://drive.google.com/file/d/1VgOxIOrGe7ZVevkKEVP7G-0V1DXPU0Gf/view?usp=drivesdk</x:v>
      </x:c>
      <x:c r="AL214" s="18" t="str">
        <x:v>SOURCE-VERIFIED</x:v>
      </x:c>
      <x:c r="AM214" s="18" t="str">
        <x:v>Postoperative opioid consumption</x:v>
      </x:c>
      <x:c r="AN214" s="18" t="str">
        <x:v>Exact/explicit 24 h</x:v>
      </x:c>
      <x:c r="AO214" s="18" t="str">
        <x:v>INCLUDE</x:v>
      </x:c>
      <x:c r="AP214" s="18" t="str">
        <x:v>Explicit 0-24-h postoperative opioid endpoint and marked eligible in the reconciled source data.</x:v>
      </x:c>
      <x:c r="AQ214" s="18" t="str">
        <x:v>Yes</x:v>
      </x:c>
      <x:c r="AR214" s="18" t="str"/>
      <x:c r="AS214" s="18" t="str">
        <x:v>None</x:v>
      </x:c>
      <x:c r="AT214" s="18" t="str">
        <x:v>Total postoperative opioid consumption in morphine equivalents</x:v>
      </x:c>
      <x:c r="AU214" s="18" t="str">
        <x:v>0-24 h</x:v>
      </x:c>
      <x:c r="AV214" s="18" t="str">
        <x:v>Some concerns</x:v>
      </x:c>
      <x:c r="AW214" s="18" t="str">
        <x:v>No — selected RoB matches this result</x:v>
      </x:c>
      <x:c r="AX214" s="18" t="str">
        <x:v>He 2026 (hepatectomy/JIS)</x:v>
      </x:c>
      <x:c r="AY214" s="18" t="str">
        <x:v>Primary eligible contrast</x:v>
      </x:c>
      <x:c r="AZ214" s="18" t="str">
        <x:v>Count this study once per synthesis unless a valid multi-arm method is used.</x:v>
      </x:c>
    </x:row>
    <x:row r="215">
      <x:c r="A215" s="18" t="str">
        <x:v>He 2026 (hepatectomy/JIS)</x:v>
      </x:c>
      <x:c r="B215" s="18" t="str">
        <x:v>HEJIS26_TEAS_vs_CTRL_PONV24</x:v>
      </x:c>
      <x:c r="C215" s="18" t="str">
        <x:v>Intraoperative PC6 TEAS</x:v>
      </x:c>
      <x:c r="D215" s="18" t="str">
        <x:v>No-current PC6 control</x:v>
      </x:c>
      <x:c r="E215" s="18" t="str">
        <x:v>PONV</x:v>
      </x:c>
      <x:c r="F215" s="18" t="str">
        <x:v>PONV incidence</x:v>
      </x:c>
      <x:c r="G215" s="18" t="str">
        <x:v>0-24 h</x:v>
      </x:c>
      <x:c r="H215" s="18" t="str">
        <x:v>Events/total</x:v>
      </x:c>
      <x:c r="I215" s="18" t="n">
        <x:v>81</x:v>
      </x:c>
      <x:c r="J215" s="18" t="n">
        <x:v>80</x:v>
      </x:c>
      <x:c r="K215" s="18" t="n">
        <x:v>80</x:v>
      </x:c>
      <x:c r="L215" s="18" t="n">
        <x:v>79</x:v>
      </x:c>
      <x:c r="M215" s="18"/>
      <x:c r="N215" s="18"/>
      <x:c r="O215" s="18"/>
      <x:c r="P215" s="18"/>
      <x:c r="Q215" s="18"/>
      <x:c r="R215" s="18" t="n">
        <x:v>19</x:v>
      </x:c>
      <x:c r="S215" s="18"/>
      <x:c r="T215" s="18"/>
      <x:c r="U215" s="18"/>
      <x:c r="V215" s="18"/>
      <x:c r="W215" s="18"/>
      <x:c r="X215" s="18" t="n">
        <x:v>21</x:v>
      </x:c>
      <x:c r="Y215" s="18" t="str">
        <x:v>participants</x:v>
      </x:c>
      <x:c r="Z215" s="18" t="str">
        <x:v>0.68</x:v>
      </x:c>
      <x:c r="AA215" s="18" t="str">
        <x:v>Yes</x:v>
      </x:c>
      <x:c r="AB215" s="18" t="str">
        <x:v>No</x:v>
      </x:c>
      <x:c r="AC215" s="18" t="str">
        <x:v>RR</x:v>
      </x:c>
      <x:c r="AD215" s="18" t="n">
        <x:v>0.893452380952381</x:v>
      </x:c>
      <x:c r="AE215" s="18" t="str">
        <x:v>No</x:v>
      </x:c>
      <x:c r="AF215" s="18" t="str">
        <x:v>No</x:v>
      </x:c>
      <x:c r="AG215" s="18" t="str">
        <x:v>Eligible for dichotomous 24-h PONV analysis</x:v>
      </x:c>
      <x:c r="AH215" s="18" t="str">
        <x:v>No</x:v>
      </x:c>
      <x:c r="AI215" s="18" t="str">
        <x:v>Primary trial outcome; no meaningful between-group difference</x:v>
      </x:c>
      <x:c r="AJ215" s="18" t="str">
        <x:v>Primary PONV outcome / mITT</x:v>
      </x:c>
      <x:c r="AK215" s="18" t="str">
        <x:v>https://drive.google.com/file/d/1VgOxIOrGe7ZVevkKEVP7G-0V1DXPU0Gf/view?usp=drivesdk</x:v>
      </x:c>
      <x:c r="AL215" s="18" t="str">
        <x:v>SOURCE-VERIFIED</x:v>
      </x:c>
      <x:c r="AM215" s="18" t="str">
        <x:v>PONV</x:v>
      </x:c>
      <x:c r="AN215" s="18" t="str">
        <x:v>Exact/explicit 24 h</x:v>
      </x:c>
      <x:c r="AO215" s="18" t="str">
        <x:v>INCLUDE</x:v>
      </x:c>
      <x:c r="AP215" s="18" t="str">
        <x:v>Explicit 24-h PONV endpoint.</x:v>
      </x:c>
      <x:c r="AQ215" s="18" t="str">
        <x:v>Yes</x:v>
      </x:c>
      <x:c r="AR215" s="18" t="str"/>
      <x:c r="AS215" s="18" t="str">
        <x:v>Binary effect measure (RR preferred per protocol)</x:v>
      </x:c>
      <x:c r="AT215" s="18" t="str">
        <x:v>Total postoperative opioid consumption in morphine equivalents</x:v>
      </x:c>
      <x:c r="AU215" s="18" t="str">
        <x:v>0-24 h</x:v>
      </x:c>
      <x:c r="AV215" s="18" t="str">
        <x:v>Some concerns</x:v>
      </x:c>
      <x:c r="AW215" s="18" t="str">
        <x:v>Yes — selected RoB is for a different result/timepoint</x:v>
      </x:c>
      <x:c r="AX215" s="18" t="str">
        <x:v>He 2026 (hepatectomy/JIS)</x:v>
      </x:c>
      <x:c r="AY215" s="18" t="str">
        <x:v>Primary eligible contrast</x:v>
      </x:c>
      <x:c r="AZ215" s="18" t="str">
        <x:v>Count this study once per synthesis unless a valid multi-arm method is used.</x:v>
      </x:c>
    </x:row>
    <x:row r="216">
      <x:c r="A216" s="18" t="str">
        <x:v>He 2026 (hepatectomy/JIS)</x:v>
      </x:c>
      <x:c r="B216" s="18" t="str">
        <x:v>HEJIS26_TEAS_vs_CTRL_PCAATT24</x:v>
      </x:c>
      <x:c r="C216" s="18" t="str">
        <x:v>Intraoperative PC6 TEAS</x:v>
      </x:c>
      <x:c r="D216" s="18" t="str">
        <x:v>No-current PC6 control</x:v>
      </x:c>
      <x:c r="E216" s="18" t="str">
        <x:v>Opioid demand</x:v>
      </x:c>
      <x:c r="F216" s="18" t="str">
        <x:v>PCA attempts</x:v>
      </x:c>
      <x:c r="G216" s="18" t="str">
        <x:v>24 h</x:v>
      </x:c>
      <x:c r="H216" s="18" t="str">
        <x:v>Mean/SD</x:v>
      </x:c>
      <x:c r="I216" s="18" t="n">
        <x:v>81</x:v>
      </x:c>
      <x:c r="J216" s="18" t="n">
        <x:v>80</x:v>
      </x:c>
      <x:c r="K216" s="18" t="n">
        <x:v>80</x:v>
      </x:c>
      <x:c r="L216" s="18" t="n">
        <x:v>79</x:v>
      </x:c>
      <x:c r="M216" s="18" t="n">
        <x:v>2.7</x:v>
      </x:c>
      <x:c r="N216" s="18" t="n">
        <x:v>3.3</x:v>
      </x:c>
      <x:c r="O216" s="18"/>
      <x:c r="P216" s="18"/>
      <x:c r="Q216" s="18"/>
      <x:c r="R216" s="18"/>
      <x:c r="S216" s="18" t="n">
        <x:v>3.5</x:v>
      </x:c>
      <x:c r="T216" s="18" t="n">
        <x:v>6.1</x:v>
      </x:c>
      <x:c r="U216" s="18"/>
      <x:c r="V216" s="18"/>
      <x:c r="W216" s="18"/>
      <x:c r="X216" s="18"/>
      <x:c r="Y216" s="18" t="str">
        <x:v>attempts</x:v>
      </x:c>
      <x:c r="Z216" s="18" t="str">
        <x:v>0.02</x:v>
      </x:c>
      <x:c r="AA216" s="18" t="str">
        <x:v>Yes</x:v>
      </x:c>
      <x:c r="AB216" s="18" t="str">
        <x:v>No</x:v>
      </x:c>
      <x:c r="AC216" s="18" t="str">
        <x:v>MD</x:v>
      </x:c>
      <x:c r="AD216" s="18" t="n">
        <x:v>-0.7999999999999998</x:v>
      </x:c>
      <x:c r="AE216" s="18" t="str">
        <x:v>No</x:v>
      </x:c>
      <x:c r="AF216" s="18" t="str">
        <x:v>No</x:v>
      </x:c>
      <x:c r="AG216" s="18" t="str">
        <x:v>Eligible as 24-h PCA-demand outcome</x:v>
      </x:c>
      <x:c r="AH216" s="18" t="str">
        <x:v>No</x:v>
      </x:c>
      <x:c r="AI216" s="18" t="str">
        <x:v>Fewer attempts despite no difference in total MME</x:v>
      </x:c>
      <x:c r="AJ216" s="18" t="str">
        <x:v>Supplemental/secondary outcome</x:v>
      </x:c>
      <x:c r="AK216" s="18" t="str">
        <x:v>https://drive.google.com/file/d/1VgOxIOrGe7ZVevkKEVP7G-0V1DXPU0Gf/view?usp=drivesdk</x:v>
      </x:c>
      <x:c r="AL216" s="18" t="str">
        <x:v>SOURCE-VERIFIED</x:v>
      </x:c>
      <x:c r="AM216" s="18" t="str">
        <x:v>PCA demand/proxy</x:v>
      </x:c>
      <x:c r="AN216" s="18" t="str">
        <x:v>Exact/explicit 24 h</x:v>
      </x:c>
      <x:c r="AO216" s="18" t="str">
        <x:v>SECONDARY / PROXY ONLY</x:v>
      </x:c>
      <x:c r="AP216" s="18" t="str">
        <x:v>PCA presses, attempts, deliveries, or solution volume are not equivalent to opioid dose unless the pump prescription permits exact reconstruction.</x:v>
      </x:c>
      <x:c r="AQ216" s="18" t="str">
        <x:v>No</x:v>
      </x:c>
      <x:c r="AR216" s="18" t="str"/>
      <x:c r="AS216" s="18" t="str">
        <x:v>None</x:v>
      </x:c>
      <x:c r="AT216" s="18" t="str">
        <x:v>Total postoperative opioid consumption in morphine equivalents</x:v>
      </x:c>
      <x:c r="AU216" s="18" t="str">
        <x:v>0-24 h</x:v>
      </x:c>
      <x:c r="AV216" s="18" t="str">
        <x:v>Some concerns</x:v>
      </x:c>
      <x:c r="AW216" s="18" t="str">
        <x:v>Yes — selected RoB is for a different result/timepoint</x:v>
      </x:c>
      <x:c r="AX216" s="18" t="str">
        <x:v>He 2026 (hepatectomy/JIS)</x:v>
      </x:c>
      <x:c r="AY216" s="18" t="str">
        <x:v>Primary eligible contrast</x:v>
      </x:c>
      <x:c r="AZ216" s="18" t="str">
        <x:v>Count this study once per synthesis unless a valid multi-arm method is used.</x:v>
      </x:c>
    </x:row>
    <x:row r="217">
      <x:c r="A217" s="18" t="str">
        <x:v>He 2026 (breast/WJCO)</x:v>
      </x:c>
      <x:c r="B217" s="18" t="str">
        <x:v>HEBREAST26_EA_vs_SHAM_MODMOV24</x:v>
      </x:c>
      <x:c r="C217" s="18" t="str">
        <x:v>Perioperative EA + flurbiprofen</x:v>
      </x:c>
      <x:c r="D217" s="18" t="str">
        <x:v>Sham acupuncture + flurbiprofen</x:v>
      </x:c>
      <x:c r="E217" s="18" t="str">
        <x:v>Pain</x:v>
      </x:c>
      <x:c r="F217" s="18" t="str">
        <x:v>Moderate-to-severe movement-evoked pain (VAS &gt;4)</x:v>
      </x:c>
      <x:c r="G217" s="18" t="str">
        <x:v>24 h</x:v>
      </x:c>
      <x:c r="H217" s="18" t="str">
        <x:v>Events/total</x:v>
      </x:c>
      <x:c r="I217" s="18" t="n">
        <x:v>65</x:v>
      </x:c>
      <x:c r="J217" s="18" t="n">
        <x:v>65</x:v>
      </x:c>
      <x:c r="K217" s="18" t="n">
        <x:v>65</x:v>
      </x:c>
      <x:c r="L217" s="18" t="n">
        <x:v>65</x:v>
      </x:c>
      <x:c r="M217" s="18"/>
      <x:c r="N217" s="18"/>
      <x:c r="O217" s="18"/>
      <x:c r="P217" s="18"/>
      <x:c r="Q217" s="18"/>
      <x:c r="R217" s="18" t="n">
        <x:v>32</x:v>
      </x:c>
      <x:c r="S217" s="18"/>
      <x:c r="T217" s="18"/>
      <x:c r="U217" s="18"/>
      <x:c r="V217" s="18"/>
      <x:c r="W217" s="18"/>
      <x:c r="X217" s="18" t="n">
        <x:v>42</x:v>
      </x:c>
      <x:c r="Y217" s="18" t="str">
        <x:v>participants</x:v>
      </x:c>
      <x:c r="Z217" s="18" t="str">
        <x:v>&lt;0.05</x:v>
      </x:c>
      <x:c r="AA217" s="18" t="str">
        <x:v>Yes</x:v>
      </x:c>
      <x:c r="AB217" s="18" t="str">
        <x:v>No</x:v>
      </x:c>
      <x:c r="AC217" s="18" t="str">
        <x:v>RR</x:v>
      </x:c>
      <x:c r="AD217" s="18" t="n">
        <x:v>0.7619047619047619</x:v>
      </x:c>
      <x:c r="AE217" s="18" t="str">
        <x:v>No</x:v>
      </x:c>
      <x:c r="AF217" s="18" t="str">
        <x:v>No</x:v>
      </x:c>
      <x:c r="AG217" s="18" t="str">
        <x:v>Eligible for dichotomous 24-h movement-pain analysis</x:v>
      </x:c>
      <x:c r="AH217" s="18" t="str">
        <x:v>No</x:v>
      </x:c>
      <x:c r="AI217" s="18" t="str">
        <x:v>All 130 analyzed; participant masking intended with shallow sham puncture, but sensory differences were possible</x:v>
      </x:c>
      <x:c r="AJ217" s="18" t="str">
        <x:v>Primary outcome / 24-h movement pain</x:v>
      </x:c>
      <x:c r="AK217" s="18" t="str">
        <x:v>https://drive.google.com/file/d/1D6Js5nTN2AwL5-BB-NIJVoCKVtcbcczH/view?usp=drivesdk</x:v>
      </x:c>
      <x:c r="AL217" s="18" t="str">
        <x:v>SOURCE-VERIFIED</x:v>
      </x:c>
      <x:c r="AM217" s="18" t="str">
        <x:v>Pain</x:v>
      </x:c>
      <x:c r="AN217" s="18" t="str">
        <x:v>Exact/explicit 24 h</x:v>
      </x:c>
      <x:c r="AO217" s="18" t="str">
        <x:v>INCLUDE</x:v>
      </x:c>
      <x:c r="AP217" s="18" t="str">
        <x:v>Explicit 24-h pain endpoint with quantitative source data.</x:v>
      </x:c>
      <x:c r="AQ217" s="18" t="str">
        <x:v>Yes</x:v>
      </x:c>
      <x:c r="AR217" s="18" t="str"/>
      <x:c r="AS217" s="18" t="str">
        <x:v>Binary effect measure (RR preferred per protocol)</x:v>
      </x:c>
      <x:c r="AT217" s="18" t="str">
        <x:v>Moderate-to-severe movement-evoked pain (VAS &gt;4)</x:v>
      </x:c>
      <x:c r="AU217" s="18" t="str">
        <x:v>24 h</x:v>
      </x:c>
      <x:c r="AV217" s="18" t="str">
        <x:v>Some concerns</x:v>
      </x:c>
      <x:c r="AW217" s="18" t="str">
        <x:v>No — selected RoB matches this result</x:v>
      </x:c>
      <x:c r="AX217" s="18" t="str">
        <x:v>He 2026 (breast/WJCO)</x:v>
      </x:c>
      <x:c r="AY217" s="18" t="str">
        <x:v>Primary eligible contrast</x:v>
      </x:c>
      <x:c r="AZ217" s="18" t="str">
        <x:v>Count this study once per synthesis unless a valid multi-arm method is used.</x:v>
      </x:c>
    </x:row>
    <x:row r="218">
      <x:c r="A218" s="18" t="str">
        <x:v>He 2026 (breast/WJCO)</x:v>
      </x:c>
      <x:c r="B218" s="18" t="str">
        <x:v>HEBREAST26_EA_vs_SHAM_VASMOV24</x:v>
      </x:c>
      <x:c r="C218" s="18" t="str">
        <x:v>Perioperative EA + flurbiprofen</x:v>
      </x:c>
      <x:c r="D218" s="18" t="str">
        <x:v>Sham acupuncture + flurbiprofen</x:v>
      </x:c>
      <x:c r="E218" s="18" t="str">
        <x:v>Pain</x:v>
      </x:c>
      <x:c r="F218" s="18" t="str">
        <x:v>Movement VAS</x:v>
      </x:c>
      <x:c r="G218" s="18" t="str">
        <x:v>24 h</x:v>
      </x:c>
      <x:c r="H218" s="18" t="str">
        <x:v>Mean/SD</x:v>
      </x:c>
      <x:c r="I218" s="18" t="n">
        <x:v>65</x:v>
      </x:c>
      <x:c r="J218" s="18" t="n">
        <x:v>65</x:v>
      </x:c>
      <x:c r="K218" s="18" t="n">
        <x:v>65</x:v>
      </x:c>
      <x:c r="L218" s="18" t="n">
        <x:v>65</x:v>
      </x:c>
      <x:c r="M218" s="18" t="n">
        <x:v>2.862</x:v>
      </x:c>
      <x:c r="N218" s="18" t="n">
        <x:v>0.233</x:v>
      </x:c>
      <x:c r="O218" s="18"/>
      <x:c r="P218" s="18"/>
      <x:c r="Q218" s="18"/>
      <x:c r="R218" s="18"/>
      <x:c r="S218" s="18" t="n">
        <x:v>3.954</x:v>
      </x:c>
      <x:c r="T218" s="18" t="n">
        <x:v>0.233</x:v>
      </x:c>
      <x:c r="U218" s="18"/>
      <x:c r="V218" s="18"/>
      <x:c r="W218" s="18"/>
      <x:c r="X218" s="18"/>
      <x:c r="Y218" s="18" t="str">
        <x:v>VAS</x:v>
      </x:c>
      <x:c r="Z218" s="18" t="str">
        <x:v>&lt;0.01</x:v>
      </x:c>
      <x:c r="AA218" s="18" t="str">
        <x:v>Yes</x:v>
      </x:c>
      <x:c r="AB218" s="18" t="str">
        <x:v>No</x:v>
      </x:c>
      <x:c r="AC218" s="18" t="str">
        <x:v>MD</x:v>
      </x:c>
      <x:c r="AD218" s="18" t="n">
        <x:v>-1.092</x:v>
      </x:c>
      <x:c r="AE218" s="18" t="str">
        <x:v>No</x:v>
      </x:c>
      <x:c r="AF218" s="18" t="str">
        <x:v>No</x:v>
      </x:c>
      <x:c r="AG218" s="18" t="str">
        <x:v>Eligible for 24-h movement-pain meta-analysis</x:v>
      </x:c>
      <x:c r="AH218" s="18" t="str">
        <x:v>No</x:v>
      </x:c>
      <x:c r="AI218" s="18" t="str">
        <x:v>Article labels values mean±SD, but identical very small dispersions across arms/timepoints warrant source-verification caution</x:v>
      </x:c>
      <x:c r="AJ218" s="18" t="str">
        <x:v>Postoperative VAS table</x:v>
      </x:c>
      <x:c r="AK218" s="18" t="str">
        <x:v>https://drive.google.com/file/d/1D6Js5nTN2AwL5-BB-NIJVoCKVtcbcczH/view?usp=drivesdk</x:v>
      </x:c>
      <x:c r="AL218" s="18" t="str">
        <x:v>SOURCE-VERIFIED / DISPERSION QC</x:v>
      </x:c>
      <x:c r="AM218" s="18" t="str">
        <x:v>Pain</x:v>
      </x:c>
      <x:c r="AN218" s="18" t="str">
        <x:v>Exact/explicit 24 h</x:v>
      </x:c>
      <x:c r="AO218" s="18" t="str">
        <x:v>INCLUDE</x:v>
      </x:c>
      <x:c r="AP218" s="18" t="str">
        <x:v>Explicit 24-h pain endpoint with quantitative source data.</x:v>
      </x:c>
      <x:c r="AQ218" s="18" t="str">
        <x:v>Yes</x:v>
      </x:c>
      <x:c r="AR218" s="18" t="str"/>
      <x:c r="AS218" s="18" t="str">
        <x:v>None</x:v>
      </x:c>
      <x:c r="AT218" s="18" t="str">
        <x:v>Moderate-to-severe movement-evoked pain (VAS &gt;4)</x:v>
      </x:c>
      <x:c r="AU218" s="18" t="str">
        <x:v>24 h</x:v>
      </x:c>
      <x:c r="AV218" s="18" t="str">
        <x:v>Some concerns</x:v>
      </x:c>
      <x:c r="AW218" s="18" t="str">
        <x:v>Yes — selected RoB is for a different result/timepoint</x:v>
      </x:c>
      <x:c r="AX218" s="18" t="str">
        <x:v>He 2026 (breast/WJCO)</x:v>
      </x:c>
      <x:c r="AY218" s="18" t="str">
        <x:v>Primary eligible contrast</x:v>
      </x:c>
      <x:c r="AZ218" s="18" t="str">
        <x:v>Count this study once per synthesis unless a valid multi-arm method is used.</x:v>
      </x:c>
    </x:row>
    <x:row r="219">
      <x:c r="A219" s="18" t="str">
        <x:v>He 2026 (breast/WJCO)</x:v>
      </x:c>
      <x:c r="B219" s="18" t="str">
        <x:v>HEBREAST26_EA_vs_SHAM_VASREST24</x:v>
      </x:c>
      <x:c r="C219" s="18" t="str">
        <x:v>Perioperative EA + flurbiprofen</x:v>
      </x:c>
      <x:c r="D219" s="18" t="str">
        <x:v>Sham acupuncture + flurbiprofen</x:v>
      </x:c>
      <x:c r="E219" s="18" t="str">
        <x:v>Pain</x:v>
      </x:c>
      <x:c r="F219" s="18" t="str">
        <x:v>Resting VAS</x:v>
      </x:c>
      <x:c r="G219" s="18" t="str">
        <x:v>24 h</x:v>
      </x:c>
      <x:c r="H219" s="18" t="str">
        <x:v>Mean/SD</x:v>
      </x:c>
      <x:c r="I219" s="18" t="n">
        <x:v>65</x:v>
      </x:c>
      <x:c r="J219" s="18" t="n">
        <x:v>65</x:v>
      </x:c>
      <x:c r="K219" s="18" t="n">
        <x:v>65</x:v>
      </x:c>
      <x:c r="L219" s="18" t="n">
        <x:v>65</x:v>
      </x:c>
      <x:c r="M219" s="18" t="n">
        <x:v>1.789</x:v>
      </x:c>
      <x:c r="N219" s="18" t="n">
        <x:v>0.174</x:v>
      </x:c>
      <x:c r="O219" s="18"/>
      <x:c r="P219" s="18"/>
      <x:c r="Q219" s="18"/>
      <x:c r="R219" s="18"/>
      <x:c r="S219" s="18" t="n">
        <x:v>2.692</x:v>
      </x:c>
      <x:c r="T219" s="18" t="n">
        <x:v>0.174</x:v>
      </x:c>
      <x:c r="U219" s="18"/>
      <x:c r="V219" s="18"/>
      <x:c r="W219" s="18"/>
      <x:c r="X219" s="18"/>
      <x:c r="Y219" s="18" t="str">
        <x:v>VAS</x:v>
      </x:c>
      <x:c r="Z219" s="18" t="str">
        <x:v>&lt;0.01</x:v>
      </x:c>
      <x:c r="AA219" s="18" t="str">
        <x:v>Yes</x:v>
      </x:c>
      <x:c r="AB219" s="18" t="str">
        <x:v>No</x:v>
      </x:c>
      <x:c r="AC219" s="18" t="str">
        <x:v>MD</x:v>
      </x:c>
      <x:c r="AD219" s="18" t="n">
        <x:v>-0.9030000000000002</x:v>
      </x:c>
      <x:c r="AE219" s="18" t="str">
        <x:v>No</x:v>
      </x:c>
      <x:c r="AF219" s="18" t="str">
        <x:v>No</x:v>
      </x:c>
      <x:c r="AG219" s="18" t="str">
        <x:v>Eligible for 24-h rest-pain meta-analysis</x:v>
      </x:c>
      <x:c r="AH219" s="18" t="str">
        <x:v>No</x:v>
      </x:c>
      <x:c r="AI219" s="18" t="str">
        <x:v>Same dispersion-format caution as movement VAS</x:v>
      </x:c>
      <x:c r="AJ219" s="18" t="str">
        <x:v>Postoperative VAS table</x:v>
      </x:c>
      <x:c r="AK219" s="18" t="str">
        <x:v>https://drive.google.com/file/d/1D6Js5nTN2AwL5-BB-NIJVoCKVtcbcczH/view?usp=drivesdk</x:v>
      </x:c>
      <x:c r="AL219" s="18" t="str">
        <x:v>SOURCE-VERIFIED / DISPERSION QC</x:v>
      </x:c>
      <x:c r="AM219" s="18" t="str">
        <x:v>Pain</x:v>
      </x:c>
      <x:c r="AN219" s="18" t="str">
        <x:v>Exact/explicit 24 h</x:v>
      </x:c>
      <x:c r="AO219" s="18" t="str">
        <x:v>INCLUDE</x:v>
      </x:c>
      <x:c r="AP219" s="18" t="str">
        <x:v>Explicit 24-h pain endpoint with quantitative source data.</x:v>
      </x:c>
      <x:c r="AQ219" s="18" t="str">
        <x:v>Yes</x:v>
      </x:c>
      <x:c r="AR219" s="18" t="str"/>
      <x:c r="AS219" s="18" t="str">
        <x:v>None</x:v>
      </x:c>
      <x:c r="AT219" s="18" t="str">
        <x:v>Moderate-to-severe movement-evoked pain (VAS &gt;4)</x:v>
      </x:c>
      <x:c r="AU219" s="18" t="str">
        <x:v>24 h</x:v>
      </x:c>
      <x:c r="AV219" s="18" t="str">
        <x:v>Some concerns</x:v>
      </x:c>
      <x:c r="AW219" s="18" t="str">
        <x:v>Yes — selected RoB is for a different result/timepoint</x:v>
      </x:c>
      <x:c r="AX219" s="18" t="str">
        <x:v>He 2026 (breast/WJCO)</x:v>
      </x:c>
      <x:c r="AY219" s="18" t="str">
        <x:v>Primary eligible contrast</x:v>
      </x:c>
      <x:c r="AZ219" s="18" t="str">
        <x:v>Count this study once per synthesis unless a valid multi-arm method is used.</x:v>
      </x:c>
    </x:row>
    <x:row r="220">
      <x:c r="A220" s="18" t="str">
        <x:v>He 2026 (breast/WJCO)</x:v>
      </x:c>
      <x:c r="B220" s="18" t="str">
        <x:v>HEBREAST26_OPIOID24</x:v>
      </x:c>
      <x:c r="C220" s="18" t="str">
        <x:v>Perioperative EA + flurbiprofen</x:v>
      </x:c>
      <x:c r="D220" s="18" t="str">
        <x:v>Sham acupuncture + flurbiprofen</x:v>
      </x:c>
      <x:c r="E220" s="18" t="str">
        <x:v>Opioid consumption</x:v>
      </x:c>
      <x:c r="F220" s="18" t="str">
        <x:v>Cumulative rescue morphine consumption</x:v>
      </x:c>
      <x:c r="G220" s="18" t="str">
        <x:v>0-24 h</x:v>
      </x:c>
      <x:c r="H220" s="18" t="str">
        <x:v>Not reported</x:v>
      </x:c>
      <x:c r="I220" s="18" t="n">
        <x:v>65</x:v>
      </x:c>
      <x:c r="J220" s="18" t="n">
        <x:v>65</x:v>
      </x:c>
      <x:c r="K220" s="18" t="n">
        <x:v>65</x:v>
      </x:c>
      <x:c r="L220" s="18" t="n">
        <x:v>65</x:v>
      </x:c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 t="str">
        <x:v>mg IV morphine</x:v>
      </x:c>
      <x:c r="Z220" s="18"/>
      <x:c r="AA220" s="18" t="str">
        <x:v>No</x:v>
      </x:c>
      <x:c r="AB220" s="18" t="str">
        <x:v>No</x:v>
      </x:c>
      <x:c r="AC220" s="18"/>
      <x:c r="AD220" s="18"/>
      <x:c r="AE220" s="18" t="str">
        <x:v>No</x:v>
      </x:c>
      <x:c r="AF220" s="18" t="str">
        <x:v>No</x:v>
      </x:c>
      <x:c r="AG220" s="18" t="str">
        <x:v>Not eligible for continuous 24-h opioid/MME meta-analysis</x:v>
      </x:c>
      <x:c r="AH220" s="18" t="str">
        <x:v>No</x:v>
      </x:c>
      <x:c r="AI220" s="18" t="str">
        <x:v>Rescue morphine 1-3 mg IV was allowed, but authors explicitly state rescue opioid consumption was not recorded or compared</x:v>
      </x:c>
      <x:c r="AJ220" s="18" t="str">
        <x:v>Postoperative analgesia limitation</x:v>
      </x:c>
      <x:c r="AK220" s="18" t="str">
        <x:v>https://drive.google.com/file/d/1D6Js5nTN2AwL5-BB-NIJVoCKVtcbcczH/view?usp=drivesdk</x:v>
      </x:c>
      <x:c r="AL220" s="18" t="str">
        <x:v>MISSING / NOT RECORDED</x:v>
      </x:c>
      <x:c r="AM220" s="18" t="str">
        <x:v>Postoperative opioid consumption</x:v>
      </x:c>
      <x:c r="AN220" s="18" t="str">
        <x:v>Exact/explicit 24 h</x:v>
      </x:c>
      <x:c r="AO220" s="18" t="str">
        <x:v>EXCLUDE — DATA UNAVAILABLE</x:v>
      </x:c>
      <x:c r="AP220" s="18" t="str">
        <x:v>The source does not provide a defensible quantitative value for this analysis.</x:v>
      </x:c>
      <x:c r="AQ220" s="18" t="str">
        <x:v>No</x:v>
      </x:c>
      <x:c r="AR220" s="18" t="str"/>
      <x:c r="AS220" s="18" t="str">
        <x:v>Use native IV morphine; convert to review-standard MME only per prespecified rule</x:v>
      </x:c>
      <x:c r="AT220" s="18" t="str">
        <x:v>Moderate-to-severe movement-evoked pain (VAS &gt;4)</x:v>
      </x:c>
      <x:c r="AU220" s="18" t="str">
        <x:v>24 h</x:v>
      </x:c>
      <x:c r="AV220" s="18" t="str">
        <x:v>Some concerns</x:v>
      </x:c>
      <x:c r="AW220" s="18" t="str">
        <x:v>Yes — selected RoB is for a different result/timepoint</x:v>
      </x:c>
      <x:c r="AX220" s="18" t="str">
        <x:v>He 2026 (breast/WJCO)</x:v>
      </x:c>
      <x:c r="AY220" s="18" t="str">
        <x:v>Primary eligible contrast</x:v>
      </x:c>
      <x:c r="AZ220" s="18" t="str">
        <x:v>Count this study once per synthesis unless a valid multi-arm method is used.</x:v>
      </x:c>
    </x:row>
    <x:row r="221">
      <x:c r="A221" s="18" t="str">
        <x:v>Gu 2019</x:v>
      </x:c>
      <x:c r="B221" s="18" t="str">
        <x:v>GU19_LTEAS_vs_CTEAS_VAS24</x:v>
      </x:c>
      <x:c r="C221" s="18" t="str">
        <x:v>Long-duration TEAS</x:v>
      </x:c>
      <x:c r="D221" s="18" t="str">
        <x:v>Sham/no-current TEAS</x:v>
      </x:c>
      <x:c r="E221" s="18" t="str">
        <x:v>Pain</x:v>
      </x:c>
      <x:c r="F221" s="18" t="str">
        <x:v>VAS pain intensity</x:v>
      </x:c>
      <x:c r="G221" s="18" t="str">
        <x:v>24 h</x:v>
      </x:c>
      <x:c r="H221" s="18" t="str">
        <x:v>Mean/SD</x:v>
      </x:c>
      <x:c r="I221" s="18" t="n">
        <x:v>60</x:v>
      </x:c>
      <x:c r="J221" s="18" t="n">
        <x:v>60</x:v>
      </x:c>
      <x:c r="K221" s="18" t="n">
        <x:v>58</x:v>
      </x:c>
      <x:c r="L221" s="18" t="n">
        <x:v>59</x:v>
      </x:c>
      <x:c r="M221" s="18" t="n">
        <x:v>1.98</x:v>
      </x:c>
      <x:c r="N221" s="18" t="n">
        <x:v>0.39</x:v>
      </x:c>
      <x:c r="O221" s="18"/>
      <x:c r="P221" s="18"/>
      <x:c r="Q221" s="18"/>
      <x:c r="R221" s="18"/>
      <x:c r="S221" s="18" t="n">
        <x:v>2.72</x:v>
      </x:c>
      <x:c r="T221" s="18" t="n">
        <x:v>0.73</x:v>
      </x:c>
      <x:c r="U221" s="18"/>
      <x:c r="V221" s="18"/>
      <x:c r="W221" s="18"/>
      <x:c r="X221" s="18"/>
      <x:c r="Y221" s="18" t="str">
        <x:v>VAS 0-10</x:v>
      </x:c>
      <x:c r="Z221" s="18" t="str">
        <x:v>&lt;0.05</x:v>
      </x:c>
      <x:c r="AA221" s="18" t="str">
        <x:v>Yes</x:v>
      </x:c>
      <x:c r="AB221" s="18" t="str">
        <x:v>No</x:v>
      </x:c>
      <x:c r="AC221" s="18" t="str">
        <x:v>MD</x:v>
      </x:c>
      <x:c r="AD221" s="18" t="n">
        <x:v>-0.7400000000000002</x:v>
      </x:c>
      <x:c r="AE221" s="18" t="str">
        <x:v>No</x:v>
      </x:c>
      <x:c r="AF221" s="18" t="str">
        <x:v>No</x:v>
      </x:c>
      <x:c r="AG221" s="18" t="str">
        <x:v>Eligible for 24-h pain analysis</x:v>
      </x:c>
      <x:c r="AH221" s="18" t="str">
        <x:v>No</x:v>
      </x:c>
      <x:c r="AI221" s="18" t="str">
        <x:v>Three randomized patients excluded; active 5-30 mA stimulation vs sham no current with no blinding-success assessment</x:v>
      </x:c>
      <x:c r="AJ221" s="18" t="str">
        <x:v>Figure 3 / 24-h VAS</x:v>
      </x:c>
      <x:c r="AK221" s="18" t="str">
        <x:v>https://drive.google.com/file/d/1ipQFXfERgAVmgNKMpLkvaaecYJVSTDiw/view?usp=drivesdk</x:v>
      </x:c>
      <x:c r="AL221" s="18" t="str">
        <x:v>SOURCE-VERIFIED / ATTRITION + BLINDING QC</x:v>
      </x:c>
      <x:c r="AM221" s="18" t="str">
        <x:v>Pain</x:v>
      </x:c>
      <x:c r="AN221" s="18" t="str">
        <x:v>Exact/explicit 24 h</x:v>
      </x:c>
      <x:c r="AO221" s="18" t="str">
        <x:v>INCLUDE</x:v>
      </x:c>
      <x:c r="AP221" s="18" t="str">
        <x:v>Explicit 24-h pain endpoint with quantitative source data.</x:v>
      </x:c>
      <x:c r="AQ221" s="18" t="str">
        <x:v>Yes</x:v>
      </x:c>
      <x:c r="AR221" s="18" t="str"/>
      <x:c r="AS221" s="18" t="str">
        <x:v>None</x:v>
      </x:c>
      <x:c r="AT221" s="18" t="str">
        <x:v>Time to first flatus</x:v>
      </x:c>
      <x:c r="AU221" s="18" t="str">
        <x:v>Postoperative</x:v>
      </x:c>
      <x:c r="AV221" s="18" t="str">
        <x:v>Some concerns</x:v>
      </x:c>
      <x:c r="AW221" s="18" t="str">
        <x:v>Yes — selected RoB is for a different result/timepoint</x:v>
      </x:c>
      <x:c r="AX221" s="18" t="str">
        <x:v>Gu 2019</x:v>
      </x:c>
      <x:c r="AY221" s="18" t="str">
        <x:v>Primary eligible contrast</x:v>
      </x:c>
      <x:c r="AZ221" s="18" t="str">
        <x:v>Count this study once per synthesis unless a valid multi-arm method is used.</x:v>
      </x:c>
    </x:row>
    <x:row r="222">
      <x:c r="A222" s="18" t="str">
        <x:v>Gu 2019</x:v>
      </x:c>
      <x:c r="B222" s="18" t="str">
        <x:v>GU19_LTEAS_vs_CTEAS_BOWEL</x:v>
      </x:c>
      <x:c r="C222" s="18" t="str">
        <x:v>Long-duration TEAS</x:v>
      </x:c>
      <x:c r="D222" s="18" t="str">
        <x:v>Sham/no-current TEAS</x:v>
      </x:c>
      <x:c r="E222" s="18" t="str">
        <x:v>GI recovery</x:v>
      </x:c>
      <x:c r="F222" s="18" t="str">
        <x:v>Time to first bowel sounds</x:v>
      </x:c>
      <x:c r="G222" s="18" t="str">
        <x:v>Postoperative</x:v>
      </x:c>
      <x:c r="H222" s="18" t="str">
        <x:v>Mean/SD</x:v>
      </x:c>
      <x:c r="I222" s="18" t="n">
        <x:v>60</x:v>
      </x:c>
      <x:c r="J222" s="18" t="n">
        <x:v>60</x:v>
      </x:c>
      <x:c r="K222" s="18" t="n">
        <x:v>58</x:v>
      </x:c>
      <x:c r="L222" s="18" t="n">
        <x:v>59</x:v>
      </x:c>
      <x:c r="M222" s="18" t="n">
        <x:v>19.69</x:v>
      </x:c>
      <x:c r="N222" s="18" t="n">
        <x:v>7.61</x:v>
      </x:c>
      <x:c r="O222" s="18"/>
      <x:c r="P222" s="18"/>
      <x:c r="Q222" s="18"/>
      <x:c r="R222" s="18"/>
      <x:c r="S222" s="18" t="n">
        <x:v>26.58</x:v>
      </x:c>
      <x:c r="T222" s="18" t="n">
        <x:v>7.43</x:v>
      </x:c>
      <x:c r="U222" s="18"/>
      <x:c r="V222" s="18"/>
      <x:c r="W222" s="18"/>
      <x:c r="X222" s="18"/>
      <x:c r="Y222" s="18" t="str">
        <x:v>hours</x:v>
      </x:c>
      <x:c r="Z222" s="18" t="str">
        <x:v>0.01</x:v>
      </x:c>
      <x:c r="AA222" s="18" t="str">
        <x:v>Yes</x:v>
      </x:c>
      <x:c r="AB222" s="18" t="str">
        <x:v>No</x:v>
      </x:c>
      <x:c r="AC222" s="18" t="str">
        <x:v>MD</x:v>
      </x:c>
      <x:c r="AD222" s="18" t="n">
        <x:v>-6.889999999999997</x:v>
      </x:c>
      <x:c r="AE222" s="18" t="str">
        <x:v>No</x:v>
      </x:c>
      <x:c r="AF222" s="18" t="str">
        <x:v>No</x:v>
      </x:c>
      <x:c r="AG222" s="18" t="str">
        <x:v>Eligible for GI-recovery analysis</x:v>
      </x:c>
      <x:c r="AH222" s="18" t="str">
        <x:v>No</x:v>
      </x:c>
      <x:c r="AI222" s="18" t="str">
        <x:v>First flatus/defecation were patient self-recorded; bowel sounds were nurse-assessed</x:v>
      </x:c>
      <x:c r="AJ222" s="18" t="str">
        <x:v>GI recovery table</x:v>
      </x:c>
      <x:c r="AK222" s="18" t="str">
        <x:v>https://drive.google.com/file/d/1ipQFXfERgAVmgNKMpLkvaaecYJVSTDiw/view?usp=drivesdk</x:v>
      </x:c>
      <x:c r="AL222" s="18" t="str">
        <x:v>SOURCE-VERIFIED / ATTRITION QC</x:v>
      </x:c>
      <x:c r="AM222" s="18" t="str">
        <x:v>GI recovery</x:v>
      </x:c>
      <x:c r="AN222" s="18" t="str">
        <x:v>Postoperative</x:v>
      </x:c>
      <x:c r="AO222" s="18" t="str">
        <x:v>INCLUDE — SECONDARY GI</x:v>
      </x:c>
      <x:c r="AP222" s="18" t="str">
        <x:v>Source-valid GI recovery outcome; analyze separately by outcome definition.</x:v>
      </x:c>
      <x:c r="AQ222" s="18" t="str">
        <x:v>No</x:v>
      </x:c>
      <x:c r="AR222" s="18" t="str"/>
      <x:c r="AS222" s="18" t="str">
        <x:v>None</x:v>
      </x:c>
      <x:c r="AT222" s="18" t="str">
        <x:v>Time to first flatus</x:v>
      </x:c>
      <x:c r="AU222" s="18" t="str">
        <x:v>Postoperative</x:v>
      </x:c>
      <x:c r="AV222" s="18" t="str">
        <x:v>Some concerns</x:v>
      </x:c>
      <x:c r="AW222" s="18" t="str">
        <x:v>Yes — selected RoB is for a different result/timepoint</x:v>
      </x:c>
      <x:c r="AX222" s="18" t="str">
        <x:v>Gu 2019</x:v>
      </x:c>
      <x:c r="AY222" s="18" t="str">
        <x:v>Primary eligible contrast</x:v>
      </x:c>
      <x:c r="AZ222" s="18" t="str">
        <x:v>Count this study once per synthesis unless a valid multi-arm method is used.</x:v>
      </x:c>
    </x:row>
    <x:row r="223">
      <x:c r="A223" s="18" t="str">
        <x:v>Gu 2019</x:v>
      </x:c>
      <x:c r="B223" s="18" t="str">
        <x:v>GU19_LTEAS_vs_CTEAS_FLATUS</x:v>
      </x:c>
      <x:c r="C223" s="18" t="str">
        <x:v>Long-duration TEAS</x:v>
      </x:c>
      <x:c r="D223" s="18" t="str">
        <x:v>Sham/no-current TEAS</x:v>
      </x:c>
      <x:c r="E223" s="18" t="str">
        <x:v>GI recovery</x:v>
      </x:c>
      <x:c r="F223" s="18" t="str">
        <x:v>Time to first flatus</x:v>
      </x:c>
      <x:c r="G223" s="18" t="str">
        <x:v>Postoperative</x:v>
      </x:c>
      <x:c r="H223" s="18" t="str">
        <x:v>Mean/SD</x:v>
      </x:c>
      <x:c r="I223" s="18" t="n">
        <x:v>60</x:v>
      </x:c>
      <x:c r="J223" s="18" t="n">
        <x:v>60</x:v>
      </x:c>
      <x:c r="K223" s="18" t="n">
        <x:v>58</x:v>
      </x:c>
      <x:c r="L223" s="18" t="n">
        <x:v>59</x:v>
      </x:c>
      <x:c r="M223" s="18" t="n">
        <x:v>36.58</x:v>
      </x:c>
      <x:c r="N223" s="18" t="n">
        <x:v>10.75</x:v>
      </x:c>
      <x:c r="O223" s="18"/>
      <x:c r="P223" s="18"/>
      <x:c r="Q223" s="18"/>
      <x:c r="R223" s="18"/>
      <x:c r="S223" s="18" t="n">
        <x:v>43.56</x:v>
      </x:c>
      <x:c r="T223" s="18" t="n">
        <x:v>9.57</x:v>
      </x:c>
      <x:c r="U223" s="18"/>
      <x:c r="V223" s="18"/>
      <x:c r="W223" s="18"/>
      <x:c r="X223" s="18"/>
      <x:c r="Y223" s="18" t="str">
        <x:v>hours</x:v>
      </x:c>
      <x:c r="Z223" s="18" t="str">
        <x:v>0.03</x:v>
      </x:c>
      <x:c r="AA223" s="18" t="str">
        <x:v>Yes</x:v>
      </x:c>
      <x:c r="AB223" s="18" t="str">
        <x:v>No</x:v>
      </x:c>
      <x:c r="AC223" s="18" t="str">
        <x:v>MD</x:v>
      </x:c>
      <x:c r="AD223" s="18" t="n">
        <x:v>-6.980000000000004</x:v>
      </x:c>
      <x:c r="AE223" s="18" t="str">
        <x:v>No</x:v>
      </x:c>
      <x:c r="AF223" s="18" t="str">
        <x:v>No</x:v>
      </x:c>
      <x:c r="AG223" s="18" t="str">
        <x:v>Eligible for GI-recovery analysis</x:v>
      </x:c>
      <x:c r="AH223" s="18" t="str">
        <x:v>No</x:v>
      </x:c>
      <x:c r="AI223" s="18" t="str">
        <x:v>First flatus/defecation were patient self-recorded; bowel sounds were nurse-assessed</x:v>
      </x:c>
      <x:c r="AJ223" s="18" t="str">
        <x:v>GI recovery table</x:v>
      </x:c>
      <x:c r="AK223" s="18" t="str">
        <x:v>https://drive.google.com/file/d/1ipQFXfERgAVmgNKMpLkvaaecYJVSTDiw/view?usp=drivesdk</x:v>
      </x:c>
      <x:c r="AL223" s="18" t="str">
        <x:v>SOURCE-VERIFIED / ATTRITION QC</x:v>
      </x:c>
      <x:c r="AM223" s="18" t="str">
        <x:v>GI recovery</x:v>
      </x:c>
      <x:c r="AN223" s="18" t="str">
        <x:v>Postoperative</x:v>
      </x:c>
      <x:c r="AO223" s="18" t="str">
        <x:v>INCLUDE</x:v>
      </x:c>
      <x:c r="AP223" s="18" t="str">
        <x:v>Source-valid first-flatus/ileus endpoint; retain reported distribution (mean/SD, median/IQR, or events).</x:v>
      </x:c>
      <x:c r="AQ223" s="18" t="str">
        <x:v>Yes</x:v>
      </x:c>
      <x:c r="AR223" s="18" t="str"/>
      <x:c r="AS223" s="18" t="str">
        <x:v>None</x:v>
      </x:c>
      <x:c r="AT223" s="18" t="str">
        <x:v>Time to first flatus</x:v>
      </x:c>
      <x:c r="AU223" s="18" t="str">
        <x:v>Postoperative</x:v>
      </x:c>
      <x:c r="AV223" s="18" t="str">
        <x:v>Some concerns</x:v>
      </x:c>
      <x:c r="AW223" s="18" t="str">
        <x:v>No — selected RoB matches this result</x:v>
      </x:c>
      <x:c r="AX223" s="18" t="str">
        <x:v>Gu 2019</x:v>
      </x:c>
      <x:c r="AY223" s="18" t="str">
        <x:v>Primary eligible contrast</x:v>
      </x:c>
      <x:c r="AZ223" s="18" t="str">
        <x:v>Count this study once per synthesis unless a valid multi-arm method is used.</x:v>
      </x:c>
    </x:row>
    <x:row r="224">
      <x:c r="A224" s="18" t="str">
        <x:v>Gu 2019</x:v>
      </x:c>
      <x:c r="B224" s="18" t="str">
        <x:v>GU19_LTEAS_vs_CTEAS_DEFEC</x:v>
      </x:c>
      <x:c r="C224" s="18" t="str">
        <x:v>Long-duration TEAS</x:v>
      </x:c>
      <x:c r="D224" s="18" t="str">
        <x:v>Sham/no-current TEAS</x:v>
      </x:c>
      <x:c r="E224" s="18" t="str">
        <x:v>GI recovery</x:v>
      </x:c>
      <x:c r="F224" s="18" t="str">
        <x:v>Time to first defecation</x:v>
      </x:c>
      <x:c r="G224" s="18" t="str">
        <x:v>Postoperative</x:v>
      </x:c>
      <x:c r="H224" s="18" t="str">
        <x:v>Mean/SD</x:v>
      </x:c>
      <x:c r="I224" s="18" t="n">
        <x:v>60</x:v>
      </x:c>
      <x:c r="J224" s="18" t="n">
        <x:v>60</x:v>
      </x:c>
      <x:c r="K224" s="18" t="n">
        <x:v>58</x:v>
      </x:c>
      <x:c r="L224" s="18" t="n">
        <x:v>59</x:v>
      </x:c>
      <x:c r="M224" s="18" t="n">
        <x:v>71.48</x:v>
      </x:c>
      <x:c r="N224" s="18" t="n">
        <x:v>20.62</x:v>
      </x:c>
      <x:c r="O224" s="18"/>
      <x:c r="P224" s="18"/>
      <x:c r="Q224" s="18"/>
      <x:c r="R224" s="18"/>
      <x:c r="S224" s="18" t="n">
        <x:v>77.27</x:v>
      </x:c>
      <x:c r="T224" s="18" t="n">
        <x:v>22.67</x:v>
      </x:c>
      <x:c r="U224" s="18"/>
      <x:c r="V224" s="18"/>
      <x:c r="W224" s="18"/>
      <x:c r="X224" s="18"/>
      <x:c r="Y224" s="18" t="str">
        <x:v>hours</x:v>
      </x:c>
      <x:c r="Z224" s="18" t="str">
        <x:v>0.04</x:v>
      </x:c>
      <x:c r="AA224" s="18" t="str">
        <x:v>Yes</x:v>
      </x:c>
      <x:c r="AB224" s="18" t="str">
        <x:v>No</x:v>
      </x:c>
      <x:c r="AC224" s="18" t="str">
        <x:v>MD</x:v>
      </x:c>
      <x:c r="AD224" s="18" t="n">
        <x:v>-5.789999999999992</x:v>
      </x:c>
      <x:c r="AE224" s="18" t="str">
        <x:v>No</x:v>
      </x:c>
      <x:c r="AF224" s="18" t="str">
        <x:v>No</x:v>
      </x:c>
      <x:c r="AG224" s="18" t="str">
        <x:v>Eligible for GI-recovery analysis</x:v>
      </x:c>
      <x:c r="AH224" s="18" t="str">
        <x:v>No</x:v>
      </x:c>
      <x:c r="AI224" s="18" t="str">
        <x:v>First flatus/defecation were patient self-recorded; bowel sounds were nurse-assessed</x:v>
      </x:c>
      <x:c r="AJ224" s="18" t="str">
        <x:v>GI recovery table</x:v>
      </x:c>
      <x:c r="AK224" s="18" t="str">
        <x:v>https://drive.google.com/file/d/1ipQFXfERgAVmgNKMpLkvaaecYJVSTDiw/view?usp=drivesdk</x:v>
      </x:c>
      <x:c r="AL224" s="18" t="str">
        <x:v>SOURCE-VERIFIED / ATTRITION QC</x:v>
      </x:c>
      <x:c r="AM224" s="18" t="str">
        <x:v>GI recovery</x:v>
      </x:c>
      <x:c r="AN224" s="18" t="str">
        <x:v>Postoperative</x:v>
      </x:c>
      <x:c r="AO224" s="18" t="str">
        <x:v>INCLUDE — SECONDARY GI</x:v>
      </x:c>
      <x:c r="AP224" s="18" t="str">
        <x:v>Source-valid GI recovery outcome; analyze separately by outcome definition.</x:v>
      </x:c>
      <x:c r="AQ224" s="18" t="str">
        <x:v>No</x:v>
      </x:c>
      <x:c r="AR224" s="18" t="str"/>
      <x:c r="AS224" s="18" t="str">
        <x:v>None</x:v>
      </x:c>
      <x:c r="AT224" s="18" t="str">
        <x:v>Time to first flatus</x:v>
      </x:c>
      <x:c r="AU224" s="18" t="str">
        <x:v>Postoperative</x:v>
      </x:c>
      <x:c r="AV224" s="18" t="str">
        <x:v>Some concerns</x:v>
      </x:c>
      <x:c r="AW224" s="18" t="str">
        <x:v>Yes — selected RoB is for a different result/timepoint</x:v>
      </x:c>
      <x:c r="AX224" s="18" t="str">
        <x:v>Gu 2019</x:v>
      </x:c>
      <x:c r="AY224" s="18" t="str">
        <x:v>Primary eligible contrast</x:v>
      </x:c>
      <x:c r="AZ224" s="18" t="str">
        <x:v>Count this study once per synthesis unless a valid multi-arm method is used.</x:v>
      </x:c>
    </x:row>
    <x:row r="225">
      <x:c r="A225" s="18" t="str">
        <x:v>Gu 2019</x:v>
      </x:c>
      <x:c r="B225" s="18" t="str">
        <x:v>GU19_LTEAS_vs_CTEAS_PCIA4</x:v>
      </x:c>
      <x:c r="C225" s="18" t="str">
        <x:v>Long-duration TEAS</x:v>
      </x:c>
      <x:c r="D225" s="18" t="str">
        <x:v>Sham/no-current TEAS</x:v>
      </x:c>
      <x:c r="E225" s="18" t="str">
        <x:v>Opioid consumption</x:v>
      </x:c>
      <x:c r="F225" s="18" t="str">
        <x:v>Cumulative multimodal PCIA solution consumed</x:v>
      </x:c>
      <x:c r="G225" s="18" t="str">
        <x:v>4 h</x:v>
      </x:c>
      <x:c r="H225" s="18" t="str">
        <x:v>Mean/SD</x:v>
      </x:c>
      <x:c r="I225" s="18" t="n">
        <x:v>60</x:v>
      </x:c>
      <x:c r="J225" s="18" t="n">
        <x:v>60</x:v>
      </x:c>
      <x:c r="K225" s="18" t="n">
        <x:v>58</x:v>
      </x:c>
      <x:c r="L225" s="18" t="n">
        <x:v>59</x:v>
      </x:c>
      <x:c r="M225" s="18" t="n">
        <x:v>10.02</x:v>
      </x:c>
      <x:c r="N225" s="18" t="n">
        <x:v>2.26</x:v>
      </x:c>
      <x:c r="O225" s="18"/>
      <x:c r="P225" s="18"/>
      <x:c r="Q225" s="18"/>
      <x:c r="R225" s="18"/>
      <x:c r="S225" s="18" t="n">
        <x:v>13.38</x:v>
      </x:c>
      <x:c r="T225" s="18" t="n">
        <x:v>2.98</x:v>
      </x:c>
      <x:c r="U225" s="18"/>
      <x:c r="V225" s="18"/>
      <x:c r="W225" s="18"/>
      <x:c r="X225" s="18"/>
      <x:c r="Y225" s="18" t="str">
        <x:v>mL solution = numerically same µg sufentanil at 1 µg/mL</x:v>
      </x:c>
      <x:c r="Z225" s="18" t="str">
        <x:v>&lt;0.05</x:v>
      </x:c>
      <x:c r="AA225" s="18" t="str">
        <x:v>Yes</x:v>
      </x:c>
      <x:c r="AB225" s="18" t="str">
        <x:v>Yes</x:v>
      </x:c>
      <x:c r="AC225" s="18" t="str">
        <x:v>MD</x:v>
      </x:c>
      <x:c r="AD225" s="18" t="n">
        <x:v>-3.360000000000001</x:v>
      </x:c>
      <x:c r="AE225" s="18" t="str">
        <x:v>No</x:v>
      </x:c>
      <x:c r="AF225" s="18" t="str">
        <x:v>No</x:v>
      </x:c>
      <x:c r="AG225" s="18" t="str">
        <x:v>Usable as PCIA-volume/sufentanil-delivery proxy at stated time only</x:v>
      </x:c>
      <x:c r="AH225" s="18" t="str">
        <x:v>No</x:v>
      </x:c>
      <x:c r="AI225" s="18" t="str">
        <x:v>Pump also contains dexmedetomidine, flurbiprofen and palonosetron; exact 24-h value is graph-only</x:v>
      </x:c>
      <x:c r="AJ225" s="18" t="str">
        <x:v>Figure 4 / 4 h cumulative PCIA</x:v>
      </x:c>
      <x:c r="AK225" s="18" t="str">
        <x:v>https://drive.google.com/file/d/1ipQFXfERgAVmgNKMpLkvaaecYJVSTDiw/view?usp=drivesdk</x:v>
      </x:c>
      <x:c r="AL225" s="18" t="str">
        <x:v>SOURCE-VERIFIED / MULTIMODAL PCIA</x:v>
      </x:c>
      <x:c r="AM225" s="18" t="str">
        <x:v>Postoperative opioid consumption</x:v>
      </x:c>
      <x:c r="AN225" s="18" t="str">
        <x:v>4 h</x:v>
      </x:c>
      <x:c r="AO225" s="18" t="str">
        <x:v>EXCLUDE — NOT PRIMARY 24H OPIOID</x:v>
      </x:c>
      <x:c r="AP225" s="18" t="str">
        <x:v>Not a strict 0-24-h postoperative opioid-consumption endpoint.</x:v>
      </x:c>
      <x:c r="AQ225" s="18" t="str">
        <x:v>No</x:v>
      </x:c>
      <x:c r="AR225" s="18" t="str"/>
      <x:c r="AS225" s="18" t="str">
        <x:v>Opioid/MME conversion required using prespecified review conversion</x:v>
      </x:c>
      <x:c r="AT225" s="18" t="str">
        <x:v>Time to first flatus</x:v>
      </x:c>
      <x:c r="AU225" s="18" t="str">
        <x:v>Postoperative</x:v>
      </x:c>
      <x:c r="AV225" s="18" t="str">
        <x:v>Some concerns</x:v>
      </x:c>
      <x:c r="AW225" s="18" t="str">
        <x:v>Yes — selected RoB is for a different result/timepoint</x:v>
      </x:c>
      <x:c r="AX225" s="18" t="str">
        <x:v>Gu 2019</x:v>
      </x:c>
      <x:c r="AY225" s="18" t="str">
        <x:v>Primary eligible contrast</x:v>
      </x:c>
      <x:c r="AZ225" s="18" t="str">
        <x:v>Count this study once per synthesis unless a valid multi-arm method is used.</x:v>
      </x:c>
    </x:row>
    <x:row r="226">
      <x:c r="A226" s="18" t="str">
        <x:v>Gu 2019</x:v>
      </x:c>
      <x:c r="B226" s="18" t="str">
        <x:v>GU19_LTEAS_vs_CTEAS_PCIA8</x:v>
      </x:c>
      <x:c r="C226" s="18" t="str">
        <x:v>Long-duration TEAS</x:v>
      </x:c>
      <x:c r="D226" s="18" t="str">
        <x:v>Sham/no-current TEAS</x:v>
      </x:c>
      <x:c r="E226" s="18" t="str">
        <x:v>Opioid consumption</x:v>
      </x:c>
      <x:c r="F226" s="18" t="str">
        <x:v>Cumulative multimodal PCIA solution consumed</x:v>
      </x:c>
      <x:c r="G226" s="18" t="str">
        <x:v>8 h</x:v>
      </x:c>
      <x:c r="H226" s="18" t="str">
        <x:v>Mean/SD</x:v>
      </x:c>
      <x:c r="I226" s="18" t="n">
        <x:v>60</x:v>
      </x:c>
      <x:c r="J226" s="18" t="n">
        <x:v>60</x:v>
      </x:c>
      <x:c r="K226" s="18" t="n">
        <x:v>58</x:v>
      </x:c>
      <x:c r="L226" s="18" t="n">
        <x:v>59</x:v>
      </x:c>
      <x:c r="M226" s="18" t="n">
        <x:v>20.55</x:v>
      </x:c>
      <x:c r="N226" s="18" t="n">
        <x:v>4.59</x:v>
      </x:c>
      <x:c r="O226" s="18"/>
      <x:c r="P226" s="18"/>
      <x:c r="Q226" s="18"/>
      <x:c r="R226" s="18"/>
      <x:c r="S226" s="18" t="n">
        <x:v>24.63</x:v>
      </x:c>
      <x:c r="T226" s="18" t="n">
        <x:v>3.94</x:v>
      </x:c>
      <x:c r="U226" s="18"/>
      <x:c r="V226" s="18"/>
      <x:c r="W226" s="18"/>
      <x:c r="X226" s="18"/>
      <x:c r="Y226" s="18" t="str">
        <x:v>mL solution = numerically same µg sufentanil at 1 µg/mL</x:v>
      </x:c>
      <x:c r="Z226" s="18" t="str">
        <x:v>&lt;0.05</x:v>
      </x:c>
      <x:c r="AA226" s="18" t="str">
        <x:v>Yes</x:v>
      </x:c>
      <x:c r="AB226" s="18" t="str">
        <x:v>Yes</x:v>
      </x:c>
      <x:c r="AC226" s="18" t="str">
        <x:v>MD</x:v>
      </x:c>
      <x:c r="AD226" s="18" t="n">
        <x:v>-4.079999999999998</x:v>
      </x:c>
      <x:c r="AE226" s="18" t="str">
        <x:v>No</x:v>
      </x:c>
      <x:c r="AF226" s="18" t="str">
        <x:v>No</x:v>
      </x:c>
      <x:c r="AG226" s="18" t="str">
        <x:v>Usable as PCIA-volume/sufentanil-delivery proxy at stated time only</x:v>
      </x:c>
      <x:c r="AH226" s="18" t="str">
        <x:v>No</x:v>
      </x:c>
      <x:c r="AI226" s="18" t="str">
        <x:v>Pump also contains dexmedetomidine, flurbiprofen and palonosetron; exact 24-h value is graph-only</x:v>
      </x:c>
      <x:c r="AJ226" s="18" t="str">
        <x:v>Figure 4 / 8 h cumulative PCIA</x:v>
      </x:c>
      <x:c r="AK226" s="18" t="str">
        <x:v>https://drive.google.com/file/d/1ipQFXfERgAVmgNKMpLkvaaecYJVSTDiw/view?usp=drivesdk</x:v>
      </x:c>
      <x:c r="AL226" s="18" t="str">
        <x:v>SOURCE-VERIFIED / MULTIMODAL PCIA</x:v>
      </x:c>
      <x:c r="AM226" s="18" t="str">
        <x:v>Postoperative opioid consumption</x:v>
      </x:c>
      <x:c r="AN226" s="18" t="str">
        <x:v>8 h</x:v>
      </x:c>
      <x:c r="AO226" s="18" t="str">
        <x:v>EXCLUDE — NOT PRIMARY 24H OPIOID</x:v>
      </x:c>
      <x:c r="AP226" s="18" t="str">
        <x:v>Not a strict 0-24-h postoperative opioid-consumption endpoint.</x:v>
      </x:c>
      <x:c r="AQ226" s="18" t="str">
        <x:v>No</x:v>
      </x:c>
      <x:c r="AR226" s="18" t="str"/>
      <x:c r="AS226" s="18" t="str">
        <x:v>Opioid/MME conversion required using prespecified review conversion</x:v>
      </x:c>
      <x:c r="AT226" s="18" t="str">
        <x:v>Time to first flatus</x:v>
      </x:c>
      <x:c r="AU226" s="18" t="str">
        <x:v>Postoperative</x:v>
      </x:c>
      <x:c r="AV226" s="18" t="str">
        <x:v>Some concerns</x:v>
      </x:c>
      <x:c r="AW226" s="18" t="str">
        <x:v>Yes — selected RoB is for a different result/timepoint</x:v>
      </x:c>
      <x:c r="AX226" s="18" t="str">
        <x:v>Gu 2019</x:v>
      </x:c>
      <x:c r="AY226" s="18" t="str">
        <x:v>Primary eligible contrast</x:v>
      </x:c>
      <x:c r="AZ226" s="18" t="str">
        <x:v>Count this study once per synthesis unless a valid multi-arm method is used.</x:v>
      </x:c>
    </x:row>
    <x:row r="227">
      <x:c r="A227" s="18" t="str">
        <x:v>Gu 2019</x:v>
      </x:c>
      <x:c r="B227" s="18" t="str">
        <x:v>GU19_LTEAS_vs_CTEAS_PCIA36</x:v>
      </x:c>
      <x:c r="C227" s="18" t="str">
        <x:v>Long-duration TEAS</x:v>
      </x:c>
      <x:c r="D227" s="18" t="str">
        <x:v>Sham/no-current TEAS</x:v>
      </x:c>
      <x:c r="E227" s="18" t="str">
        <x:v>Opioid consumption</x:v>
      </x:c>
      <x:c r="F227" s="18" t="str">
        <x:v>Cumulative multimodal PCIA solution consumed</x:v>
      </x:c>
      <x:c r="G227" s="18" t="str">
        <x:v>36 h</x:v>
      </x:c>
      <x:c r="H227" s="18" t="str">
        <x:v>Mean/SD</x:v>
      </x:c>
      <x:c r="I227" s="18" t="n">
        <x:v>60</x:v>
      </x:c>
      <x:c r="J227" s="18" t="n">
        <x:v>60</x:v>
      </x:c>
      <x:c r="K227" s="18" t="n">
        <x:v>58</x:v>
      </x:c>
      <x:c r="L227" s="18" t="n">
        <x:v>59</x:v>
      </x:c>
      <x:c r="M227" s="18" t="n">
        <x:v>72.64</x:v>
      </x:c>
      <x:c r="N227" s="18" t="n">
        <x:v>9.74</x:v>
      </x:c>
      <x:c r="O227" s="18"/>
      <x:c r="P227" s="18"/>
      <x:c r="Q227" s="18"/>
      <x:c r="R227" s="18"/>
      <x:c r="S227" s="18" t="n">
        <x:v>76.01</x:v>
      </x:c>
      <x:c r="T227" s="18" t="n">
        <x:v>10.43</x:v>
      </x:c>
      <x:c r="U227" s="18"/>
      <x:c r="V227" s="18"/>
      <x:c r="W227" s="18"/>
      <x:c r="X227" s="18"/>
      <x:c r="Y227" s="18" t="str">
        <x:v>mL solution = numerically same µg sufentanil at 1 µg/mL</x:v>
      </x:c>
      <x:c r="Z227" s="18" t="str">
        <x:v>&lt;0.05</x:v>
      </x:c>
      <x:c r="AA227" s="18" t="str">
        <x:v>Yes</x:v>
      </x:c>
      <x:c r="AB227" s="18" t="str">
        <x:v>Yes</x:v>
      </x:c>
      <x:c r="AC227" s="18" t="str">
        <x:v>MD</x:v>
      </x:c>
      <x:c r="AD227" s="18" t="n">
        <x:v>-3.3700000000000045</x:v>
      </x:c>
      <x:c r="AE227" s="18" t="str">
        <x:v>No</x:v>
      </x:c>
      <x:c r="AF227" s="18" t="str">
        <x:v>No</x:v>
      </x:c>
      <x:c r="AG227" s="18" t="str">
        <x:v>Usable as PCIA-volume/sufentanil-delivery proxy at stated time only</x:v>
      </x:c>
      <x:c r="AH227" s="18" t="str">
        <x:v>No</x:v>
      </x:c>
      <x:c r="AI227" s="18" t="str">
        <x:v>Pump also contains dexmedetomidine, flurbiprofen and palonosetron; exact 24-h value is graph-only</x:v>
      </x:c>
      <x:c r="AJ227" s="18" t="str">
        <x:v>Figure 4 / 36 h cumulative PCIA</x:v>
      </x:c>
      <x:c r="AK227" s="18" t="str">
        <x:v>https://drive.google.com/file/d/1ipQFXfERgAVmgNKMpLkvaaecYJVSTDiw/view?usp=drivesdk</x:v>
      </x:c>
      <x:c r="AL227" s="18" t="str">
        <x:v>SOURCE-VERIFIED / MULTIMODAL PCIA</x:v>
      </x:c>
      <x:c r="AM227" s="18" t="str">
        <x:v>Postoperative opioid consumption</x:v>
      </x:c>
      <x:c r="AN227" s="18" t="str">
        <x:v>36 h</x:v>
      </x:c>
      <x:c r="AO227" s="18" t="str">
        <x:v>EXCLUDE — NOT PRIMARY 24H OPIOID</x:v>
      </x:c>
      <x:c r="AP227" s="18" t="str">
        <x:v>Not a strict 0-24-h postoperative opioid-consumption endpoint.</x:v>
      </x:c>
      <x:c r="AQ227" s="18" t="str">
        <x:v>No</x:v>
      </x:c>
      <x:c r="AR227" s="18" t="str"/>
      <x:c r="AS227" s="18" t="str">
        <x:v>Opioid/MME conversion required using prespecified review conversion</x:v>
      </x:c>
      <x:c r="AT227" s="18" t="str">
        <x:v>Time to first flatus</x:v>
      </x:c>
      <x:c r="AU227" s="18" t="str">
        <x:v>Postoperative</x:v>
      </x:c>
      <x:c r="AV227" s="18" t="str">
        <x:v>Some concerns</x:v>
      </x:c>
      <x:c r="AW227" s="18" t="str">
        <x:v>Yes — selected RoB is for a different result/timepoint</x:v>
      </x:c>
      <x:c r="AX227" s="18" t="str">
        <x:v>Gu 2019</x:v>
      </x:c>
      <x:c r="AY227" s="18" t="str">
        <x:v>Primary eligible contrast</x:v>
      </x:c>
      <x:c r="AZ227" s="18" t="str">
        <x:v>Count this study once per synthesis unless a valid multi-arm method is used.</x:v>
      </x:c>
    </x:row>
    <x:row r="228">
      <x:c r="A228" s="18" t="str">
        <x:v>Gu 2019</x:v>
      </x:c>
      <x:c r="B228" s="18" t="str">
        <x:v>GU19_OPIOID24</x:v>
      </x:c>
      <x:c r="C228" s="18" t="str">
        <x:v>Long-duration TEAS</x:v>
      </x:c>
      <x:c r="D228" s="18" t="str">
        <x:v>Sham/no-current TEAS</x:v>
      </x:c>
      <x:c r="E228" s="18" t="str">
        <x:v>Opioid consumption</x:v>
      </x:c>
      <x:c r="F228" s="18" t="str">
        <x:v>Exact cumulative 24-h postoperative sufentanil</x:v>
      </x:c>
      <x:c r="G228" s="18" t="str">
        <x:v>0-24 h</x:v>
      </x:c>
      <x:c r="H228" s="18" t="str">
        <x:v>Graph-only / not numerically reported</x:v>
      </x:c>
      <x:c r="I228" s="18" t="n">
        <x:v>60</x:v>
      </x:c>
      <x:c r="J228" s="18" t="n">
        <x:v>60</x:v>
      </x:c>
      <x:c r="K228" s="18" t="n">
        <x:v>58</x:v>
      </x:c>
      <x:c r="L228" s="18" t="n">
        <x:v>59</x:v>
      </x:c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 t="str">
        <x:v>µg sufentanil</x:v>
      </x:c>
      <x:c r="Z228" s="18"/>
      <x:c r="AA228" s="18" t="str">
        <x:v>No</x:v>
      </x:c>
      <x:c r="AB228" s="18" t="str">
        <x:v>No</x:v>
      </x:c>
      <x:c r="AC228" s="18"/>
      <x:c r="AD228" s="18"/>
      <x:c r="AE228" s="18" t="str">
        <x:v>Yes</x:v>
      </x:c>
      <x:c r="AF228" s="18" t="str">
        <x:v>No</x:v>
      </x:c>
      <x:c r="AG228" s="18" t="str">
        <x:v>Not meta-analysis-ready without graph digitization or author data</x:v>
      </x:c>
      <x:c r="AH228" s="18" t="str">
        <x:v>No</x:v>
      </x:c>
      <x:c r="AI228" s="18" t="str">
        <x:v>24-h PCIA point is visible graphically but not numerically reported</x:v>
      </x:c>
      <x:c r="AJ228" s="18" t="str">
        <x:v>Figure 4 / 24-h point</x:v>
      </x:c>
      <x:c r="AK228" s="18" t="str">
        <x:v>https://drive.google.com/file/d/1ipQFXfERgAVmgNKMpLkvaaecYJVSTDiw/view?usp=drivesdk</x:v>
      </x:c>
      <x:c r="AL228" s="18" t="str">
        <x:v>FIGURE ONLY / DIGITIZATION NEEDED</x:v>
      </x:c>
      <x:c r="AM228" s="18" t="str">
        <x:v>Postoperative opioid consumption</x:v>
      </x:c>
      <x:c r="AN228" s="18" t="str">
        <x:v>Exact/explicit 24 h</x:v>
      </x:c>
      <x:c r="AO228" s="18" t="str">
        <x:v>DIGITIZATION NEEDED</x:v>
      </x:c>
      <x:c r="AP228" s="18" t="str">
        <x:v>Exact numeric result is not tabulated; formal graph digitization or author data is required before quantitative pooling.</x:v>
      </x:c>
      <x:c r="AQ228" s="18" t="str">
        <x:v>No</x:v>
      </x:c>
      <x:c r="AR228" s="18" t="str"/>
      <x:c r="AS228" s="18" t="str">
        <x:v>Opioid/MME conversion required using prespecified review conversion</x:v>
      </x:c>
      <x:c r="AT228" s="18" t="str">
        <x:v>Time to first flatus</x:v>
      </x:c>
      <x:c r="AU228" s="18" t="str">
        <x:v>Postoperative</x:v>
      </x:c>
      <x:c r="AV228" s="18" t="str">
        <x:v>Some concerns</x:v>
      </x:c>
      <x:c r="AW228" s="18" t="str">
        <x:v>Yes — selected RoB is for a different result/timepoint</x:v>
      </x:c>
      <x:c r="AX228" s="18" t="str">
        <x:v>Gu 2019</x:v>
      </x:c>
      <x:c r="AY228" s="18" t="str">
        <x:v>Primary eligible contrast</x:v>
      </x:c>
      <x:c r="AZ228" s="18" t="str">
        <x:v>Count this study once per synthesis unless a valid multi-arm method is used.</x:v>
      </x:c>
    </x:row>
    <x:row r="229">
      <x:c r="A229" s="18" t="str">
        <x:v>Guo 2023</x:v>
      </x:c>
      <x:c r="B229" s="18" t="str">
        <x:v>GUO23_TEAS_vs_SHAM_POCD1</x:v>
      </x:c>
      <x:c r="C229" s="18" t="str">
        <x:v>Perioperative TEAS</x:v>
      </x:c>
      <x:c r="D229" s="18" t="str">
        <x:v>Sham/no-current TEAS</x:v>
      </x:c>
      <x:c r="E229" s="18" t="str">
        <x:v>Neurocognitive</x:v>
      </x:c>
      <x:c r="F229" s="18" t="str">
        <x:v>Postoperative cognitive dysfunction (MoCA decline ≥1 SD)</x:v>
      </x:c>
      <x:c r="G229" s="18" t="str">
        <x:v>POD1</x:v>
      </x:c>
      <x:c r="H229" s="18" t="str">
        <x:v>Events/total</x:v>
      </x:c>
      <x:c r="I229" s="18" t="n">
        <x:v>64</x:v>
      </x:c>
      <x:c r="J229" s="18" t="n">
        <x:v>64</x:v>
      </x:c>
      <x:c r="K229" s="18" t="n">
        <x:v>55</x:v>
      </x:c>
      <x:c r="L229" s="18" t="n">
        <x:v>55</x:v>
      </x:c>
      <x:c r="M229" s="18"/>
      <x:c r="N229" s="18"/>
      <x:c r="O229" s="18"/>
      <x:c r="P229" s="18"/>
      <x:c r="Q229" s="18"/>
      <x:c r="R229" s="18" t="n">
        <x:v>11</x:v>
      </x:c>
      <x:c r="S229" s="18"/>
      <x:c r="T229" s="18"/>
      <x:c r="U229" s="18"/>
      <x:c r="V229" s="18"/>
      <x:c r="W229" s="18"/>
      <x:c r="X229" s="18" t="n">
        <x:v>36</x:v>
      </x:c>
      <x:c r="Y229" s="18" t="str">
        <x:v>participants</x:v>
      </x:c>
      <x:c r="Z229" s="18" t="str">
        <x:v>&lt;0.001</x:v>
      </x:c>
      <x:c r="AA229" s="18" t="str">
        <x:v>Percentages reported; counts derived from n=55 completers</x:v>
      </x:c>
      <x:c r="AB229" s="18" t="str">
        <x:v>Yes</x:v>
      </x:c>
      <x:c r="AC229" s="18" t="str">
        <x:v>RR</x:v>
      </x:c>
      <x:c r="AD229" s="18" t="n">
        <x:v>0.3055555555555556</x:v>
      </x:c>
      <x:c r="AE229" s="18" t="str">
        <x:v>No</x:v>
      </x:c>
      <x:c r="AF229" s="18" t="str">
        <x:v>No</x:v>
      </x:c>
      <x:c r="AG229" s="18" t="str">
        <x:v>Eligible only as complete-case POCD result; attrition sensitivity needed</x:v>
      </x:c>
      <x:c r="AH229" s="18" t="str">
        <x:v>No</x:v>
      </x:c>
      <x:c r="AI229" s="18" t="str">
        <x:v>18/128 randomized participants excluded from analysis, including conversions, repeat surgery, refusal and deaths</x:v>
      </x:c>
      <x:c r="AJ229" s="18" t="str">
        <x:v>Primary POCD result</x:v>
      </x:c>
      <x:c r="AK229" s="18" t="str">
        <x:v>https://drive.google.com/file/d/1Idfl7rfZhgAUJHDpsmgzp17ADiGvrU8C/view?usp=drivesdk</x:v>
      </x:c>
      <x:c r="AL229" s="18" t="str">
        <x:v>SOURCE-VERIFIED / COUNTS DERIVED + HIGH ATTRITION</x:v>
      </x:c>
      <x:c r="AM229" s="18" t="str">
        <x:v>Neurocognitive</x:v>
      </x:c>
      <x:c r="AN229" s="18" t="str">
        <x:v>POD1 / approximate 24 h</x:v>
      </x:c>
      <x:c r="AO229" s="18" t="str">
        <x:v>CONDITIONAL</x:v>
      </x:c>
      <x:c r="AP229" s="18" t="str">
        <x:v>Source-grounded but carries a QC qualification.</x:v>
      </x:c>
      <x:c r="AQ229" s="18" t="str">
        <x:v>No</x:v>
      </x:c>
      <x:c r="AR229" s="18" t="str"/>
      <x:c r="AS229" s="18" t="str">
        <x:v>Binary effect measure (RR preferred per protocol)</x:v>
      </x:c>
      <x:c r="AT229" s="18" t="str">
        <x:v>Postoperative cognitive dysfunction</x:v>
      </x:c>
      <x:c r="AU229" s="18" t="str">
        <x:v>POD1</x:v>
      </x:c>
      <x:c r="AV229" s="18" t="str">
        <x:v>High</x:v>
      </x:c>
      <x:c r="AW229" s="18" t="str">
        <x:v>Yes — selected RoB is for a different result/timepoint</x:v>
      </x:c>
      <x:c r="AX229" s="18" t="str">
        <x:v>Guo 2023</x:v>
      </x:c>
      <x:c r="AY229" s="18" t="str">
        <x:v>Primary eligible contrast</x:v>
      </x:c>
      <x:c r="AZ229" s="18" t="str">
        <x:v>Count this study once per synthesis unless a valid multi-arm method is used.</x:v>
      </x:c>
    </x:row>
    <x:row r="230">
      <x:c r="A230" s="18" t="str">
        <x:v>Guo 2023</x:v>
      </x:c>
      <x:c r="B230" s="18" t="str">
        <x:v>GUO23_TEAS_vs_SHAM_POCD7</x:v>
      </x:c>
      <x:c r="C230" s="18" t="str">
        <x:v>Perioperative TEAS</x:v>
      </x:c>
      <x:c r="D230" s="18" t="str">
        <x:v>Sham/no-current TEAS</x:v>
      </x:c>
      <x:c r="E230" s="18" t="str">
        <x:v>Neurocognitive</x:v>
      </x:c>
      <x:c r="F230" s="18" t="str">
        <x:v>Postoperative cognitive dysfunction (MoCA decline ≥1 SD)</x:v>
      </x:c>
      <x:c r="G230" s="18" t="str">
        <x:v>POD7</x:v>
      </x:c>
      <x:c r="H230" s="18" t="str">
        <x:v>Events/total</x:v>
      </x:c>
      <x:c r="I230" s="18" t="n">
        <x:v>64</x:v>
      </x:c>
      <x:c r="J230" s="18" t="n">
        <x:v>64</x:v>
      </x:c>
      <x:c r="K230" s="18" t="n">
        <x:v>55</x:v>
      </x:c>
      <x:c r="L230" s="18" t="n">
        <x:v>55</x:v>
      </x:c>
      <x:c r="M230" s="18"/>
      <x:c r="N230" s="18"/>
      <x:c r="O230" s="18"/>
      <x:c r="P230" s="18"/>
      <x:c r="Q230" s="18"/>
      <x:c r="R230" s="18" t="n">
        <x:v>4</x:v>
      </x:c>
      <x:c r="S230" s="18"/>
      <x:c r="T230" s="18"/>
      <x:c r="U230" s="18"/>
      <x:c r="V230" s="18"/>
      <x:c r="W230" s="18"/>
      <x:c r="X230" s="18" t="n">
        <x:v>24</x:v>
      </x:c>
      <x:c r="Y230" s="18" t="str">
        <x:v>participants</x:v>
      </x:c>
      <x:c r="Z230" s="18" t="str">
        <x:v>&lt;0.001</x:v>
      </x:c>
      <x:c r="AA230" s="18" t="str">
        <x:v>Percentages reported; counts derived from n=55 completers</x:v>
      </x:c>
      <x:c r="AB230" s="18" t="str">
        <x:v>Yes</x:v>
      </x:c>
      <x:c r="AC230" s="18" t="str">
        <x:v>RR</x:v>
      </x:c>
      <x:c r="AD230" s="18" t="n">
        <x:v>0.16666666666666666</x:v>
      </x:c>
      <x:c r="AE230" s="18" t="str">
        <x:v>No</x:v>
      </x:c>
      <x:c r="AF230" s="18" t="str">
        <x:v>No</x:v>
      </x:c>
      <x:c r="AG230" s="18" t="str">
        <x:v>Eligible only as complete-case POCD result; attrition sensitivity needed</x:v>
      </x:c>
      <x:c r="AH230" s="18" t="str">
        <x:v>No</x:v>
      </x:c>
      <x:c r="AI230" s="18" t="str">
        <x:v>18/128 randomized participants excluded from analysis, including conversions, repeat surgery, refusal and deaths</x:v>
      </x:c>
      <x:c r="AJ230" s="18" t="str">
        <x:v>Primary POCD result</x:v>
      </x:c>
      <x:c r="AK230" s="18" t="str">
        <x:v>https://drive.google.com/file/d/1Idfl7rfZhgAUJHDpsmgzp17ADiGvrU8C/view?usp=drivesdk</x:v>
      </x:c>
      <x:c r="AL230" s="18" t="str">
        <x:v>SOURCE-VERIFIED / COUNTS DERIVED + HIGH ATTRITION</x:v>
      </x:c>
      <x:c r="AM230" s="18" t="str">
        <x:v>Neurocognitive</x:v>
      </x:c>
      <x:c r="AN230" s="18" t="str">
        <x:v>POD7</x:v>
      </x:c>
      <x:c r="AO230" s="18" t="str">
        <x:v>CONDITIONAL</x:v>
      </x:c>
      <x:c r="AP230" s="18" t="str">
        <x:v>Source-grounded but carries a QC qualification.</x:v>
      </x:c>
      <x:c r="AQ230" s="18" t="str">
        <x:v>No</x:v>
      </x:c>
      <x:c r="AR230" s="18" t="str"/>
      <x:c r="AS230" s="18" t="str">
        <x:v>Binary effect measure (RR preferred per protocol)</x:v>
      </x:c>
      <x:c r="AT230" s="18" t="str">
        <x:v>Postoperative cognitive dysfunction</x:v>
      </x:c>
      <x:c r="AU230" s="18" t="str">
        <x:v>POD1</x:v>
      </x:c>
      <x:c r="AV230" s="18" t="str">
        <x:v>High</x:v>
      </x:c>
      <x:c r="AW230" s="18" t="str">
        <x:v>Yes — selected RoB is for a different result/timepoint</x:v>
      </x:c>
      <x:c r="AX230" s="18" t="str">
        <x:v>Guo 2023</x:v>
      </x:c>
      <x:c r="AY230" s="18" t="str">
        <x:v>Primary eligible contrast</x:v>
      </x:c>
      <x:c r="AZ230" s="18" t="str">
        <x:v>Count this study once per synthesis unless a valid multi-arm method is used.</x:v>
      </x:c>
    </x:row>
    <x:row r="231">
      <x:c r="A231" s="18" t="str">
        <x:v>Guo 2023</x:v>
      </x:c>
      <x:c r="B231" s="18" t="str">
        <x:v>GUO23_TEAS_vs_SHAM_POCD30</x:v>
      </x:c>
      <x:c r="C231" s="18" t="str">
        <x:v>Perioperative TEAS</x:v>
      </x:c>
      <x:c r="D231" s="18" t="str">
        <x:v>Sham/no-current TEAS</x:v>
      </x:c>
      <x:c r="E231" s="18" t="str">
        <x:v>Neurocognitive</x:v>
      </x:c>
      <x:c r="F231" s="18" t="str">
        <x:v>Postoperative cognitive dysfunction (MoCA decline ≥1 SD)</x:v>
      </x:c>
      <x:c r="G231" s="18" t="str">
        <x:v>POD30</x:v>
      </x:c>
      <x:c r="H231" s="18" t="str">
        <x:v>Events/total</x:v>
      </x:c>
      <x:c r="I231" s="18" t="n">
        <x:v>64</x:v>
      </x:c>
      <x:c r="J231" s="18" t="n">
        <x:v>64</x:v>
      </x:c>
      <x:c r="K231" s="18" t="n">
        <x:v>55</x:v>
      </x:c>
      <x:c r="L231" s="18" t="n">
        <x:v>55</x:v>
      </x:c>
      <x:c r="M231" s="18"/>
      <x:c r="N231" s="18"/>
      <x:c r="O231" s="18"/>
      <x:c r="P231" s="18"/>
      <x:c r="Q231" s="18"/>
      <x:c r="R231" s="18" t="n">
        <x:v>2</x:v>
      </x:c>
      <x:c r="S231" s="18"/>
      <x:c r="T231" s="18"/>
      <x:c r="U231" s="18"/>
      <x:c r="V231" s="18"/>
      <x:c r="W231" s="18"/>
      <x:c r="X231" s="18" t="n">
        <x:v>22</x:v>
      </x:c>
      <x:c r="Y231" s="18" t="str">
        <x:v>participants</x:v>
      </x:c>
      <x:c r="Z231" s="18" t="str">
        <x:v>&lt;0.001</x:v>
      </x:c>
      <x:c r="AA231" s="18" t="str">
        <x:v>Percentages reported; counts derived from n=55 completers</x:v>
      </x:c>
      <x:c r="AB231" s="18" t="str">
        <x:v>Yes</x:v>
      </x:c>
      <x:c r="AC231" s="18" t="str">
        <x:v>RR</x:v>
      </x:c>
      <x:c r="AD231" s="18" t="n">
        <x:v>0.0909090909090909</x:v>
      </x:c>
      <x:c r="AE231" s="18" t="str">
        <x:v>No</x:v>
      </x:c>
      <x:c r="AF231" s="18" t="str">
        <x:v>No</x:v>
      </x:c>
      <x:c r="AG231" s="18" t="str">
        <x:v>Eligible only as complete-case POCD result; attrition sensitivity needed</x:v>
      </x:c>
      <x:c r="AH231" s="18" t="str">
        <x:v>No</x:v>
      </x:c>
      <x:c r="AI231" s="18" t="str">
        <x:v>18/128 randomized participants excluded from analysis, including conversions, repeat surgery, refusal and deaths</x:v>
      </x:c>
      <x:c r="AJ231" s="18" t="str">
        <x:v>Primary POCD result</x:v>
      </x:c>
      <x:c r="AK231" s="18" t="str">
        <x:v>https://drive.google.com/file/d/1Idfl7rfZhgAUJHDpsmgzp17ADiGvrU8C/view?usp=drivesdk</x:v>
      </x:c>
      <x:c r="AL231" s="18" t="str">
        <x:v>SOURCE-VERIFIED / COUNTS DERIVED + HIGH ATTRITION</x:v>
      </x:c>
      <x:c r="AM231" s="18" t="str">
        <x:v>Neurocognitive</x:v>
      </x:c>
      <x:c r="AN231" s="18" t="str">
        <x:v>POD30</x:v>
      </x:c>
      <x:c r="AO231" s="18" t="str">
        <x:v>CONDITIONAL</x:v>
      </x:c>
      <x:c r="AP231" s="18" t="str">
        <x:v>Source-grounded but carries a QC qualification.</x:v>
      </x:c>
      <x:c r="AQ231" s="18" t="str">
        <x:v>No</x:v>
      </x:c>
      <x:c r="AR231" s="18" t="str"/>
      <x:c r="AS231" s="18" t="str">
        <x:v>Binary effect measure (RR preferred per protocol)</x:v>
      </x:c>
      <x:c r="AT231" s="18" t="str">
        <x:v>Postoperative cognitive dysfunction</x:v>
      </x:c>
      <x:c r="AU231" s="18" t="str">
        <x:v>POD1</x:v>
      </x:c>
      <x:c r="AV231" s="18" t="str">
        <x:v>High</x:v>
      </x:c>
      <x:c r="AW231" s="18" t="str">
        <x:v>Yes — selected RoB is for a different result/timepoint</x:v>
      </x:c>
      <x:c r="AX231" s="18" t="str">
        <x:v>Guo 2023</x:v>
      </x:c>
      <x:c r="AY231" s="18" t="str">
        <x:v>Primary eligible contrast</x:v>
      </x:c>
      <x:c r="AZ231" s="18" t="str">
        <x:v>Count this study once per synthesis unless a valid multi-arm method is used.</x:v>
      </x:c>
    </x:row>
    <x:row r="232">
      <x:c r="A232" s="18" t="str">
        <x:v>Guo 2023</x:v>
      </x:c>
      <x:c r="B232" s="18" t="str">
        <x:v>GUO23_TEAS_vs_SHAM_REMI</x:v>
      </x:c>
      <x:c r="C232" s="18" t="str">
        <x:v>Perioperative TEAS</x:v>
      </x:c>
      <x:c r="D232" s="18" t="str">
        <x:v>Sham/no-current TEAS</x:v>
      </x:c>
      <x:c r="E232" s="18" t="str">
        <x:v>Intraoperative opioid</x:v>
      </x:c>
      <x:c r="F232" s="18" t="str">
        <x:v>Remifentanil consumption</x:v>
      </x:c>
      <x:c r="G232" s="18" t="str">
        <x:v>Intraoperative</x:v>
      </x:c>
      <x:c r="H232" s="18" t="str">
        <x:v>Mean/SD</x:v>
      </x:c>
      <x:c r="I232" s="18" t="n">
        <x:v>64</x:v>
      </x:c>
      <x:c r="J232" s="18" t="n">
        <x:v>64</x:v>
      </x:c>
      <x:c r="K232" s="18" t="n">
        <x:v>55</x:v>
      </x:c>
      <x:c r="L232" s="18" t="n">
        <x:v>55</x:v>
      </x:c>
      <x:c r="M232" s="18" t="n">
        <x:v>0.87</x:v>
      </x:c>
      <x:c r="N232" s="18" t="n">
        <x:v>0.3</x:v>
      </x:c>
      <x:c r="O232" s="18"/>
      <x:c r="P232" s="18"/>
      <x:c r="Q232" s="18"/>
      <x:c r="R232" s="18"/>
      <x:c r="S232" s="18" t="n">
        <x:v>1.01</x:v>
      </x:c>
      <x:c r="T232" s="18" t="n">
        <x:v>0.39</x:v>
      </x:c>
      <x:c r="U232" s="18"/>
      <x:c r="V232" s="18"/>
      <x:c r="W232" s="18"/>
      <x:c r="X232" s="18"/>
      <x:c r="Y232" s="18" t="str">
        <x:v>mg remifentanil</x:v>
      </x:c>
      <x:c r="Z232" s="18" t="str">
        <x:v>0.040</x:v>
      </x:c>
      <x:c r="AA232" s="18" t="str">
        <x:v>Yes</x:v>
      </x:c>
      <x:c r="AB232" s="18" t="str">
        <x:v>No</x:v>
      </x:c>
      <x:c r="AC232" s="18" t="str">
        <x:v>MD</x:v>
      </x:c>
      <x:c r="AD232" s="18" t="n">
        <x:v>-0.14</x:v>
      </x:c>
      <x:c r="AE232" s="18" t="str">
        <x:v>No</x:v>
      </x:c>
      <x:c r="AF232" s="18" t="str">
        <x:v>No</x:v>
      </x:c>
      <x:c r="AG232" s="18" t="str">
        <x:v>Eligible for intraoperative opioid-sparing analysis</x:v>
      </x:c>
      <x:c r="AH232" s="18" t="str">
        <x:v>No</x:v>
      </x:c>
      <x:c r="AI232" s="18" t="str">
        <x:v>Complete-case n=55/group</x:v>
      </x:c>
      <x:c r="AJ232" s="18" t="str">
        <x:v>Perioperative anesthetic table</x:v>
      </x:c>
      <x:c r="AK232" s="18" t="str">
        <x:v>https://drive.google.com/file/d/1Idfl7rfZhgAUJHDpsmgzp17ADiGvrU8C/view?usp=drivesdk</x:v>
      </x:c>
      <x:c r="AL232" s="18" t="str">
        <x:v>SOURCE-VERIFIED</x:v>
      </x:c>
      <x:c r="AM232" s="18" t="str">
        <x:v>Intraoperative opioid</x:v>
      </x:c>
      <x:c r="AN232" s="18" t="str">
        <x:v>Intraoperative</x:v>
      </x:c>
      <x:c r="AO232" s="18" t="str">
        <x:v>INCLUDE — INTRAOPERATIVE</x:v>
      </x:c>
      <x:c r="AP232" s="18" t="str">
        <x:v>Valid intraoperative opioid endpoint; must remain separate from postoperative opioid consumption.</x:v>
      </x:c>
      <x:c r="AQ232" s="18" t="str">
        <x:v>No</x:v>
      </x:c>
      <x:c r="AR232" s="18" t="str"/>
      <x:c r="AS232" s="18" t="str">
        <x:v>None</x:v>
      </x:c>
      <x:c r="AT232" s="18" t="str">
        <x:v>Postoperative cognitive dysfunction</x:v>
      </x:c>
      <x:c r="AU232" s="18" t="str">
        <x:v>POD1</x:v>
      </x:c>
      <x:c r="AV232" s="18" t="str">
        <x:v>High</x:v>
      </x:c>
      <x:c r="AW232" s="18" t="str">
        <x:v>Yes — selected RoB is for a different result/timepoint</x:v>
      </x:c>
      <x:c r="AX232" s="18" t="str">
        <x:v>Guo 2023</x:v>
      </x:c>
      <x:c r="AY232" s="18" t="str">
        <x:v>Primary eligible contrast</x:v>
      </x:c>
      <x:c r="AZ232" s="18" t="str">
        <x:v>Count this study once per synthesis unless a valid multi-arm method is used.</x:v>
      </x:c>
    </x:row>
    <x:row r="233">
      <x:c r="A233" s="18" t="str">
        <x:v>Guo 2023</x:v>
      </x:c>
      <x:c r="B233" s="18" t="str">
        <x:v>GUO23_PAINPOD1</x:v>
      </x:c>
      <x:c r="C233" s="18" t="str">
        <x:v>Perioperative TEAS</x:v>
      </x:c>
      <x:c r="D233" s="18" t="str">
        <x:v>Sham/no-current TEAS</x:v>
      </x:c>
      <x:c r="E233" s="18" t="str">
        <x:v>Pain</x:v>
      </x:c>
      <x:c r="F233" s="18" t="str">
        <x:v>NRS pain intensity</x:v>
      </x:c>
      <x:c r="G233" s="18" t="str">
        <x:v>POD1</x:v>
      </x:c>
      <x:c r="H233" s="18" t="str">
        <x:v>Graph-only continuous data</x:v>
      </x:c>
      <x:c r="I233" s="18" t="n">
        <x:v>64</x:v>
      </x:c>
      <x:c r="J233" s="18" t="n">
        <x:v>64</x:v>
      </x:c>
      <x:c r="K233" s="18" t="n">
        <x:v>55</x:v>
      </x:c>
      <x:c r="L233" s="18" t="n">
        <x:v>55</x:v>
      </x:c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 t="str">
        <x:v>NRS</x:v>
      </x:c>
      <x:c r="Z233" s="18" t="str">
        <x:v>&lt;0.001</x:v>
      </x:c>
      <x:c r="AA233" s="18" t="str">
        <x:v>No</x:v>
      </x:c>
      <x:c r="AB233" s="18" t="str">
        <x:v>No</x:v>
      </x:c>
      <x:c r="AC233" s="18"/>
      <x:c r="AD233" s="18"/>
      <x:c r="AE233" s="18" t="str">
        <x:v>No</x:v>
      </x:c>
      <x:c r="AF233" s="18" t="str">
        <x:v>No</x:v>
      </x:c>
      <x:c r="AG233" s="18" t="str">
        <x:v>Not ready for continuous pooling without digitization/author data</x:v>
      </x:c>
      <x:c r="AH233" s="18" t="str">
        <x:v>No</x:v>
      </x:c>
      <x:c r="AI233" s="18" t="str">
        <x:v>Exact means/SDs are figure-only</x:v>
      </x:c>
      <x:c r="AJ233" s="18" t="str">
        <x:v>Figure 3B</x:v>
      </x:c>
      <x:c r="AK233" s="18" t="str">
        <x:v>https://drive.google.com/file/d/1Idfl7rfZhgAUJHDpsmgzp17ADiGvrU8C/view?usp=drivesdk</x:v>
      </x:c>
      <x:c r="AL233" s="18" t="str">
        <x:v>FIGURE ONLY / DIGITIZATION NEEDED</x:v>
      </x:c>
      <x:c r="AM233" s="18" t="str">
        <x:v>Pain</x:v>
      </x:c>
      <x:c r="AN233" s="18" t="str">
        <x:v>POD1 / approximate 24 h</x:v>
      </x:c>
      <x:c r="AO233" s="18" t="str">
        <x:v>DIGITIZATION NEEDED</x:v>
      </x:c>
      <x:c r="AP233" s="18" t="str">
        <x:v>Exact numeric result is not tabulated; formal graph digitization or author data is required before quantitative pooling.</x:v>
      </x:c>
      <x:c r="AQ233" s="18" t="str">
        <x:v>No</x:v>
      </x:c>
      <x:c r="AR233" s="18" t="str"/>
      <x:c r="AS233" s="18" t="str">
        <x:v>None</x:v>
      </x:c>
      <x:c r="AT233" s="18" t="str">
        <x:v>Postoperative cognitive dysfunction</x:v>
      </x:c>
      <x:c r="AU233" s="18" t="str">
        <x:v>POD1</x:v>
      </x:c>
      <x:c r="AV233" s="18" t="str">
        <x:v>High</x:v>
      </x:c>
      <x:c r="AW233" s="18" t="str">
        <x:v>Yes — selected RoB is for a different result/timepoint</x:v>
      </x:c>
      <x:c r="AX233" s="18" t="str">
        <x:v>Guo 2023</x:v>
      </x:c>
      <x:c r="AY233" s="18" t="str">
        <x:v>Primary eligible contrast</x:v>
      </x:c>
      <x:c r="AZ233" s="18" t="str">
        <x:v>Count this study once per synthesis unless a valid multi-arm method is used.</x:v>
      </x:c>
    </x:row>
    <x:row r="234">
      <x:c r="A234" s="18" t="str">
        <x:v>Guo 2023</x:v>
      </x:c>
      <x:c r="B234" s="18" t="str">
        <x:v>GUO23_OPIOID24</x:v>
      </x:c>
      <x:c r="C234" s="18" t="str">
        <x:v>Perioperative TEAS</x:v>
      </x:c>
      <x:c r="D234" s="18" t="str">
        <x:v>Sham/no-current TEAS</x:v>
      </x:c>
      <x:c r="E234" s="18" t="str">
        <x:v>Opioid consumption</x:v>
      </x:c>
      <x:c r="F234" s="18" t="str">
        <x:v>Actual postoperative sufentanil consumption</x:v>
      </x:c>
      <x:c r="G234" s="18" t="str">
        <x:v>0-24 h</x:v>
      </x:c>
      <x:c r="H234" s="18" t="str">
        <x:v>Not reported</x:v>
      </x:c>
      <x:c r="I234" s="18" t="n">
        <x:v>64</x:v>
      </x:c>
      <x:c r="J234" s="18" t="n">
        <x:v>64</x:v>
      </x:c>
      <x:c r="K234" s="18" t="n">
        <x:v>55</x:v>
      </x:c>
      <x:c r="L234" s="18" t="n">
        <x:v>55</x:v>
      </x:c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 t="str">
        <x:v>µg sufentanil</x:v>
      </x:c>
      <x:c r="Z234" s="18"/>
      <x:c r="AA234" s="18" t="str">
        <x:v>No</x:v>
      </x:c>
      <x:c r="AB234" s="18" t="str">
        <x:v>No</x:v>
      </x:c>
      <x:c r="AC234" s="18"/>
      <x:c r="AD234" s="18"/>
      <x:c r="AE234" s="18" t="str">
        <x:v>No</x:v>
      </x:c>
      <x:c r="AF234" s="18" t="str">
        <x:v>No</x:v>
      </x:c>
      <x:c r="AG234" s="18" t="str">
        <x:v>Not eligible for continuous 24-h opioid/MME meta-analysis</x:v>
      </x:c>
      <x:c r="AH234" s="18" t="str">
        <x:v>No</x:v>
      </x:c>
      <x:c r="AI234" s="18" t="str">
        <x:v>PCIA prescription is reported but actual delivered 24-h/48-h sufentanil is not</x:v>
      </x:c>
      <x:c r="AJ234" s="18" t="str">
        <x:v>Postoperative PCIA section</x:v>
      </x:c>
      <x:c r="AK234" s="18" t="str">
        <x:v>https://drive.google.com/file/d/1Idfl7rfZhgAUJHDpsmgzp17ADiGvrU8C/view?usp=drivesdk</x:v>
      </x:c>
      <x:c r="AL234" s="18" t="str">
        <x:v>MISSING / AUTHOR DATA NEEDED</x:v>
      </x:c>
      <x:c r="AM234" s="18" t="str">
        <x:v>Postoperative opioid consumption</x:v>
      </x:c>
      <x:c r="AN234" s="18" t="str">
        <x:v>Exact/explicit 24 h</x:v>
      </x:c>
      <x:c r="AO234" s="18" t="str">
        <x:v>EXCLUDE — DATA UNAVAILABLE</x:v>
      </x:c>
      <x:c r="AP234" s="18" t="str">
        <x:v>The source does not provide a defensible quantitative value for this analysis.</x:v>
      </x:c>
      <x:c r="AQ234" s="18" t="str">
        <x:v>No</x:v>
      </x:c>
      <x:c r="AR234" s="18" t="str"/>
      <x:c r="AS234" s="18" t="str">
        <x:v>Opioid/MME conversion required using prespecified review conversion</x:v>
      </x:c>
      <x:c r="AT234" s="18" t="str">
        <x:v>Postoperative cognitive dysfunction</x:v>
      </x:c>
      <x:c r="AU234" s="18" t="str">
        <x:v>POD1</x:v>
      </x:c>
      <x:c r="AV234" s="18" t="str">
        <x:v>High</x:v>
      </x:c>
      <x:c r="AW234" s="18" t="str">
        <x:v>Yes — selected RoB is for a different result/timepoint</x:v>
      </x:c>
      <x:c r="AX234" s="18" t="str">
        <x:v>Guo 2023</x:v>
      </x:c>
      <x:c r="AY234" s="18" t="str">
        <x:v>Primary eligible contrast</x:v>
      </x:c>
      <x:c r="AZ234" s="18" t="str">
        <x:v>Count this study once per synthesis unless a valid multi-arm method is used.</x:v>
      </x:c>
    </x:row>
    <x:row r="235">
      <x:c r="A235" s="18" t="str">
        <x:v>Grech 2016</x:v>
      </x:c>
      <x:c r="B235" s="18" t="str">
        <x:v>GRECH16_EA_vs_CTRL_PACU_MME_WOMEN</x:v>
      </x:c>
      <x:c r="C235" s="18" t="str">
        <x:v>Intraoperative low-frequency EA</x:v>
      </x:c>
      <x:c r="D235" s="18" t="str">
        <x:v>Sham/control</x:v>
      </x:c>
      <x:c r="E235" s="18" t="str">
        <x:v>Opioid consumption</x:v>
      </x:c>
      <x:c r="F235" s="18" t="str">
        <x:v>PACU analgesic requirement in women-only subgroup</x:v>
      </x:c>
      <x:c r="G235" s="18" t="str">
        <x:v>PACU</x:v>
      </x:c>
      <x:c r="H235" s="18" t="str">
        <x:v>Graph-only morphine-equivalent outcome</x:v>
      </x:c>
      <x:c r="I235" s="18" t="n">
        <x:v>11</x:v>
      </x:c>
      <x:c r="J235" s="18" t="n">
        <x:v>9</x:v>
      </x:c>
      <x:c r="K235" s="18" t="n">
        <x:v>9</x:v>
      </x:c>
      <x:c r="L235" s="18" t="n">
        <x:v>9</x:v>
      </x:c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 t="str">
        <x:v>mg morphine-equivalent</x:v>
      </x:c>
      <x:c r="Z235" s="18" t="str">
        <x:v>Significant; authors report ~60% lower in EA women</x:v>
      </x:c>
      <x:c r="AA235" s="18" t="str">
        <x:v>No</x:v>
      </x:c>
      <x:c r="AB235" s="18" t="str">
        <x:v>No</x:v>
      </x:c>
      <x:c r="AC235" s="18"/>
      <x:c r="AD235" s="18"/>
      <x:c r="AE235" s="18" t="str">
        <x:v>No</x:v>
      </x:c>
      <x:c r="AF235" s="18" t="str">
        <x:v>No</x:v>
      </x:c>
      <x:c r="AG235" s="18" t="str">
        <x:v>Not quantitatively meta-analysis-ready without exact graph values or author data</x:v>
      </x:c>
      <x:c r="AH235" s="18" t="str">
        <x:v>No</x:v>
      </x:c>
      <x:c r="AI235" s="18" t="str">
        <x:v>Post hoc women-only subgroup excludes two men from EA arm; exact means/SEM are not tabulated</x:v>
      </x:c>
      <x:c r="AJ235" s="18" t="str">
        <x:v>Figure 1D / women-only PACU analgesic requirement</x:v>
      </x:c>
      <x:c r="AK235" s="18" t="str">
        <x:v>https://drive.google.com/file/d/1U3KShiAZKL8n9hxSpBkhuhuQHW2EN-IY/view?usp=drivesdk</x:v>
      </x:c>
      <x:c r="AL235" s="18" t="str">
        <x:v>GRAPH ONLY / POST-HOC SUBGROUP</x:v>
      </x:c>
      <x:c r="AM235" s="18" t="str">
        <x:v>Postoperative opioid consumption</x:v>
      </x:c>
      <x:c r="AN235" s="18" t="str">
        <x:v>PACU</x:v>
      </x:c>
      <x:c r="AO235" s="18" t="str">
        <x:v>DIGITIZATION NEEDED</x:v>
      </x:c>
      <x:c r="AP235" s="18" t="str">
        <x:v>Exact numeric result is not tabulated; formal graph digitization or author data is required before quantitative pooling.</x:v>
      </x:c>
      <x:c r="AQ235" s="18" t="str">
        <x:v>No</x:v>
      </x:c>
      <x:c r="AR235" s="18" t="str"/>
      <x:c r="AS235" s="18" t="str">
        <x:v>Use native IV morphine; convert to review-standard MME only per prespecified rule</x:v>
      </x:c>
      <x:c r="AT235" s="18" t="str">
        <x:v>PACU analgesic requirement in women-only subgroup</x:v>
      </x:c>
      <x:c r="AU235" s="18" t="str">
        <x:v>PACU</x:v>
      </x:c>
      <x:c r="AV235" s="18" t="str">
        <x:v>High</x:v>
      </x:c>
      <x:c r="AW235" s="18" t="str">
        <x:v>No — selected RoB matches this result</x:v>
      </x:c>
      <x:c r="AX235" s="18" t="str">
        <x:v>Grech 2016</x:v>
      </x:c>
      <x:c r="AY235" s="18" t="str">
        <x:v>Primary eligible contrast</x:v>
      </x:c>
      <x:c r="AZ235" s="18" t="str">
        <x:v>Count this study once per synthesis unless a valid multi-arm method is used.</x:v>
      </x:c>
    </x:row>
    <x:row r="236">
      <x:c r="A236" s="18" t="str">
        <x:v>Grech 2016</x:v>
      </x:c>
      <x:c r="B236" s="18" t="str">
        <x:v>GRECH16_EA_vs_CTRL_OPIOID24</x:v>
      </x:c>
      <x:c r="C236" s="18" t="str">
        <x:v>Intraoperative low-frequency EA</x:v>
      </x:c>
      <x:c r="D236" s="18" t="str">
        <x:v>Sham/control</x:v>
      </x:c>
      <x:c r="E236" s="18" t="str">
        <x:v>Opioid consumption</x:v>
      </x:c>
      <x:c r="F236" s="18" t="str">
        <x:v>Exact cumulative 24-h postoperative morphine-equivalent consumption</x:v>
      </x:c>
      <x:c r="G236" s="18" t="str">
        <x:v>0-24 h</x:v>
      </x:c>
      <x:c r="H236" s="18" t="str">
        <x:v>Not reported</x:v>
      </x:c>
      <x:c r="I236" s="18" t="n">
        <x:v>11</x:v>
      </x:c>
      <x:c r="J236" s="18" t="n">
        <x:v>9</x:v>
      </x:c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 t="str">
        <x:v>mg morphine-equivalent</x:v>
      </x:c>
      <x:c r="Z236" s="18"/>
      <x:c r="AA236" s="18" t="str">
        <x:v>No</x:v>
      </x:c>
      <x:c r="AB236" s="18" t="str">
        <x:v>No</x:v>
      </x:c>
      <x:c r="AC236" s="18"/>
      <x:c r="AD236" s="18"/>
      <x:c r="AE236" s="18" t="str">
        <x:v>No</x:v>
      </x:c>
      <x:c r="AF236" s="18" t="str">
        <x:v>No</x:v>
      </x:c>
      <x:c r="AG236" s="18" t="str">
        <x:v>Not eligible for continuous 24-h opioid/MME meta-analysis</x:v>
      </x:c>
      <x:c r="AH236" s="18" t="str">
        <x:v>No</x:v>
      </x:c>
      <x:c r="AI236" s="18" t="str">
        <x:v>Day-1 analgesic use is graphical and exact 24-h mean/dispersion is not tabulated</x:v>
      </x:c>
      <x:c r="AJ236" s="18" t="str">
        <x:v>Postoperative analgesic figures</x:v>
      </x:c>
      <x:c r="AK236" s="18" t="str">
        <x:v>https://drive.google.com/file/d/1U3KShiAZKL8n9hxSpBkhuhuQHW2EN-IY/view?usp=drivesdk</x:v>
      </x:c>
      <x:c r="AL236" s="18" t="str">
        <x:v>MISSING / AUTHOR DATA NEEDED</x:v>
      </x:c>
      <x:c r="AM236" s="18" t="str">
        <x:v>Postoperative opioid consumption</x:v>
      </x:c>
      <x:c r="AN236" s="18" t="str">
        <x:v>Exact/explicit 24 h</x:v>
      </x:c>
      <x:c r="AO236" s="18" t="str">
        <x:v>EXCLUDE — DATA UNAVAILABLE</x:v>
      </x:c>
      <x:c r="AP236" s="18" t="str">
        <x:v>The source does not provide a defensible quantitative value for this analysis.</x:v>
      </x:c>
      <x:c r="AQ236" s="18" t="str">
        <x:v>No</x:v>
      </x:c>
      <x:c r="AR236" s="18" t="str"/>
      <x:c r="AS236" s="18" t="str">
        <x:v>Use native IV morphine; convert to review-standard MME only per prespecified rule</x:v>
      </x:c>
      <x:c r="AT236" s="18" t="str">
        <x:v>PACU analgesic requirement in women-only subgroup</x:v>
      </x:c>
      <x:c r="AU236" s="18" t="str">
        <x:v>PACU</x:v>
      </x:c>
      <x:c r="AV236" s="18" t="str">
        <x:v>High</x:v>
      </x:c>
      <x:c r="AW236" s="18" t="str">
        <x:v>Yes — selected RoB is for a different result/timepoint</x:v>
      </x:c>
      <x:c r="AX236" s="18" t="str">
        <x:v>Grech 2016</x:v>
      </x:c>
      <x:c r="AY236" s="18" t="str">
        <x:v>Primary eligible contrast</x:v>
      </x:c>
      <x:c r="AZ236" s="18" t="str">
        <x:v>Count this study once per synthesis unless a valid multi-arm method is used.</x:v>
      </x:c>
    </x:row>
    <x:row r="237">
      <x:c r="A237" s="18" t="str">
        <x:v>Grech 2016</x:v>
      </x:c>
      <x:c r="B237" s="18" t="str">
        <x:v>GRECH16_EA_vs_CTRL_PAIN</x:v>
      </x:c>
      <x:c r="C237" s="18" t="str">
        <x:v>Intraoperative low-frequency EA</x:v>
      </x:c>
      <x:c r="D237" s="18" t="str">
        <x:v>Sham/control</x:v>
      </x:c>
      <x:c r="E237" s="18" t="str">
        <x:v>Pain</x:v>
      </x:c>
      <x:c r="F237" s="18" t="str">
        <x:v>Postoperative VAS pain</x:v>
      </x:c>
      <x:c r="G237" s="18" t="str">
        <x:v>PACU and POD1-3</x:v>
      </x:c>
      <x:c r="H237" s="18" t="str">
        <x:v>Graph-only continuous data</x:v>
      </x:c>
      <x:c r="I237" s="18" t="n">
        <x:v>11</x:v>
      </x:c>
      <x:c r="J237" s="18" t="n">
        <x:v>9</x:v>
      </x:c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 t="str">
        <x:v>VAS 0-10</x:v>
      </x:c>
      <x:c r="Z237" s="18" t="str">
        <x:v>No significant overall difference</x:v>
      </x:c>
      <x:c r="AA237" s="18" t="str">
        <x:v>No</x:v>
      </x:c>
      <x:c r="AB237" s="18" t="str">
        <x:v>No</x:v>
      </x:c>
      <x:c r="AC237" s="18"/>
      <x:c r="AD237" s="18"/>
      <x:c r="AE237" s="18" t="str">
        <x:v>No</x:v>
      </x:c>
      <x:c r="AF237" s="18" t="str">
        <x:v>No</x:v>
      </x:c>
      <x:c r="AG237" s="18" t="str">
        <x:v>Not ready for continuous pooling without digitization</x:v>
      </x:c>
      <x:c r="AH237" s="18" t="str">
        <x:v>No</x:v>
      </x:c>
      <x:c r="AI237" s="18" t="str">
        <x:v>Exact numeric pain means/SEM are not tabulated</x:v>
      </x:c>
      <x:c r="AJ237" s="18" t="str">
        <x:v>Postoperative pain figures</x:v>
      </x:c>
      <x:c r="AK237" s="18" t="str">
        <x:v>https://drive.google.com/file/d/1U3KShiAZKL8n9hxSpBkhuhuQHW2EN-IY/view?usp=drivesdk</x:v>
      </x:c>
      <x:c r="AL237" s="18" t="str">
        <x:v>FIGURE ONLY</x:v>
      </x:c>
      <x:c r="AM237" s="18" t="str">
        <x:v>Pain</x:v>
      </x:c>
      <x:c r="AN237" s="18" t="str">
        <x:v>POD1 / approximate 24 h</x:v>
      </x:c>
      <x:c r="AO237" s="18" t="str">
        <x:v>DIGITIZATION NEEDED</x:v>
      </x:c>
      <x:c r="AP237" s="18" t="str">
        <x:v>Exact numeric result is not tabulated; formal graph digitization or author data is required before quantitative pooling.</x:v>
      </x:c>
      <x:c r="AQ237" s="18" t="str">
        <x:v>No</x:v>
      </x:c>
      <x:c r="AR237" s="18" t="str"/>
      <x:c r="AS237" s="18" t="str">
        <x:v>None</x:v>
      </x:c>
      <x:c r="AT237" s="18" t="str">
        <x:v>PACU analgesic requirement in women-only subgroup</x:v>
      </x:c>
      <x:c r="AU237" s="18" t="str">
        <x:v>PACU</x:v>
      </x:c>
      <x:c r="AV237" s="18" t="str">
        <x:v>High</x:v>
      </x:c>
      <x:c r="AW237" s="18" t="str">
        <x:v>Yes — selected RoB is for a different result/timepoint</x:v>
      </x:c>
      <x:c r="AX237" s="18" t="str">
        <x:v>Grech 2016</x:v>
      </x:c>
      <x:c r="AY237" s="18" t="str">
        <x:v>Primary eligible contrast</x:v>
      </x:c>
      <x:c r="AZ237" s="18" t="str">
        <x:v>Count this study once per synthesis unless a valid multi-arm method is used.</x:v>
      </x:c>
    </x:row>
    <x:row r="238">
      <x:c r="A238" s="18" t="str">
        <x:v>Gao 2021</x:v>
      </x:c>
      <x:c r="B238" s="18" t="str">
        <x:v>GAO21_TEAS_vs_SHAM_POI</x:v>
      </x:c>
      <x:c r="C238" s="18" t="str">
        <x:v>Postoperative TEAS</x:v>
      </x:c>
      <x:c r="D238" s="18" t="str">
        <x:v>Sham/no-current TEAS</x:v>
      </x:c>
      <x:c r="E238" s="18" t="str">
        <x:v>GI recovery</x:v>
      </x:c>
      <x:c r="F238" s="18" t="str">
        <x:v>Postoperative paralytic ileus: no flatus &gt;72 h</x:v>
      </x:c>
      <x:c r="G238" s="18" t="str">
        <x:v>Postoperative</x:v>
      </x:c>
      <x:c r="H238" s="18" t="str">
        <x:v>Events/total</x:v>
      </x:c>
      <x:c r="I238" s="18" t="n">
        <x:v>303</x:v>
      </x:c>
      <x:c r="J238" s="18" t="n">
        <x:v>307</x:v>
      </x:c>
      <x:c r="K238" s="18" t="n">
        <x:v>303</x:v>
      </x:c>
      <x:c r="L238" s="18" t="n">
        <x:v>307</x:v>
      </x:c>
      <x:c r="M238" s="18"/>
      <x:c r="N238" s="18"/>
      <x:c r="O238" s="18"/>
      <x:c r="P238" s="18"/>
      <x:c r="Q238" s="18"/>
      <x:c r="R238" s="18" t="n">
        <x:v>98</x:v>
      </x:c>
      <x:c r="S238" s="18"/>
      <x:c r="T238" s="18"/>
      <x:c r="U238" s="18"/>
      <x:c r="V238" s="18"/>
      <x:c r="W238" s="18"/>
      <x:c r="X238" s="18" t="n">
        <x:v>126</x:v>
      </x:c>
      <x:c r="Y238" s="18" t="str">
        <x:v>participants</x:v>
      </x:c>
      <x:c r="Z238" s="18" t="str">
        <x:v>0.026</x:v>
      </x:c>
      <x:c r="AA238" s="18" t="str">
        <x:v>Yes</x:v>
      </x:c>
      <x:c r="AB238" s="18" t="str">
        <x:v>No</x:v>
      </x:c>
      <x:c r="AC238" s="18" t="str">
        <x:v>RR</x:v>
      </x:c>
      <x:c r="AD238" s="18" t="n">
        <x:v>0.788045471213788</x:v>
      </x:c>
      <x:c r="AE238" s="18" t="str">
        <x:v>No</x:v>
      </x:c>
      <x:c r="AF238" s="18" t="str">
        <x:v>No</x:v>
      </x:c>
      <x:c r="AG238" s="18" t="str">
        <x:v>Eligible for dichotomous POI analysis</x:v>
      </x:c>
      <x:c r="AH238" s="18" t="str">
        <x:v>No</x:v>
      </x:c>
      <x:c r="AI238" s="18" t="str">
        <x:v>Full ITT of all 610 randomized; participant sensory masking limited because active TEAS was perceptible</x:v>
      </x:c>
      <x:c r="AJ238" s="18" t="str">
        <x:v>Primary POI outcome</x:v>
      </x:c>
      <x:c r="AK238" s="18" t="str">
        <x:v>https://drive.google.com/file/d/1QbM6CNi8KfBXmMTqG1ASm3hK05cz_hKQ/view?usp=drivesdk</x:v>
      </x:c>
      <x:c r="AL238" s="18" t="str">
        <x:v>SOURCE-VERIFIED</x:v>
      </x:c>
      <x:c r="AM238" s="18" t="str">
        <x:v>GI recovery</x:v>
      </x:c>
      <x:c r="AN238" s="18" t="str">
        <x:v>Postoperative</x:v>
      </x:c>
      <x:c r="AO238" s="18" t="str">
        <x:v>INCLUDE</x:v>
      </x:c>
      <x:c r="AP238" s="18" t="str">
        <x:v>Source-valid first-flatus/ileus endpoint; retain reported distribution (mean/SD, median/IQR, or events).</x:v>
      </x:c>
      <x:c r="AQ238" s="18" t="str">
        <x:v>Yes</x:v>
      </x:c>
      <x:c r="AR238" s="18" t="str"/>
      <x:c r="AS238" s="18" t="str">
        <x:v>Binary effect measure (RR preferred per protocol)</x:v>
      </x:c>
      <x:c r="AT238" s="18" t="str">
        <x:v>Postoperative paralytic ileus</x:v>
      </x:c>
      <x:c r="AU238" s="18" t="str">
        <x:v>No flatus &gt;72 h</x:v>
      </x:c>
      <x:c r="AV238" s="18" t="str">
        <x:v>Some concerns</x:v>
      </x:c>
      <x:c r="AW238" s="18" t="str">
        <x:v>Yes — selected RoB is for a different result/timepoint</x:v>
      </x:c>
      <x:c r="AX238" s="18" t="str">
        <x:v>Gao 2021</x:v>
      </x:c>
      <x:c r="AY238" s="18" t="str">
        <x:v>Primary eligible contrast</x:v>
      </x:c>
      <x:c r="AZ238" s="18" t="str">
        <x:v>Count this study once per synthesis unless a valid multi-arm method is used.</x:v>
      </x:c>
    </x:row>
    <x:row r="239">
      <x:c r="A239" s="18" t="str">
        <x:v>Gao 2021</x:v>
      </x:c>
      <x:c r="B239" s="18" t="str">
        <x:v>GAO21_TEAS_vs_SHAM_FLATUS</x:v>
      </x:c>
      <x:c r="C239" s="18" t="str">
        <x:v>Postoperative TEAS</x:v>
      </x:c>
      <x:c r="D239" s="18" t="str">
        <x:v>Sham/no-current TEAS</x:v>
      </x:c>
      <x:c r="E239" s="18" t="str">
        <x:v>GI recovery</x:v>
      </x:c>
      <x:c r="F239" s="18" t="str">
        <x:v>Time to first flatus</x:v>
      </x:c>
      <x:c r="G239" s="18" t="str">
        <x:v>Postoperative</x:v>
      </x:c>
      <x:c r="H239" s="18" t="str">
        <x:v>Mean/SD</x:v>
      </x:c>
      <x:c r="I239" s="18" t="n">
        <x:v>303</x:v>
      </x:c>
      <x:c r="J239" s="18" t="n">
        <x:v>307</x:v>
      </x:c>
      <x:c r="K239" s="18" t="n">
        <x:v>303</x:v>
      </x:c>
      <x:c r="L239" s="18" t="n">
        <x:v>307</x:v>
      </x:c>
      <x:c r="M239" s="18" t="n">
        <x:v>63.4</x:v>
      </x:c>
      <x:c r="N239" s="18" t="n">
        <x:v>29</x:v>
      </x:c>
      <x:c r="O239" s="18"/>
      <x:c r="P239" s="18"/>
      <x:c r="Q239" s="18"/>
      <x:c r="R239" s="18"/>
      <x:c r="S239" s="18" t="n">
        <x:v>76.3</x:v>
      </x:c>
      <x:c r="T239" s="18" t="n">
        <x:v>37.9</x:v>
      </x:c>
      <x:c r="U239" s="18"/>
      <x:c r="V239" s="18"/>
      <x:c r="W239" s="18"/>
      <x:c r="X239" s="18"/>
      <x:c r="Y239" s="18" t="str">
        <x:v>hours</x:v>
      </x:c>
      <x:c r="Z239" s="18" t="str">
        <x:v>0.001</x:v>
      </x:c>
      <x:c r="AA239" s="18" t="str">
        <x:v>Yes</x:v>
      </x:c>
      <x:c r="AB239" s="18" t="str">
        <x:v>No</x:v>
      </x:c>
      <x:c r="AC239" s="18" t="str">
        <x:v>MD</x:v>
      </x:c>
      <x:c r="AD239" s="18" t="n">
        <x:v>-12.899999999999999</x:v>
      </x:c>
      <x:c r="AE239" s="18" t="str">
        <x:v>No</x:v>
      </x:c>
      <x:c r="AF239" s="18" t="str">
        <x:v>No</x:v>
      </x:c>
      <x:c r="AG239" s="18" t="str">
        <x:v>Eligible for GI-recovery analysis</x:v>
      </x:c>
      <x:c r="AH239" s="18" t="str">
        <x:v>No</x:v>
      </x:c>
      <x:c r="AI239" s="18" t="str">
        <x:v>Full randomized sample retained; participant awareness may influence self-reported GI milestones</x:v>
      </x:c>
      <x:c r="AJ239" s="18" t="str">
        <x:v>GI recovery outcomes</x:v>
      </x:c>
      <x:c r="AK239" s="18" t="str">
        <x:v>https://drive.google.com/file/d/1QbM6CNi8KfBXmMTqG1ASm3hK05cz_hKQ/view?usp=drivesdk</x:v>
      </x:c>
      <x:c r="AL239" s="18" t="str">
        <x:v>SOURCE-VERIFIED</x:v>
      </x:c>
      <x:c r="AM239" s="18" t="str">
        <x:v>GI recovery</x:v>
      </x:c>
      <x:c r="AN239" s="18" t="str">
        <x:v>Postoperative</x:v>
      </x:c>
      <x:c r="AO239" s="18" t="str">
        <x:v>INCLUDE</x:v>
      </x:c>
      <x:c r="AP239" s="18" t="str">
        <x:v>Source-valid first-flatus/ileus endpoint; retain reported distribution (mean/SD, median/IQR, or events).</x:v>
      </x:c>
      <x:c r="AQ239" s="18" t="str">
        <x:v>Yes</x:v>
      </x:c>
      <x:c r="AR239" s="18" t="str"/>
      <x:c r="AS239" s="18" t="str">
        <x:v>None</x:v>
      </x:c>
      <x:c r="AT239" s="18" t="str">
        <x:v>Postoperative paralytic ileus</x:v>
      </x:c>
      <x:c r="AU239" s="18" t="str">
        <x:v>No flatus &gt;72 h</x:v>
      </x:c>
      <x:c r="AV239" s="18" t="str">
        <x:v>Some concerns</x:v>
      </x:c>
      <x:c r="AW239" s="18" t="str">
        <x:v>Yes — selected RoB is for a different result/timepoint</x:v>
      </x:c>
      <x:c r="AX239" s="18" t="str">
        <x:v>Gao 2021</x:v>
      </x:c>
      <x:c r="AY239" s="18" t="str">
        <x:v>Primary eligible contrast</x:v>
      </x:c>
      <x:c r="AZ239" s="18" t="str">
        <x:v>Count this study once per synthesis unless a valid multi-arm method is used.</x:v>
      </x:c>
    </x:row>
    <x:row r="240">
      <x:c r="A240" s="18" t="str">
        <x:v>Gao 2021</x:v>
      </x:c>
      <x:c r="B240" s="18" t="str">
        <x:v>GAO21_TEAS_vs_SHAM_DEFEC</x:v>
      </x:c>
      <x:c r="C240" s="18" t="str">
        <x:v>Postoperative TEAS</x:v>
      </x:c>
      <x:c r="D240" s="18" t="str">
        <x:v>Sham/no-current TEAS</x:v>
      </x:c>
      <x:c r="E240" s="18" t="str">
        <x:v>GI recovery</x:v>
      </x:c>
      <x:c r="F240" s="18" t="str">
        <x:v>Time to first defecation</x:v>
      </x:c>
      <x:c r="G240" s="18" t="str">
        <x:v>Postoperative</x:v>
      </x:c>
      <x:c r="H240" s="18" t="str">
        <x:v>Mean/SD</x:v>
      </x:c>
      <x:c r="I240" s="18" t="n">
        <x:v>303</x:v>
      </x:c>
      <x:c r="J240" s="18" t="n">
        <x:v>307</x:v>
      </x:c>
      <x:c r="K240" s="18" t="n">
        <x:v>303</x:v>
      </x:c>
      <x:c r="L240" s="18" t="n">
        <x:v>307</x:v>
      </x:c>
      <x:c r="M240" s="18" t="n">
        <x:v>106.7</x:v>
      </x:c>
      <x:c r="N240" s="18" t="n">
        <x:v>65.6</x:v>
      </x:c>
      <x:c r="O240" s="18"/>
      <x:c r="P240" s="18"/>
      <x:c r="Q240" s="18"/>
      <x:c r="R240" s="18"/>
      <x:c r="S240" s="18" t="n">
        <x:v>121.5</x:v>
      </x:c>
      <x:c r="T240" s="18" t="n">
        <x:v>65.6</x:v>
      </x:c>
      <x:c r="U240" s="18"/>
      <x:c r="V240" s="18"/>
      <x:c r="W240" s="18"/>
      <x:c r="X240" s="18"/>
      <x:c r="Y240" s="18" t="str">
        <x:v>hours</x:v>
      </x:c>
      <x:c r="Z240" s="18" t="str">
        <x:v>0.005</x:v>
      </x:c>
      <x:c r="AA240" s="18" t="str">
        <x:v>Yes</x:v>
      </x:c>
      <x:c r="AB240" s="18" t="str">
        <x:v>No</x:v>
      </x:c>
      <x:c r="AC240" s="18" t="str">
        <x:v>MD</x:v>
      </x:c>
      <x:c r="AD240" s="18" t="n">
        <x:v>-14.799999999999997</x:v>
      </x:c>
      <x:c r="AE240" s="18" t="str">
        <x:v>No</x:v>
      </x:c>
      <x:c r="AF240" s="18" t="str">
        <x:v>No</x:v>
      </x:c>
      <x:c r="AG240" s="18" t="str">
        <x:v>Eligible for GI-recovery analysis</x:v>
      </x:c>
      <x:c r="AH240" s="18" t="str">
        <x:v>No</x:v>
      </x:c>
      <x:c r="AI240" s="18" t="str">
        <x:v>Full randomized sample retained; participant awareness may influence self-reported GI milestones</x:v>
      </x:c>
      <x:c r="AJ240" s="18" t="str">
        <x:v>GI recovery outcomes</x:v>
      </x:c>
      <x:c r="AK240" s="18" t="str">
        <x:v>https://drive.google.com/file/d/1QbM6CNi8KfBXmMTqG1ASm3hK05cz_hKQ/view?usp=drivesdk</x:v>
      </x:c>
      <x:c r="AL240" s="18" t="str">
        <x:v>SOURCE-VERIFIED</x:v>
      </x:c>
      <x:c r="AM240" s="18" t="str">
        <x:v>GI recovery</x:v>
      </x:c>
      <x:c r="AN240" s="18" t="str">
        <x:v>Postoperative</x:v>
      </x:c>
      <x:c r="AO240" s="18" t="str">
        <x:v>INCLUDE — SECONDARY GI</x:v>
      </x:c>
      <x:c r="AP240" s="18" t="str">
        <x:v>Source-valid GI recovery outcome; analyze separately by outcome definition.</x:v>
      </x:c>
      <x:c r="AQ240" s="18" t="str">
        <x:v>No</x:v>
      </x:c>
      <x:c r="AR240" s="18" t="str"/>
      <x:c r="AS240" s="18" t="str">
        <x:v>None</x:v>
      </x:c>
      <x:c r="AT240" s="18" t="str">
        <x:v>Postoperative paralytic ileus</x:v>
      </x:c>
      <x:c r="AU240" s="18" t="str">
        <x:v>No flatus &gt;72 h</x:v>
      </x:c>
      <x:c r="AV240" s="18" t="str">
        <x:v>Some concerns</x:v>
      </x:c>
      <x:c r="AW240" s="18" t="str">
        <x:v>Yes — selected RoB is for a different result/timepoint</x:v>
      </x:c>
      <x:c r="AX240" s="18" t="str">
        <x:v>Gao 2021</x:v>
      </x:c>
      <x:c r="AY240" s="18" t="str">
        <x:v>Primary eligible contrast</x:v>
      </x:c>
      <x:c r="AZ240" s="18" t="str">
        <x:v>Count this study once per synthesis unless a valid multi-arm method is used.</x:v>
      </x:c>
    </x:row>
    <x:row r="241">
      <x:c r="A241" s="18" t="str">
        <x:v>Gao 2021</x:v>
      </x:c>
      <x:c r="B241" s="18" t="str">
        <x:v>GAO21_TEAS_vs_SHAM_DIET</x:v>
      </x:c>
      <x:c r="C241" s="18" t="str">
        <x:v>Postoperative TEAS</x:v>
      </x:c>
      <x:c r="D241" s="18" t="str">
        <x:v>Sham/no-current TEAS</x:v>
      </x:c>
      <x:c r="E241" s="18" t="str">
        <x:v>GI recovery</x:v>
      </x:c>
      <x:c r="F241" s="18" t="str">
        <x:v>Time to resume normal diet</x:v>
      </x:c>
      <x:c r="G241" s="18" t="str">
        <x:v>Postoperative</x:v>
      </x:c>
      <x:c r="H241" s="18" t="str">
        <x:v>Mean/SD</x:v>
      </x:c>
      <x:c r="I241" s="18" t="n">
        <x:v>303</x:v>
      </x:c>
      <x:c r="J241" s="18" t="n">
        <x:v>307</x:v>
      </x:c>
      <x:c r="K241" s="18" t="n">
        <x:v>303</x:v>
      </x:c>
      <x:c r="L241" s="18" t="n">
        <x:v>307</x:v>
      </x:c>
      <x:c r="M241" s="18" t="n">
        <x:v>373.9</x:v>
      </x:c>
      <x:c r="N241" s="18" t="n">
        <x:v>224.9</x:v>
      </x:c>
      <x:c r="O241" s="18"/>
      <x:c r="P241" s="18"/>
      <x:c r="Q241" s="18"/>
      <x:c r="R241" s="18"/>
      <x:c r="S241" s="18" t="n">
        <x:v>425.5</x:v>
      </x:c>
      <x:c r="T241" s="18" t="n">
        <x:v>235.6</x:v>
      </x:c>
      <x:c r="U241" s="18"/>
      <x:c r="V241" s="18"/>
      <x:c r="W241" s="18"/>
      <x:c r="X241" s="18"/>
      <x:c r="Y241" s="18" t="str">
        <x:v>hours</x:v>
      </x:c>
      <x:c r="Z241" s="18" t="str">
        <x:v>0.006</x:v>
      </x:c>
      <x:c r="AA241" s="18" t="str">
        <x:v>Yes</x:v>
      </x:c>
      <x:c r="AB241" s="18" t="str">
        <x:v>No</x:v>
      </x:c>
      <x:c r="AC241" s="18" t="str">
        <x:v>MD</x:v>
      </x:c>
      <x:c r="AD241" s="18" t="n">
        <x:v>-51.60000000000002</x:v>
      </x:c>
      <x:c r="AE241" s="18" t="str">
        <x:v>No</x:v>
      </x:c>
      <x:c r="AF241" s="18" t="str">
        <x:v>No</x:v>
      </x:c>
      <x:c r="AG241" s="18" t="str">
        <x:v>Eligible for GI-recovery analysis</x:v>
      </x:c>
      <x:c r="AH241" s="18" t="str">
        <x:v>No</x:v>
      </x:c>
      <x:c r="AI241" s="18" t="str">
        <x:v>Full randomized sample retained; participant awareness may influence self-reported GI milestones</x:v>
      </x:c>
      <x:c r="AJ241" s="18" t="str">
        <x:v>GI recovery outcomes</x:v>
      </x:c>
      <x:c r="AK241" s="18" t="str">
        <x:v>https://drive.google.com/file/d/1QbM6CNi8KfBXmMTqG1ASm3hK05cz_hKQ/view?usp=drivesdk</x:v>
      </x:c>
      <x:c r="AL241" s="18" t="str">
        <x:v>SOURCE-VERIFIED</x:v>
      </x:c>
      <x:c r="AM241" s="18" t="str">
        <x:v>GI recovery</x:v>
      </x:c>
      <x:c r="AN241" s="18" t="str">
        <x:v>Postoperative</x:v>
      </x:c>
      <x:c r="AO241" s="18" t="str">
        <x:v>CONDITIONAL</x:v>
      </x:c>
      <x:c r="AP241" s="18" t="str">
        <x:v>GI recovery result is source-valid but requires outcome-definition matching.</x:v>
      </x:c>
      <x:c r="AQ241" s="18" t="str">
        <x:v>No</x:v>
      </x:c>
      <x:c r="AR241" s="18" t="str"/>
      <x:c r="AS241" s="18" t="str">
        <x:v>None</x:v>
      </x:c>
      <x:c r="AT241" s="18" t="str">
        <x:v>Postoperative paralytic ileus</x:v>
      </x:c>
      <x:c r="AU241" s="18" t="str">
        <x:v>No flatus &gt;72 h</x:v>
      </x:c>
      <x:c r="AV241" s="18" t="str">
        <x:v>Some concerns</x:v>
      </x:c>
      <x:c r="AW241" s="18" t="str">
        <x:v>Yes — selected RoB is for a different result/timepoint</x:v>
      </x:c>
      <x:c r="AX241" s="18" t="str">
        <x:v>Gao 2021</x:v>
      </x:c>
      <x:c r="AY241" s="18" t="str">
        <x:v>Primary eligible contrast</x:v>
      </x:c>
      <x:c r="AZ241" s="18" t="str">
        <x:v>Count this study once per synthesis unless a valid multi-arm method is used.</x:v>
      </x:c>
    </x:row>
    <x:row r="242">
      <x:c r="A242" s="18" t="str">
        <x:v>Gao 2021</x:v>
      </x:c>
      <x:c r="B242" s="18" t="str">
        <x:v>GAO21_OPIOID24</x:v>
      </x:c>
      <x:c r="C242" s="18" t="str">
        <x:v>Postoperative TEAS</x:v>
      </x:c>
      <x:c r="D242" s="18" t="str">
        <x:v>Sham/no-current TEAS</x:v>
      </x:c>
      <x:c r="E242" s="18" t="str">
        <x:v>Opioid consumption</x:v>
      </x:c>
      <x:c r="F242" s="18" t="str">
        <x:v>Exact cumulative postoperative opioid consumption</x:v>
      </x:c>
      <x:c r="G242" s="18" t="str">
        <x:v>0-24 h</x:v>
      </x:c>
      <x:c r="H242" s="18" t="str">
        <x:v>Not reported</x:v>
      </x:c>
      <x:c r="I242" s="18" t="n">
        <x:v>303</x:v>
      </x:c>
      <x:c r="J242" s="18" t="n">
        <x:v>307</x:v>
      </x:c>
      <x:c r="K242" s="18" t="n">
        <x:v>303</x:v>
      </x:c>
      <x:c r="L242" s="18" t="n">
        <x:v>307</x:v>
      </x:c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 t="str">
        <x:v>mg/µg</x:v>
      </x:c>
      <x:c r="Z242" s="18"/>
      <x:c r="AA242" s="18" t="str">
        <x:v>No</x:v>
      </x:c>
      <x:c r="AB242" s="18" t="str">
        <x:v>No</x:v>
      </x:c>
      <x:c r="AC242" s="18"/>
      <x:c r="AD242" s="18"/>
      <x:c r="AE242" s="18" t="str">
        <x:v>No</x:v>
      </x:c>
      <x:c r="AF242" s="18" t="str">
        <x:v>No</x:v>
      </x:c>
      <x:c r="AG242" s="18" t="str">
        <x:v>Not eligible for continuous 24-h opioid/MME meta-analysis</x:v>
      </x:c>
      <x:c r="AH242" s="18" t="str">
        <x:v>No</x:v>
      </x:c>
      <x:c r="AI242" s="18" t="str">
        <x:v>Main article reports only whether postoperative analgesia was used, not drug-specific dose/route/PCA consumption</x:v>
      </x:c>
      <x:c r="AJ242" s="18" t="str">
        <x:v>Postoperative analgesia section</x:v>
      </x:c>
      <x:c r="AK242" s="18" t="str">
        <x:v>https://drive.google.com/file/d/1QbM6CNi8KfBXmMTqG1ASm3hK05cz_hKQ/view?usp=drivesdk</x:v>
      </x:c>
      <x:c r="AL242" s="18" t="str">
        <x:v>MISSING / NOT REPORTED</x:v>
      </x:c>
      <x:c r="AM242" s="18" t="str">
        <x:v>Postoperative opioid consumption</x:v>
      </x:c>
      <x:c r="AN242" s="18" t="str">
        <x:v>Exact/explicit 24 h</x:v>
      </x:c>
      <x:c r="AO242" s="18" t="str">
        <x:v>EXCLUDE — DATA UNAVAILABLE</x:v>
      </x:c>
      <x:c r="AP242" s="18" t="str">
        <x:v>The source does not provide a defensible quantitative value for this analysis.</x:v>
      </x:c>
      <x:c r="AQ242" s="18" t="str">
        <x:v>No</x:v>
      </x:c>
      <x:c r="AR242" s="18" t="str"/>
      <x:c r="AS242" s="18" t="str">
        <x:v>None</x:v>
      </x:c>
      <x:c r="AT242" s="18" t="str">
        <x:v>Postoperative paralytic ileus</x:v>
      </x:c>
      <x:c r="AU242" s="18" t="str">
        <x:v>No flatus &gt;72 h</x:v>
      </x:c>
      <x:c r="AV242" s="18" t="str">
        <x:v>Some concerns</x:v>
      </x:c>
      <x:c r="AW242" s="18" t="str">
        <x:v>Yes — selected RoB is for a different result/timepoint</x:v>
      </x:c>
      <x:c r="AX242" s="18" t="str">
        <x:v>Gao 2021</x:v>
      </x:c>
      <x:c r="AY242" s="18" t="str">
        <x:v>Primary eligible contrast</x:v>
      </x:c>
      <x:c r="AZ242" s="18" t="str">
        <x:v>Count this study once per synthesis unless a valid multi-arm method is used.</x:v>
      </x:c>
    </x:row>
    <x:row r="243">
      <x:c r="A243" s="18" t="str">
        <x:v>Yeh 2010</x:v>
      </x:c>
      <x:c r="B243" s="18" t="str">
        <x:v>YEH10_AES_vs_SHAM_MORPH24</x:v>
      </x:c>
      <x:c r="C243" s="18" t="str">
        <x:v>True-acupoint AES</x:v>
      </x:c>
      <x:c r="D243" s="18" t="str">
        <x:v>Electrical sham/nonmeridian AES</x:v>
      </x:c>
      <x:c r="E243" s="18" t="str">
        <x:v>Opioid consumption</x:v>
      </x:c>
      <x:c r="F243" s="18" t="str">
        <x:v>24-h morphine PCA dose</x:v>
      </x:c>
      <x:c r="G243" s="18" t="str">
        <x:v>First 24 postoperative hours</x:v>
      </x:c>
      <x:c r="H243" s="18" t="str">
        <x:v>Mean/SD</x:v>
      </x:c>
      <x:c r="I243" s="18"/>
      <x:c r="J243" s="18"/>
      <x:c r="K243" s="18" t="n">
        <x:v>33</x:v>
      </x:c>
      <x:c r="L243" s="18" t="n">
        <x:v>30</x:v>
      </x:c>
      <x:c r="M243" s="18" t="n">
        <x:v>18.6</x:v>
      </x:c>
      <x:c r="N243" s="18" t="n">
        <x:v>9.7</x:v>
      </x:c>
      <x:c r="O243" s="18"/>
      <x:c r="P243" s="18"/>
      <x:c r="Q243" s="18"/>
      <x:c r="R243" s="18"/>
      <x:c r="S243" s="18" t="n">
        <x:v>21.6</x:v>
      </x:c>
      <x:c r="T243" s="18" t="n">
        <x:v>13.1</x:v>
      </x:c>
      <x:c r="U243" s="18"/>
      <x:c r="V243" s="18"/>
      <x:c r="W243" s="18"/>
      <x:c r="X243" s="18"/>
      <x:c r="Y243" s="18" t="str">
        <x:v>mg morphine; source explicitly calls PCA epidural</x:v>
      </x:c>
      <x:c r="Z243" s="18" t="str">
        <x:v>AES-vs-sham pairwise significance NR</x:v>
      </x:c>
      <x:c r="AA243" s="18" t="str">
        <x:v>Yes</x:v>
      </x:c>
      <x:c r="AB243" s="18" t="str">
        <x:v>No</x:v>
      </x:c>
      <x:c r="AC243" s="18" t="str">
        <x:v>MD</x:v>
      </x:c>
      <x:c r="AD243" s="18" t="n">
        <x:v>-3</x:v>
      </x:c>
      <x:c r="AE243" s="18" t="str">
        <x:v>Yes</x:v>
      </x:c>
      <x:c r="AF243" s="18" t="str">
        <x:v>Conditional</x:v>
      </x:c>
      <x:c r="AG243" s="18" t="str">
        <x:v>SOURCE VALID BUT META-ANALYSIS HOLD until PCA route and report overlap with Yeh 2011 are resolved</x:v>
      </x:c>
      <x:c r="AH243" s="18" t="str">
        <x:v>Yes</x:v>
      </x:c>
      <x:c r="AI243" s="18" t="str">
        <x:v>Probable overlapping publication/cohort with Yeh 2011. Five of 99 entrants did not complete and randomized arm assignment of losses is NR. Do not treat both papers as independent.</x:v>
      </x:c>
      <x:c r="AJ243" s="18" t="str">
        <x:v>Table 4 / 24-h opiate dose</x:v>
      </x:c>
      <x:c r="AK243" s="18" t="str">
        <x:v>https://drive.google.com/file/d/1a1s31PQPWGnaVkYUtNUxO22F3QFTcwmi/view?usp=drivesdk</x:v>
      </x:c>
      <x:c r="AL243" s="18" t="str">
        <x:v>SOURCE-VERIFIED / DUPLICATE-OVERLAP HOLD</x:v>
      </x:c>
      <x:c r="AM243" s="18" t="str">
        <x:v>Postoperative opioid consumption</x:v>
      </x:c>
      <x:c r="AN243" s="18" t="str">
        <x:v>Exact/explicit 24 h</x:v>
      </x:c>
      <x:c r="AO243" s="18" t="str">
        <x:v>DUPLICATE HOLD</x:v>
      </x:c>
      <x:c r="AP243" s="18" t="str">
        <x:v>Probable overlapping publication/cohort; do not pool as an independent study until linkage is resolved.</x:v>
      </x:c>
      <x:c r="AQ243" s="18" t="str">
        <x:v>No</x:v>
      </x:c>
      <x:c r="AR243" s="18" t="str">
        <x:v>Yeh lumbar-spine publication family</x:v>
      </x:c>
      <x:c r="AS243" s="18" t="str">
        <x:v>None</x:v>
      </x:c>
      <x:c r="AT243" s="18" t="str">
        <x:v>24-h morphine PCA dose</x:v>
      </x:c>
      <x:c r="AU243" s="18" t="str">
        <x:v>First 24 postoperative hours</x:v>
      </x:c>
      <x:c r="AV243" s="18" t="str">
        <x:v>Some concerns</x:v>
      </x:c>
      <x:c r="AW243" s="18" t="str">
        <x:v>No — selected RoB matches this result</x:v>
      </x:c>
      <x:c r="AX243" s="18" t="str">
        <x:v>Yeh lumbar-spine publication family — ONE study unit pending overlap adjudication</x:v>
      </x:c>
      <x:c r="AY243" s="18" t="str">
        <x:v>Duplicate/overlap hold</x:v>
      </x:c>
      <x:c r="AZ243" s="18" t="str">
        <x:v>Do not count independently until overlapping-publication status is resolved.</x:v>
      </x:c>
    </x:row>
    <x:row r="244">
      <x:c r="A244" s="18" t="str">
        <x:v>Yeh 2010</x:v>
      </x:c>
      <x:c r="B244" s="18" t="str">
        <x:v>YEH10_AES_vs_CONTROL_MORPH24</x:v>
      </x:c>
      <x:c r="C244" s="18" t="str">
        <x:v>True-acupoint AES</x:v>
      </x:c>
      <x:c r="D244" s="18" t="str">
        <x:v>No-AES control</x:v>
      </x:c>
      <x:c r="E244" s="18" t="str">
        <x:v>Opioid consumption</x:v>
      </x:c>
      <x:c r="F244" s="18" t="str">
        <x:v>24-h morphine PCA dose</x:v>
      </x:c>
      <x:c r="G244" s="18" t="str">
        <x:v>First 24 postoperative hours</x:v>
      </x:c>
      <x:c r="H244" s="18" t="str">
        <x:v>Mean/SD</x:v>
      </x:c>
      <x:c r="I244" s="18"/>
      <x:c r="J244" s="18"/>
      <x:c r="K244" s="18" t="n">
        <x:v>33</x:v>
      </x:c>
      <x:c r="L244" s="18" t="n">
        <x:v>31</x:v>
      </x:c>
      <x:c r="M244" s="18" t="n">
        <x:v>18.6</x:v>
      </x:c>
      <x:c r="N244" s="18" t="n">
        <x:v>9.7</x:v>
      </x:c>
      <x:c r="O244" s="18"/>
      <x:c r="P244" s="18"/>
      <x:c r="Q244" s="18"/>
      <x:c r="R244" s="18"/>
      <x:c r="S244" s="18" t="n">
        <x:v>27.2</x:v>
      </x:c>
      <x:c r="T244" s="18" t="n">
        <x:v>12.5</x:v>
      </x:c>
      <x:c r="U244" s="18"/>
      <x:c r="V244" s="18"/>
      <x:c r="W244" s="18"/>
      <x:c r="X244" s="18"/>
      <x:c r="Y244" s="18" t="str">
        <x:v>mg morphine; source explicitly calls PCA epidural</x:v>
      </x:c>
      <x:c r="Z244" s="18" t="str">
        <x:v>0.02</x:v>
      </x:c>
      <x:c r="AA244" s="18" t="str">
        <x:v>Yes</x:v>
      </x:c>
      <x:c r="AB244" s="18" t="str">
        <x:v>No</x:v>
      </x:c>
      <x:c r="AC244" s="18" t="str">
        <x:v>MD</x:v>
      </x:c>
      <x:c r="AD244" s="18" t="n">
        <x:v>-8.599999999999998</x:v>
      </x:c>
      <x:c r="AE244" s="18" t="str">
        <x:v>Yes</x:v>
      </x:c>
      <x:c r="AF244" s="18" t="str">
        <x:v>Conditional</x:v>
      </x:c>
      <x:c r="AG244" s="18" t="str">
        <x:v>Use only if no-treatment comparator is prespecified AND overlap with Yeh 2011 is resolved</x:v>
      </x:c>
      <x:c r="AH244" s="18" t="str">
        <x:v>Yes</x:v>
      </x:c>
      <x:c r="AI244" s="18" t="str">
        <x:v>Same probable overlapping cohort issue; route must not be silently recoded as IV.</x:v>
      </x:c>
      <x:c r="AJ244" s="18" t="str">
        <x:v>Table 4 / 24-h opiate dose</x:v>
      </x:c>
      <x:c r="AK244" s="18" t="str">
        <x:v>https://drive.google.com/file/d/1a1s31PQPWGnaVkYUtNUxO22F3QFTcwmi/view?usp=drivesdk</x:v>
      </x:c>
      <x:c r="AL244" s="18" t="str">
        <x:v>SOURCE-VERIFIED / DUPLICATE-OVERLAP HOLD</x:v>
      </x:c>
      <x:c r="AM244" s="18" t="str">
        <x:v>Postoperative opioid consumption</x:v>
      </x:c>
      <x:c r="AN244" s="18" t="str">
        <x:v>Exact/explicit 24 h</x:v>
      </x:c>
      <x:c r="AO244" s="18" t="str">
        <x:v>DUPLICATE HOLD</x:v>
      </x:c>
      <x:c r="AP244" s="18" t="str">
        <x:v>Probable overlapping publication/cohort; do not pool as an independent study until linkage is resolved.</x:v>
      </x:c>
      <x:c r="AQ244" s="18" t="str">
        <x:v>No</x:v>
      </x:c>
      <x:c r="AR244" s="18" t="str">
        <x:v>Yeh lumbar-spine publication family</x:v>
      </x:c>
      <x:c r="AS244" s="18" t="str">
        <x:v>None</x:v>
      </x:c>
      <x:c r="AT244" s="18" t="str">
        <x:v>24-h morphine PCA dose</x:v>
      </x:c>
      <x:c r="AU244" s="18" t="str">
        <x:v>First 24 postoperative hours</x:v>
      </x:c>
      <x:c r="AV244" s="18" t="str">
        <x:v>Some concerns</x:v>
      </x:c>
      <x:c r="AW244" s="18" t="str">
        <x:v>No — selected RoB matches this result</x:v>
      </x:c>
      <x:c r="AX244" s="18" t="str">
        <x:v>Yeh lumbar-spine publication family — ONE study unit pending overlap adjudication</x:v>
      </x:c>
      <x:c r="AY244" s="18" t="str">
        <x:v>Duplicate/overlap hold</x:v>
      </x:c>
      <x:c r="AZ244" s="18" t="str">
        <x:v>Do not count independently until overlapping-publication status is resolved.</x:v>
      </x:c>
    </x:row>
    <x:row r="245">
      <x:c r="A245" s="18" t="str">
        <x:v>Yeh 2011</x:v>
      </x:c>
      <x:c r="B245" s="18" t="str">
        <x:v>YEH11_AES_vs_SHAM_MORPH24</x:v>
      </x:c>
      <x:c r="C245" s="18" t="str">
        <x:v>True-acupoint AES</x:v>
      </x:c>
      <x:c r="D245" s="18" t="str">
        <x:v>Electrical sham/nonacupoint AES</x:v>
      </x:c>
      <x:c r="E245" s="18" t="str">
        <x:v>Opioid consumption</x:v>
      </x:c>
      <x:c r="F245" s="18" t="str">
        <x:v>24-h IV morphine PCA dose</x:v>
      </x:c>
      <x:c r="G245" s="18" t="str">
        <x:v>First 24 postoperative hours</x:v>
      </x:c>
      <x:c r="H245" s="18" t="str">
        <x:v>Mean/SD</x:v>
      </x:c>
      <x:c r="I245" s="18" t="n">
        <x:v>30</x:v>
      </x:c>
      <x:c r="J245" s="18" t="n">
        <x:v>30</x:v>
      </x:c>
      <x:c r="K245" s="18" t="n">
        <x:v>30</x:v>
      </x:c>
      <x:c r="L245" s="18" t="n">
        <x:v>30</x:v>
      </x:c>
      <x:c r="M245" s="18" t="n">
        <x:v>19.3</x:v>
      </x:c>
      <x:c r="N245" s="18" t="n">
        <x:v>9.7</x:v>
      </x:c>
      <x:c r="O245" s="18"/>
      <x:c r="P245" s="18"/>
      <x:c r="Q245" s="18"/>
      <x:c r="R245" s="18"/>
      <x:c r="S245" s="18" t="n">
        <x:v>21.6</x:v>
      </x:c>
      <x:c r="T245" s="18" t="n">
        <x:v>13.1</x:v>
      </x:c>
      <x:c r="U245" s="18"/>
      <x:c r="V245" s="18"/>
      <x:c r="W245" s="18"/>
      <x:c r="X245" s="18"/>
      <x:c r="Y245" s="18" t="str">
        <x:v>mg IV morphine</x:v>
      </x:c>
      <x:c r="Z245" s="18" t="str">
        <x:v>AES-vs-sham pairwise significance NR</x:v>
      </x:c>
      <x:c r="AA245" s="18" t="str">
        <x:v>Yes</x:v>
      </x:c>
      <x:c r="AB245" s="18" t="str">
        <x:v>No</x:v>
      </x:c>
      <x:c r="AC245" s="18" t="str">
        <x:v>MD</x:v>
      </x:c>
      <x:c r="AD245" s="18" t="n">
        <x:v>-2.3000000000000007</x:v>
      </x:c>
      <x:c r="AE245" s="18" t="str">
        <x:v>Yes</x:v>
      </x:c>
      <x:c r="AF245" s="18" t="str">
        <x:v>Conditional</x:v>
      </x:c>
      <x:c r="AG245" s="18" t="str">
        <x:v>SOURCE VALID BUT META-ANALYSIS HOLD until overlap with Yeh 2010 is resolved</x:v>
      </x:c>
      <x:c r="AH245" s="18" t="str">
        <x:v>Yes</x:v>
      </x:c>
      <x:c r="AI245" s="18" t="str">
        <x:v>Highly similar to Yeh 2010 in population, acupoints, comparator and 24-h opioid values; do not count independently until cohort/publication linkage is adjudicated.</x:v>
      </x:c>
      <x:c r="AJ245" s="18" t="str">
        <x:v>Table 3 / 24-h opiate dose</x:v>
      </x:c>
      <x:c r="AK245" s="18" t="str">
        <x:v>https://drive.google.com/file/d/1ZJ60ZvJ5Q7sRu1iptK_tLLfBXxZZ_Hwl/view?usp=drivesdk</x:v>
      </x:c>
      <x:c r="AL245" s="18" t="str">
        <x:v>SOURCE-VERIFIED / DUPLICATE-OVERLAP HOLD</x:v>
      </x:c>
      <x:c r="AM245" s="18" t="str">
        <x:v>Postoperative opioid consumption</x:v>
      </x:c>
      <x:c r="AN245" s="18" t="str">
        <x:v>Exact/explicit 24 h</x:v>
      </x:c>
      <x:c r="AO245" s="18" t="str">
        <x:v>DUPLICATE HOLD</x:v>
      </x:c>
      <x:c r="AP245" s="18" t="str">
        <x:v>Probable overlapping publication/cohort; do not pool as an independent study until linkage is resolved.</x:v>
      </x:c>
      <x:c r="AQ245" s="18" t="str">
        <x:v>No</x:v>
      </x:c>
      <x:c r="AR245" s="18" t="str">
        <x:v>Yeh lumbar-spine publication family</x:v>
      </x:c>
      <x:c r="AS245" s="18" t="str">
        <x:v>Use native IV morphine; convert to review-standard MME only per prespecified rule</x:v>
      </x:c>
      <x:c r="AT245" s="18" t="str">
        <x:v>24-h IV morphine PCA dose</x:v>
      </x:c>
      <x:c r="AU245" s="18" t="str">
        <x:v>First 24 postoperative hours</x:v>
      </x:c>
      <x:c r="AV245" s="18" t="str">
        <x:v>Some concerns</x:v>
      </x:c>
      <x:c r="AW245" s="18" t="str">
        <x:v>No — selected RoB matches this result</x:v>
      </x:c>
      <x:c r="AX245" s="18" t="str">
        <x:v>Yeh lumbar-spine publication family — ONE study unit pending overlap adjudication</x:v>
      </x:c>
      <x:c r="AY245" s="18" t="str">
        <x:v>Duplicate/overlap hold</x:v>
      </x:c>
      <x:c r="AZ245" s="18" t="str">
        <x:v>Do not count independently until overlapping-publication status is resolved.</x:v>
      </x:c>
    </x:row>
    <x:row r="246">
      <x:c r="A246" s="18" t="str">
        <x:v>Yeh 2011</x:v>
      </x:c>
      <x:c r="B246" s="18" t="str">
        <x:v>YEH11_AES_vs_CONTROL_MORPH24</x:v>
      </x:c>
      <x:c r="C246" s="18" t="str">
        <x:v>True-acupoint AES</x:v>
      </x:c>
      <x:c r="D246" s="18" t="str">
        <x:v>No-AES control</x:v>
      </x:c>
      <x:c r="E246" s="18" t="str">
        <x:v>Opioid consumption</x:v>
      </x:c>
      <x:c r="F246" s="18" t="str">
        <x:v>24-h IV morphine PCA dose</x:v>
      </x:c>
      <x:c r="G246" s="18" t="str">
        <x:v>First 24 postoperative hours</x:v>
      </x:c>
      <x:c r="H246" s="18" t="str">
        <x:v>Mean/SD</x:v>
      </x:c>
      <x:c r="I246" s="18" t="n">
        <x:v>30</x:v>
      </x:c>
      <x:c r="J246" s="18" t="n">
        <x:v>30</x:v>
      </x:c>
      <x:c r="K246" s="18" t="n">
        <x:v>30</x:v>
      </x:c>
      <x:c r="L246" s="18" t="n">
        <x:v>30</x:v>
      </x:c>
      <x:c r="M246" s="18" t="n">
        <x:v>19.3</x:v>
      </x:c>
      <x:c r="N246" s="18" t="n">
        <x:v>9.7</x:v>
      </x:c>
      <x:c r="O246" s="18"/>
      <x:c r="P246" s="18"/>
      <x:c r="Q246" s="18"/>
      <x:c r="R246" s="18"/>
      <x:c r="S246" s="18" t="n">
        <x:v>28</x:v>
      </x:c>
      <x:c r="T246" s="18" t="n">
        <x:v>12.1</x:v>
      </x:c>
      <x:c r="U246" s="18"/>
      <x:c r="V246" s="18"/>
      <x:c r="W246" s="18"/>
      <x:c r="X246" s="18"/>
      <x:c r="Y246" s="18" t="str">
        <x:v>mg IV morphine</x:v>
      </x:c>
      <x:c r="Z246" s="18" t="str">
        <x:v>0.023</x:v>
      </x:c>
      <x:c r="AA246" s="18" t="str">
        <x:v>Yes</x:v>
      </x:c>
      <x:c r="AB246" s="18" t="str">
        <x:v>No</x:v>
      </x:c>
      <x:c r="AC246" s="18" t="str">
        <x:v>MD</x:v>
      </x:c>
      <x:c r="AD246" s="18" t="n">
        <x:v>-8.7</x:v>
      </x:c>
      <x:c r="AE246" s="18" t="str">
        <x:v>Yes</x:v>
      </x:c>
      <x:c r="AF246" s="18" t="str">
        <x:v>Conditional</x:v>
      </x:c>
      <x:c r="AG246" s="18" t="str">
        <x:v>Use only if no-treatment contrast is prespecified and overlap is resolved</x:v>
      </x:c>
      <x:c r="AH246" s="18" t="str">
        <x:v>Yes</x:v>
      </x:c>
      <x:c r="AI246" s="18" t="str">
        <x:v>Sequential allocation without sealed envelopes; probable overlapping publication family with Yeh 2010.</x:v>
      </x:c>
      <x:c r="AJ246" s="18" t="str">
        <x:v>Table 3 / 24-h opiate dose</x:v>
      </x:c>
      <x:c r="AK246" s="18" t="str">
        <x:v>https://drive.google.com/file/d/1ZJ60ZvJ5Q7sRu1iptK_tLLfBXxZZ_Hwl/view?usp=drivesdk</x:v>
      </x:c>
      <x:c r="AL246" s="18" t="str">
        <x:v>SOURCE-VERIFIED / DUPLICATE-OVERLAP HOLD</x:v>
      </x:c>
      <x:c r="AM246" s="18" t="str">
        <x:v>Postoperative opioid consumption</x:v>
      </x:c>
      <x:c r="AN246" s="18" t="str">
        <x:v>Exact/explicit 24 h</x:v>
      </x:c>
      <x:c r="AO246" s="18" t="str">
        <x:v>DUPLICATE HOLD</x:v>
      </x:c>
      <x:c r="AP246" s="18" t="str">
        <x:v>Probable overlapping publication/cohort; do not pool as an independent study until linkage is resolved.</x:v>
      </x:c>
      <x:c r="AQ246" s="18" t="str">
        <x:v>No</x:v>
      </x:c>
      <x:c r="AR246" s="18" t="str">
        <x:v>Yeh lumbar-spine publication family</x:v>
      </x:c>
      <x:c r="AS246" s="18" t="str">
        <x:v>Use native IV morphine; convert to review-standard MME only per prespecified rule</x:v>
      </x:c>
      <x:c r="AT246" s="18" t="str">
        <x:v>24-h IV morphine PCA dose</x:v>
      </x:c>
      <x:c r="AU246" s="18" t="str">
        <x:v>First 24 postoperative hours</x:v>
      </x:c>
      <x:c r="AV246" s="18" t="str">
        <x:v>Some concerns</x:v>
      </x:c>
      <x:c r="AW246" s="18" t="str">
        <x:v>No — selected RoB matches this result</x:v>
      </x:c>
      <x:c r="AX246" s="18" t="str">
        <x:v>Yeh lumbar-spine publication family — ONE study unit pending overlap adjudication</x:v>
      </x:c>
      <x:c r="AY246" s="18" t="str">
        <x:v>Duplicate/overlap hold</x:v>
      </x:c>
      <x:c r="AZ246" s="18" t="str">
        <x:v>Do not count independently until overlapping-publication status is resolved.</x:v>
      </x:c>
    </x:row>
    <x:row r="247">
      <x:c r="A247" s="18" t="str">
        <x:v>Wong 2006</x:v>
      </x:c>
      <x:c r="B247" s="18" t="str">
        <x:v>WONG06_EA_vs_SHAM_MORPHD0</x:v>
      </x:c>
      <x:c r="C247" s="18" t="str">
        <x:v>Postoperative electroacupuncture</x:v>
      </x:c>
      <x:c r="D247" s="18" t="str">
        <x:v>Nonpenetrating sham acupuncture</x:v>
      </x:c>
      <x:c r="E247" s="18" t="str">
        <x:v>Opioid consumption</x:v>
      </x:c>
      <x:c r="F247" s="18" t="str">
        <x:v>IV PCA morphine consumption</x:v>
      </x:c>
      <x:c r="G247" s="18" t="str">
        <x:v>Day 0</x:v>
      </x:c>
      <x:c r="H247" s="18" t="str">
        <x:v>Mean/SD</x:v>
      </x:c>
      <x:c r="I247" s="18" t="n">
        <x:v>13</x:v>
      </x:c>
      <x:c r="J247" s="18" t="n">
        <x:v>14</x:v>
      </x:c>
      <x:c r="K247" s="18" t="n">
        <x:v>13</x:v>
      </x:c>
      <x:c r="L247" s="18" t="n">
        <x:v>12</x:v>
      </x:c>
      <x:c r="M247" s="18" t="n">
        <x:v>8.3</x:v>
      </x:c>
      <x:c r="N247" s="18" t="n">
        <x:v>4.9</x:v>
      </x:c>
      <x:c r="O247" s="18"/>
      <x:c r="P247" s="18"/>
      <x:c r="Q247" s="18"/>
      <x:c r="R247" s="18"/>
      <x:c r="S247" s="18" t="n">
        <x:v>7.8</x:v>
      </x:c>
      <x:c r="T247" s="18" t="n">
        <x:v>6.4</x:v>
      </x:c>
      <x:c r="U247" s="18"/>
      <x:c r="V247" s="18"/>
      <x:c r="W247" s="18"/>
      <x:c r="X247" s="18"/>
      <x:c r="Y247" s="18" t="str">
        <x:v>mg IV morphine</x:v>
      </x:c>
      <x:c r="Z247" s="18" t="str">
        <x:v>0.84</x:v>
      </x:c>
      <x:c r="AA247" s="18" t="str">
        <x:v>Yes</x:v>
      </x:c>
      <x:c r="AB247" s="18" t="str">
        <x:v>No</x:v>
      </x:c>
      <x:c r="AC247" s="18" t="str">
        <x:v>MD</x:v>
      </x:c>
      <x:c r="AD247" s="18" t="n">
        <x:v>0.5000000000000009</x:v>
      </x:c>
      <x:c r="AE247" s="18" t="str">
        <x:v>No</x:v>
      </x:c>
      <x:c r="AF247" s="18" t="str">
        <x:v>No</x:v>
      </x:c>
      <x:c r="AG247" s="18" t="str">
        <x:v>Eligible only at the published postoperative-day/3-day window; not a strict 0-24-h endpoint</x:v>
      </x:c>
      <x:c r="AH247" s="18" t="str">
        <x:v>No</x:v>
      </x:c>
      <x:c r="AI247" s="18" t="str">
        <x:v>Both groups also received scheduled oral dextropropoxyphene. Two randomized sham patients were excluded after serious postoperative complications.</x:v>
      </x:c>
      <x:c r="AJ247" s="18" t="str">
        <x:v>Table 2 / postoperative PCA morphine</x:v>
      </x:c>
      <x:c r="AK247" s="18" t="str">
        <x:v>https://drive.google.com/file/d/1-XmRdgXyZmOmKIDRhL80sxha5M2P00jd/view?usp=drivesdk</x:v>
      </x:c>
      <x:c r="AL247" s="18" t="str">
        <x:v>SOURCE-VERIFIED / DAY-LABEL WINDOW QC</x:v>
      </x:c>
      <x:c r="AM247" s="18" t="str">
        <x:v>Postoperative opioid consumption</x:v>
      </x:c>
      <x:c r="AN247" s="18" t="str">
        <x:v>Day 0</x:v>
      </x:c>
      <x:c r="AO247" s="18" t="str">
        <x:v>EXCLUDE — NOT PRIMARY 24H OPIOID</x:v>
      </x:c>
      <x:c r="AP247" s="18" t="str">
        <x:v>Not a strict 0-24-h postoperative opioid-consumption endpoint.</x:v>
      </x:c>
      <x:c r="AQ247" s="18" t="str">
        <x:v>No</x:v>
      </x:c>
      <x:c r="AR247" s="18" t="str"/>
      <x:c r="AS247" s="18" t="str">
        <x:v>Use native IV morphine; convert to review-standard MME only per prespecified rule</x:v>
      </x:c>
      <x:c r="AT247" s="18" t="str">
        <x:v>Total IV PCA morphine</x:v>
      </x:c>
      <x:c r="AU247" s="18" t="str">
        <x:v>First 3 postoperative days</x:v>
      </x:c>
      <x:c r="AV247" s="18" t="str">
        <x:v>High</x:v>
      </x:c>
      <x:c r="AW247" s="18" t="str">
        <x:v>Yes — selected RoB is for a different result/timepoint</x:v>
      </x:c>
      <x:c r="AX247" s="18" t="str">
        <x:v>Wong 2006</x:v>
      </x:c>
      <x:c r="AY247" s="18" t="str">
        <x:v>Primary eligible contrast</x:v>
      </x:c>
      <x:c r="AZ247" s="18" t="str">
        <x:v>Count this study once per synthesis unless a valid multi-arm method is used.</x:v>
      </x:c>
    </x:row>
    <x:row r="248">
      <x:c r="A248" s="18" t="str">
        <x:v>Wong 2006</x:v>
      </x:c>
      <x:c r="B248" s="18" t="str">
        <x:v>WONG06_EA_vs_SHAM_MORPHD1</x:v>
      </x:c>
      <x:c r="C248" s="18" t="str">
        <x:v>Postoperative electroacupuncture</x:v>
      </x:c>
      <x:c r="D248" s="18" t="str">
        <x:v>Nonpenetrating sham acupuncture</x:v>
      </x:c>
      <x:c r="E248" s="18" t="str">
        <x:v>Opioid consumption</x:v>
      </x:c>
      <x:c r="F248" s="18" t="str">
        <x:v>IV PCA morphine consumption</x:v>
      </x:c>
      <x:c r="G248" s="18" t="str">
        <x:v>Day 1</x:v>
      </x:c>
      <x:c r="H248" s="18" t="str">
        <x:v>Mean/SD</x:v>
      </x:c>
      <x:c r="I248" s="18" t="n">
        <x:v>13</x:v>
      </x:c>
      <x:c r="J248" s="18" t="n">
        <x:v>14</x:v>
      </x:c>
      <x:c r="K248" s="18" t="n">
        <x:v>13</x:v>
      </x:c>
      <x:c r="L248" s="18" t="n">
        <x:v>12</x:v>
      </x:c>
      <x:c r="M248" s="18" t="n">
        <x:v>18</x:v>
      </x:c>
      <x:c r="N248" s="18" t="n">
        <x:v>8.8</x:v>
      </x:c>
      <x:c r="O248" s="18"/>
      <x:c r="P248" s="18"/>
      <x:c r="Q248" s="18"/>
      <x:c r="R248" s="18"/>
      <x:c r="S248" s="18" t="n">
        <x:v>18.8</x:v>
      </x:c>
      <x:c r="T248" s="18" t="n">
        <x:v>9.8</x:v>
      </x:c>
      <x:c r="U248" s="18"/>
      <x:c r="V248" s="18"/>
      <x:c r="W248" s="18"/>
      <x:c r="X248" s="18"/>
      <x:c r="Y248" s="18" t="str">
        <x:v>mg IV morphine</x:v>
      </x:c>
      <x:c r="Z248" s="18" t="str">
        <x:v>0.83</x:v>
      </x:c>
      <x:c r="AA248" s="18" t="str">
        <x:v>Yes</x:v>
      </x:c>
      <x:c r="AB248" s="18" t="str">
        <x:v>No</x:v>
      </x:c>
      <x:c r="AC248" s="18" t="str">
        <x:v>MD</x:v>
      </x:c>
      <x:c r="AD248" s="18" t="n">
        <x:v>-0.8000000000000007</x:v>
      </x:c>
      <x:c r="AE248" s="18" t="str">
        <x:v>No</x:v>
      </x:c>
      <x:c r="AF248" s="18" t="str">
        <x:v>No</x:v>
      </x:c>
      <x:c r="AG248" s="18" t="str">
        <x:v>Eligible only at the published postoperative-day/3-day window; not a strict 0-24-h endpoint</x:v>
      </x:c>
      <x:c r="AH248" s="18" t="str">
        <x:v>No</x:v>
      </x:c>
      <x:c r="AI248" s="18" t="str">
        <x:v>Both groups also received scheduled oral dextropropoxyphene. Two randomized sham patients were excluded after serious postoperative complications.</x:v>
      </x:c>
      <x:c r="AJ248" s="18" t="str">
        <x:v>Table 2 / postoperative PCA morphine</x:v>
      </x:c>
      <x:c r="AK248" s="18" t="str">
        <x:v>https://drive.google.com/file/d/1-XmRdgXyZmOmKIDRhL80sxha5M2P00jd/view?usp=drivesdk</x:v>
      </x:c>
      <x:c r="AL248" s="18" t="str">
        <x:v>SOURCE-VERIFIED / DAY-LABEL WINDOW QC</x:v>
      </x:c>
      <x:c r="AM248" s="18" t="str">
        <x:v>Postoperative opioid consumption</x:v>
      </x:c>
      <x:c r="AN248" s="18" t="str">
        <x:v>Day 1</x:v>
      </x:c>
      <x:c r="AO248" s="18" t="str">
        <x:v>EXCLUDE — NOT PRIMARY 24H OPIOID</x:v>
      </x:c>
      <x:c r="AP248" s="18" t="str">
        <x:v>Not a strict 0-24-h postoperative opioid-consumption endpoint.</x:v>
      </x:c>
      <x:c r="AQ248" s="18" t="str">
        <x:v>No</x:v>
      </x:c>
      <x:c r="AR248" s="18" t="str"/>
      <x:c r="AS248" s="18" t="str">
        <x:v>Use native IV morphine; convert to review-standard MME only per prespecified rule</x:v>
      </x:c>
      <x:c r="AT248" s="18" t="str">
        <x:v>Total IV PCA morphine</x:v>
      </x:c>
      <x:c r="AU248" s="18" t="str">
        <x:v>First 3 postoperative days</x:v>
      </x:c>
      <x:c r="AV248" s="18" t="str">
        <x:v>High</x:v>
      </x:c>
      <x:c r="AW248" s="18" t="str">
        <x:v>Yes — selected RoB is for a different result/timepoint</x:v>
      </x:c>
      <x:c r="AX248" s="18" t="str">
        <x:v>Wong 2006</x:v>
      </x:c>
      <x:c r="AY248" s="18" t="str">
        <x:v>Primary eligible contrast</x:v>
      </x:c>
      <x:c r="AZ248" s="18" t="str">
        <x:v>Count this study once per synthesis unless a valid multi-arm method is used.</x:v>
      </x:c>
    </x:row>
    <x:row r="249">
      <x:c r="A249" s="18" t="str">
        <x:v>Wong 2006</x:v>
      </x:c>
      <x:c r="B249" s="18" t="str">
        <x:v>WONG06_EA_vs_SHAM_MORPHD2</x:v>
      </x:c>
      <x:c r="C249" s="18" t="str">
        <x:v>Postoperative electroacupuncture</x:v>
      </x:c>
      <x:c r="D249" s="18" t="str">
        <x:v>Nonpenetrating sham acupuncture</x:v>
      </x:c>
      <x:c r="E249" s="18" t="str">
        <x:v>Opioid consumption</x:v>
      </x:c>
      <x:c r="F249" s="18" t="str">
        <x:v>IV PCA morphine consumption</x:v>
      </x:c>
      <x:c r="G249" s="18" t="str">
        <x:v>Day 2</x:v>
      </x:c>
      <x:c r="H249" s="18" t="str">
        <x:v>Mean/SD</x:v>
      </x:c>
      <x:c r="I249" s="18" t="n">
        <x:v>13</x:v>
      </x:c>
      <x:c r="J249" s="18" t="n">
        <x:v>14</x:v>
      </x:c>
      <x:c r="K249" s="18" t="n">
        <x:v>13</x:v>
      </x:c>
      <x:c r="L249" s="18" t="n">
        <x:v>12</x:v>
      </x:c>
      <x:c r="M249" s="18" t="n">
        <x:v>7.5</x:v>
      </x:c>
      <x:c r="N249" s="18" t="n">
        <x:v>5</x:v>
      </x:c>
      <x:c r="O249" s="18"/>
      <x:c r="P249" s="18"/>
      <x:c r="Q249" s="18"/>
      <x:c r="R249" s="18"/>
      <x:c r="S249" s="18" t="n">
        <x:v>15.7</x:v>
      </x:c>
      <x:c r="T249" s="18" t="n">
        <x:v>12</x:v>
      </x:c>
      <x:c r="U249" s="18"/>
      <x:c r="V249" s="18"/>
      <x:c r="W249" s="18"/>
      <x:c r="X249" s="18"/>
      <x:c r="Y249" s="18" t="str">
        <x:v>mg IV morphine</x:v>
      </x:c>
      <x:c r="Z249" s="18" t="str">
        <x:v>0.035</x:v>
      </x:c>
      <x:c r="AA249" s="18" t="str">
        <x:v>Yes</x:v>
      </x:c>
      <x:c r="AB249" s="18" t="str">
        <x:v>No</x:v>
      </x:c>
      <x:c r="AC249" s="18" t="str">
        <x:v>MD</x:v>
      </x:c>
      <x:c r="AD249" s="18" t="n">
        <x:v>-8.2</x:v>
      </x:c>
      <x:c r="AE249" s="18" t="str">
        <x:v>No</x:v>
      </x:c>
      <x:c r="AF249" s="18" t="str">
        <x:v>No</x:v>
      </x:c>
      <x:c r="AG249" s="18" t="str">
        <x:v>Eligible only at the published postoperative-day/3-day window; not a strict 0-24-h endpoint</x:v>
      </x:c>
      <x:c r="AH249" s="18" t="str">
        <x:v>No</x:v>
      </x:c>
      <x:c r="AI249" s="18" t="str">
        <x:v>Both groups also received scheduled oral dextropropoxyphene. Two randomized sham patients were excluded after serious postoperative complications.</x:v>
      </x:c>
      <x:c r="AJ249" s="18" t="str">
        <x:v>Table 2 / postoperative PCA morphine</x:v>
      </x:c>
      <x:c r="AK249" s="18" t="str">
        <x:v>https://drive.google.com/file/d/1-XmRdgXyZmOmKIDRhL80sxha5M2P00jd/view?usp=drivesdk</x:v>
      </x:c>
      <x:c r="AL249" s="18" t="str">
        <x:v>SOURCE-VERIFIED / DAY-LABEL WINDOW QC</x:v>
      </x:c>
      <x:c r="AM249" s="18" t="str">
        <x:v>Postoperative opioid consumption</x:v>
      </x:c>
      <x:c r="AN249" s="18" t="str">
        <x:v>Day 2</x:v>
      </x:c>
      <x:c r="AO249" s="18" t="str">
        <x:v>EXCLUDE — NOT PRIMARY 24H OPIOID</x:v>
      </x:c>
      <x:c r="AP249" s="18" t="str">
        <x:v>Not a strict 0-24-h postoperative opioid-consumption endpoint.</x:v>
      </x:c>
      <x:c r="AQ249" s="18" t="str">
        <x:v>No</x:v>
      </x:c>
      <x:c r="AR249" s="18" t="str"/>
      <x:c r="AS249" s="18" t="str">
        <x:v>Use native IV morphine; convert to review-standard MME only per prespecified rule</x:v>
      </x:c>
      <x:c r="AT249" s="18" t="str">
        <x:v>Total IV PCA morphine</x:v>
      </x:c>
      <x:c r="AU249" s="18" t="str">
        <x:v>First 3 postoperative days</x:v>
      </x:c>
      <x:c r="AV249" s="18" t="str">
        <x:v>High</x:v>
      </x:c>
      <x:c r="AW249" s="18" t="str">
        <x:v>Yes — selected RoB is for a different result/timepoint</x:v>
      </x:c>
      <x:c r="AX249" s="18" t="str">
        <x:v>Wong 2006</x:v>
      </x:c>
      <x:c r="AY249" s="18" t="str">
        <x:v>Primary eligible contrast</x:v>
      </x:c>
      <x:c r="AZ249" s="18" t="str">
        <x:v>Count this study once per synthesis unless a valid multi-arm method is used.</x:v>
      </x:c>
    </x:row>
    <x:row r="250">
      <x:c r="A250" s="18" t="str">
        <x:v>Wong 2006</x:v>
      </x:c>
      <x:c r="B250" s="18" t="str">
        <x:v>WONG06_EA_vs_SHAM_MORPHTOTAL</x:v>
      </x:c>
      <x:c r="C250" s="18" t="str">
        <x:v>Postoperative electroacupuncture</x:v>
      </x:c>
      <x:c r="D250" s="18" t="str">
        <x:v>Nonpenetrating sham acupuncture</x:v>
      </x:c>
      <x:c r="E250" s="18" t="str">
        <x:v>Opioid consumption</x:v>
      </x:c>
      <x:c r="F250" s="18" t="str">
        <x:v>IV PCA morphine consumption</x:v>
      </x:c>
      <x:c r="G250" s="18" t="str">
        <x:v>First 3 postoperative days total</x:v>
      </x:c>
      <x:c r="H250" s="18" t="str">
        <x:v>Mean/SD</x:v>
      </x:c>
      <x:c r="I250" s="18" t="n">
        <x:v>13</x:v>
      </x:c>
      <x:c r="J250" s="18" t="n">
        <x:v>14</x:v>
      </x:c>
      <x:c r="K250" s="18" t="n">
        <x:v>13</x:v>
      </x:c>
      <x:c r="L250" s="18" t="n">
        <x:v>12</x:v>
      </x:c>
      <x:c r="M250" s="18" t="n">
        <x:v>33.9</x:v>
      </x:c>
      <x:c r="N250" s="18" t="n">
        <x:v>12.8</x:v>
      </x:c>
      <x:c r="O250" s="18"/>
      <x:c r="P250" s="18"/>
      <x:c r="Q250" s="18"/>
      <x:c r="R250" s="18"/>
      <x:c r="S250" s="18" t="n">
        <x:v>42.3</x:v>
      </x:c>
      <x:c r="T250" s="18" t="n">
        <x:v>21.3</x:v>
      </x:c>
      <x:c r="U250" s="18"/>
      <x:c r="V250" s="18"/>
      <x:c r="W250" s="18"/>
      <x:c r="X250" s="18"/>
      <x:c r="Y250" s="18" t="str">
        <x:v>mg IV morphine</x:v>
      </x:c>
      <x:c r="Z250" s="18" t="str">
        <x:v>0.25</x:v>
      </x:c>
      <x:c r="AA250" s="18" t="str">
        <x:v>Yes</x:v>
      </x:c>
      <x:c r="AB250" s="18" t="str">
        <x:v>No</x:v>
      </x:c>
      <x:c r="AC250" s="18" t="str">
        <x:v>MD</x:v>
      </x:c>
      <x:c r="AD250" s="18" t="n">
        <x:v>-8.399999999999999</x:v>
      </x:c>
      <x:c r="AE250" s="18" t="str">
        <x:v>No</x:v>
      </x:c>
      <x:c r="AF250" s="18" t="str">
        <x:v>No</x:v>
      </x:c>
      <x:c r="AG250" s="18" t="str">
        <x:v>Eligible only at the published postoperative-day/3-day window; not a strict 0-24-h endpoint</x:v>
      </x:c>
      <x:c r="AH250" s="18" t="str">
        <x:v>No</x:v>
      </x:c>
      <x:c r="AI250" s="18" t="str">
        <x:v>Both groups also received scheduled oral dextropropoxyphene. Two randomized sham patients were excluded after serious postoperative complications.</x:v>
      </x:c>
      <x:c r="AJ250" s="18" t="str">
        <x:v>Table 2 / postoperative PCA morphine</x:v>
      </x:c>
      <x:c r="AK250" s="18" t="str">
        <x:v>https://drive.google.com/file/d/1-XmRdgXyZmOmKIDRhL80sxha5M2P00jd/view?usp=drivesdk</x:v>
      </x:c>
      <x:c r="AL250" s="18" t="str">
        <x:v>SOURCE-VERIFIED / DAY-LABEL WINDOW QC</x:v>
      </x:c>
      <x:c r="AM250" s="18" t="str">
        <x:v>Postoperative opioid consumption</x:v>
      </x:c>
      <x:c r="AN250" s="18" t="str">
        <x:v>First 3 postoperative days total</x:v>
      </x:c>
      <x:c r="AO250" s="18" t="str">
        <x:v>EXCLUDE — NOT PRIMARY 24H OPIOID</x:v>
      </x:c>
      <x:c r="AP250" s="18" t="str">
        <x:v>Not a strict 0-24-h postoperative opioid-consumption endpoint.</x:v>
      </x:c>
      <x:c r="AQ250" s="18" t="str">
        <x:v>No</x:v>
      </x:c>
      <x:c r="AR250" s="18" t="str"/>
      <x:c r="AS250" s="18" t="str">
        <x:v>Use native IV morphine; convert to review-standard MME only per prespecified rule</x:v>
      </x:c>
      <x:c r="AT250" s="18" t="str">
        <x:v>Total IV PCA morphine</x:v>
      </x:c>
      <x:c r="AU250" s="18" t="str">
        <x:v>First 3 postoperative days</x:v>
      </x:c>
      <x:c r="AV250" s="18" t="str">
        <x:v>High</x:v>
      </x:c>
      <x:c r="AW250" s="18" t="str">
        <x:v>Yes — selected RoB is for a different result/timepoint</x:v>
      </x:c>
      <x:c r="AX250" s="18" t="str">
        <x:v>Wong 2006</x:v>
      </x:c>
      <x:c r="AY250" s="18" t="str">
        <x:v>Primary eligible contrast</x:v>
      </x:c>
      <x:c r="AZ250" s="18" t="str">
        <x:v>Count this study once per synthesis unless a valid multi-arm method is used.</x:v>
      </x:c>
    </x:row>
    <x:row r="251">
      <x:c r="A251" s="18" t="str">
        <x:v>Wong 2006</x:v>
      </x:c>
      <x:c r="B251" s="18" t="str">
        <x:v>WONG06_EA_vs_SHAM_OPIOID24</x:v>
      </x:c>
      <x:c r="C251" s="18" t="str">
        <x:v>Postoperative electroacupuncture</x:v>
      </x:c>
      <x:c r="D251" s="18" t="str">
        <x:v>Nonpenetrating sham acupuncture</x:v>
      </x:c>
      <x:c r="E251" s="18" t="str">
        <x:v>Opioid consumption</x:v>
      </x:c>
      <x:c r="F251" s="18" t="str">
        <x:v>Exact total opioid exposure</x:v>
      </x:c>
      <x:c r="G251" s="18" t="str">
        <x:v>0-24 h</x:v>
      </x:c>
      <x:c r="H251" s="18" t="str">
        <x:v>Not reported</x:v>
      </x:c>
      <x:c r="I251" s="18" t="n">
        <x:v>13</x:v>
      </x:c>
      <x:c r="J251" s="18" t="n">
        <x:v>14</x:v>
      </x:c>
      <x:c r="K251" s="18" t="n">
        <x:v>13</x:v>
      </x:c>
      <x:c r="L251" s="18" t="n">
        <x:v>12</x:v>
      </x:c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 t="str">
        <x:v>mg MME</x:v>
      </x:c>
      <x:c r="Z251" s="18"/>
      <x:c r="AA251" s="18" t="str">
        <x:v>No</x:v>
      </x:c>
      <x:c r="AB251" s="18" t="str">
        <x:v>No</x:v>
      </x:c>
      <x:c r="AC251" s="18"/>
      <x:c r="AD251" s="18"/>
      <x:c r="AE251" s="18" t="str">
        <x:v>No</x:v>
      </x:c>
      <x:c r="AF251" s="18" t="str">
        <x:v>No</x:v>
      </x:c>
      <x:c r="AG251" s="18" t="str">
        <x:v>Not eligible for strict 24-h opioid/MME meta-analysis</x:v>
      </x:c>
      <x:c r="AH251" s="18" t="str">
        <x:v>No</x:v>
      </x:c>
      <x:c r="AI251" s="18" t="str">
        <x:v>Day labels are not defined as exact consecutive 24-h windows and scheduled dextropropoxyphene contributes additional opioid exposure.</x:v>
      </x:c>
      <x:c r="AJ251" s="18" t="str">
        <x:v>Timing/analgesia protocol</x:v>
      </x:c>
      <x:c r="AK251" s="18" t="str">
        <x:v>https://drive.google.com/file/d/1-XmRdgXyZmOmKIDRhL80sxha5M2P00jd/view?usp=drivesdk</x:v>
      </x:c>
      <x:c r="AL251" s="18" t="str">
        <x:v>MISSING / EXACT 24H TOTAL NOT REPORTED</x:v>
      </x:c>
      <x:c r="AM251" s="18" t="str">
        <x:v>Postoperative opioid consumption</x:v>
      </x:c>
      <x:c r="AN251" s="18" t="str">
        <x:v>Exact/explicit 24 h</x:v>
      </x:c>
      <x:c r="AO251" s="18" t="str">
        <x:v>EXCLUDE — DATA UNAVAILABLE</x:v>
      </x:c>
      <x:c r="AP251" s="18" t="str">
        <x:v>The source does not provide a defensible quantitative value for this analysis.</x:v>
      </x:c>
      <x:c r="AQ251" s="18" t="str">
        <x:v>No</x:v>
      </x:c>
      <x:c r="AR251" s="18" t="str"/>
      <x:c r="AS251" s="18" t="str">
        <x:v>None</x:v>
      </x:c>
      <x:c r="AT251" s="18" t="str">
        <x:v>Total IV PCA morphine</x:v>
      </x:c>
      <x:c r="AU251" s="18" t="str">
        <x:v>First 3 postoperative days</x:v>
      </x:c>
      <x:c r="AV251" s="18" t="str">
        <x:v>High</x:v>
      </x:c>
      <x:c r="AW251" s="18" t="str">
        <x:v>Yes — selected RoB is for a different result/timepoint</x:v>
      </x:c>
      <x:c r="AX251" s="18" t="str">
        <x:v>Wong 2006</x:v>
      </x:c>
      <x:c r="AY251" s="18" t="str">
        <x:v>Primary eligible contrast</x:v>
      </x:c>
      <x:c r="AZ251" s="18" t="str">
        <x:v>Count this study once per synthesis unless a valid multi-arm method is used.</x:v>
      </x:c>
    </x:row>
    <x:row r="252">
      <x:c r="A252" s="18" t="str">
        <x:v>El-Rakshy 2009</x:v>
      </x:c>
      <x:c r="B252" s="18" t="str">
        <x:v>ELR09_EA_vs_CTRL_MORPH24</x:v>
      </x:c>
      <x:c r="C252" s="18" t="str">
        <x:v>Intraoperative EA + PCA</x:v>
      </x:c>
      <x:c r="D252" s="18" t="str">
        <x:v>PCA alone/no acupuncture</x:v>
      </x:c>
      <x:c r="E252" s="18" t="str">
        <x:v>Opioid consumption</x:v>
      </x:c>
      <x:c r="F252" s="18" t="str">
        <x:v>Total IV morphine analgesia</x:v>
      </x:c>
      <x:c r="G252" s="18" t="str">
        <x:v>First 24 h</x:v>
      </x:c>
      <x:c r="H252" s="18" t="str">
        <x:v>Mean/SD</x:v>
      </x:c>
      <x:c r="I252" s="18"/>
      <x:c r="J252" s="18"/>
      <x:c r="K252" s="18" t="n">
        <x:v>42</x:v>
      </x:c>
      <x:c r="L252" s="18" t="n">
        <x:v>53</x:v>
      </x:c>
      <x:c r="M252" s="18" t="n">
        <x:v>35.3</x:v>
      </x:c>
      <x:c r="N252" s="18" t="n">
        <x:v>18</x:v>
      </x:c>
      <x:c r="O252" s="18"/>
      <x:c r="P252" s="18"/>
      <x:c r="Q252" s="18"/>
      <x:c r="R252" s="18"/>
      <x:c r="S252" s="18" t="n">
        <x:v>36.9</x:v>
      </x:c>
      <x:c r="T252" s="18" t="n">
        <x:v>18</x:v>
      </x:c>
      <x:c r="U252" s="18"/>
      <x:c r="V252" s="18"/>
      <x:c r="W252" s="18"/>
      <x:c r="X252" s="18"/>
      <x:c r="Y252" s="18" t="str">
        <x:v>mg IV morphine</x:v>
      </x:c>
      <x:c r="Z252" s="18" t="str">
        <x:v>0.961</x:v>
      </x:c>
      <x:c r="AA252" s="18" t="str">
        <x:v>Yes</x:v>
      </x:c>
      <x:c r="AB252" s="18" t="str">
        <x:v>No</x:v>
      </x:c>
      <x:c r="AC252" s="18" t="str">
        <x:v>MD</x:v>
      </x:c>
      <x:c r="AD252" s="18" t="n">
        <x:v>-1.6000000000000014</x:v>
      </x:c>
      <x:c r="AE252" s="18" t="str">
        <x:v>Yes</x:v>
      </x:c>
      <x:c r="AF252" s="18" t="str">
        <x:v>Yes</x:v>
      </x:c>
      <x:c r="AG252" s="18" t="str">
        <x:v>Eligible only with outcome-specific denominators exactly as printed</x:v>
      </x:c>
      <x:c r="AH252" s="18" t="str">
        <x:v>No</x:v>
      </x:c>
      <x:c r="AI252" s="18" t="str">
        <x:v>Publication has irreconcilable allocation/analyzed group labels. Use Table 2 n=42 EA and n=53 control for this result; do not substitute overall study denominators.</x:v>
      </x:c>
      <x:c r="AJ252" s="18" t="str">
        <x:v>Table 2 / total analgesia in 24 h</x:v>
      </x:c>
      <x:c r="AK252" s="18" t="str">
        <x:v>https://drive.google.com/file/d/12AfIox-MgnMU15U-mdvZgaTKnukXKvAR/view?usp=drivesdk</x:v>
      </x:c>
      <x:c r="AL252" s="18" t="str">
        <x:v>SOURCE-VERIFIED / OUTCOME-SPECIFIC DENOMINATORS</x:v>
      </x:c>
      <x:c r="AM252" s="18" t="str">
        <x:v>Postoperative opioid consumption</x:v>
      </x:c>
      <x:c r="AN252" s="18" t="str">
        <x:v>Exact/explicit 24 h</x:v>
      </x:c>
      <x:c r="AO252" s="18" t="str">
        <x:v>INCLUDE</x:v>
      </x:c>
      <x:c r="AP252" s="18" t="str">
        <x:v>Explicit 0-24-h postoperative opioid endpoint and marked eligible in the reconciled source data.</x:v>
      </x:c>
      <x:c r="AQ252" s="18" t="str">
        <x:v>Yes</x:v>
      </x:c>
      <x:c r="AR252" s="18" t="str"/>
      <x:c r="AS252" s="18" t="str">
        <x:v>Use native IV morphine; convert to review-standard MME only per prespecified rule</x:v>
      </x:c>
      <x:c r="AT252" s="18" t="str">
        <x:v>Total IV morphine analgesia</x:v>
      </x:c>
      <x:c r="AU252" s="18" t="str">
        <x:v>First 24 h</x:v>
      </x:c>
      <x:c r="AV252" s="18" t="str">
        <x:v>High</x:v>
      </x:c>
      <x:c r="AW252" s="18" t="str">
        <x:v>No — selected RoB matches this result</x:v>
      </x:c>
      <x:c r="AX252" s="18" t="str">
        <x:v>El-Rakshy 2009</x:v>
      </x:c>
      <x:c r="AY252" s="18" t="str">
        <x:v>Primary eligible contrast</x:v>
      </x:c>
      <x:c r="AZ252" s="18" t="str">
        <x:v>Count this study once per synthesis unless a valid multi-arm method is used.</x:v>
      </x:c>
    </x:row>
    <x:row r="253">
      <x:c r="A253" s="18" t="str">
        <x:v>El-Rakshy 2009</x:v>
      </x:c>
      <x:c r="B253" s="18" t="str">
        <x:v>ELR09_EA_vs_CTRL_MORPH4</x:v>
      </x:c>
      <x:c r="C253" s="18" t="str">
        <x:v>Intraoperative EA + PCA</x:v>
      </x:c>
      <x:c r="D253" s="18" t="str">
        <x:v>PCA alone/no acupuncture</x:v>
      </x:c>
      <x:c r="E253" s="18" t="str">
        <x:v>Opioid consumption</x:v>
      </x:c>
      <x:c r="F253" s="18" t="str">
        <x:v>Total IV morphine analgesia</x:v>
      </x:c>
      <x:c r="G253" s="18" t="str">
        <x:v>First 4 h</x:v>
      </x:c>
      <x:c r="H253" s="18" t="str">
        <x:v>Mean/SD</x:v>
      </x:c>
      <x:c r="I253" s="18"/>
      <x:c r="J253" s="18"/>
      <x:c r="K253" s="18" t="n">
        <x:v>40</x:v>
      </x:c>
      <x:c r="L253" s="18" t="n">
        <x:v>53</x:v>
      </x:c>
      <x:c r="M253" s="18" t="n">
        <x:v>13.4</x:v>
      </x:c>
      <x:c r="N253" s="18" t="n">
        <x:v>7.5</x:v>
      </x:c>
      <x:c r="O253" s="18"/>
      <x:c r="P253" s="18"/>
      <x:c r="Q253" s="18"/>
      <x:c r="R253" s="18"/>
      <x:c r="S253" s="18" t="n">
        <x:v>13.2</x:v>
      </x:c>
      <x:c r="T253" s="18" t="n">
        <x:v>8.6</x:v>
      </x:c>
      <x:c r="U253" s="18"/>
      <x:c r="V253" s="18"/>
      <x:c r="W253" s="18"/>
      <x:c r="X253" s="18"/>
      <x:c r="Y253" s="18" t="str">
        <x:v>mg IV morphine</x:v>
      </x:c>
      <x:c r="Z253" s="18" t="str">
        <x:v>0.675</x:v>
      </x:c>
      <x:c r="AA253" s="18" t="str">
        <x:v>Yes</x:v>
      </x:c>
      <x:c r="AB253" s="18" t="str">
        <x:v>No</x:v>
      </x:c>
      <x:c r="AC253" s="18" t="str">
        <x:v>MD</x:v>
      </x:c>
      <x:c r="AD253" s="18" t="n">
        <x:v>0.20000000000000107</x:v>
      </x:c>
      <x:c r="AE253" s="18" t="str">
        <x:v>No</x:v>
      </x:c>
      <x:c r="AF253" s="18" t="str">
        <x:v>No</x:v>
      </x:c>
      <x:c r="AG253" s="18" t="str">
        <x:v>Eligible for 4-h opioid analysis only</x:v>
      </x:c>
      <x:c r="AH253" s="18" t="str">
        <x:v>No</x:v>
      </x:c>
      <x:c r="AI253" s="18" t="str">
        <x:v>Again preserve outcome-specific n=40 EA and n=53 control.</x:v>
      </x:c>
      <x:c r="AJ253" s="18" t="str">
        <x:v>Table 2 / first 4 h</x:v>
      </x:c>
      <x:c r="AK253" s="18" t="str">
        <x:v>https://drive.google.com/file/d/12AfIox-MgnMU15U-mdvZgaTKnukXKvAR/view?usp=drivesdk</x:v>
      </x:c>
      <x:c r="AL253" s="18" t="str">
        <x:v>SOURCE-VERIFIED / OUTCOME-SPECIFIC DENOMINATORS</x:v>
      </x:c>
      <x:c r="AM253" s="18" t="str">
        <x:v>Postoperative opioid consumption</x:v>
      </x:c>
      <x:c r="AN253" s="18" t="str">
        <x:v>First 4 h</x:v>
      </x:c>
      <x:c r="AO253" s="18" t="str">
        <x:v>EXCLUDE — NOT PRIMARY 24H OPIOID</x:v>
      </x:c>
      <x:c r="AP253" s="18" t="str">
        <x:v>Not a strict 0-24-h postoperative opioid-consumption endpoint.</x:v>
      </x:c>
      <x:c r="AQ253" s="18" t="str">
        <x:v>No</x:v>
      </x:c>
      <x:c r="AR253" s="18" t="str"/>
      <x:c r="AS253" s="18" t="str">
        <x:v>Use native IV morphine; convert to review-standard MME only per prespecified rule</x:v>
      </x:c>
      <x:c r="AT253" s="18" t="str">
        <x:v>Total IV morphine analgesia</x:v>
      </x:c>
      <x:c r="AU253" s="18" t="str">
        <x:v>First 24 h</x:v>
      </x:c>
      <x:c r="AV253" s="18" t="str">
        <x:v>High</x:v>
      </x:c>
      <x:c r="AW253" s="18" t="str">
        <x:v>No — selected RoB matches this result</x:v>
      </x:c>
      <x:c r="AX253" s="18" t="str">
        <x:v>El-Rakshy 2009</x:v>
      </x:c>
      <x:c r="AY253" s="18" t="str">
        <x:v>Primary eligible contrast</x:v>
      </x:c>
      <x:c r="AZ253" s="18" t="str">
        <x:v>Count this study once per synthesis unless a valid multi-arm method is used.</x:v>
      </x:c>
    </x:row>
    <x:row r="254">
      <x:c r="A254" s="18" t="str">
        <x:v>An 2014</x:v>
      </x:c>
      <x:c r="B254" s="18" t="str">
        <x:v>AN14_EA_vs_CTRL_FENT48</x:v>
      </x:c>
      <x:c r="C254" s="18" t="str">
        <x:v>Intraoperative electroacupuncture</x:v>
      </x:c>
      <x:c r="D254" s="18" t="str">
        <x:v>No acupuncture control</x:v>
      </x:c>
      <x:c r="E254" s="18" t="str">
        <x:v>Opioid consumption</x:v>
      </x:c>
      <x:c r="F254" s="18" t="str">
        <x:v>Total postoperative fentanyl PCIA dose</x:v>
      </x:c>
      <x:c r="G254" s="18" t="str">
        <x:v>Through reported 48-h PCIA period</x:v>
      </x:c>
      <x:c r="H254" s="18" t="str">
        <x:v>Mean/SD</x:v>
      </x:c>
      <x:c r="I254" s="18" t="n">
        <x:v>45</x:v>
      </x:c>
      <x:c r="J254" s="18" t="n">
        <x:v>43</x:v>
      </x:c>
      <x:c r="K254" s="18" t="n">
        <x:v>41</x:v>
      </x:c>
      <x:c r="L254" s="18" t="n">
        <x:v>40</x:v>
      </x:c>
      <x:c r="M254" s="18" t="n">
        <x:v>0.67</x:v>
      </x:c>
      <x:c r="N254" s="18" t="n">
        <x:v>0.09</x:v>
      </x:c>
      <x:c r="O254" s="18"/>
      <x:c r="P254" s="18"/>
      <x:c r="Q254" s="18"/>
      <x:c r="R254" s="18"/>
      <x:c r="S254" s="18" t="n">
        <x:v>0.73</x:v>
      </x:c>
      <x:c r="T254" s="18" t="n">
        <x:v>0.12</x:v>
      </x:c>
      <x:c r="U254" s="18"/>
      <x:c r="V254" s="18"/>
      <x:c r="W254" s="18"/>
      <x:c r="X254" s="18"/>
      <x:c r="Y254" s="18" t="str">
        <x:v>mg fentanyl</x:v>
      </x:c>
      <x:c r="Z254" s="18" t="str">
        <x:v>NS</x:v>
      </x:c>
      <x:c r="AA254" s="18" t="str">
        <x:v>Yes</x:v>
      </x:c>
      <x:c r="AB254" s="18" t="str">
        <x:v>No</x:v>
      </x:c>
      <x:c r="AC254" s="18" t="str">
        <x:v>MD</x:v>
      </x:c>
      <x:c r="AD254" s="18" t="n">
        <x:v>-0.05999999999999994</x:v>
      </x:c>
      <x:c r="AE254" s="18" t="str">
        <x:v>No</x:v>
      </x:c>
      <x:c r="AF254" s="18" t="str">
        <x:v>No</x:v>
      </x:c>
      <x:c r="AG254" s="18" t="str">
        <x:v>Eligible for 48-h fentanyl analysis; not a 24-h endpoint</x:v>
      </x:c>
      <x:c r="AH254" s="18" t="str">
        <x:v>No</x:v>
      </x:c>
      <x:c r="AI254" s="18" t="str">
        <x:v>Seven of 88 randomized patients were excluded from analysis; total fentanyl is not isolated to 0-24 h.</x:v>
      </x:c>
      <x:c r="AJ254" s="18" t="str">
        <x:v>Opioid/PCIA results</x:v>
      </x:c>
      <x:c r="AK254" s="18" t="str">
        <x:v>https://drive.google.com/file/d/1Ygu3g28udKuPe0OS95oge2ryIGNeJ0te/view?usp=drivesdk</x:v>
      </x:c>
      <x:c r="AL254" s="18" t="str">
        <x:v>SOURCE-VERIFIED / ATTRITION + 48H WINDOW</x:v>
      </x:c>
      <x:c r="AM254" s="18" t="str">
        <x:v>Postoperative opioid consumption</x:v>
      </x:c>
      <x:c r="AN254" s="18" t="str">
        <x:v>Through reported 48-h PCIA period</x:v>
      </x:c>
      <x:c r="AO254" s="18" t="str">
        <x:v>EXCLUDE — NOT PRIMARY 24H OPIOID</x:v>
      </x:c>
      <x:c r="AP254" s="18" t="str">
        <x:v>Not a strict 0-24-h postoperative opioid-consumption endpoint.</x:v>
      </x:c>
      <x:c r="AQ254" s="18" t="str">
        <x:v>No</x:v>
      </x:c>
      <x:c r="AR254" s="18" t="str"/>
      <x:c r="AS254" s="18" t="str">
        <x:v>Opioid/MME conversion required using prespecified review conversion</x:v>
      </x:c>
      <x:c r="AT254" s="18" t="str">
        <x:v>Total postoperative fentanyl PCIA dose</x:v>
      </x:c>
      <x:c r="AU254" s="18" t="str">
        <x:v>Reported 48-h PCIA period</x:v>
      </x:c>
      <x:c r="AV254" s="18" t="str">
        <x:v>High</x:v>
      </x:c>
      <x:c r="AW254" s="18" t="str">
        <x:v>No — selected RoB matches this result</x:v>
      </x:c>
      <x:c r="AX254" s="18" t="str">
        <x:v>An 2014</x:v>
      </x:c>
      <x:c r="AY254" s="18" t="str">
        <x:v>Primary eligible contrast</x:v>
      </x:c>
      <x:c r="AZ254" s="18" t="str">
        <x:v>Count this study once per synthesis unless a valid multi-arm method is used.</x:v>
      </x:c>
    </x:row>
    <x:row r="255">
      <x:c r="A255" s="18" t="str">
        <x:v>An 2014</x:v>
      </x:c>
      <x:c r="B255" s="18" t="str">
        <x:v>AN14_EA_vs_CTRL_OPIOID24</x:v>
      </x:c>
      <x:c r="C255" s="18" t="str">
        <x:v>Intraoperative electroacupuncture</x:v>
      </x:c>
      <x:c r="D255" s="18" t="str">
        <x:v>No acupuncture control</x:v>
      </x:c>
      <x:c r="E255" s="18" t="str">
        <x:v>Opioid consumption</x:v>
      </x:c>
      <x:c r="F255" s="18" t="str">
        <x:v>Exact cumulative postoperative fentanyl</x:v>
      </x:c>
      <x:c r="G255" s="18" t="str">
        <x:v>0-24 h</x:v>
      </x:c>
      <x:c r="H255" s="18" t="str">
        <x:v>Not reported</x:v>
      </x:c>
      <x:c r="I255" s="18" t="n">
        <x:v>45</x:v>
      </x:c>
      <x:c r="J255" s="18" t="n">
        <x:v>43</x:v>
      </x:c>
      <x:c r="K255" s="18" t="n">
        <x:v>41</x:v>
      </x:c>
      <x:c r="L255" s="18" t="n">
        <x:v>40</x:v>
      </x:c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 t="str">
        <x:v>mg/µg fentanyl</x:v>
      </x:c>
      <x:c r="Z255" s="18"/>
      <x:c r="AA255" s="18" t="str">
        <x:v>No</x:v>
      </x:c>
      <x:c r="AB255" s="18" t="str">
        <x:v>No</x:v>
      </x:c>
      <x:c r="AC255" s="18"/>
      <x:c r="AD255" s="18"/>
      <x:c r="AE255" s="18" t="str">
        <x:v>No</x:v>
      </x:c>
      <x:c r="AF255" s="18" t="str">
        <x:v>No</x:v>
      </x:c>
      <x:c r="AG255" s="18" t="str">
        <x:v>Not eligible for continuous 24-h opioid/MME meta-analysis</x:v>
      </x:c>
      <x:c r="AH255" s="18" t="str">
        <x:v>No</x:v>
      </x:c>
      <x:c r="AI255" s="18" t="str">
        <x:v>Published bolus activity is split 0-6 h and 6-48 h; exact 0-24-h fentanyl cannot be reconstructed.</x:v>
      </x:c>
      <x:c r="AJ255" s="18" t="str">
        <x:v>PCIA results</x:v>
      </x:c>
      <x:c r="AK255" s="18" t="str">
        <x:v>https://drive.google.com/file/d/1Ygu3g28udKuPe0OS95oge2ryIGNeJ0te/view?usp=drivesdk</x:v>
      </x:c>
      <x:c r="AL255" s="18" t="str">
        <x:v>MISSING / 24H NOT RECONSTRUCTABLE</x:v>
      </x:c>
      <x:c r="AM255" s="18" t="str">
        <x:v>Postoperative opioid consumption</x:v>
      </x:c>
      <x:c r="AN255" s="18" t="str">
        <x:v>Exact/explicit 24 h</x:v>
      </x:c>
      <x:c r="AO255" s="18" t="str">
        <x:v>EXCLUDE — DATA UNAVAILABLE</x:v>
      </x:c>
      <x:c r="AP255" s="18" t="str">
        <x:v>The source does not provide a defensible quantitative value for this analysis.</x:v>
      </x:c>
      <x:c r="AQ255" s="18" t="str">
        <x:v>No</x:v>
      </x:c>
      <x:c r="AR255" s="18" t="str"/>
      <x:c r="AS255" s="18" t="str">
        <x:v>Opioid/MME conversion required using prespecified review conversion</x:v>
      </x:c>
      <x:c r="AT255" s="18" t="str">
        <x:v>Total postoperative fentanyl PCIA dose</x:v>
      </x:c>
      <x:c r="AU255" s="18" t="str">
        <x:v>Reported 48-h PCIA period</x:v>
      </x:c>
      <x:c r="AV255" s="18" t="str">
        <x:v>High</x:v>
      </x:c>
      <x:c r="AW255" s="18" t="str">
        <x:v>Yes — selected RoB is for a different result/timepoint</x:v>
      </x:c>
      <x:c r="AX255" s="18" t="str">
        <x:v>An 2014</x:v>
      </x:c>
      <x:c r="AY255" s="18" t="str">
        <x:v>Primary eligible contrast</x:v>
      </x:c>
      <x:c r="AZ255" s="18" t="str">
        <x:v>Count this study once per synthesis unless a valid multi-arm method is used.</x:v>
      </x:c>
    </x:row>
    <x:row r="256">
      <x:c r="A256" s="18" t="str">
        <x:v>Chen 2015</x:v>
      </x:c>
      <x:c r="B256" s="18" t="str">
        <x:v>CHEN15Q_TEAS_vs_CTRL_QOR40</x:v>
      </x:c>
      <x:c r="C256" s="18" t="str">
        <x:v>Preoperative TEAS</x:v>
      </x:c>
      <x:c r="D256" s="18" t="str">
        <x:v>Electrodes/device with no stimulation</x:v>
      </x:c>
      <x:c r="E256" s="18" t="str">
        <x:v>Quality of recovery</x:v>
      </x:c>
      <x:c r="F256" s="18" t="str">
        <x:v>Global QoR-40</x:v>
      </x:c>
      <x:c r="G256" s="18" t="str">
        <x:v>24 h</x:v>
      </x:c>
      <x:c r="H256" s="18" t="str">
        <x:v>Median/IQR</x:v>
      </x:c>
      <x:c r="I256" s="18" t="n">
        <x:v>42</x:v>
      </x:c>
      <x:c r="J256" s="18" t="n">
        <x:v>42</x:v>
      </x:c>
      <x:c r="K256" s="18" t="n">
        <x:v>41</x:v>
      </x:c>
      <x:c r="L256" s="18" t="n">
        <x:v>42</x:v>
      </x:c>
      <x:c r="M256" s="18"/>
      <x:c r="N256" s="18"/>
      <x:c r="O256" s="18" t="n">
        <x:v>183</x:v>
      </x:c>
      <x:c r="P256" s="18" t="n">
        <x:v>172</x:v>
      </x:c>
      <x:c r="Q256" s="18" t="n">
        <x:v>190</x:v>
      </x:c>
      <x:c r="R256" s="18"/>
      <x:c r="S256" s="18"/>
      <x:c r="T256" s="18"/>
      <x:c r="U256" s="18" t="n">
        <x:v>168</x:v>
      </x:c>
      <x:c r="V256" s="18" t="n">
        <x:v>154</x:v>
      </x:c>
      <x:c r="W256" s="18" t="n">
        <x:v>183</x:v>
      </x:c>
      <x:c r="X256" s="18"/>
      <x:c r="Y256" s="18" t="str">
        <x:v>QoR-40 points</x:v>
      </x:c>
      <x:c r="Z256" s="18" t="str">
        <x:v>&lt;0.001</x:v>
      </x:c>
      <x:c r="AA256" s="18" t="str">
        <x:v>Yes</x:v>
      </x:c>
      <x:c r="AB256" s="18" t="str">
        <x:v>No</x:v>
      </x:c>
      <x:c r="AC256" s="18"/>
      <x:c r="AD256" s="18"/>
      <x:c r="AE256" s="18" t="str">
        <x:v>No</x:v>
      </x:c>
      <x:c r="AF256" s="18" t="str">
        <x:v>No</x:v>
      </x:c>
      <x:c r="AG256" s="18" t="str">
        <x:v>Eligible for 24-h QoR analysis using median/IQR methods</x:v>
      </x:c>
      <x:c r="AH256" s="18" t="str">
        <x:v>No</x:v>
      </x:c>
      <x:c r="AI256" s="18" t="str">
        <x:v>One TEAS participant excluded for protocol breach; active 6-9 mA stimulation vs no-current control may compromise patient blinding for a patient-reported primary outcome.</x:v>
      </x:c>
      <x:c r="AJ256" s="18" t="str">
        <x:v>Table 2 / global QoR-40</x:v>
      </x:c>
      <x:c r="AK256" s="18" t="str">
        <x:v>https://drive.google.com/file/d/1ZtE8GImDcpDJH1tOvzqazoh_S4Gd67oH/view?usp=drivesdk</x:v>
      </x:c>
      <x:c r="AL256" s="18" t="str">
        <x:v>SOURCE-VERIFIED / SUBJECTIVE BLINDING QC</x:v>
      </x:c>
      <x:c r="AM256" s="18" t="str">
        <x:v>Quality of recovery</x:v>
      </x:c>
      <x:c r="AN256" s="18" t="str">
        <x:v>Exact/explicit 24 h</x:v>
      </x:c>
      <x:c r="AO256" s="18" t="str">
        <x:v>INCLUDE</x:v>
      </x:c>
      <x:c r="AP256" s="18" t="str">
        <x:v>Valid QoR endpoint at the target recovery time.</x:v>
      </x:c>
      <x:c r="AQ256" s="18" t="str">
        <x:v>Yes</x:v>
      </x:c>
      <x:c r="AR256" s="18" t="str"/>
      <x:c r="AS256" s="18" t="str">
        <x:v>Use median/IQR-compatible meta-analysis method; do not relabel as mean/SD</x:v>
      </x:c>
      <x:c r="AT256" s="18" t="str">
        <x:v>Global QoR-40</x:v>
      </x:c>
      <x:c r="AU256" s="18" t="str">
        <x:v>24 h</x:v>
      </x:c>
      <x:c r="AV256" s="18" t="str">
        <x:v>High</x:v>
      </x:c>
      <x:c r="AW256" s="18" t="str">
        <x:v>No — selected RoB matches this result</x:v>
      </x:c>
      <x:c r="AX256" s="18" t="str">
        <x:v>Chen 2015</x:v>
      </x:c>
      <x:c r="AY256" s="18" t="str">
        <x:v>Primary eligible contrast</x:v>
      </x:c>
      <x:c r="AZ256" s="18" t="str">
        <x:v>Count this study once per synthesis unless a valid multi-arm method is used.</x:v>
      </x:c>
    </x:row>
    <x:row r="257">
      <x:c r="A257" s="18" t="str">
        <x:v>Chen 2015</x:v>
      </x:c>
      <x:c r="B257" s="18" t="str">
        <x:v>CHEN15Q_TEAS_vs_CTRL_PONV24</x:v>
      </x:c>
      <x:c r="C257" s="18" t="str">
        <x:v>Preoperative TEAS</x:v>
      </x:c>
      <x:c r="D257" s="18" t="str">
        <x:v>Electrodes/device with no stimulation</x:v>
      </x:c>
      <x:c r="E257" s="18" t="str">
        <x:v>PONV</x:v>
      </x:c>
      <x:c r="F257" s="18" t="str">
        <x:v>PONV incidence</x:v>
      </x:c>
      <x:c r="G257" s="18" t="str">
        <x:v>0-24 h</x:v>
      </x:c>
      <x:c r="H257" s="18" t="str">
        <x:v>Events/total</x:v>
      </x:c>
      <x:c r="I257" s="18" t="n">
        <x:v>42</x:v>
      </x:c>
      <x:c r="J257" s="18" t="n">
        <x:v>42</x:v>
      </x:c>
      <x:c r="K257" s="18" t="n">
        <x:v>41</x:v>
      </x:c>
      <x:c r="L257" s="18" t="n">
        <x:v>42</x:v>
      </x:c>
      <x:c r="M257" s="18"/>
      <x:c r="N257" s="18"/>
      <x:c r="O257" s="18"/>
      <x:c r="P257" s="18"/>
      <x:c r="Q257" s="18"/>
      <x:c r="R257" s="18" t="n">
        <x:v>10</x:v>
      </x:c>
      <x:c r="S257" s="18"/>
      <x:c r="T257" s="18"/>
      <x:c r="U257" s="18"/>
      <x:c r="V257" s="18"/>
      <x:c r="W257" s="18"/>
      <x:c r="X257" s="18" t="n">
        <x:v>26</x:v>
      </x:c>
      <x:c r="Y257" s="18" t="str">
        <x:v>participants</x:v>
      </x:c>
      <x:c r="Z257" s="18" t="str">
        <x:v>0.001</x:v>
      </x:c>
      <x:c r="AA257" s="18" t="str">
        <x:v>Yes</x:v>
      </x:c>
      <x:c r="AB257" s="18" t="str">
        <x:v>No</x:v>
      </x:c>
      <x:c r="AC257" s="18" t="str">
        <x:v>RR</x:v>
      </x:c>
      <x:c r="AD257" s="18" t="n">
        <x:v>0.3939962476547842</x:v>
      </x:c>
      <x:c r="AE257" s="18" t="str">
        <x:v>No</x:v>
      </x:c>
      <x:c r="AF257" s="18" t="str">
        <x:v>No</x:v>
      </x:c>
      <x:c r="AG257" s="18" t="str">
        <x:v>Eligible for dichotomous 24-h PONV analysis</x:v>
      </x:c>
      <x:c r="AH257" s="18" t="str">
        <x:v>No</x:v>
      </x:c>
      <x:c r="AI257" s="18" t="str">
        <x:v>Use analyzed denominators 41 and 42.</x:v>
      </x:c>
      <x:c r="AJ257" s="18" t="str">
        <x:v>Table 3 / PONV</x:v>
      </x:c>
      <x:c r="AK257" s="18" t="str">
        <x:v>https://drive.google.com/file/d/1ZtE8GImDcpDJH1tOvzqazoh_S4Gd67oH/view?usp=drivesdk</x:v>
      </x:c>
      <x:c r="AL257" s="18" t="str">
        <x:v>SOURCE-VERIFIED</x:v>
      </x:c>
      <x:c r="AM257" s="18" t="str">
        <x:v>PONV</x:v>
      </x:c>
      <x:c r="AN257" s="18" t="str">
        <x:v>Exact/explicit 24 h</x:v>
      </x:c>
      <x:c r="AO257" s="18" t="str">
        <x:v>INCLUDE</x:v>
      </x:c>
      <x:c r="AP257" s="18" t="str">
        <x:v>Explicit 24-h PONV endpoint.</x:v>
      </x:c>
      <x:c r="AQ257" s="18" t="str">
        <x:v>Yes</x:v>
      </x:c>
      <x:c r="AR257" s="18" t="str"/>
      <x:c r="AS257" s="18" t="str">
        <x:v>Binary effect measure (RR preferred per protocol)</x:v>
      </x:c>
      <x:c r="AT257" s="18" t="str">
        <x:v>Global QoR-40</x:v>
      </x:c>
      <x:c r="AU257" s="18" t="str">
        <x:v>24 h</x:v>
      </x:c>
      <x:c r="AV257" s="18" t="str">
        <x:v>High</x:v>
      </x:c>
      <x:c r="AW257" s="18" t="str">
        <x:v>Yes — selected RoB is for a different result/timepoint</x:v>
      </x:c>
      <x:c r="AX257" s="18" t="str">
        <x:v>Chen 2015</x:v>
      </x:c>
      <x:c r="AY257" s="18" t="str">
        <x:v>Primary eligible contrast</x:v>
      </x:c>
      <x:c r="AZ257" s="18" t="str">
        <x:v>Count this study once per synthesis unless a valid multi-arm method is used.</x:v>
      </x:c>
    </x:row>
    <x:row r="258">
      <x:c r="A258" s="18" t="str">
        <x:v>Chen 2015</x:v>
      </x:c>
      <x:c r="B258" s="18" t="str">
        <x:v>CHEN15Q_TEAS_vs_CTRL_RESCUEMORPH24</x:v>
      </x:c>
      <x:c r="C258" s="18" t="str">
        <x:v>Preoperative TEAS</x:v>
      </x:c>
      <x:c r="D258" s="18" t="str">
        <x:v>Electrodes/device with no stimulation</x:v>
      </x:c>
      <x:c r="E258" s="18" t="str">
        <x:v>Opioid consumption</x:v>
      </x:c>
      <x:c r="F258" s="18" t="str">
        <x:v>Cumulative rescue IV morphine dose derived from fixed 2-mg rescue administrations</x:v>
      </x:c>
      <x:c r="G258" s="18" t="str">
        <x:v>0-24 h</x:v>
      </x:c>
      <x:c r="H258" s="18" t="str">
        <x:v>Median/IQR</x:v>
      </x:c>
      <x:c r="I258" s="18" t="n">
        <x:v>42</x:v>
      </x:c>
      <x:c r="J258" s="18" t="n">
        <x:v>42</x:v>
      </x:c>
      <x:c r="K258" s="18" t="n">
        <x:v>41</x:v>
      </x:c>
      <x:c r="L258" s="18" t="n">
        <x:v>42</x:v>
      </x:c>
      <x:c r="M258" s="18"/>
      <x:c r="N258" s="18"/>
      <x:c r="O258" s="18" t="n">
        <x:v>2</x:v>
      </x:c>
      <x:c r="P258" s="18" t="n">
        <x:v>2</x:v>
      </x:c>
      <x:c r="Q258" s="18" t="n">
        <x:v>6</x:v>
      </x:c>
      <x:c r="R258" s="18"/>
      <x:c r="S258" s="18"/>
      <x:c r="T258" s="18"/>
      <x:c r="U258" s="18" t="n">
        <x:v>7</x:v>
      </x:c>
      <x:c r="V258" s="18" t="n">
        <x:v>4</x:v>
      </x:c>
      <x:c r="W258" s="18" t="n">
        <x:v>14</x:v>
      </x:c>
      <x:c r="X258" s="18"/>
      <x:c r="Y258" s="18" t="str">
        <x:v>mg IV morphine</x:v>
      </x:c>
      <x:c r="Z258" s="18" t="str">
        <x:v>0.004</x:v>
      </x:c>
      <x:c r="AA258" s="18" t="str">
        <x:v>No</x:v>
      </x:c>
      <x:c r="AB258" s="18" t="str">
        <x:v>Yes</x:v>
      </x:c>
      <x:c r="AC258" s="18"/>
      <x:c r="AD258" s="18"/>
      <x:c r="AE258" s="18" t="str">
        <x:v>Yes</x:v>
      </x:c>
      <x:c r="AF258" s="18" t="str">
        <x:v>Conditional</x:v>
      </x:c>
      <x:c r="AG258" s="18" t="str">
        <x:v>Potentially eligible as a derived median/IQR 24-h morphine endpoint</x:v>
      </x:c>
      <x:c r="AH258" s="18" t="str">
        <x:v>No</x:v>
      </x:c>
      <x:c r="AI258" s="18" t="str">
        <x:v>Source reports rescue-administration count 1 (1-3) vs 3.5 (2-7); each rescue administration was fixed at morphine 2 mg. Linear conversion to mg is exact, but the source itself reports counts rather than dose.</x:v>
      </x:c>
      <x:c r="AJ258" s="18" t="str">
        <x:v>Methods + Table 3</x:v>
      </x:c>
      <x:c r="AK258" s="18" t="str">
        <x:v>https://drive.google.com/file/d/1ZtE8GImDcpDJH1tOvzqazoh_S4Gd67oH/view?usp=drivesdk</x:v>
      </x:c>
      <x:c r="AL258" s="18" t="str">
        <x:v>DERIVED FROM FIXED 2-MG RESCUE DOSE</x:v>
      </x:c>
      <x:c r="AM258" s="18" t="str">
        <x:v>Postoperative opioid consumption</x:v>
      </x:c>
      <x:c r="AN258" s="18" t="str">
        <x:v>Exact/explicit 24 h</x:v>
      </x:c>
      <x:c r="AO258" s="18" t="str">
        <x:v>CONDITIONAL</x:v>
      </x:c>
      <x:c r="AP258" s="18" t="str">
        <x:v>24-h opioid endpoint exists but requires a prespecified route/unit/time-window or derived-value rule.</x:v>
      </x:c>
      <x:c r="AQ258" s="18" t="str">
        <x:v>No</x:v>
      </x:c>
      <x:c r="AR258" s="18" t="str"/>
      <x:c r="AS258" s="18" t="str">
        <x:v>Use native IV morphine; convert to review-standard MME only per prespecified rule</x:v>
      </x:c>
      <x:c r="AT258" s="18" t="str">
        <x:v>Global QoR-40</x:v>
      </x:c>
      <x:c r="AU258" s="18" t="str">
        <x:v>24 h</x:v>
      </x:c>
      <x:c r="AV258" s="18" t="str">
        <x:v>High</x:v>
      </x:c>
      <x:c r="AW258" s="18" t="str">
        <x:v>Yes — selected RoB is for a different result/timepoint</x:v>
      </x:c>
      <x:c r="AX258" s="18" t="str">
        <x:v>Chen 2015</x:v>
      </x:c>
      <x:c r="AY258" s="18" t="str">
        <x:v>Primary eligible contrast</x:v>
      </x:c>
      <x:c r="AZ258" s="18" t="str">
        <x:v>Count this study once per synthesis unless a valid multi-arm method is used.</x:v>
      </x:c>
    </x:row>
    <x:row r="259">
      <x:c r="A259" s="18" t="str">
        <x:v>Chen 2015 (Hyperalgesia)</x:v>
      </x:c>
      <x:c r="B259" s="18" t="str">
        <x:v>CHEN15H_TEAS_vs_SHAM_RESCUECOUNT24</x:v>
      </x:c>
      <x:c r="C259" s="18" t="str">
        <x:v>Preoperative TEAS</x:v>
      </x:c>
      <x:c r="D259" s="18" t="str">
        <x:v>Electrodes/no-current sham</x:v>
      </x:c>
      <x:c r="E259" s="18" t="str">
        <x:v>Opioid demand</x:v>
      </x:c>
      <x:c r="F259" s="18" t="str">
        <x:v>Cumulative number of rescue sufentanil PCIA boluses</x:v>
      </x:c>
      <x:c r="G259" s="18" t="str">
        <x:v>0-24 h</x:v>
      </x:c>
      <x:c r="H259" s="18" t="str">
        <x:v>Median/IQR</x:v>
      </x:c>
      <x:c r="I259" s="18" t="n">
        <x:v>30</x:v>
      </x:c>
      <x:c r="J259" s="18" t="n">
        <x:v>30</x:v>
      </x:c>
      <x:c r="K259" s="18" t="n">
        <x:v>29</x:v>
      </x:c>
      <x:c r="L259" s="18" t="n">
        <x:v>30</x:v>
      </x:c>
      <x:c r="M259" s="18"/>
      <x:c r="N259" s="18"/>
      <x:c r="O259" s="18" t="n">
        <x:v>3</x:v>
      </x:c>
      <x:c r="P259" s="18" t="n">
        <x:v>2</x:v>
      </x:c>
      <x:c r="Q259" s="18" t="n">
        <x:v>4</x:v>
      </x:c>
      <x:c r="R259" s="18"/>
      <x:c r="S259" s="18"/>
      <x:c r="T259" s="18"/>
      <x:c r="U259" s="18" t="n">
        <x:v>7</x:v>
      </x:c>
      <x:c r="V259" s="18" t="n">
        <x:v>6</x:v>
      </x:c>
      <x:c r="W259" s="18" t="n">
        <x:v>8</x:v>
      </x:c>
      <x:c r="X259" s="18"/>
      <x:c r="Y259" s="18" t="str">
        <x:v>boluses</x:v>
      </x:c>
      <x:c r="Z259" s="18" t="str">
        <x:v>&lt;0.001</x:v>
      </x:c>
      <x:c r="AA259" s="18" t="str">
        <x:v>Yes</x:v>
      </x:c>
      <x:c r="AB259" s="18" t="str">
        <x:v>No</x:v>
      </x:c>
      <x:c r="AC259" s="18"/>
      <x:c r="AD259" s="18"/>
      <x:c r="AE259" s="18" t="str">
        <x:v>Yes</x:v>
      </x:c>
      <x:c r="AF259" s="18" t="str">
        <x:v>No</x:v>
      </x:c>
      <x:c r="AG259" s="18" t="str">
        <x:v>Eligible as 24-h rescue-bolus count; shared with fixed 0.05 µg/kg bolus protocol</x:v>
      </x:c>
      <x:c r="AH259" s="18" t="str">
        <x:v>No</x:v>
      </x:c>
      <x:c r="AI259" s="18" t="str">
        <x:v>One TEAS participant excluded for protocol breach. Do not convert using group-average body weight to absolute µg.</x:v>
      </x:c>
      <x:c r="AJ259" s="18" t="str">
        <x:v>Table 2 / cumulative rescue analgesia</x:v>
      </x:c>
      <x:c r="AK259" s="18" t="str">
        <x:v>https://drive.google.com/file/d/13YKAZZsc2VQEPqkw1Ye40BYDZSRpI6N3/view?usp=drivesdk</x:v>
      </x:c>
      <x:c r="AL259" s="18" t="str">
        <x:v>SOURCE-VERIFIED / ATTRITION QC</x:v>
      </x:c>
      <x:c r="AM259" s="18" t="str">
        <x:v>PCA demand/proxy</x:v>
      </x:c>
      <x:c r="AN259" s="18" t="str">
        <x:v>Exact/explicit 24 h</x:v>
      </x:c>
      <x:c r="AO259" s="18" t="str">
        <x:v>SECONDARY / PROXY ONLY</x:v>
      </x:c>
      <x:c r="AP259" s="18" t="str">
        <x:v>PCA presses, attempts, deliveries, or solution volume are not equivalent to opioid dose unless the pump prescription permits exact reconstruction.</x:v>
      </x:c>
      <x:c r="AQ259" s="18" t="str">
        <x:v>No</x:v>
      </x:c>
      <x:c r="AR259" s="18" t="str"/>
      <x:c r="AS259" s="18" t="str">
        <x:v>Use median/IQR-compatible meta-analysis method; do not relabel as mean/SD</x:v>
      </x:c>
      <x:c r="AT259" s="18" t="str">
        <x:v>Cumulative rescue sufentanil PCIA boluses</x:v>
      </x:c>
      <x:c r="AU259" s="18" t="str">
        <x:v>0-24 h</x:v>
      </x:c>
      <x:c r="AV259" s="18" t="str">
        <x:v>Some concerns</x:v>
      </x:c>
      <x:c r="AW259" s="18" t="str">
        <x:v>Yes — selected RoB is for a different result/timepoint</x:v>
      </x:c>
      <x:c r="AX259" s="18" t="str">
        <x:v>Chen 2015 (Hyperalgesia)</x:v>
      </x:c>
      <x:c r="AY259" s="18" t="str">
        <x:v>Primary eligible contrast</x:v>
      </x:c>
      <x:c r="AZ259" s="18" t="str">
        <x:v>Count this study once per synthesis unless a valid multi-arm method is used.</x:v>
      </x:c>
    </x:row>
    <x:row r="260">
      <x:c r="A260" s="18" t="str">
        <x:v>Chen 2015 (Hyperalgesia)</x:v>
      </x:c>
      <x:c r="B260" s="18" t="str">
        <x:v>CHEN15H_TEAS_vs_SHAM_SUFKG24</x:v>
      </x:c>
      <x:c r="C260" s="18" t="str">
        <x:v>Preoperative TEAS</x:v>
      </x:c>
      <x:c r="D260" s="18" t="str">
        <x:v>Electrodes/no-current sham</x:v>
      </x:c>
      <x:c r="E260" s="18" t="str">
        <x:v>Opioid consumption</x:v>
      </x:c>
      <x:c r="F260" s="18" t="str">
        <x:v>Derived cumulative sufentanil dose from fixed 0.05 µg/kg bolus</x:v>
      </x:c>
      <x:c r="G260" s="18" t="str">
        <x:v>0-24 h</x:v>
      </x:c>
      <x:c r="H260" s="18" t="str">
        <x:v>Median/IQR</x:v>
      </x:c>
      <x:c r="I260" s="18" t="n">
        <x:v>30</x:v>
      </x:c>
      <x:c r="J260" s="18" t="n">
        <x:v>30</x:v>
      </x:c>
      <x:c r="K260" s="18" t="n">
        <x:v>29</x:v>
      </x:c>
      <x:c r="L260" s="18" t="n">
        <x:v>30</x:v>
      </x:c>
      <x:c r="M260" s="18"/>
      <x:c r="N260" s="18"/>
      <x:c r="O260" s="18" t="n">
        <x:v>0.15</x:v>
      </x:c>
      <x:c r="P260" s="18" t="n">
        <x:v>0.1</x:v>
      </x:c>
      <x:c r="Q260" s="18" t="n">
        <x:v>0.2</x:v>
      </x:c>
      <x:c r="R260" s="18"/>
      <x:c r="S260" s="18"/>
      <x:c r="T260" s="18"/>
      <x:c r="U260" s="18" t="n">
        <x:v>0.35</x:v>
      </x:c>
      <x:c r="V260" s="18" t="n">
        <x:v>0.3</x:v>
      </x:c>
      <x:c r="W260" s="18" t="n">
        <x:v>0.4</x:v>
      </x:c>
      <x:c r="X260" s="18"/>
      <x:c r="Y260" s="18" t="str">
        <x:v>µg/kg sufentanil</x:v>
      </x:c>
      <x:c r="Z260" s="18" t="str">
        <x:v>&lt;0.001</x:v>
      </x:c>
      <x:c r="AA260" s="18" t="str">
        <x:v>No</x:v>
      </x:c>
      <x:c r="AB260" s="18" t="str">
        <x:v>Yes</x:v>
      </x:c>
      <x:c r="AC260" s="18"/>
      <x:c r="AD260" s="18"/>
      <x:c r="AE260" s="18" t="str">
        <x:v>Yes</x:v>
      </x:c>
      <x:c r="AF260" s="18" t="str">
        <x:v>Conditional</x:v>
      </x:c>
      <x:c r="AG260" s="18" t="str">
        <x:v>Potentially eligible as weight-normalized 24-h opioid endpoint if protocol accepts µg/kg</x:v>
      </x:c>
      <x:c r="AH260" s="18" t="str">
        <x:v>No</x:v>
      </x:c>
      <x:c r="AI260" s="18" t="str">
        <x:v>Exact linear conversion from 0.05 µg/kg per bolus × reported bolus count. Do not convert to absolute µg or MME without individual body weights.</x:v>
      </x:c>
      <x:c r="AJ260" s="18" t="str">
        <x:v>PCIA protocol + Table 2</x:v>
      </x:c>
      <x:c r="AK260" s="18" t="str">
        <x:v>https://drive.google.com/file/d/13YKAZZsc2VQEPqkw1Ye40BYDZSRpI6N3/view?usp=drivesdk</x:v>
      </x:c>
      <x:c r="AL260" s="18" t="str">
        <x:v>DERIVED / WEIGHT-NORMALIZED</x:v>
      </x:c>
      <x:c r="AM260" s="18" t="str">
        <x:v>Postoperative opioid consumption</x:v>
      </x:c>
      <x:c r="AN260" s="18" t="str">
        <x:v>Exact/explicit 24 h</x:v>
      </x:c>
      <x:c r="AO260" s="18" t="str">
        <x:v>CONDITIONAL</x:v>
      </x:c>
      <x:c r="AP260" s="18" t="str">
        <x:v>24-h opioid endpoint exists but requires a prespecified route/unit/time-window or derived-value rule.</x:v>
      </x:c>
      <x:c r="AQ260" s="18" t="str">
        <x:v>No</x:v>
      </x:c>
      <x:c r="AR260" s="18" t="str"/>
      <x:c r="AS260" s="18" t="str">
        <x:v>Opioid/MME conversion required using prespecified review conversion</x:v>
      </x:c>
      <x:c r="AT260" s="18" t="str">
        <x:v>Cumulative rescue sufentanil PCIA boluses</x:v>
      </x:c>
      <x:c r="AU260" s="18" t="str">
        <x:v>0-24 h</x:v>
      </x:c>
      <x:c r="AV260" s="18" t="str">
        <x:v>Some concerns</x:v>
      </x:c>
      <x:c r="AW260" s="18" t="str">
        <x:v>Yes — selected RoB is for a different result/timepoint</x:v>
      </x:c>
      <x:c r="AX260" s="18" t="str">
        <x:v>Chen 2015 (Hyperalgesia)</x:v>
      </x:c>
      <x:c r="AY260" s="18" t="str">
        <x:v>Primary eligible contrast</x:v>
      </x:c>
      <x:c r="AZ260" s="18" t="str">
        <x:v>Count this study once per synthesis unless a valid multi-arm method is used.</x:v>
      </x:c>
    </x:row>
    <x:row r="261">
      <x:c r="A261" s="18" t="str">
        <x:v>Chen 2015 (Hyperalgesia)</x:v>
      </x:c>
      <x:c r="B261" s="18" t="str">
        <x:v>CHEN15H_TEAS_vs_SHAM_PONV24</x:v>
      </x:c>
      <x:c r="C261" s="18" t="str">
        <x:v>Preoperative TEAS</x:v>
      </x:c>
      <x:c r="D261" s="18" t="str">
        <x:v>Electrodes/no-current sham</x:v>
      </x:c>
      <x:c r="E261" s="18" t="str">
        <x:v>PONV</x:v>
      </x:c>
      <x:c r="F261" s="18" t="str">
        <x:v>PONV incidence</x:v>
      </x:c>
      <x:c r="G261" s="18" t="str">
        <x:v>0-24 h</x:v>
      </x:c>
      <x:c r="H261" s="18" t="str">
        <x:v>Events/total</x:v>
      </x:c>
      <x:c r="I261" s="18" t="n">
        <x:v>30</x:v>
      </x:c>
      <x:c r="J261" s="18" t="n">
        <x:v>30</x:v>
      </x:c>
      <x:c r="K261" s="18" t="n">
        <x:v>29</x:v>
      </x:c>
      <x:c r="L261" s="18" t="n">
        <x:v>30</x:v>
      </x:c>
      <x:c r="M261" s="18"/>
      <x:c r="N261" s="18"/>
      <x:c r="O261" s="18"/>
      <x:c r="P261" s="18"/>
      <x:c r="Q261" s="18"/>
      <x:c r="R261" s="18" t="n">
        <x:v>5</x:v>
      </x:c>
      <x:c r="S261" s="18"/>
      <x:c r="T261" s="18"/>
      <x:c r="U261" s="18"/>
      <x:c r="V261" s="18"/>
      <x:c r="W261" s="18"/>
      <x:c r="X261" s="18" t="n">
        <x:v>13</x:v>
      </x:c>
      <x:c r="Y261" s="18" t="str">
        <x:v>participants</x:v>
      </x:c>
      <x:c r="Z261" s="18" t="str">
        <x:v>0.03</x:v>
      </x:c>
      <x:c r="AA261" s="18" t="str">
        <x:v>Yes</x:v>
      </x:c>
      <x:c r="AB261" s="18" t="str">
        <x:v>No</x:v>
      </x:c>
      <x:c r="AC261" s="18" t="str">
        <x:v>RR</x:v>
      </x:c>
      <x:c r="AD261" s="18" t="n">
        <x:v>0.3978779840848807</x:v>
      </x:c>
      <x:c r="AE261" s="18" t="str">
        <x:v>No</x:v>
      </x:c>
      <x:c r="AF261" s="18" t="str">
        <x:v>No</x:v>
      </x:c>
      <x:c r="AG261" s="18" t="str">
        <x:v>Eligible for dichotomous 24-h PONV analysis</x:v>
      </x:c>
      <x:c r="AH261" s="18" t="str">
        <x:v>No</x:v>
      </x:c>
      <x:c r="AI261" s="18" t="str">
        <x:v>Use 29 analyzed TEAS and 30 control; one TEAS protocol-breach exclusion.</x:v>
      </x:c>
      <x:c r="AJ261" s="18" t="str">
        <x:v>Table 2 / PONV</x:v>
      </x:c>
      <x:c r="AK261" s="18" t="str">
        <x:v>https://drive.google.com/file/d/13YKAZZsc2VQEPqkw1Ye40BYDZSRpI6N3/view?usp=drivesdk</x:v>
      </x:c>
      <x:c r="AL261" s="18" t="str">
        <x:v>SOURCE-VERIFIED</x:v>
      </x:c>
      <x:c r="AM261" s="18" t="str">
        <x:v>PONV</x:v>
      </x:c>
      <x:c r="AN261" s="18" t="str">
        <x:v>Exact/explicit 24 h</x:v>
      </x:c>
      <x:c r="AO261" s="18" t="str">
        <x:v>INCLUDE</x:v>
      </x:c>
      <x:c r="AP261" s="18" t="str">
        <x:v>Explicit 24-h PONV endpoint.</x:v>
      </x:c>
      <x:c r="AQ261" s="18" t="str">
        <x:v>Yes</x:v>
      </x:c>
      <x:c r="AR261" s="18" t="str"/>
      <x:c r="AS261" s="18" t="str">
        <x:v>Binary effect measure (RR preferred per protocol)</x:v>
      </x:c>
      <x:c r="AT261" s="18" t="str">
        <x:v>Cumulative rescue sufentanil PCIA boluses</x:v>
      </x:c>
      <x:c r="AU261" s="18" t="str">
        <x:v>0-24 h</x:v>
      </x:c>
      <x:c r="AV261" s="18" t="str">
        <x:v>Some concerns</x:v>
      </x:c>
      <x:c r="AW261" s="18" t="str">
        <x:v>Yes — selected RoB is for a different result/timepoint</x:v>
      </x:c>
      <x:c r="AX261" s="18" t="str">
        <x:v>Chen 2015 (Hyperalgesia)</x:v>
      </x:c>
      <x:c r="AY261" s="18" t="str">
        <x:v>Primary eligible contrast</x:v>
      </x:c>
      <x:c r="AZ261" s="18" t="str">
        <x:v>Count this study once per synthesis unless a valid multi-arm method is used.</x:v>
      </x:c>
    </x:row>
    <x:row r="262">
      <x:c r="A262" s="18" t="str">
        <x:v>Ao 2021</x:v>
      </x:c>
      <x:c r="B262" s="18" t="str">
        <x:v>AO21_TEAS_vs_SHAM_PCA48</x:v>
      </x:c>
      <x:c r="C262" s="18" t="str">
        <x:v>Repeated perioperative TEAS</x:v>
      </x:c>
      <x:c r="D262" s="18" t="str">
        <x:v>Sham/no current</x:v>
      </x:c>
      <x:c r="E262" s="18" t="str">
        <x:v>Opioid demand</x:v>
      </x:c>
      <x:c r="F262" s="18" t="str">
        <x:v>Cumulative PCA solution consumption</x:v>
      </x:c>
      <x:c r="G262" s="18" t="str">
        <x:v>48 h</x:v>
      </x:c>
      <x:c r="H262" s="18" t="str">
        <x:v>Mean/SD</x:v>
      </x:c>
      <x:c r="I262" s="18" t="n">
        <x:v>35</x:v>
      </x:c>
      <x:c r="J262" s="18" t="n">
        <x:v>35</x:v>
      </x:c>
      <x:c r="K262" s="18" t="n">
        <x:v>32</x:v>
      </x:c>
      <x:c r="L262" s="18" t="n">
        <x:v>33</x:v>
      </x:c>
      <x:c r="M262" s="18" t="n">
        <x:v>102.8</x:v>
      </x:c>
      <x:c r="N262" s="18" t="n">
        <x:v>7.4</x:v>
      </x:c>
      <x:c r="O262" s="18"/>
      <x:c r="P262" s="18"/>
      <x:c r="Q262" s="18"/>
      <x:c r="R262" s="18"/>
      <x:c r="S262" s="18" t="n">
        <x:v>120.6</x:v>
      </x:c>
      <x:c r="T262" s="18" t="n">
        <x:v>9.2</x:v>
      </x:c>
      <x:c r="U262" s="18"/>
      <x:c r="V262" s="18"/>
      <x:c r="W262" s="18"/>
      <x:c r="X262" s="18"/>
      <x:c r="Y262" s="18" t="str">
        <x:v>mL PCA solution</x:v>
      </x:c>
      <x:c r="Z262" s="18" t="str">
        <x:v>NR</x:v>
      </x:c>
      <x:c r="AA262" s="18" t="str">
        <x:v>Yes</x:v>
      </x:c>
      <x:c r="AB262" s="18" t="str">
        <x:v>No</x:v>
      </x:c>
      <x:c r="AC262" s="18" t="str">
        <x:v>MD</x:v>
      </x:c>
      <x:c r="AD262" s="18" t="n">
        <x:v>-17.799999999999997</x:v>
      </x:c>
      <x:c r="AE262" s="18" t="str">
        <x:v>No</x:v>
      </x:c>
      <x:c r="AF262" s="18" t="str">
        <x:v>No</x:v>
      </x:c>
      <x:c r="AG262" s="18" t="str">
        <x:v>Eligible as directly reported 48-h PCA-volume outcome; not as 24-h opioid dose</x:v>
      </x:c>
      <x:c r="AH262" s="18" t="str">
        <x:v>No</x:v>
      </x:c>
      <x:c r="AI262" s="18" t="str">
        <x:v>Exact 24-h sufentanil total is not reported; the earlier 24-h VAS row is graph-digitized and remains derived.</x:v>
      </x:c>
      <x:c r="AJ262" s="18" t="str">
        <x:v>48-h PCA result</x:v>
      </x:c>
      <x:c r="AK262" s="18" t="str">
        <x:v>https://drive.google.com/file/d/1tNFnY0fJpx53hrtY4DIaE1RsNjE55Xvd/view?usp=drivesdk</x:v>
      </x:c>
      <x:c r="AL262" s="18" t="str">
        <x:v>SOURCE-VERIFIED / 48H ONLY</x:v>
      </x:c>
      <x:c r="AM262" s="18" t="str">
        <x:v>PCA demand/proxy</x:v>
      </x:c>
      <x:c r="AN262" s="18" t="str">
        <x:v>48 h</x:v>
      </x:c>
      <x:c r="AO262" s="18" t="str">
        <x:v>SECONDARY / PROXY ONLY</x:v>
      </x:c>
      <x:c r="AP262" s="18" t="str">
        <x:v>PCA presses, attempts, deliveries, or solution volume are not equivalent to opioid dose unless the pump prescription permits exact reconstruction.</x:v>
      </x:c>
      <x:c r="AQ262" s="18" t="str">
        <x:v>No</x:v>
      </x:c>
      <x:c r="AR262" s="18" t="str"/>
      <x:c r="AS262" s="18" t="str">
        <x:v>None</x:v>
      </x:c>
      <x:c r="AT262" s="18" t="str">
        <x:v>Cumulative PCA solution consumption</x:v>
      </x:c>
      <x:c r="AU262" s="18" t="str">
        <x:v>48 h</x:v>
      </x:c>
      <x:c r="AV262" s="18" t="str">
        <x:v>Some concerns</x:v>
      </x:c>
      <x:c r="AW262" s="18" t="str">
        <x:v>No — selected RoB matches this result</x:v>
      </x:c>
      <x:c r="AX262" s="18" t="str">
        <x:v>Ao 2021</x:v>
      </x:c>
      <x:c r="AY262" s="18" t="str">
        <x:v>Primary eligible contrast</x:v>
      </x:c>
      <x:c r="AZ262" s="18" t="str">
        <x:v>Count this study once per synthesis unless a valid multi-arm method is used.</x:v>
      </x:c>
    </x:row>
  </x:sheetData>
  <x:conditionalFormatting sqref="AO2:AO262">
    <x:cfRule type="expression" dxfId="36" priority="1">
      <x:formula>LEFT(AO2,7)="INCLUDE"</x:formula>
    </x:cfRule>
    <x:cfRule type="expression" dxfId="37" priority="2">
      <x:formula>LEFT(AO2,11)="CONDITIONAL"</x:formula>
    </x:cfRule>
    <x:cfRule type="expression" dxfId="38" priority="3">
      <x:formula>LEFT(AO2,7)="EXCLUDE"</x:formula>
    </x:cfRule>
    <x:cfRule type="expression" dxfId="39" priority="4">
      <x:formula>AO2="DUPLICATE HOLD"</x:formula>
    </x:cfRule>
    <x:cfRule type="expression" dxfId="40" priority="5">
      <x:formula>AO2="DIGITIZATION NEEDED"</x:formula>
    </x:cfRule>
    <x:cfRule type="expression" dxfId="41" priority="6">
      <x:formula>AO2="QC HOLD"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60" hidden="0" customWidth="1"/>
    <x:col min="8" max="8" width="24" hidden="0" customWidth="1"/>
    <x:col min="9" max="9" width="45" hidden="0" customWidth="1"/>
  </x:cols>
  <x:sheetData>
    <x:row r="1">
      <x:c r="A1" s="56" t="str">
        <x:v>Synthesis family</x:v>
      </x:c>
      <x:c r="B1" s="56" t="str">
        <x:v>Total rows</x:v>
      </x:c>
      <x:c r="C1" s="56" t="str">
        <x:v>Include-ready</x:v>
      </x:c>
      <x:c r="D1" s="56" t="str">
        <x:v>Conditional/secondary</x:v>
      </x:c>
      <x:c r="E1" s="56" t="str">
        <x:v>Excluded/data unavailable</x:v>
      </x:c>
      <x:c r="F1" s="56" t="str">
        <x:v>Key note</x:v>
      </x:c>
      <x:c r="H1" s="70" t="str">
        <x:v>Dedicated candidate set</x:v>
      </x:c>
      <x:c r="I1" s="70" t="str">
        <x:v>Rows</x:v>
      </x:c>
    </x:row>
    <x:row r="2">
      <x:c r="A2" s="18" t="str">
        <x:v>Postoperative opioid consumption</x:v>
      </x:c>
      <x:c r="B2" s="18" t="n">
        <x:v>81</x:v>
      </x:c>
      <x:c r="C2" s="18" t="n">
        <x:v>8</x:v>
      </x:c>
      <x:c r="D2" s="18" t="n">
        <x:v>16</x:v>
      </x:c>
      <x:c r="E2" s="18" t="n">
        <x:v>57</x:v>
      </x:c>
      <x:c r="F2" s="18" t="str">
        <x:v>Primary 24-h synthesis should use only explicit eligible rows; keep route/unit/window and duplicate holds.</x:v>
      </x:c>
      <x:c r="H2" s="18" t="str">
        <x:v>Set_Opioid_24h</x:v>
      </x:c>
      <x:c r="I2" s="18" t="n">
        <x:v>22</x:v>
      </x:c>
    </x:row>
    <x:row r="3">
      <x:c r="A3" s="18" t="str">
        <x:v>Pain</x:v>
      </x:c>
      <x:c r="B3" s="18" t="n">
        <x:v>40</x:v>
      </x:c>
      <x:c r="C3" s="18" t="n">
        <x:v>20</x:v>
      </x:c>
      <x:c r="D3" s="18" t="n">
        <x:v>19</x:v>
      </x:c>
      <x:c r="E3" s="18" t="n">
        <x:v>1</x:v>
      </x:c>
      <x:c r="F3" s="18" t="str">
        <x:v>Separate exact 24 h from POD1/approximate 24 h; keep rest/movement outcomes distinct.</x:v>
      </x:c>
      <x:c r="H3" s="18" t="str">
        <x:v>Set_Pain_24h</x:v>
      </x:c>
      <x:c r="I3" s="18" t="n">
        <x:v>36</x:v>
      </x:c>
    </x:row>
    <x:row r="4">
      <x:c r="A4" s="18" t="str">
        <x:v>PONV</x:v>
      </x:c>
      <x:c r="B4" s="18" t="n">
        <x:v>37</x:v>
      </x:c>
      <x:c r="C4" s="18" t="n">
        <x:v>13</x:v>
      </x:c>
      <x:c r="D4" s="18" t="n">
        <x:v>22</x:v>
      </x:c>
      <x:c r="E4" s="18" t="n">
        <x:v>2</x:v>
      </x:c>
      <x:c r="F4" s="18" t="str">
        <x:v>Separate 24 h, 48 h and 72 h windows; nausea/vomiting/composite should not be merged indiscriminately.</x:v>
      </x:c>
      <x:c r="H4" s="18" t="str">
        <x:v>Set_PONV</x:v>
      </x:c>
      <x:c r="I4" s="18" t="n">
        <x:v>35</x:v>
      </x:c>
    </x:row>
    <x:row r="5">
      <x:c r="A5" s="18" t="str">
        <x:v>Quality of recovery</x:v>
      </x:c>
      <x:c r="B5" s="18" t="n">
        <x:v>4</x:v>
      </x:c>
      <x:c r="C5" s="18" t="n">
        <x:v>2</x:v>
      </x:c>
      <x:c r="D5" s="18" t="n">
        <x:v>2</x:v>
      </x:c>
      <x:c r="E5" s="18" t="n">
        <x:v>0</x:v>
      </x:c>
      <x:c r="F5" s="18" t="str">
        <x:v>QoR-40 and QoR-15 are different scales; use SMD or separate analyses as prespecified.</x:v>
      </x:c>
      <x:c r="H5" s="18" t="str">
        <x:v>Set_QoR</x:v>
      </x:c>
      <x:c r="I5" s="18" t="n">
        <x:v>4</x:v>
      </x:c>
    </x:row>
    <x:row r="6">
      <x:c r="A6" s="18" t="str">
        <x:v>GI recovery</x:v>
      </x:c>
      <x:c r="B6" s="18" t="n">
        <x:v>26</x:v>
      </x:c>
      <x:c r="C6" s="18" t="n">
        <x:v>25</x:v>
      </x:c>
      <x:c r="D6" s="18" t="n">
        <x:v>1</x:v>
      </x:c>
      <x:c r="E6" s="18" t="n">
        <x:v>0</x:v>
      </x:c>
      <x:c r="F6" s="18" t="str">
        <x:v>First flatus is the most common comparable endpoint; defecation/bowel motion/POI require separate outcome definitions.</x:v>
      </x:c>
      <x:c r="H6" s="18" t="str">
        <x:v>Set_GI_Recovery</x:v>
      </x:c>
      <x:c r="I6" s="18" t="n">
        <x:v>26</x:v>
      </x:c>
    </x:row>
    <x:row r="7">
      <x:c r="A7" s="18" t="str">
        <x:v>Intraoperative opioid</x:v>
      </x:c>
      <x:c r="B7" s="18" t="n">
        <x:v>20</x:v>
      </x:c>
      <x:c r="C7" s="18" t="n">
        <x:v>20</x:v>
      </x:c>
      <x:c r="D7" s="18" t="n">
        <x:v>0</x:v>
      </x:c>
      <x:c r="E7" s="18" t="n">
        <x:v>0</x:v>
      </x:c>
      <x:c r="F7" s="18" t="str"/>
      <x:c r="H7" s="18" t="str">
        <x:v>Note</x:v>
      </x:c>
      <x:c r="I7" s="18" t="str">
        <x:v>Rows are not equivalent to independent studies; see Study_Level_Synthesis.</x:v>
      </x:c>
    </x:row>
    <x:row r="8">
      <x:c r="A8" s="18" t="str">
        <x:v>Rescue opioid use</x:v>
      </x:c>
      <x:c r="B8" s="18" t="n">
        <x:v>4</x:v>
      </x:c>
      <x:c r="C8" s="18" t="n">
        <x:v>2</x:v>
      </x:c>
      <x:c r="D8" s="18" t="n">
        <x:v>0</x:v>
      </x:c>
      <x:c r="E8" s="18" t="n">
        <x:v>2</x:v>
      </x:c>
      <x:c r="F8" s="18" t="str"/>
    </x:row>
    <x:row r="9">
      <x:c r="A9" s="18" t="str">
        <x:v>PCA demand/proxy</x:v>
      </x:c>
      <x:c r="B9" s="18" t="n">
        <x:v>22</x:v>
      </x:c>
      <x:c r="C9" s="18" t="n">
        <x:v>0</x:v>
      </x:c>
      <x:c r="D9" s="18" t="n">
        <x:v>22</x:v>
      </x:c>
      <x:c r="E9" s="18" t="n">
        <x:v>0</x:v>
      </x:c>
      <x:c r="F9" s="18" t="str"/>
    </x:row>
    <x:row r="12">
      <x:c r="A12" s="60" t="str">
        <x:v>Analysis-readiness KPI</x:v>
      </x:c>
      <x:c r="B12" s="60" t="str">
        <x:v>Value</x:v>
      </x:c>
    </x:row>
    <x:row r="13">
      <x:c r="A13" t="str">
        <x:v>Canonical studies</x:v>
      </x:c>
      <x:c r="B13" t="n">
        <x:v>63</x:v>
      </x:c>
    </x:row>
    <x:row r="14">
      <x:c r="A14" t="str">
        <x:v>Outcome rows</x:v>
      </x:c>
      <x:c r="B14" t="n">
        <x:v>261</x:v>
      </x:c>
    </x:row>
    <x:row r="15">
      <x:c r="A15" t="str">
        <x:v>Rows marked INCLUDE*</x:v>
      </x:c>
      <x:c r="B15" t="n">
        <x:v>94</x:v>
      </x:c>
    </x:row>
    <x:row r="16">
      <x:c r="A16" t="str">
        <x:v>Rows requiring conditional/QC handling</x:v>
      </x:c>
      <x:c r="B16" t="n">
        <x:v>104</x:v>
      </x:c>
    </x:row>
    <x:row r="17">
      <x:c r="A17" t="str">
        <x:v>Rows excluded for unavailable/non-primary data</x:v>
      </x:c>
      <x:c r="B17" t="n">
        <x:v>63</x:v>
      </x:c>
    </x:row>
    <x:row r="18">
      <x:c r="A18" t="str">
        <x:v>Duplicate-hold rows</x:v>
      </x:c>
      <x:c r="B18" t="n">
        <x:v>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>
      <x:c r="A1" s="56" t="str">
        <x:v>Study</x:v>
      </x:c>
      <x:c r="B1" s="56" t="str">
        <x:v>Comparison ID</x:v>
      </x:c>
      <x:c r="C1" s="56" t="str">
        <x:v>Intervention</x:v>
      </x:c>
      <x:c r="D1" s="56" t="str">
        <x:v>Comparator</x:v>
      </x:c>
      <x:c r="E1" s="56" t="str">
        <x:v>Outcome</x:v>
      </x:c>
      <x:c r="F1" s="56" t="str">
        <x:v>Timepoint</x:v>
      </x:c>
      <x:c r="G1" s="56" t="str">
        <x:v>Data type</x:v>
      </x:c>
      <x:c r="H1" s="56" t="str">
        <x:v>n I</x:v>
      </x:c>
      <x:c r="I1" s="56" t="str">
        <x:v>n C</x:v>
      </x:c>
      <x:c r="J1" s="56" t="str">
        <x:v>Mean/Median I</x:v>
      </x:c>
      <x:c r="K1" s="56" t="str">
        <x:v>SD/IQR I</x:v>
      </x:c>
      <x:c r="L1" s="56" t="str">
        <x:v>Mean/Median C</x:v>
      </x:c>
      <x:c r="M1" s="56" t="str">
        <x:v>SD/IQR C</x:v>
      </x:c>
      <x:c r="N1" s="56" t="str">
        <x:v>Unit</x:v>
      </x:c>
      <x:c r="O1" s="56" t="str">
        <x:v>Exact 0-24 h?</x:v>
      </x:c>
      <x:c r="P1" s="56" t="str">
        <x:v>Primary eligibility</x:v>
      </x:c>
      <x:c r="Q1" s="56" t="str">
        <x:v>Analysis readiness</x:v>
      </x:c>
      <x:c r="R1" s="56" t="str">
        <x:v>Reason</x:v>
      </x:c>
      <x:c r="S1" s="56" t="str">
        <x:v>Duplicate hold</x:v>
      </x:c>
      <x:c r="T1" s="56" t="str">
        <x:v>Source-QC issue</x:v>
      </x:c>
      <x:c r="U1" s="56" t="str">
        <x:v>Source URL</x:v>
      </x:c>
    </x:row>
    <x:row r="2">
      <x:c r="A2" s="18" t="str">
        <x:v>Seevaunnamtum 2016</x:v>
      </x:c>
      <x:c r="B2" s="18" t="str">
        <x:v>SEEVA16_EA_vs_UC</x:v>
      </x:c>
      <x:c r="C2" s="18" t="str">
        <x:v>Intraoperative EA</x:v>
      </x:c>
      <x:c r="D2" s="18" t="str">
        <x:v>Standard care</x:v>
      </x:c>
      <x:c r="E2" s="18" t="str">
        <x:v>Cumulative IV PCA morphine requirement</x:v>
      </x:c>
      <x:c r="F2" s="18" t="str">
        <x:v>First 24 h postoperatively</x:v>
      </x:c>
      <x:c r="G2" s="18" t="str">
        <x:v>Mean/SD</x:v>
      </x:c>
      <x:c r="H2" s="18" t="n">
        <x:v>32</x:v>
      </x:c>
      <x:c r="I2" s="18" t="n">
        <x:v>32</x:v>
      </x:c>
      <x:c r="J2" s="18" t="n">
        <x:v>21.38</x:v>
      </x:c>
      <x:c r="K2" s="18" t="n">
        <x:v>14.38</x:v>
      </x:c>
      <x:c r="L2" s="18" t="n">
        <x:v>33.94</x:v>
      </x:c>
      <x:c r="M2" s="18" t="n">
        <x:v>20.24</x:v>
      </x:c>
      <x:c r="N2" s="18" t="str">
        <x:v>mg morphine</x:v>
      </x:c>
      <x:c r="O2" s="18" t="str">
        <x:v>Yes</x:v>
      </x:c>
      <x:c r="P2" s="18" t="str">
        <x:v>Yes</x:v>
      </x:c>
      <x:c r="Q2" s="18" t="str">
        <x:v>INCLUDE</x:v>
      </x:c>
      <x:c r="R2" s="18" t="str">
        <x:v>Explicit 0-24-h postoperative opioid endpoint and marked eligible in the reconciled source data.</x:v>
      </x:c>
      <x:c r="S2" s="18" t="str"/>
      <x:c r="T2" s="18" t="str">
        <x:v>No allocation-concealment method reported</x:v>
      </x:c>
      <x:c r="U2" s="18" t="str">
        <x:v>https://drive.google.com/file/d/1OhuqhDUCEmOij7fZFhHHCJNwfQ9xpMzd/view?usp=drivesdk</x:v>
      </x:c>
    </x:row>
    <x:row r="3">
      <x:c r="A3" s="18" t="str">
        <x:v>Chen 1998</x:v>
      </x:c>
      <x:c r="B3" s="18" t="str">
        <x:v>CHEN98_NONACU_vs_SHAM</x:v>
      </x:c>
      <x:c r="C3" s="18" t="str">
        <x:v>Active nonacupoint shoulder TENS</x:v>
      </x:c>
      <x:c r="D3" s="18" t="str">
        <x:v>Sham ST36 TENS (0 mA)</x:v>
      </x:c>
      <x:c r="E3" s="18" t="str">
        <x:v>Cumulative IV PCA hydromorphone</x:v>
      </x:c>
      <x:c r="F3" s="18" t="str">
        <x:v>First 24 h postoperatively</x:v>
      </x:c>
      <x:c r="G3" s="18" t="str">
        <x:v>Mean/SD</x:v>
      </x:c>
      <x:c r="H3" s="18" t="n">
        <x:v>25</x:v>
      </x:c>
      <x:c r="I3" s="18" t="n">
        <x:v>25</x:v>
      </x:c>
      <x:c r="J3" s="18" t="n">
        <x:v>10.5</x:v>
      </x:c>
      <x:c r="K3" s="18" t="n">
        <x:v>6.2</x:v>
      </x:c>
      <x:c r="L3" s="18" t="n">
        <x:v>10.7</x:v>
      </x:c>
      <x:c r="M3" s="18" t="n">
        <x:v>5</x:v>
      </x:c>
      <x:c r="N3" s="18" t="str">
        <x:v>mg hydromorphone</x:v>
      </x:c>
      <x:c r="O3" s="18" t="str">
        <x:v>Yes</x:v>
      </x:c>
      <x:c r="P3" s="18" t="str">
        <x:v>Yes</x:v>
      </x:c>
      <x:c r="Q3" s="18" t="str">
        <x:v>INCLUDE</x:v>
      </x:c>
      <x:c r="R3" s="18" t="str">
        <x:v>Explicit 0-24-h postoperative opioid endpoint and marked eligible in the reconciled source data.</x:v>
      </x:c>
      <x:c r="S3" s="18" t="str"/>
      <x:c r="T3" s="18" t="str">
        <x:v>Four-arm RCT; shared sham control must be handled correctly</x:v>
      </x:c>
      <x:c r="U3" s="18" t="str">
        <x:v>https://drive.google.com/file/d/1lUyYj9aN1CL9RpY86ZY0970To83Kb17s/view?usp=drivesdk</x:v>
      </x:c>
    </x:row>
    <x:row r="4">
      <x:c r="A4" s="18" t="str">
        <x:v>Chen 1998</x:v>
      </x:c>
      <x:c r="B4" s="18" t="str">
        <x:v>CHEN98_DERM_vs_SHAM</x:v>
      </x:c>
      <x:c r="C4" s="18" t="str">
        <x:v>Active dermatomal/peri-incisional TENS</x:v>
      </x:c>
      <x:c r="D4" s="18" t="str">
        <x:v>Sham ST36 TENS (0 mA)</x:v>
      </x:c>
      <x:c r="E4" s="18" t="str">
        <x:v>Cumulative IV PCA hydromorphone</x:v>
      </x:c>
      <x:c r="F4" s="18" t="str">
        <x:v>First 24 h postoperatively</x:v>
      </x:c>
      <x:c r="G4" s="18" t="str">
        <x:v>Mean/SD</x:v>
      </x:c>
      <x:c r="H4" s="18" t="n">
        <x:v>25</x:v>
      </x:c>
      <x:c r="I4" s="18" t="n">
        <x:v>25</x:v>
      </x:c>
      <x:c r="J4" s="18" t="n">
        <x:v>6.8</x:v>
      </x:c>
      <x:c r="K4" s="18" t="n">
        <x:v>4.2</x:v>
      </x:c>
      <x:c r="L4" s="18" t="n">
        <x:v>10.7</x:v>
      </x:c>
      <x:c r="M4" s="18" t="n">
        <x:v>5</x:v>
      </x:c>
      <x:c r="N4" s="18" t="str">
        <x:v>mg hydromorphone</x:v>
      </x:c>
      <x:c r="O4" s="18" t="str">
        <x:v>Yes</x:v>
      </x:c>
      <x:c r="P4" s="18" t="str">
        <x:v>Yes</x:v>
      </x:c>
      <x:c r="Q4" s="18" t="str">
        <x:v>INCLUDE</x:v>
      </x:c>
      <x:c r="R4" s="18" t="str">
        <x:v>Explicit 0-24-h postoperative opioid endpoint and marked eligible in the reconciled source data.</x:v>
      </x:c>
      <x:c r="S4" s="18" t="str"/>
      <x:c r="T4" s="18" t="str">
        <x:v>Four-arm RCT; shared sham control must be handled correctly</x:v>
      </x:c>
      <x:c r="U4" s="18" t="str">
        <x:v>https://drive.google.com/file/d/1lUyYj9aN1CL9RpY86ZY0970To83Kb17s/view?usp=drivesdk</x:v>
      </x:c>
    </x:row>
    <x:row r="5">
      <x:c r="A5" s="18" t="str">
        <x:v>Chen 1998</x:v>
      </x:c>
      <x:c r="B5" s="18" t="str">
        <x:v>CHEN98_ACU_vs_SHAM</x:v>
      </x:c>
      <x:c r="C5" s="18" t="str">
        <x:v>Active ST36 acupoint TENS</x:v>
      </x:c>
      <x:c r="D5" s="18" t="str">
        <x:v>Sham ST36 TENS (0 mA)</x:v>
      </x:c>
      <x:c r="E5" s="18" t="str">
        <x:v>Cumulative IV PCA hydromorphone</x:v>
      </x:c>
      <x:c r="F5" s="18" t="str">
        <x:v>First 24 h postoperatively</x:v>
      </x:c>
      <x:c r="G5" s="18" t="str">
        <x:v>Mean/SD</x:v>
      </x:c>
      <x:c r="H5" s="18" t="n">
        <x:v>25</x:v>
      </x:c>
      <x:c r="I5" s="18" t="n">
        <x:v>25</x:v>
      </x:c>
      <x:c r="J5" s="18" t="n">
        <x:v>6.5</x:v>
      </x:c>
      <x:c r="K5" s="18" t="n">
        <x:v>3.5</x:v>
      </x:c>
      <x:c r="L5" s="18" t="n">
        <x:v>10.7</x:v>
      </x:c>
      <x:c r="M5" s="18" t="n">
        <x:v>5</x:v>
      </x:c>
      <x:c r="N5" s="18" t="str">
        <x:v>mg hydromorphone</x:v>
      </x:c>
      <x:c r="O5" s="18" t="str">
        <x:v>Yes</x:v>
      </x:c>
      <x:c r="P5" s="18" t="str">
        <x:v>Yes</x:v>
      </x:c>
      <x:c r="Q5" s="18" t="str">
        <x:v>INCLUDE</x:v>
      </x:c>
      <x:c r="R5" s="18" t="str">
        <x:v>Explicit 0-24-h postoperative opioid endpoint and marked eligible in the reconciled source data.</x:v>
      </x:c>
      <x:c r="S5" s="18" t="str"/>
      <x:c r="T5" s="18" t="str">
        <x:v>Four-arm RCT; shared sham control must be handled correctly</x:v>
      </x:c>
      <x:c r="U5" s="18" t="str">
        <x:v>https://drive.google.com/file/d/1lUyYj9aN1CL9RpY86ZY0970To83Kb17s/view?usp=drivesdk</x:v>
      </x:c>
    </x:row>
    <x:row r="6">
      <x:c r="A6" s="18" t="str">
        <x:v>Chen 2020</x:v>
      </x:c>
      <x:c r="B6" s="18" t="str">
        <x:v>CHEN20_TEAS_vs_SHAM</x:v>
      </x:c>
      <x:c r="C6" s="18" t="str">
        <x:v>Perioperative TEAS</x:v>
      </x:c>
      <x:c r="D6" s="18" t="str">
        <x:v>Sham low/zero-current protocol</x:v>
      </x:c>
      <x:c r="E6" s="18" t="str">
        <x:v>Cumulative sufentanil</x:v>
      </x:c>
      <x:c r="F6" s="18" t="str">
        <x:v>24 h postoperatively</x:v>
      </x:c>
      <x:c r="G6" s="18" t="str">
        <x:v>Mean/SD</x:v>
      </x:c>
      <x:c r="H6" s="18" t="n">
        <x:v>40</x:v>
      </x:c>
      <x:c r="I6" s="18" t="n">
        <x:v>40</x:v>
      </x:c>
      <x:c r="J6" s="18" t="n">
        <x:v>72.43</x:v>
      </x:c>
      <x:c r="K6" s="18" t="n">
        <x:v>4.78</x:v>
      </x:c>
      <x:c r="L6" s="18" t="n">
        <x:v>100.62</x:v>
      </x:c>
      <x:c r="M6" s="18" t="n">
        <x:v>10.2</x:v>
      </x:c>
      <x:c r="N6" s="18" t="str">
        <x:v>µg sufentanil</x:v>
      </x:c>
      <x:c r="O6" s="18" t="str">
        <x:v>Yes</x:v>
      </x:c>
      <x:c r="P6" s="18" t="str">
        <x:v>Yes</x:v>
      </x:c>
      <x:c r="Q6" s="18" t="str">
        <x:v>INCLUDE</x:v>
      </x:c>
      <x:c r="R6" s="18" t="str">
        <x:v>Explicit 0-24-h postoperative opioid endpoint and marked eligible in the reconciled source data.</x:v>
      </x:c>
      <x:c r="S6" s="18" t="str"/>
      <x:c r="T6" s="18" t="str">
        <x:v>Sham was 4 mA pre/postoperatively but 0 mA intraoperatively; preserve this nuance</x:v>
      </x:c>
      <x:c r="U6" s="18" t="str">
        <x:v>https://drive.google.com/file/d/1y0_cC1NCl5g2vYxDMOtYmxVA_YEE-rsR/view?usp=drivesdk</x:v>
      </x:c>
    </x:row>
    <x:row r="7">
      <x:c r="A7" s="18" t="str">
        <x:v>Coura 2011</x:v>
      </x:c>
      <x:c r="B7" s="18" t="str">
        <x:v>COURA11_EA_vs_SHAM</x:v>
      </x:c>
      <x:c r="C7" s="18" t="str">
        <x:v>Preoperative EA</x:v>
      </x:c>
      <x:c r="D7" s="18" t="str">
        <x:v>Sham stimulation</x:v>
      </x:c>
      <x:c r="E7" s="18" t="str">
        <x:v>Cumulative fentanyl</x:v>
      </x:c>
      <x:c r="F7" s="18" t="str">
        <x:v>First 24 h postoperatively</x:v>
      </x:c>
      <x:c r="G7" s="18" t="str">
        <x:v>Mean/SD</x:v>
      </x:c>
      <x:c r="H7" s="18" t="n">
        <x:v>13</x:v>
      </x:c>
      <x:c r="I7" s="18" t="n">
        <x:v>9</x:v>
      </x:c>
      <x:c r="J7" s="18" t="n">
        <x:v>13.1</x:v>
      </x:c>
      <x:c r="K7" s="18" t="n">
        <x:v>2.2</x:v>
      </x:c>
      <x:c r="L7" s="18" t="n">
        <x:v>16.3</x:v>
      </x:c>
      <x:c r="M7" s="18" t="n">
        <x:v>1.6</x:v>
      </x:c>
      <x:c r="N7" s="18" t="str">
        <x:v>µg/kg fentanyl</x:v>
      </x:c>
      <x:c r="O7" s="18" t="str">
        <x:v>Yes</x:v>
      </x:c>
      <x:c r="P7" s="18" t="str">
        <x:v>Conditional</x:v>
      </x:c>
      <x:c r="Q7" s="18" t="str">
        <x:v>CONDITIONAL</x:v>
      </x:c>
      <x:c r="R7" s="18" t="str">
        <x:v>24-h opioid endpoint exists but requires a prespecified route/unit/time-window or derived-value rule.</x:v>
      </x:c>
      <x:c r="S7" s="18" t="str"/>
      <x:c r="T7" s="18" t="str">
        <x:v>10/32 post-randomization exclusions; supplemental morphine/fentanyl inclusion unclear</x:v>
      </x:c>
      <x:c r="U7" s="18" t="str">
        <x:v>https://drive.google.com/file/d/120NJxCmxsdiyqWTXzjmaUWAaVa1i8iZz/view?usp=drivesdk</x:v>
      </x:c>
    </x:row>
    <x:row r="8">
      <x:c r="A8" s="18" t="str">
        <x:v>Ao 2021</x:v>
      </x:c>
      <x:c r="B8" s="18" t="str">
        <x:v>AO21_TEAS_vs_SHAM_OPIOID24</x:v>
      </x:c>
      <x:c r="C8" s="18" t="str">
        <x:v>TEAS</x:v>
      </x:c>
      <x:c r="D8" s="18" t="str">
        <x:v>Sham/no current</x:v>
      </x:c>
      <x:c r="E8" s="18" t="str">
        <x:v>Cumulative postoperative sufentanil</x:v>
      </x:c>
      <x:c r="F8" s="18" t="str">
        <x:v>Exact 0-24 h</x:v>
      </x:c>
      <x:c r="G8" s="18" t="str">
        <x:v>Not reported</x:v>
      </x:c>
      <x:c r="H8" s="18" t="n">
        <x:v>32</x:v>
      </x:c>
      <x:c r="I8" s="18" t="n">
        <x:v>33</x:v>
      </x:c>
      <x:c r="J8" s="18"/>
      <x:c r="K8" s="18"/>
      <x:c r="L8" s="18"/>
      <x:c r="M8" s="18"/>
      <x:c r="N8" s="18" t="str">
        <x:v>µg sufentanil</x:v>
      </x:c>
      <x:c r="O8" s="18" t="str">
        <x:v>No</x:v>
      </x:c>
      <x:c r="P8" s="18" t="str">
        <x:v>No</x:v>
      </x:c>
      <x:c r="Q8" s="18" t="str">
        <x:v>EXCLUDE — DATA UNAVAILABLE</x:v>
      </x:c>
      <x:c r="R8" s="18" t="str">
        <x:v>The source does not provide a defensible quantitative value for this analysis.</x:v>
      </x:c>
      <x:c r="S8" s="18" t="str"/>
      <x:c r="T8" s="18" t="str">
        <x:v>PCA followed for 48 h; no extractable cumulative 0-24-h total</x:v>
      </x:c>
      <x:c r="U8" s="18" t="str">
        <x:v>https://drive.google.com/file/d/1tNFnY0fJpx53hrtY4DIaE1RsNjE55Xvd/view?usp=drivesdk</x:v>
      </x:c>
    </x:row>
    <x:row r="9">
      <x:c r="A9" s="18" t="str">
        <x:v>Zhou 2025</x:v>
      </x:c>
      <x:c r="B9" s="18" t="str">
        <x:v>ZHOU25_TEAS_vs_SHAM_OPIOID24</x:v>
      </x:c>
      <x:c r="C9" s="18" t="str">
        <x:v>PACU TEAS</x:v>
      </x:c>
      <x:c r="D9" s="18" t="str">
        <x:v>Sham/no current</x:v>
      </x:c>
      <x:c r="E9" s="18" t="str">
        <x:v>Exact cumulative postoperative opioid dose</x:v>
      </x:c>
      <x:c r="F9" s="18" t="str">
        <x:v>0-24 h</x:v>
      </x:c>
      <x:c r="G9" s="18" t="str">
        <x:v>Not reported</x:v>
      </x:c>
      <x:c r="H9" s="18" t="n">
        <x:v>48</x:v>
      </x:c>
      <x:c r="I9" s="18" t="n">
        <x:v>49</x:v>
      </x:c>
      <x:c r="J9" s="18"/>
      <x:c r="K9" s="18"/>
      <x:c r="L9" s="18"/>
      <x:c r="M9" s="18"/>
      <x:c r="N9" s="18" t="str">
        <x:v>mg/µg</x:v>
      </x:c>
      <x:c r="O9" s="18" t="str">
        <x:v>No</x:v>
      </x:c>
      <x:c r="P9" s="18" t="str">
        <x:v>No</x:v>
      </x:c>
      <x:c r="Q9" s="18" t="str">
        <x:v>EXCLUDE — DATA UNAVAILABLE</x:v>
      </x:c>
      <x:c r="R9" s="18" t="str">
        <x:v>The source does not provide a defensible quantitative value for this analysis.</x:v>
      </x:c>
      <x:c r="S9" s="18" t="str"/>
      <x:c r="T9" s="18" t="str">
        <x:v>Standard perioperative sufentanil plus PRN tramadol; exact 0-24-h cumulative dose not reported</x:v>
      </x:c>
      <x:c r="U9" s="18" t="str">
        <x:v>https://drive.google.com/file/d/1gpNBuoukUttXKWiAAeZSqdIaaHSMOwDU/view?usp=drivesdk</x:v>
      </x:c>
    </x:row>
    <x:row r="10">
      <x:c r="A10" s="18" t="str">
        <x:v>Zhou 2021</x:v>
      </x:c>
      <x:c r="B10" s="18" t="str">
        <x:v>ZHOU21_TEAS_vs_UC_OPIOIDUSE</x:v>
      </x:c>
      <x:c r="C10" s="18" t="str">
        <x:v>Postoperative TEAS + ERAS</x:v>
      </x:c>
      <x:c r="D10" s="18" t="str">
        <x:v>ERAS/usual care</x:v>
      </x:c>
      <x:c r="E10" s="18" t="str">
        <x:v>Any postoperative opioid use</x:v>
      </x:c>
      <x:c r="F10" s="18" t="str">
        <x:v>Postoperative window not clearly defined as 0-24 h</x:v>
      </x:c>
      <x:c r="G10" s="18" t="str">
        <x:v>Events/total</x:v>
      </x:c>
      <x:c r="H10" s="18" t="n">
        <x:v>41</x:v>
      </x:c>
      <x:c r="I10" s="18" t="n">
        <x:v>40</x:v>
      </x:c>
      <x:c r="J10" s="18"/>
      <x:c r="K10" s="18"/>
      <x:c r="L10" s="18"/>
      <x:c r="M10" s="18"/>
      <x:c r="N10" s="18" t="str">
        <x:v>participants</x:v>
      </x:c>
      <x:c r="O10" s="18" t="str">
        <x:v>No</x:v>
      </x:c>
      <x:c r="P10" s="18" t="str">
        <x:v>No</x:v>
      </x:c>
      <x:c r="Q10" s="18" t="str">
        <x:v>CONDITIONAL</x:v>
      </x:c>
      <x:c r="R10" s="18" t="str">
        <x:v>Published postoperative opioid endpoint is relevant but does not meet the strict primary 0-24-h definition without an explicit protocol rule.</x:v>
      </x:c>
      <x:c r="S10" s="18" t="str"/>
      <x:c r="T10" s="18" t="str">
        <x:v>Exact postoperative time window is not clearly stated</x:v>
      </x:c>
      <x:c r="U10" s="18" t="str">
        <x:v>https://drive.google.com/file/d/1PxYyULBv_ZjWeqAm_bNYkDn_j2_lNYLq/view?usp=drivesdk</x:v>
      </x:c>
    </x:row>
    <x:row r="11">
      <x:c r="A11" s="18" t="str">
        <x:v>Zheng 2025</x:v>
      </x:c>
      <x:c r="B11" s="18" t="str">
        <x:v>ZHENG25_TEAS_vs_SHAM_OPIOID24</x:v>
      </x:c>
      <x:c r="C11" s="18" t="str">
        <x:v>Perioperative TEAS</x:v>
      </x:c>
      <x:c r="D11" s="18" t="str">
        <x:v>Sham/no current</x:v>
      </x:c>
      <x:c r="E11" s="18" t="str">
        <x:v>Exact cumulative postoperative sufentanil mass</x:v>
      </x:c>
      <x:c r="F11" s="18" t="str">
        <x:v>0-24 h</x:v>
      </x:c>
      <x:c r="G11" s="18" t="str">
        <x:v>Not reported</x:v>
      </x:c>
      <x:c r="H11" s="18" t="n">
        <x:v>42</x:v>
      </x:c>
      <x:c r="I11" s="18" t="n">
        <x:v>43</x:v>
      </x:c>
      <x:c r="J11" s="18"/>
      <x:c r="K11" s="18"/>
      <x:c r="L11" s="18"/>
      <x:c r="M11" s="18"/>
      <x:c r="N11" s="18" t="str">
        <x:v>µg sufentanil</x:v>
      </x:c>
      <x:c r="O11" s="18" t="str">
        <x:v>No</x:v>
      </x:c>
      <x:c r="P11" s="18" t="str">
        <x:v>No</x:v>
      </x:c>
      <x:c r="Q11" s="18" t="str">
        <x:v>EXCLUDE — DATA UNAVAILABLE</x:v>
      </x:c>
      <x:c r="R11" s="18" t="str">
        <x:v>The source does not provide a defensible quantitative value for this analysis.</x:v>
      </x:c>
      <x:c r="S11" s="18" t="str"/>
      <x:c r="T11" s="18" t="str">
        <x:v>Final PCIA volume/concentration and exact cumulative sufentanil mass are not reported</x:v>
      </x:c>
      <x:c r="U11" s="18" t="str">
        <x:v>https://drive.google.com/file/d/1-JWKZgQXaQQQBZgMSDqyIP-vG9aAxBqb/view?usp=drivesdk</x:v>
      </x:c>
    </x:row>
    <x:row r="12">
      <x:c r="A12" s="18" t="str">
        <x:v>Zhan 2020</x:v>
      </x:c>
      <x:c r="B12" s="18" t="str">
        <x:v>ZHAN20_TAPTEAS_vs_TAP_OPIOID24</x:v>
      </x:c>
      <x:c r="C12" s="18" t="str">
        <x:v>TAP block + postoperative TEAS</x:v>
      </x:c>
      <x:c r="D12" s="18" t="str">
        <x:v>TAP block</x:v>
      </x:c>
      <x:c r="E12" s="18" t="str">
        <x:v>Actual cumulative postoperative sufentanil consumption</x:v>
      </x:c>
      <x:c r="F12" s="18" t="str">
        <x:v>0-24 h</x:v>
      </x:c>
      <x:c r="G12" s="18" t="str">
        <x:v>Not reported</x:v>
      </x:c>
      <x:c r="H12" s="18" t="n">
        <x:v>30</x:v>
      </x:c>
      <x:c r="I12" s="18" t="n">
        <x:v>30</x:v>
      </x:c>
      <x:c r="J12" s="18"/>
      <x:c r="K12" s="18"/>
      <x:c r="L12" s="18"/>
      <x:c r="M12" s="18"/>
      <x:c r="N12" s="18" t="str">
        <x:v>µg sufentanil</x:v>
      </x:c>
      <x:c r="O12" s="18" t="str">
        <x:v>No</x:v>
      </x:c>
      <x:c r="P12" s="18" t="str">
        <x:v>No</x:v>
      </x:c>
      <x:c r="Q12" s="18" t="str">
        <x:v>EXCLUDE — DATA UNAVAILABLE</x:v>
      </x:c>
      <x:c r="R12" s="18" t="str">
        <x:v>The source does not provide a defensible quantitative value for this analysis.</x:v>
      </x:c>
      <x:c r="S12" s="18" t="str"/>
      <x:c r="T12" s="18" t="str">
        <x:v>Only programmed PCIA reservoir/basal settings are reported; actual group-specific delivered opioid is NR</x:v>
      </x:c>
      <x:c r="U12" s="18" t="str">
        <x:v>https://drive.google.com/file/d/1GYG7JxUOQxbt724-Ng7dWv3sYeC8dDSr/view?usp=drivesdk</x:v>
      </x:c>
    </x:row>
    <x:row r="13">
      <x:c r="A13" s="18" t="str">
        <x:v>Zhang 2025</x:v>
      </x:c>
      <x:c r="B13" s="18" t="str">
        <x:v>ZHANG25_TEAS_vs_SHAM_SUFPOD1</x:v>
      </x:c>
      <x:c r="C13" s="18" t="str">
        <x:v>Perioperative TEAS</x:v>
      </x:c>
      <x:c r="D13" s="18" t="str">
        <x:v>Sub-sensory sham</x:v>
      </x:c>
      <x:c r="E13" s="18" t="str">
        <x:v>Total sufentanil consumption</x:v>
      </x:c>
      <x:c r="F13" s="18" t="str">
        <x:v>POD1; approximately 24 h but exact clock window not explicit</x:v>
      </x:c>
      <x:c r="G13" s="18" t="str">
        <x:v>Mean/SD</x:v>
      </x:c>
      <x:c r="H13" s="18" t="n">
        <x:v>45</x:v>
      </x:c>
      <x:c r="I13" s="18" t="n">
        <x:v>48</x:v>
      </x:c>
      <x:c r="J13" s="18" t="n">
        <x:v>50.53</x:v>
      </x:c>
      <x:c r="K13" s="18" t="n">
        <x:v>4.46</x:v>
      </x:c>
      <x:c r="L13" s="18" t="n">
        <x:v>53.79</x:v>
      </x:c>
      <x:c r="M13" s="18" t="n">
        <x:v>5.14</x:v>
      </x:c>
      <x:c r="N13" s="18" t="str">
        <x:v>µg sufentanil</x:v>
      </x:c>
      <x:c r="O13" s="18" t="str">
        <x:v>Conditional</x:v>
      </x:c>
      <x:c r="P13" s="18" t="str">
        <x:v>Conditional</x:v>
      </x:c>
      <x:c r="Q13" s="18" t="str">
        <x:v>CONDITIONAL</x:v>
      </x:c>
      <x:c r="R13" s="18" t="str">
        <x:v>24-h opioid endpoint exists but requires a prespecified route/unit/time-window or derived-value rule.</x:v>
      </x:c>
      <x:c r="S13" s="18" t="str"/>
      <x:c r="T13" s="18" t="str">
        <x:v>Endpoint is directly reported as POD1, not explicitly clock-defined 0-24 h; 15/108 excluded after randomization</x:v>
      </x:c>
      <x:c r="U13" s="18" t="str">
        <x:v>https://drive.google.com/file/d/1eHx6Hk16vmIfMgoiZ5eNae4zmCR5ktwJ/view?usp=drivesdk</x:v>
      </x:c>
    </x:row>
    <x:row r="14">
      <x:c r="A14" s="18" t="str">
        <x:v>Zhang 2023</x:v>
      </x:c>
      <x:c r="B14" s="18" t="str">
        <x:v>ZHANG23_TEAS_vs_SHAM_MME48</x:v>
      </x:c>
      <x:c r="C14" s="18" t="str">
        <x:v>TEAS</x:v>
      </x:c>
      <x:c r="D14" s="18" t="str">
        <x:v>Sham/no current</x:v>
      </x:c>
      <x:c r="E14" s="18" t="str">
        <x:v>Postoperative IV morphine-equivalent consumption</x:v>
      </x:c>
      <x:c r="F14" s="18" t="str">
        <x:v>Within 48 h</x:v>
      </x:c>
      <x:c r="G14" s="18" t="str">
        <x:v>Median/IQR</x:v>
      </x:c>
      <x:c r="H14" s="18" t="n">
        <x:v>922</x:v>
      </x:c>
      <x:c r="I14" s="18" t="n">
        <x:v>916</x:v>
      </x:c>
      <x:c r="J14" s="18" t="n">
        <x:v>110</x:v>
      </x:c>
      <x:c r="K14" s="18" t="str">
        <x:v>80–110</x:v>
      </x:c>
      <x:c r="L14" s="18" t="n">
        <x:v>110</x:v>
      </x:c>
      <x:c r="M14" s="18" t="str">
        <x:v>90–110</x:v>
      </x:c>
      <x:c r="N14" s="18" t="str">
        <x:v>mg IV morphine-equivalent</x:v>
      </x:c>
      <x:c r="O14" s="18" t="str">
        <x:v>No</x:v>
      </x:c>
      <x:c r="P14" s="18" t="str">
        <x:v>No</x:v>
      </x:c>
      <x:c r="Q14" s="18" t="str">
        <x:v>EXCLUDE — NOT PRIMARY 24H OPIOID</x:v>
      </x:c>
      <x:c r="R14" s="18" t="str">
        <x:v>Not a strict 0-24-h postoperative opioid-consumption endpoint.</x:v>
      </x:c>
      <x:c r="S14" s="18" t="str"/>
      <x:c r="T14" s="18" t="str">
        <x:v>Authors converted opioids using ClinCalc; exact 24-h postoperative dose is not reported</x:v>
      </x:c>
      <x:c r="U14" s="18" t="str">
        <x:v>https://drive.google.com/file/d/1LXNXNhVJaOcYXBODulFUuMD4FQXC5dph/view?usp=drivesdk</x:v>
      </x:c>
    </x:row>
    <x:row r="15">
      <x:c r="A15" s="18" t="str">
        <x:v>Zhang 2023</x:v>
      </x:c>
      <x:c r="B15" s="18" t="str">
        <x:v>ZHANG23_TEAS_vs_SHAM_OPIOID24</x:v>
      </x:c>
      <x:c r="C15" s="18" t="str">
        <x:v>TEAS</x:v>
      </x:c>
      <x:c r="D15" s="18" t="str">
        <x:v>Sham/no current</x:v>
      </x:c>
      <x:c r="E15" s="18" t="str">
        <x:v>Exact cumulative postoperative opioid dose</x:v>
      </x:c>
      <x:c r="F15" s="18" t="str">
        <x:v>0-24 h</x:v>
      </x:c>
      <x:c r="G15" s="18" t="str">
        <x:v>Not reported</x:v>
      </x:c>
      <x:c r="H15" s="18" t="n">
        <x:v>922</x:v>
      </x:c>
      <x:c r="I15" s="18" t="n">
        <x:v>916</x:v>
      </x:c>
      <x:c r="J15" s="18"/>
      <x:c r="K15" s="18"/>
      <x:c r="L15" s="18"/>
      <x:c r="M15" s="18"/>
      <x:c r="N15" s="18" t="str">
        <x:v>mg IV morphine-equivalent</x:v>
      </x:c>
      <x:c r="O15" s="18" t="str">
        <x:v>No</x:v>
      </x:c>
      <x:c r="P15" s="18" t="str">
        <x:v>No</x:v>
      </x:c>
      <x:c r="Q15" s="18" t="str">
        <x:v>EXCLUDE — DATA UNAVAILABLE</x:v>
      </x:c>
      <x:c r="R15" s="18" t="str">
        <x:v>The source does not provide a defensible quantitative value for this analysis.</x:v>
      </x:c>
      <x:c r="S15" s="18" t="str"/>
      <x:c r="T15" s="18" t="str">
        <x:v>Only a postoperative 48-h opioid-equivalent endpoint is reported</x:v>
      </x:c>
      <x:c r="U15" s="18" t="str">
        <x:v>https://drive.google.com/file/d/1LXNXNhVJaOcYXBODulFUuMD4FQXC5dph/view?usp=drivesdk</x:v>
      </x:c>
    </x:row>
    <x:row r="16">
      <x:c r="A16" s="18" t="str">
        <x:v>Zhang 2014</x:v>
      </x:c>
      <x:c r="B16" s="18" t="str">
        <x:v>ZHANG14_TEAS_vs_SHAM_OPIOID24</x:v>
      </x:c>
      <x:c r="C16" s="18" t="str">
        <x:v>Preoperative TEAS</x:v>
      </x:c>
      <x:c r="D16" s="18" t="str">
        <x:v>Sham/no current</x:v>
      </x:c>
      <x:c r="E16" s="18" t="str">
        <x:v>Exact cumulative postoperative opioid dose</x:v>
      </x:c>
      <x:c r="F16" s="18" t="str">
        <x:v>0-24 h</x:v>
      </x:c>
      <x:c r="G16" s="18" t="str">
        <x:v>Not reported</x:v>
      </x:c>
      <x:c r="H16" s="18" t="n">
        <x:v>33</x:v>
      </x:c>
      <x:c r="I16" s="18" t="n">
        <x:v>32</x:v>
      </x:c>
      <x:c r="J16" s="18"/>
      <x:c r="K16" s="18"/>
      <x:c r="L16" s="18"/>
      <x:c r="M16" s="18"/>
      <x:c r="N16" s="18" t="str">
        <x:v>mg/µg</x:v>
      </x:c>
      <x:c r="O16" s="18" t="str">
        <x:v>No</x:v>
      </x:c>
      <x:c r="P16" s="18" t="str">
        <x:v>No</x:v>
      </x:c>
      <x:c r="Q16" s="18" t="str">
        <x:v>EXCLUDE — DATA UNAVAILABLE</x:v>
      </x:c>
      <x:c r="R16" s="18" t="str">
        <x:v>The source does not provide a defensible quantitative value for this analysis.</x:v>
      </x:c>
      <x:c r="S16" s="18" t="str"/>
      <x:c r="T16" s="18" t="str">
        <x:v>Study reports intraoperative remifentanil rate but no exact postoperative opioid-consumption total</x:v>
      </x:c>
      <x:c r="U16" s="18" t="str">
        <x:v>https://drive.google.com/file/d/1lws1zFpIE-wbLY8X9ewYyTuIP-WySa-c/view?usp=drivesdk</x:v>
      </x:c>
    </x:row>
    <x:row r="17">
      <x:c r="A17" s="18" t="str">
        <x:v>Yang 2024</x:v>
      </x:c>
      <x:c r="B17" s="18" t="str">
        <x:v>YANG24_EA_vs_UC_MORPH24</x:v>
      </x:c>
      <x:c r="C17" s="18" t="str">
        <x:v>Perioperative EA + usual care</x:v>
      </x:c>
      <x:c r="D17" s="18" t="str">
        <x:v>Usual care</x:v>
      </x:c>
      <x:c r="E17" s="18" t="str">
        <x:v>Morphine use via IV PCA</x:v>
      </x:c>
      <x:c r="F17" s="18" t="str">
        <x:v>First 24 h / POD1</x:v>
      </x:c>
      <x:c r="G17" s="18" t="str">
        <x:v>Mean/SD</x:v>
      </x:c>
      <x:c r="H17" s="18" t="n">
        <x:v>90</x:v>
      </x:c>
      <x:c r="I17" s="18" t="n">
        <x:v>90</x:v>
      </x:c>
      <x:c r="J17" s="18" t="n">
        <x:v>43.7</x:v>
      </x:c>
      <x:c r="K17" s="18" t="n">
        <x:v>4.7</x:v>
      </x:c>
      <x:c r="L17" s="18" t="n">
        <x:v>44</x:v>
      </x:c>
      <x:c r="M17" s="18" t="n">
        <x:v>4.9</x:v>
      </x:c>
      <x:c r="N17" s="18" t="str">
        <x:v>mg morphine</x:v>
      </x:c>
      <x:c r="O17" s="18" t="str">
        <x:v>Yes</x:v>
      </x:c>
      <x:c r="P17" s="18" t="str">
        <x:v>Yes</x:v>
      </x:c>
      <x:c r="Q17" s="18" t="str">
        <x:v>INCLUDE</x:v>
      </x:c>
      <x:c r="R17" s="18" t="str">
        <x:v>Explicit 0-24-h postoperative opioid endpoint and marked eligible in the reconciled source data.</x:v>
      </x:c>
      <x:c r="S17" s="18" t="str"/>
      <x:c r="T17" s="18" t="str">
        <x:v>All 180 randomized participants retained in ITT; open-label patients but objective PCA drug-use record</x:v>
      </x:c>
      <x:c r="U17" s="18" t="str">
        <x:v>https://drive.google.com/file/d/160N3psd5tLEphwXHJzUEZ3uJfaIXcs5V/view?usp=drivesdk</x:v>
      </x:c>
    </x:row>
    <x:row r="18">
      <x:c r="A18" s="18" t="str">
        <x:v>Xiong 2021</x:v>
      </x:c>
      <x:c r="B18" s="18" t="str">
        <x:v>XIONG21_TEAS_vs_CTRL_POSTOPMME</x:v>
      </x:c>
      <x:c r="C18" s="18" t="str">
        <x:v>TEAS + dexamethasone + tropisetron</x:v>
      </x:c>
      <x:c r="D18" s="18" t="str">
        <x:v>Dexamethasone + tropisetron</x:v>
      </x:c>
      <x:c r="E18" s="18" t="str">
        <x:v>Postoperative opioid consumption</x:v>
      </x:c>
      <x:c r="F18" s="18" t="str">
        <x:v>Postoperative window unclear</x:v>
      </x:c>
      <x:c r="G18" s="18" t="str">
        <x:v>Mean/SD</x:v>
      </x:c>
      <x:c r="H18" s="18" t="n">
        <x:v>31</x:v>
      </x:c>
      <x:c r="I18" s="18" t="n">
        <x:v>31</x:v>
      </x:c>
      <x:c r="J18" s="18" t="n">
        <x:v>0.6</x:v>
      </x:c>
      <x:c r="K18" s="18" t="n">
        <x:v>0.2</x:v>
      </x:c>
      <x:c r="L18" s="18" t="n">
        <x:v>0.6</x:v>
      </x:c>
      <x:c r="M18" s="18" t="n">
        <x:v>0.1</x:v>
      </x:c>
      <x:c r="N18" s="18" t="str">
        <x:v>mg morphine-equivalent/kg</x:v>
      </x:c>
      <x:c r="O18" s="18" t="str">
        <x:v>No</x:v>
      </x:c>
      <x:c r="P18" s="18" t="str">
        <x:v>No</x:v>
      </x:c>
      <x:c r="Q18" s="18" t="str">
        <x:v>EXCLUDE — NOT PRIMARY 24H OPIOID</x:v>
      </x:c>
      <x:c r="R18" s="18" t="str">
        <x:v>Not a strict 0-24-h postoperative opioid-consumption endpoint.</x:v>
      </x:c>
      <x:c r="S18" s="18" t="str"/>
      <x:c r="T18" s="18" t="str">
        <x:v>Exact postoperative interval is not stated; route terminology in Results is internally inconsistent</x:v>
      </x:c>
      <x:c r="U18" s="18" t="str">
        <x:v>https://drive.google.com/file/d/1sNaquYeWpsts7_e3XYP9c0CwM-tbQS6T/view?usp=drivesdk</x:v>
      </x:c>
    </x:row>
    <x:row r="19">
      <x:c r="A19" s="18" t="str">
        <x:v>Xiong 2021</x:v>
      </x:c>
      <x:c r="B19" s="18" t="str">
        <x:v>XIONG21_TEAS_vs_CTRL_OPIOID24</x:v>
      </x:c>
      <x:c r="C19" s="18" t="str">
        <x:v>TEAS + dexamethasone + tropisetron</x:v>
      </x:c>
      <x:c r="D19" s="18" t="str">
        <x:v>Dexamethasone + tropisetron</x:v>
      </x:c>
      <x:c r="E19" s="18" t="str">
        <x:v>Exact cumulative postoperative opioid dose</x:v>
      </x:c>
      <x:c r="F19" s="18" t="str">
        <x:v>0-24 h</x:v>
      </x:c>
      <x:c r="G19" s="18" t="str">
        <x:v>Not reported</x:v>
      </x:c>
      <x:c r="H19" s="18" t="n">
        <x:v>31</x:v>
      </x:c>
      <x:c r="I19" s="18" t="n">
        <x:v>31</x:v>
      </x:c>
      <x:c r="J19" s="18"/>
      <x:c r="K19" s="18"/>
      <x:c r="L19" s="18"/>
      <x:c r="M19" s="18"/>
      <x:c r="N19" s="18" t="str">
        <x:v>mg morphine-equivalent/kg</x:v>
      </x:c>
      <x:c r="O19" s="18" t="str">
        <x:v>No</x:v>
      </x:c>
      <x:c r="P19" s="18" t="str">
        <x:v>No</x:v>
      </x:c>
      <x:c r="Q19" s="18" t="str">
        <x:v>EXCLUDE — DATA UNAVAILABLE</x:v>
      </x:c>
      <x:c r="R19" s="18" t="str">
        <x:v>The source does not provide a defensible quantitative value for this analysis.</x:v>
      </x:c>
      <x:c r="S19" s="18" t="str"/>
      <x:c r="T19" s="18" t="str">
        <x:v>Published opioid-equivalent result lacks a fixed time window</x:v>
      </x:c>
      <x:c r="U19" s="18" t="str">
        <x:v>https://drive.google.com/file/d/1sNaquYeWpsts7_e3XYP9c0CwM-tbQS6T/view?usp=drivesdk</x:v>
      </x:c>
    </x:row>
    <x:row r="20">
      <x:c r="A20" s="18" t="str">
        <x:v>Xing 2022</x:v>
      </x:c>
      <x:c r="B20" s="18" t="str">
        <x:v>XING22_NTG_vs_NG_OPIOID24</x:v>
      </x:c>
      <x:c r="C20" s="18" t="str">
        <x:v>TEAS + active TAPB</x:v>
      </x:c>
      <x:c r="D20" s="18" t="str">
        <x:v>Sham TEAS + active TAPB</x:v>
      </x:c>
      <x:c r="E20" s="18" t="str">
        <x:v>Exact cumulative postoperative sufentanil delivered</x:v>
      </x:c>
      <x:c r="F20" s="18" t="str">
        <x:v>0-24 h</x:v>
      </x:c>
      <x:c r="G20" s="18" t="str">
        <x:v>Not reported</x:v>
      </x:c>
      <x:c r="H20" s="18" t="n">
        <x:v>29</x:v>
      </x:c>
      <x:c r="I20" s="18" t="n">
        <x:v>29</x:v>
      </x:c>
      <x:c r="J20" s="18"/>
      <x:c r="K20" s="18"/>
      <x:c r="L20" s="18"/>
      <x:c r="M20" s="18"/>
      <x:c r="N20" s="18" t="str">
        <x:v>µg sufentanil</x:v>
      </x:c>
      <x:c r="O20" s="18" t="str">
        <x:v>No</x:v>
      </x:c>
      <x:c r="P20" s="18" t="str">
        <x:v>No</x:v>
      </x:c>
      <x:c r="Q20" s="18" t="str">
        <x:v>EXCLUDE — DATA UNAVAILABLE</x:v>
      </x:c>
      <x:c r="R20" s="18" t="str">
        <x:v>The source does not provide a defensible quantitative value for this analysis.</x:v>
      </x:c>
      <x:c r="S20" s="18" t="str"/>
      <x:c r="T20" s="18" t="str">
        <x:v>PCIA wording is internally contradictory and only press counts are reported</x:v>
      </x:c>
      <x:c r="U20" s="18" t="str">
        <x:v>https://drive.google.com/file/d/1h3IGpQ56nSh7H16xBEVyTzCBkWOXRSxK/view?usp=drivesdk</x:v>
      </x:c>
    </x:row>
    <x:row r="21">
      <x:c r="A21" s="18" t="str">
        <x:v>Xie 2014</x:v>
      </x:c>
      <x:c r="B21" s="18" t="str">
        <x:v>XIE14_EAS_vs_SHAM_TOTALSUF</x:v>
      </x:c>
      <x:c r="C21" s="18" t="str">
        <x:v>Active EAS PC4/PC6</x:v>
      </x:c>
      <x:c r="D21" s="18" t="str">
        <x:v>Sham needling PC4/PC6</x:v>
      </x:c>
      <x:c r="E21" s="18" t="str">
        <x:v>Total postoperative/perioperative sufentanil</x:v>
      </x:c>
      <x:c r="F21" s="18" t="str">
        <x:v>Study PCA period; exact fixed window unclear</x:v>
      </x:c>
      <x:c r="G21" s="18" t="str">
        <x:v>Mean/SD</x:v>
      </x:c>
      <x:c r="H21" s="18" t="n">
        <x:v>20</x:v>
      </x:c>
      <x:c r="I21" s="18" t="n">
        <x:v>20</x:v>
      </x:c>
      <x:c r="J21" s="18" t="n">
        <x:v>115</x:v>
      </x:c>
      <x:c r="K21" s="18" t="n">
        <x:v>6</x:v>
      </x:c>
      <x:c r="L21" s="18" t="n">
        <x:v>133</x:v>
      </x:c>
      <x:c r="M21" s="18" t="n">
        <x:v>7</x:v>
      </x:c>
      <x:c r="N21" s="18" t="str">
        <x:v>µg sufentanil</x:v>
      </x:c>
      <x:c r="O21" s="18" t="str">
        <x:v>No</x:v>
      </x:c>
      <x:c r="P21" s="18" t="str">
        <x:v>No</x:v>
      </x:c>
      <x:c r="Q21" s="18" t="str">
        <x:v>EXCLUDE — NOT PRIMARY 24H OPIOID</x:v>
      </x:c>
      <x:c r="R21" s="18" t="str">
        <x:v>Not a strict 0-24-h postoperative opioid-consumption endpoint.</x:v>
      </x:c>
      <x:c r="S21" s="18" t="str"/>
      <x:c r="T21" s="18" t="str">
        <x:v>Infusion described through POD3; Discussion mentions lower use through 48 h; Table 2 does not define fixed window</x:v>
      </x:c>
      <x:c r="U21" s="18" t="str">
        <x:v>https://drive.google.com/file/d/17faY_h0rMJTuhjPOC5PL_S59jYmHDPee/view?usp=drivesdk</x:v>
      </x:c>
    </x:row>
    <x:row r="22">
      <x:c r="A22" s="18" t="str">
        <x:v>Xie 2014</x:v>
      </x:c>
      <x:c r="B22" s="18" t="str">
        <x:v>XIE14_EAS_vs_CONTROL_TOTALSUF</x:v>
      </x:c>
      <x:c r="C22" s="18" t="str">
        <x:v>Active EAS PC4/PC6</x:v>
      </x:c>
      <x:c r="D22" s="18" t="str">
        <x:v>General-anesthesia control</x:v>
      </x:c>
      <x:c r="E22" s="18" t="str">
        <x:v>Total postoperative/perioperative sufentanil</x:v>
      </x:c>
      <x:c r="F22" s="18" t="str">
        <x:v>Study PCA period; exact fixed window unclear</x:v>
      </x:c>
      <x:c r="G22" s="18" t="str">
        <x:v>Mean/SD</x:v>
      </x:c>
      <x:c r="H22" s="18" t="n">
        <x:v>20</x:v>
      </x:c>
      <x:c r="I22" s="18" t="n">
        <x:v>20</x:v>
      </x:c>
      <x:c r="J22" s="18" t="n">
        <x:v>115</x:v>
      </x:c>
      <x:c r="K22" s="18" t="n">
        <x:v>6</x:v>
      </x:c>
      <x:c r="L22" s="18" t="n">
        <x:v>134</x:v>
      </x:c>
      <x:c r="M22" s="18" t="n">
        <x:v>5.9</x:v>
      </x:c>
      <x:c r="N22" s="18" t="str">
        <x:v>µg sufentanil</x:v>
      </x:c>
      <x:c r="O22" s="18" t="str">
        <x:v>No</x:v>
      </x:c>
      <x:c r="P22" s="18" t="str">
        <x:v>No</x:v>
      </x:c>
      <x:c r="Q22" s="18" t="str">
        <x:v>EXCLUDE — NOT PRIMARY 24H OPIOID</x:v>
      </x:c>
      <x:c r="R22" s="18" t="str">
        <x:v>Not a strict 0-24-h postoperative opioid-consumption endpoint.</x:v>
      </x:c>
      <x:c r="S22" s="18" t="str"/>
      <x:c r="T22" s="18" t="str">
        <x:v>Three-arm shared-intervention structure; exact fixed observation window not established</x:v>
      </x:c>
      <x:c r="U22" s="18" t="str">
        <x:v>https://drive.google.com/file/d/17faY_h0rMJTuhjPOC5PL_S59jYmHDPee/view?usp=drivesdk</x:v>
      </x:c>
    </x:row>
    <x:row r="23">
      <x:c r="A23" s="18" t="str">
        <x:v>Xie 2014</x:v>
      </x:c>
      <x:c r="B23" s="18" t="str">
        <x:v>XIE14_EAS_vs_SHAM_OPIOID24</x:v>
      </x:c>
      <x:c r="C23" s="18" t="str">
        <x:v>Active EAS PC4/PC6</x:v>
      </x:c>
      <x:c r="D23" s="18" t="str">
        <x:v>Sham needling PC4/PC6</x:v>
      </x:c>
      <x:c r="E23" s="18" t="str">
        <x:v>Exact cumulative postoperative sufentanil</x:v>
      </x:c>
      <x:c r="F23" s="18" t="str">
        <x:v>0-24 h</x:v>
      </x:c>
      <x:c r="G23" s="18" t="str">
        <x:v>Not reported</x:v>
      </x:c>
      <x:c r="H23" s="18" t="n">
        <x:v>20</x:v>
      </x:c>
      <x:c r="I23" s="18" t="n">
        <x:v>20</x:v>
      </x:c>
      <x:c r="J23" s="18"/>
      <x:c r="K23" s="18"/>
      <x:c r="L23" s="18"/>
      <x:c r="M23" s="18"/>
      <x:c r="N23" s="18" t="str">
        <x:v>µg sufentanil</x:v>
      </x:c>
      <x:c r="O23" s="18" t="str">
        <x:v>No</x:v>
      </x:c>
      <x:c r="P23" s="18" t="str">
        <x:v>No</x:v>
      </x:c>
      <x:c r="Q23" s="18" t="str">
        <x:v>EXCLUDE — DATA UNAVAILABLE</x:v>
      </x:c>
      <x:c r="R23" s="18" t="str">
        <x:v>The source does not provide a defensible quantitative value for this analysis.</x:v>
      </x:c>
      <x:c r="S23" s="18" t="str"/>
      <x:c r="T23" s="18" t="str">
        <x:v>Directly reported total cannot be assigned to a fixed 24-h window</x:v>
      </x:c>
      <x:c r="U23" s="18" t="str">
        <x:v>https://drive.google.com/file/d/17faY_h0rMJTuhjPOC5PL_S59jYmHDPee/view?usp=drivesdk</x:v>
      </x:c>
    </x:row>
    <x:row r="24">
      <x:c r="A24" s="18" t="str">
        <x:v>Wu 2022</x:v>
      </x:c>
      <x:c r="B24" s="18" t="str">
        <x:v>WU22_PTEAS_vs_CTRL_OPIOID24</x:v>
      </x:c>
      <x:c r="C24" s="18" t="str">
        <x:v>Perioperative pTEAS</x:v>
      </x:c>
      <x:c r="D24" s="18" t="str">
        <x:v>No-current control</x:v>
      </x:c>
      <x:c r="E24" s="18" t="str">
        <x:v>Exact cumulative postoperative opioid consumption</x:v>
      </x:c>
      <x:c r="F24" s="18" t="str">
        <x:v>0-24 h</x:v>
      </x:c>
      <x:c r="G24" s="18" t="str">
        <x:v>Not reported</x:v>
      </x:c>
      <x:c r="H24" s="18" t="n">
        <x:v>44</x:v>
      </x:c>
      <x:c r="I24" s="18" t="n">
        <x:v>40</x:v>
      </x:c>
      <x:c r="J24" s="18"/>
      <x:c r="K24" s="18"/>
      <x:c r="L24" s="18"/>
      <x:c r="M24" s="18"/>
      <x:c r="N24" s="18" t="str">
        <x:v>mg/µg</x:v>
      </x:c>
      <x:c r="O24" s="18" t="str">
        <x:v>No</x:v>
      </x:c>
      <x:c r="P24" s="18" t="str">
        <x:v>No</x:v>
      </x:c>
      <x:c r="Q24" s="18" t="str">
        <x:v>EXCLUDE — DATA UNAVAILABLE</x:v>
      </x:c>
      <x:c r="R24" s="18" t="str">
        <x:v>The source does not provide a defensible quantitative value for this analysis.</x:v>
      </x:c>
      <x:c r="S24" s="18" t="str"/>
      <x:c r="T24" s="18" t="str">
        <x:v>Standard end-of-surgery tramadol/fentanyl are reported, but no randomized group-specific 0-24-h opioid total is provided</x:v>
      </x:c>
      <x:c r="U24" s="18" t="str">
        <x:v>https://drive.google.com/file/d/1XR_8qmeHR7ulwV7NaaI0CeYbpwKdc_ym/view?usp=drivesdk</x:v>
      </x:c>
    </x:row>
    <x:row r="25">
      <x:c r="A25" s="18" t="str">
        <x:v>Wu 2025</x:v>
      </x:c>
      <x:c r="B25" s="18" t="str">
        <x:v>WU25_TEAS_vs_SHAM_OPIOID24</x:v>
      </x:c>
      <x:c r="C25" s="18" t="str">
        <x:v>PACU TEAS</x:v>
      </x:c>
      <x:c r="D25" s="18" t="str">
        <x:v>Sham/no current</x:v>
      </x:c>
      <x:c r="E25" s="18" t="str">
        <x:v>Exact postoperative opioid/MME consumption</x:v>
      </x:c>
      <x:c r="F25" s="18" t="str">
        <x:v>0-24 h</x:v>
      </x:c>
      <x:c r="G25" s="18" t="str">
        <x:v>Not calculable</x:v>
      </x:c>
      <x:c r="H25" s="18" t="n">
        <x:v>50</x:v>
      </x:c>
      <x:c r="I25" s="18" t="n">
        <x:v>50</x:v>
      </x:c>
      <x:c r="J25" s="18"/>
      <x:c r="K25" s="18"/>
      <x:c r="L25" s="18"/>
      <x:c r="M25" s="18"/>
      <x:c r="N25" s="18" t="str">
        <x:v>MME</x:v>
      </x:c>
      <x:c r="O25" s="18" t="str">
        <x:v>No</x:v>
      </x:c>
      <x:c r="P25" s="18" t="str">
        <x:v>No</x:v>
      </x:c>
      <x:c r="Q25" s="18" t="str">
        <x:v>EXCLUDE — DATA UNAVAILABLE</x:v>
      </x:c>
      <x:c r="R25" s="18" t="str">
        <x:v>The source does not provide a defensible quantitative value for this analysis.</x:v>
      </x:c>
      <x:c r="S25" s="18" t="str"/>
      <x:c r="T25" s="18" t="str">
        <x:v>Oxycodone/acetaminophen rescue strength is not reported; rescue regimen is mixed opioid/non-opioid</x:v>
      </x:c>
      <x:c r="U25" s="18" t="str">
        <x:v>https://drive.google.com/file/d/1ZV6JFjevGSPqnISdX61KPdcC_yEtq3vf/view?usp=drivesdk</x:v>
      </x:c>
    </x:row>
    <x:row r="26">
      <x:c r="A26" s="18" t="str">
        <x:v>Wang 2023</x:v>
      </x:c>
      <x:c r="B26" s="18" t="str">
        <x:v>WANG23_TEAS_vs_SHAM_OPIOID24</x:v>
      </x:c>
      <x:c r="C26" s="18" t="str">
        <x:v>Nighttime TEAS</x:v>
      </x:c>
      <x:c r="D26" s="18" t="str">
        <x:v>Sham/no current</x:v>
      </x:c>
      <x:c r="E26" s="18" t="str">
        <x:v>Exact cumulative postoperative opioid dose</x:v>
      </x:c>
      <x:c r="F26" s="18" t="str">
        <x:v>0-24 h</x:v>
      </x:c>
      <x:c r="G26" s="18" t="str">
        <x:v>Not reported</x:v>
      </x:c>
      <x:c r="H26" s="18" t="n">
        <x:v>40</x:v>
      </x:c>
      <x:c r="I26" s="18" t="n">
        <x:v>43</x:v>
      </x:c>
      <x:c r="J26" s="18"/>
      <x:c r="K26" s="18"/>
      <x:c r="L26" s="18"/>
      <x:c r="M26" s="18"/>
      <x:c r="N26" s="18" t="str">
        <x:v>mg/µg</x:v>
      </x:c>
      <x:c r="O26" s="18" t="str">
        <x:v>No</x:v>
      </x:c>
      <x:c r="P26" s="18" t="str">
        <x:v>No</x:v>
      </x:c>
      <x:c r="Q26" s="18" t="str">
        <x:v>EXCLUDE — DATA UNAVAILABLE</x:v>
      </x:c>
      <x:c r="R26" s="18" t="str">
        <x:v>The source does not provide a defensible quantitative value for this analysis.</x:v>
      </x:c>
      <x:c r="S26" s="18" t="str"/>
      <x:c r="T26" s="18" t="str">
        <x:v>Only rescue-dose counts are reported and the rescue drug is not identified</x:v>
      </x:c>
      <x:c r="U26" s="18" t="str">
        <x:v>https://drive.google.com/file/d/177A4aH42GD90DhsvvtD-VOBSChBBpIWL/view?usp=drivesdk</x:v>
      </x:c>
    </x:row>
    <x:row r="27">
      <x:c r="A27" s="18" t="str">
        <x:v>Wang 2024</x:v>
      </x:c>
      <x:c r="B27" s="18" t="str">
        <x:v>WANG24_POSTOP_OPIOID24</x:v>
      </x:c>
      <x:c r="C27" s="18" t="str">
        <x:v>TEAS within risk strata</x:v>
      </x:c>
      <x:c r="D27" s="18" t="str">
        <x:v>OD within risk strata</x:v>
      </x:c>
      <x:c r="E27" s="18" t="str">
        <x:v>Postoperative opioid consumption</x:v>
      </x:c>
      <x:c r="F27" s="18" t="str">
        <x:v>0-24 h</x:v>
      </x:c>
      <x:c r="G27" s="18" t="str">
        <x:v>Not reported</x:v>
      </x:c>
      <x:c r="H27" s="18"/>
      <x:c r="I27" s="18"/>
      <x:c r="J27" s="18"/>
      <x:c r="K27" s="18"/>
      <x:c r="L27" s="18"/>
      <x:c r="M27" s="18"/>
      <x:c r="N27" s="18" t="str">
        <x:v>mg/µg</x:v>
      </x:c>
      <x:c r="O27" s="18" t="str">
        <x:v>No</x:v>
      </x:c>
      <x:c r="P27" s="18" t="str">
        <x:v>No</x:v>
      </x:c>
      <x:c r="Q27" s="18" t="str">
        <x:v>EXCLUDE — DATA UNAVAILABLE</x:v>
      </x:c>
      <x:c r="R27" s="18" t="str">
        <x:v>The source does not provide a defensible quantitative value for this analysis.</x:v>
      </x:c>
      <x:c r="S27" s="18" t="str"/>
      <x:c r="T27" s="18" t="str">
        <x:v>Postoperative rescue analgesia was non-opioid flurbiprofen; no postoperative opioid-consumption endpoint</x:v>
      </x:c>
      <x:c r="U27" s="18" t="str">
        <x:v>https://drive.google.com/file/d/1U8tkq6mKFO0IkA2glfgLjN4Krwku3FZn/view?usp=drivesdk</x:v>
      </x:c>
    </x:row>
    <x:row r="28">
      <x:c r="A28" s="18" t="str">
        <x:v>Tu 2024</x:v>
      </x:c>
      <x:c r="B28" s="18" t="str">
        <x:v>TU24_TEAS_vs_SHAM_OPIOID24</x:v>
      </x:c>
      <x:c r="C28" s="18" t="str">
        <x:v>Postoperative TEAS</x:v>
      </x:c>
      <x:c r="D28" s="18" t="str">
        <x:v>Sham/no current</x:v>
      </x:c>
      <x:c r="E28" s="18" t="str">
        <x:v>Cumulative rescue tramadol consumption</x:v>
      </x:c>
      <x:c r="F28" s="18" t="str">
        <x:v>0-24 h</x:v>
      </x:c>
      <x:c r="G28" s="18" t="str">
        <x:v>Not reported</x:v>
      </x:c>
      <x:c r="H28" s="18" t="n">
        <x:v>57</x:v>
      </x:c>
      <x:c r="I28" s="18" t="n">
        <x:v>58</x:v>
      </x:c>
      <x:c r="J28" s="18"/>
      <x:c r="K28" s="18"/>
      <x:c r="L28" s="18"/>
      <x:c r="M28" s="18"/>
      <x:c r="N28" s="18" t="str">
        <x:v>mg tramadol</x:v>
      </x:c>
      <x:c r="O28" s="18" t="str">
        <x:v>No</x:v>
      </x:c>
      <x:c r="P28" s="18" t="str">
        <x:v>No</x:v>
      </x:c>
      <x:c r="Q28" s="18" t="str">
        <x:v>EXCLUDE — DATA UNAVAILABLE</x:v>
      </x:c>
      <x:c r="R28" s="18" t="str">
        <x:v>The source does not provide a defensible quantitative value for this analysis.</x:v>
      </x:c>
      <x:c r="S28" s="18" t="str"/>
      <x:c r="T28" s="18" t="str">
        <x:v>Only number of patients receiving rescue tramadol is reported; cumulative dose is unavailable</x:v>
      </x:c>
      <x:c r="U28" s="18" t="str">
        <x:v>https://drive.google.com/file/d/1xQ9SbXVZblphUrb0-T9xpnAXk-_z5nBX/view?usp=drivesdk</x:v>
      </x:c>
    </x:row>
    <x:row r="29">
      <x:c r="A29" s="18" t="str">
        <x:v>Sun 2017</x:v>
      </x:c>
      <x:c r="B29" s="18" t="str">
        <x:v>SUN17_POSTOP_OPIOID24</x:v>
      </x:c>
      <x:c r="C29" s="18" t="str">
        <x:v>True TEAS timing arms</x:v>
      </x:c>
      <x:c r="D29" s="18" t="str">
        <x:v>All-period sham TEAS</x:v>
      </x:c>
      <x:c r="E29" s="18" t="str">
        <x:v>Postoperative opioid consumption</x:v>
      </x:c>
      <x:c r="F29" s="18" t="str">
        <x:v>0-24 h</x:v>
      </x:c>
      <x:c r="G29" s="18" t="str">
        <x:v>Not applicable / not reported</x:v>
      </x:c>
      <x:c r="H29" s="18"/>
      <x:c r="I29" s="18"/>
      <x:c r="J29" s="18"/>
      <x:c r="K29" s="18"/>
      <x:c r="L29" s="18"/>
      <x:c r="M29" s="18"/>
      <x:c r="N29" s="18" t="str">
        <x:v>mg/µg</x:v>
      </x:c>
      <x:c r="O29" s="18" t="str">
        <x:v>No</x:v>
      </x:c>
      <x:c r="P29" s="18" t="str">
        <x:v>No</x:v>
      </x:c>
      <x:c r="Q29" s="18" t="str">
        <x:v>EXCLUDE — NOT PRIMARY 24H OPIOID</x:v>
      </x:c>
      <x:c r="R29" s="18" t="str">
        <x:v>Not a strict 0-24-h postoperative opioid-consumption endpoint.</x:v>
      </x:c>
      <x:c r="S29" s="18" t="str"/>
      <x:c r="T29" s="18" t="str">
        <x:v>Postoperative rescue analgesia was flurbiprofen axetil (NSAID), not an opioid</x:v>
      </x:c>
      <x:c r="U29" s="18" t="str">
        <x:v>https://drive.google.com/file/d/1lELlw0IpkhqoB8OuintAI22fxKfNEcEd/view?usp=drivesdk</x:v>
      </x:c>
    </x:row>
    <x:row r="30">
      <x:c r="A30" s="18" t="str">
        <x:v>Sim 2002</x:v>
      </x:c>
      <x:c r="B30" s="18" t="str">
        <x:v>SIM02_PREOP_vs_PLACEBO_MORPH24</x:v>
      </x:c>
      <x:c r="C30" s="18" t="str">
        <x:v>Preoperative EA</x:v>
      </x:c>
      <x:c r="D30" s="18" t="str">
        <x:v>Placebo EA</x:v>
      </x:c>
      <x:c r="E30" s="18" t="str">
        <x:v>Cumulative postoperative IV PCA morphine</x:v>
      </x:c>
      <x:c r="F30" s="18" t="str">
        <x:v>0-24 h</x:v>
      </x:c>
      <x:c r="G30" s="18" t="str">
        <x:v>Mean/SD</x:v>
      </x:c>
      <x:c r="H30" s="18" t="n">
        <x:v>30</x:v>
      </x:c>
      <x:c r="I30" s="18" t="n">
        <x:v>30</x:v>
      </x:c>
      <x:c r="J30" s="18" t="n">
        <x:v>0.52</x:v>
      </x:c>
      <x:c r="K30" s="18" t="n">
        <x:v>0.19</x:v>
      </x:c>
      <x:c r="L30" s="18" t="n">
        <x:v>0.68</x:v>
      </x:c>
      <x:c r="M30" s="18" t="n">
        <x:v>0.38</x:v>
      </x:c>
      <x:c r="N30" s="18" t="str">
        <x:v>mg/kg morphine</x:v>
      </x:c>
      <x:c r="O30" s="18" t="str">
        <x:v>Yes</x:v>
      </x:c>
      <x:c r="P30" s="18" t="str">
        <x:v>Conditional</x:v>
      </x:c>
      <x:c r="Q30" s="18" t="str">
        <x:v>CONDITIONAL</x:v>
      </x:c>
      <x:c r="R30" s="18" t="str">
        <x:v>24-h opioid endpoint exists but requires a prespecified route/unit/time-window or derived-value rule.</x:v>
      </x:c>
      <x:c r="S30" s="18" t="str"/>
      <x:c r="T30" s="18" t="str">
        <x:v>Do not convert mg/kg to absolute mg using group mean body weight; aggregate means cannot reconstruct individual absolute dose</x:v>
      </x:c>
      <x:c r="U30" s="18" t="str">
        <x:v>https://drive.google.com/file/d/1YsNHL-J3Kgfu8mCanRrNu_bHk_roj0w6/view?usp=drivesdk</x:v>
      </x:c>
    </x:row>
    <x:row r="31">
      <x:c r="A31" s="18" t="str">
        <x:v>Sim 2002</x:v>
      </x:c>
      <x:c r="B31" s="18" t="str">
        <x:v>SIM02_POSTOP_vs_PLACEBO_MORPH24</x:v>
      </x:c>
      <x:c r="C31" s="18" t="str">
        <x:v>Postoperative EA</x:v>
      </x:c>
      <x:c r="D31" s="18" t="str">
        <x:v>Placebo EA</x:v>
      </x:c>
      <x:c r="E31" s="18" t="str">
        <x:v>Cumulative postoperative IV PCA morphine</x:v>
      </x:c>
      <x:c r="F31" s="18" t="str">
        <x:v>0-24 h</x:v>
      </x:c>
      <x:c r="G31" s="18" t="str">
        <x:v>Mean/SD</x:v>
      </x:c>
      <x:c r="H31" s="18" t="n">
        <x:v>30</x:v>
      </x:c>
      <x:c r="I31" s="18" t="n">
        <x:v>30</x:v>
      </x:c>
      <x:c r="J31" s="18" t="n">
        <x:v>0.58</x:v>
      </x:c>
      <x:c r="K31" s="18" t="n">
        <x:v>0.27</x:v>
      </x:c>
      <x:c r="L31" s="18" t="n">
        <x:v>0.68</x:v>
      </x:c>
      <x:c r="M31" s="18" t="n">
        <x:v>0.38</x:v>
      </x:c>
      <x:c r="N31" s="18" t="str">
        <x:v>mg/kg morphine</x:v>
      </x:c>
      <x:c r="O31" s="18" t="str">
        <x:v>Yes</x:v>
      </x:c>
      <x:c r="P31" s="18" t="str">
        <x:v>Conditional</x:v>
      </x:c>
      <x:c r="Q31" s="18" t="str">
        <x:v>CONDITIONAL</x:v>
      </x:c>
      <x:c r="R31" s="18" t="str">
        <x:v>24-h opioid endpoint exists but requires a prespecified route/unit/time-window or derived-value rule.</x:v>
      </x:c>
      <x:c r="S31" s="18" t="str"/>
      <x:c r="T31" s="18" t="str">
        <x:v>Postoperative EA is a distinct randomized timing arm and must not be merged with preoperative EA</x:v>
      </x:c>
      <x:c r="U31" s="18" t="str">
        <x:v>https://drive.google.com/file/d/1YsNHL-J3Kgfu8mCanRrNu_bHk_roj0w6/view?usp=drivesdk</x:v>
      </x:c>
    </x:row>
    <x:row r="32">
      <x:c r="A32" s="18" t="str">
        <x:v>Sim 2002</x:v>
      </x:c>
      <x:c r="B32" s="18" t="str">
        <x:v>SIM02_PREOP_vs_PLACEBO_MORPH6_12</x:v>
      </x:c>
      <x:c r="C32" s="18" t="str">
        <x:v>Preoperative EA</x:v>
      </x:c>
      <x:c r="D32" s="18" t="str">
        <x:v>Placebo EA</x:v>
      </x:c>
      <x:c r="E32" s="18" t="str">
        <x:v>Postoperative IV PCA morphine</x:v>
      </x:c>
      <x:c r="F32" s="18" t="str">
        <x:v>6-12 h</x:v>
      </x:c>
      <x:c r="G32" s="18" t="str">
        <x:v>Median/IQR</x:v>
      </x:c>
      <x:c r="H32" s="18" t="n">
        <x:v>30</x:v>
      </x:c>
      <x:c r="I32" s="18" t="n">
        <x:v>30</x:v>
      </x:c>
      <x:c r="J32" s="18" t="n">
        <x:v>0.03</x:v>
      </x:c>
      <x:c r="K32" s="18" t="str">
        <x:v>None–None</x:v>
      </x:c>
      <x:c r="L32" s="18" t="n">
        <x:v>0.1</x:v>
      </x:c>
      <x:c r="M32" s="18" t="str">
        <x:v>None–None</x:v>
      </x:c>
      <x:c r="N32" s="18" t="str">
        <x:v>mg/kg morphine</x:v>
      </x:c>
      <x:c r="O32" s="18" t="str">
        <x:v>No</x:v>
      </x:c>
      <x:c r="P32" s="18" t="str">
        <x:v>No</x:v>
      </x:c>
      <x:c r="Q32" s="18" t="str">
        <x:v>EXCLUDE — NOT PRIMARY 24H OPIOID</x:v>
      </x:c>
      <x:c r="R32" s="18" t="str">
        <x:v>Not a strict 0-24-h postoperative opioid-consumption endpoint.</x:v>
      </x:c>
      <x:c r="S32" s="18" t="str"/>
      <x:c r="T32" s="18" t="str">
        <x:v>Source reports median (IQR) as 0.03 (0.05) vs 0.10 (0.11); IQR is reported as a single width rather than Q1/Q3</x:v>
      </x:c>
      <x:c r="U32" s="18" t="str">
        <x:v>https://drive.google.com/file/d/1YsNHL-J3Kgfu8mCanRrNu_bHk_roj0w6/view?usp=drivesdk</x:v>
      </x:c>
    </x:row>
    <x:row r="33">
      <x:c r="A33" s="18" t="str">
        <x:v>Ntritsou 2014</x:v>
      </x:c>
      <x:c r="B33" s="18" t="str">
        <x:v>NTRI14_EA_vs_SHAM_TRAMSUM</x:v>
      </x:c>
      <x:c r="C33" s="18" t="str">
        <x:v>Perioperative EA + tramadol/ketamine</x:v>
      </x:c>
      <x:c r="D33" s="18" t="str">
        <x:v>Sham + tramadol/ketamine</x:v>
      </x:c>
      <x:c r="E33" s="18" t="str">
        <x:v>Total tramadol exposure</x:v>
      </x:c>
      <x:c r="F33" s="18" t="str">
        <x:v>Perioperative / first 24 h most consistent with protocol; table does not restate window</x:v>
      </x:c>
      <x:c r="G33" s="18" t="str">
        <x:v>Mean/SD</x:v>
      </x:c>
      <x:c r="H33" s="18" t="n">
        <x:v>35</x:v>
      </x:c>
      <x:c r="I33" s="18" t="n">
        <x:v>35</x:v>
      </x:c>
      <x:c r="J33" s="18" t="n">
        <x:v>443.7</x:v>
      </x:c>
      <x:c r="K33" s="18" t="n">
        <x:v>67.4</x:v>
      </x:c>
      <x:c r="L33" s="18" t="n">
        <x:v>461.5</x:v>
      </x:c>
      <x:c r="M33" s="18" t="n">
        <x:v>63.2</x:v>
      </x:c>
      <x:c r="N33" s="18" t="str">
        <x:v>mg tramadol</x:v>
      </x:c>
      <x:c r="O33" s="18" t="str">
        <x:v>Conditional</x:v>
      </x:c>
      <x:c r="P33" s="18" t="str">
        <x:v>No</x:v>
      </x:c>
      <x:c r="Q33" s="18" t="str">
        <x:v>EXCLUDE — NOT PRIMARY 24H OPIOID</x:v>
      </x:c>
      <x:c r="R33" s="18" t="str">
        <x:v>Not a strict 0-24-h postoperative opioid-consumption endpoint.</x:v>
      </x:c>
      <x:c r="S33" s="18" t="str"/>
      <x:c r="T33" s="18" t="str">
        <x:v>Includes scheduled/background tramadol and likely rescue tramadol; rescue morphine quantity not reported</x:v>
      </x:c>
      <x:c r="U33" s="18" t="str">
        <x:v>https://drive.google.com/file/d/1u_kNuuXF8upB3gJA2aDq8NldYDfhnWy3/view?usp=drivesdk</x:v>
      </x:c>
    </x:row>
    <x:row r="34">
      <x:c r="A34" s="18" t="str">
        <x:v>Ntritsou 2014</x:v>
      </x:c>
      <x:c r="B34" s="18" t="str">
        <x:v>NTRI14_EA_vs_SHAM_MME24</x:v>
      </x:c>
      <x:c r="C34" s="18" t="str">
        <x:v>Perioperative EA + tramadol/ketamine</x:v>
      </x:c>
      <x:c r="D34" s="18" t="str">
        <x:v>Sham + tramadol/ketamine</x:v>
      </x:c>
      <x:c r="E34" s="18" t="str">
        <x:v>Complete 24-h opioid/MME exposure</x:v>
      </x:c>
      <x:c r="F34" s="18" t="str">
        <x:v>0-24 h</x:v>
      </x:c>
      <x:c r="G34" s="18" t="str">
        <x:v>Not calculable</x:v>
      </x:c>
      <x:c r="H34" s="18" t="n">
        <x:v>35</x:v>
      </x:c>
      <x:c r="I34" s="18" t="n">
        <x:v>35</x:v>
      </x:c>
      <x:c r="J34" s="18"/>
      <x:c r="K34" s="18"/>
      <x:c r="L34" s="18"/>
      <x:c r="M34" s="18"/>
      <x:c r="N34" s="18" t="str">
        <x:v>MME</x:v>
      </x:c>
      <x:c r="O34" s="18" t="str">
        <x:v>No</x:v>
      </x:c>
      <x:c r="P34" s="18" t="str">
        <x:v>No</x:v>
      </x:c>
      <x:c r="Q34" s="18" t="str">
        <x:v>EXCLUDE — DATA UNAVAILABLE</x:v>
      </x:c>
      <x:c r="R34" s="18" t="str">
        <x:v>The source does not provide a defensible quantitative value for this analysis.</x:v>
      </x:c>
      <x:c r="S34" s="18" t="str"/>
      <x:c r="T34" s="18" t="str">
        <x:v>Do not equate lower rescue use with significantly lower total opioid exposure</x:v>
      </x:c>
      <x:c r="U34" s="18" t="str">
        <x:v>https://drive.google.com/file/d/1u_kNuuXF8upB3gJA2aDq8NldYDfhnWy3/view?usp=drivesdk</x:v>
      </x:c>
    </x:row>
    <x:row r="35">
      <x:c r="A35" s="18" t="str">
        <x:v>Ng 2013</x:v>
      </x:c>
      <x:c r="B35" s="18" t="str">
        <x:v>NG13_EA_vs_SHAM_OPIOID24</x:v>
      </x:c>
      <x:c r="C35" s="18" t="str">
        <x:v>Electroacupuncture</x:v>
      </x:c>
      <x:c r="D35" s="18" t="str">
        <x:v>Sham acupuncture</x:v>
      </x:c>
      <x:c r="E35" s="18" t="str">
        <x:v>Cumulative pethidine consumption</x:v>
      </x:c>
      <x:c r="F35" s="18" t="str">
        <x:v>0-24 h</x:v>
      </x:c>
      <x:c r="G35" s="18" t="str">
        <x:v>Not reported</x:v>
      </x:c>
      <x:c r="H35" s="18" t="n">
        <x:v>55</x:v>
      </x:c>
      <x:c r="I35" s="18" t="n">
        <x:v>55</x:v>
      </x:c>
      <x:c r="J35" s="18"/>
      <x:c r="K35" s="18"/>
      <x:c r="L35" s="18"/>
      <x:c r="M35" s="18"/>
      <x:c r="N35" s="18" t="str">
        <x:v>mg pethidine</x:v>
      </x:c>
      <x:c r="O35" s="18" t="str">
        <x:v>No</x:v>
      </x:c>
      <x:c r="P35" s="18" t="str">
        <x:v>No</x:v>
      </x:c>
      <x:c r="Q35" s="18" t="str">
        <x:v>EXCLUDE — DATA UNAVAILABLE</x:v>
      </x:c>
      <x:c r="R35" s="18" t="str">
        <x:v>The source does not provide a defensible quantitative value for this analysis.</x:v>
      </x:c>
      <x:c r="S35" s="18" t="str"/>
      <x:c r="T35" s="18" t="str">
        <x:v>Do not multiply injection counts by 50 mg and call it a 24-h dose; source time window/dosing statement is ambiguous</x:v>
      </x:c>
      <x:c r="U35" s="18" t="str">
        <x:v>https://drive.google.com/file/d/1R1zCiyfWvuSp99Hi2U_K1__8kgdi90gd/view?usp=drivesdk</x:v>
      </x:c>
    </x:row>
    <x:row r="36">
      <x:c r="A36" s="18" t="str">
        <x:v>Ma 2026</x:v>
      </x:c>
      <x:c r="B36" s="18" t="str">
        <x:v>MA26_T_vs_S_OPIOID24</x:v>
      </x:c>
      <x:c r="C36" s="18" t="str">
        <x:v>Group T: sleep disturbance + preop TEAS</x:v>
      </x:c>
      <x:c r="D36" s="18" t="str">
        <x:v>Group S: sleep disturbance, no TEAS</x:v>
      </x:c>
      <x:c r="E36" s="18" t="str">
        <x:v>Cumulative postoperative opioid consumption</x:v>
      </x:c>
      <x:c r="F36" s="18" t="str">
        <x:v>0-24 h</x:v>
      </x:c>
      <x:c r="G36" s="18" t="str">
        <x:v>Not reported</x:v>
      </x:c>
      <x:c r="H36" s="18" t="n">
        <x:v>17</x:v>
      </x:c>
      <x:c r="I36" s="18" t="n">
        <x:v>16</x:v>
      </x:c>
      <x:c r="J36" s="18"/>
      <x:c r="K36" s="18"/>
      <x:c r="L36" s="18"/>
      <x:c r="M36" s="18"/>
      <x:c r="N36" s="18" t="str">
        <x:v>mg/µg</x:v>
      </x:c>
      <x:c r="O36" s="18" t="str">
        <x:v>No</x:v>
      </x:c>
      <x:c r="P36" s="18" t="str">
        <x:v>No</x:v>
      </x:c>
      <x:c r="Q36" s="18" t="str">
        <x:v>EXCLUDE — DATA UNAVAILABLE</x:v>
      </x:c>
      <x:c r="R36" s="18" t="str">
        <x:v>The source does not provide a defensible quantitative value for this analysis.</x:v>
      </x:c>
      <x:c r="S36" s="18" t="str"/>
      <x:c r="T36" s="18" t="str">
        <x:v>Routine postoperative analgesia was non-opioid flurbiprofen; whether any postoperative opioid was given is not reported</x:v>
      </x:c>
      <x:c r="U36" s="18" t="str">
        <x:v>https://drive.google.com/file/d/1tMEOwvRWIMeEmBmKfeHEt7YF10yxslUe/view?usp=drivesdk</x:v>
      </x:c>
    </x:row>
    <x:row r="37">
      <x:c r="A37" s="18" t="str">
        <x:v>Lu 2021</x:v>
      </x:c>
      <x:c r="B37" s="18" t="str">
        <x:v>LU21_POSTOP_OPIOID24</x:v>
      </x:c>
      <x:c r="C37" s="18" t="str">
        <x:v>TEAS arms</x:v>
      </x:c>
      <x:c r="D37" s="18" t="str">
        <x:v>Sham/no current</x:v>
      </x:c>
      <x:c r="E37" s="18" t="str">
        <x:v>Cumulative postoperative sufentanil PCA consumption</x:v>
      </x:c>
      <x:c r="F37" s="18" t="str">
        <x:v>0-24 h</x:v>
      </x:c>
      <x:c r="G37" s="18" t="str">
        <x:v>Not reported</x:v>
      </x:c>
      <x:c r="H37" s="18"/>
      <x:c r="I37" s="18"/>
      <x:c r="J37" s="18"/>
      <x:c r="K37" s="18"/>
      <x:c r="L37" s="18"/>
      <x:c r="M37" s="18"/>
      <x:c r="N37" s="18" t="str">
        <x:v>µg sufentanil</x:v>
      </x:c>
      <x:c r="O37" s="18" t="str">
        <x:v>No</x:v>
      </x:c>
      <x:c r="P37" s="18" t="str">
        <x:v>No</x:v>
      </x:c>
      <x:c r="Q37" s="18" t="str">
        <x:v>EXCLUDE — DATA UNAVAILABLE</x:v>
      </x:c>
      <x:c r="R37" s="18" t="str">
        <x:v>The source does not provide a defensible quantitative value for this analysis.</x:v>
      </x:c>
      <x:c r="S37" s="18" t="str"/>
      <x:c r="T37" s="18" t="str">
        <x:v>PCA opioid is sufentanil but prescription and cumulative 24-h consumption are not reported</x:v>
      </x:c>
      <x:c r="U37" s="18" t="str">
        <x:v>https://drive.google.com/file/d/1MgD_OucfiyNEDdDe3osh8W01U1yYZs08/view?usp=drivesdk</x:v>
      </x:c>
    </x:row>
    <x:row r="38">
      <x:c r="A38" s="18" t="str">
        <x:v>Lu 2022</x:v>
      </x:c>
      <x:c r="B38" s="18" t="str">
        <x:v>LU22_TEAS_vs_CTRL_OPIOID24</x:v>
      </x:c>
      <x:c r="C38" s="18" t="str">
        <x:v>TEAS + ERAS</x:v>
      </x:c>
      <x:c r="D38" s="18" t="str">
        <x:v>No-current control + ERAS</x:v>
      </x:c>
      <x:c r="E38" s="18" t="str">
        <x:v>Exact cumulative PCA opioid consumption</x:v>
      </x:c>
      <x:c r="F38" s="18" t="str">
        <x:v>0-24 h</x:v>
      </x:c>
      <x:c r="G38" s="18" t="str">
        <x:v>Not reported</x:v>
      </x:c>
      <x:c r="H38" s="18" t="n">
        <x:v>47</x:v>
      </x:c>
      <x:c r="I38" s="18" t="n">
        <x:v>47</x:v>
      </x:c>
      <x:c r="J38" s="18"/>
      <x:c r="K38" s="18"/>
      <x:c r="L38" s="18"/>
      <x:c r="M38" s="18"/>
      <x:c r="N38" s="18" t="str">
        <x:v>mg/µg</x:v>
      </x:c>
      <x:c r="O38" s="18" t="str">
        <x:v>No</x:v>
      </x:c>
      <x:c r="P38" s="18" t="str">
        <x:v>No</x:v>
      </x:c>
      <x:c r="Q38" s="18" t="str">
        <x:v>EXCLUDE — DATA UNAVAILABLE</x:v>
      </x:c>
      <x:c r="R38" s="18" t="str">
        <x:v>The source does not provide a defensible quantitative value for this analysis.</x:v>
      </x:c>
      <x:c r="S38" s="18" t="str"/>
      <x:c r="T38" s="18" t="str">
        <x:v>The main article never identifies the PCA drug or dose</x:v>
      </x:c>
      <x:c r="U38" s="18" t="str">
        <x:v>https://drive.google.com/file/d/12Y86huNMuLC8cPH-L2vwlEd7r1X1Qela/view?usp=drivesdk</x:v>
      </x:c>
    </x:row>
    <x:row r="39">
      <x:c r="A39" s="18" t="str">
        <x:v>Luo 2026</x:v>
      </x:c>
      <x:c r="B39" s="18" t="str">
        <x:v>LUO26_TEAS_vs_SHAM_OPIOIDEQUIV</x:v>
      </x:c>
      <x:c r="C39" s="18" t="str">
        <x:v>Intraoperative PC6 TEAS + standard antiemetics</x:v>
      </x:c>
      <x:c r="D39" s="18" t="str">
        <x:v>Sham/no current + standard antiemetics</x:v>
      </x:c>
      <x:c r="E39" s="18" t="str">
        <x:v>Published 'sufentanil equivalents' metric</x:v>
      </x:c>
      <x:c r="F39" s="18" t="str">
        <x:v>Perioperative</x:v>
      </x:c>
      <x:c r="G39" s="18" t="str">
        <x:v>Mean/SD</x:v>
      </x:c>
      <x:c r="H39" s="18" t="n">
        <x:v>138</x:v>
      </x:c>
      <x:c r="I39" s="18" t="n">
        <x:v>139</x:v>
      </x:c>
      <x:c r="J39" s="18" t="n">
        <x:v>15.86</x:v>
      </x:c>
      <x:c r="K39" s="18" t="n">
        <x:v>5.11</x:v>
      </x:c>
      <x:c r="L39" s="18" t="n">
        <x:v>15.18</x:v>
      </x:c>
      <x:c r="M39" s="18" t="n">
        <x:v>4.95</x:v>
      </x:c>
      <x:c r="N39" s="18" t="str">
        <x:v>published as mg; definition/unit unresolved</x:v>
      </x:c>
      <x:c r="O39" s="18" t="str">
        <x:v>No</x:v>
      </x:c>
      <x:c r="P39" s="18" t="str">
        <x:v>No</x:v>
      </x:c>
      <x:c r="Q39" s="18" t="str">
        <x:v>CONDITIONAL</x:v>
      </x:c>
      <x:c r="R39" s="18" t="str">
        <x:v>Source value is valid in its native metric but cannot be converted to the target opioid mass/MME without additional information.</x:v>
      </x:c>
      <x:c r="S39" s="18" t="str"/>
      <x:c r="T39" s="18" t="str">
        <x:v>Source labels approximately 15-16 as 'sufentanil equivalents (mg)' without explaining conversion; preserve verbatim</x:v>
      </x:c>
      <x:c r="U39" s="18" t="str">
        <x:v>https://drive.google.com/file/d/1xxZle6mPpcnmHLblJbsy1kA4CyQHpvm2/view?usp=drivesdk</x:v>
      </x:c>
    </x:row>
    <x:row r="40">
      <x:c r="A40" s="18" t="str">
        <x:v>Luo 2026</x:v>
      </x:c>
      <x:c r="B40" s="18" t="str">
        <x:v>LUO26_TEAS_vs_SHAM_OPIOID24</x:v>
      </x:c>
      <x:c r="C40" s="18" t="str">
        <x:v>Intraoperative PC6 TEAS + standard antiemetics</x:v>
      </x:c>
      <x:c r="D40" s="18" t="str">
        <x:v>Sham/no current + standard antiemetics</x:v>
      </x:c>
      <x:c r="E40" s="18" t="str">
        <x:v>Cumulative postoperative oxycodone consumption</x:v>
      </x:c>
      <x:c r="F40" s="18" t="str">
        <x:v>0-24 h</x:v>
      </x:c>
      <x:c r="G40" s="18" t="str">
        <x:v>Not reported</x:v>
      </x:c>
      <x:c r="H40" s="18" t="n">
        <x:v>138</x:v>
      </x:c>
      <x:c r="I40" s="18" t="n">
        <x:v>139</x:v>
      </x:c>
      <x:c r="J40" s="18"/>
      <x:c r="K40" s="18"/>
      <x:c r="L40" s="18"/>
      <x:c r="M40" s="18"/>
      <x:c r="N40" s="18" t="str">
        <x:v>mg oxycodone</x:v>
      </x:c>
      <x:c r="O40" s="18" t="str">
        <x:v>No</x:v>
      </x:c>
      <x:c r="P40" s="18" t="str">
        <x:v>No</x:v>
      </x:c>
      <x:c r="Q40" s="18" t="str">
        <x:v>EXCLUDE — DATA UNAVAILABLE</x:v>
      </x:c>
      <x:c r="R40" s="18" t="str">
        <x:v>The source does not provide a defensible quantitative value for this analysis.</x:v>
      </x:c>
      <x:c r="S40" s="18" t="str"/>
      <x:c r="T40" s="18" t="str">
        <x:v>Postoperative IV oxycodone is described, but schedule and group-specific cumulative 24-h consumption are not reported</x:v>
      </x:c>
      <x:c r="U40" s="18" t="str">
        <x:v>https://drive.google.com/file/d/1xxZle6mPpcnmHLblJbsy1kA4CyQHpvm2/view?usp=drivesdk</x:v>
      </x:c>
    </x:row>
    <x:row r="41">
      <x:c r="A41" s="18" t="str">
        <x:v>Long 2025</x:v>
      </x:c>
      <x:c r="B41" s="18" t="str">
        <x:v>LONG25_TEAS_vs_CTRL_OPIOID24</x:v>
      </x:c>
      <x:c r="C41" s="18" t="str">
        <x:v>Perioperative electrical acupoint stimulation</x:v>
      </x:c>
      <x:c r="D41" s="18" t="str">
        <x:v>Electrodes/no current</x:v>
      </x:c>
      <x:c r="E41" s="18" t="str">
        <x:v>Exact cumulative postoperative sufentanil consumption</x:v>
      </x:c>
      <x:c r="F41" s="18" t="str">
        <x:v>0-24 h</x:v>
      </x:c>
      <x:c r="G41" s="18" t="str">
        <x:v>Not reported</x:v>
      </x:c>
      <x:c r="H41" s="18" t="n">
        <x:v>27</x:v>
      </x:c>
      <x:c r="I41" s="18" t="n">
        <x:v>26</x:v>
      </x:c>
      <x:c r="J41" s="18"/>
      <x:c r="K41" s="18"/>
      <x:c r="L41" s="18"/>
      <x:c r="M41" s="18"/>
      <x:c r="N41" s="18" t="str">
        <x:v>µg sufentanil</x:v>
      </x:c>
      <x:c r="O41" s="18" t="str">
        <x:v>No</x:v>
      </x:c>
      <x:c r="P41" s="18" t="str">
        <x:v>No</x:v>
      </x:c>
      <x:c r="Q41" s="18" t="str">
        <x:v>EXCLUDE — DATA UNAVAILABLE</x:v>
      </x:c>
      <x:c r="R41" s="18" t="str">
        <x:v>The source does not provide a defensible quantitative value for this analysis.</x:v>
      </x:c>
      <x:c r="S41" s="18" t="str"/>
      <x:c r="T41" s="18" t="str">
        <x:v>24-h PCIA volume/compressions are not reported; even 48-h volume cannot be converted exactly to sufentanil mass without body weight</x:v>
      </x:c>
      <x:c r="U41" s="18" t="str">
        <x:v>https://drive.google.com/file/d/1LDqtQLq9-kZLP0Vv_G3iiK8QKjy4pRXP/view?usp=drivesdk</x:v>
      </x:c>
    </x:row>
    <x:row r="42">
      <x:c r="A42" s="18" t="str">
        <x:v>Li 2021</x:v>
      </x:c>
      <x:c r="B42" s="18" t="str">
        <x:v>LI21_TEAS_vs_SHAM_OPIOID24</x:v>
      </x:c>
      <x:c r="C42" s="18" t="str">
        <x:v>Perioperative TEAS</x:v>
      </x:c>
      <x:c r="D42" s="18" t="str">
        <x:v>Sham-point/no current</x:v>
      </x:c>
      <x:c r="E42" s="18" t="str">
        <x:v>Cumulative postoperative sufentanil consumption</x:v>
      </x:c>
      <x:c r="F42" s="18" t="str">
        <x:v>0-24 h</x:v>
      </x:c>
      <x:c r="G42" s="18" t="str">
        <x:v>Not reported</x:v>
      </x:c>
      <x:c r="H42" s="18" t="n">
        <x:v>140</x:v>
      </x:c>
      <x:c r="I42" s="18" t="n">
        <x:v>140</x:v>
      </x:c>
      <x:c r="J42" s="18"/>
      <x:c r="K42" s="18"/>
      <x:c r="L42" s="18"/>
      <x:c r="M42" s="18"/>
      <x:c r="N42" s="18" t="str">
        <x:v>published pump formulation says 250 mg sufentanil/250 mL</x:v>
      </x:c>
      <x:c r="O42" s="18" t="str">
        <x:v>No</x:v>
      </x:c>
      <x:c r="P42" s="18" t="str">
        <x:v>No</x:v>
      </x:c>
      <x:c r="Q42" s="18" t="str">
        <x:v>EXCLUDE — DATA UNAVAILABLE</x:v>
      </x:c>
      <x:c r="R42" s="18" t="str">
        <x:v>The source does not provide a defensible quantitative value for this analysis.</x:v>
      </x:c>
      <x:c r="S42" s="18" t="str"/>
      <x:c r="T42" s="18" t="str">
        <x:v>Printed pump unit is clinically implausible, programming is missing, and actual 24-h delivered dose is not reported; do not silently change mg to µg</x:v>
      </x:c>
      <x:c r="U42" s="18" t="str">
        <x:v>https://drive.google.com/file/d/1NvcLlsb17N6EMhtHs_L_WBnf40wsrtRz/view?usp=drivesdk</x:v>
      </x:c>
    </x:row>
    <x:row r="43">
      <x:c r="A43" s="18" t="str">
        <x:v>Liu 2026 (ESD)</x:v>
      </x:c>
      <x:c r="B43" s="18" t="str">
        <x:v>LIU26ESD_TEAS_vs_SHAM_MORPH24</x:v>
      </x:c>
      <x:c r="C43" s="18" t="str">
        <x:v>Perioperative TEAS</x:v>
      </x:c>
      <x:c r="D43" s="18" t="str">
        <x:v>Sham-point/no current</x:v>
      </x:c>
      <x:c r="E43" s="18" t="str">
        <x:v>Cumulative postoperative morphine consumption</x:v>
      </x:c>
      <x:c r="F43" s="18" t="str">
        <x:v>0-24 h</x:v>
      </x:c>
      <x:c r="G43" s="18" t="str">
        <x:v>Not reported</x:v>
      </x:c>
      <x:c r="H43" s="18" t="n">
        <x:v>58</x:v>
      </x:c>
      <x:c r="I43" s="18" t="n">
        <x:v>62</x:v>
      </x:c>
      <x:c r="J43" s="18"/>
      <x:c r="K43" s="18"/>
      <x:c r="L43" s="18"/>
      <x:c r="M43" s="18"/>
      <x:c r="N43" s="18" t="str">
        <x:v>mg IV morphine</x:v>
      </x:c>
      <x:c r="O43" s="18" t="str">
        <x:v>No</x:v>
      </x:c>
      <x:c r="P43" s="18" t="str">
        <x:v>No</x:v>
      </x:c>
      <x:c r="Q43" s="18" t="str">
        <x:v>EXCLUDE — DATA UNAVAILABLE</x:v>
      </x:c>
      <x:c r="R43" s="18" t="str">
        <x:v>The source does not provide a defensible quantitative value for this analysis.</x:v>
      </x:c>
      <x:c r="S43" s="18" t="str"/>
      <x:c r="T43" s="18" t="str">
        <x:v>Binary morphine use is reported, but administration counts and cumulative dose are not</x:v>
      </x:c>
      <x:c r="U43" s="18" t="str">
        <x:v>https://drive.google.com/file/d/1Hp7pCBP8iXkGGYVhlFY0BHTeaaM7bhdY/view?usp=drivesdk</x:v>
      </x:c>
    </x:row>
    <x:row r="44">
      <x:c r="A44" s="18" t="str">
        <x:v>Liu 2021</x:v>
      </x:c>
      <x:c r="B44" s="18" t="str">
        <x:v>LIU21_TEAS_vs_CTRL_OPIOID24</x:v>
      </x:c>
      <x:c r="C44" s="18" t="str">
        <x:v>Perioperative TEAS</x:v>
      </x:c>
      <x:c r="D44" s="18" t="str">
        <x:v>Electrodes/no current</x:v>
      </x:c>
      <x:c r="E44" s="18" t="str">
        <x:v>Cumulative postoperative sufentanil consumption</x:v>
      </x:c>
      <x:c r="F44" s="18" t="str">
        <x:v>0-24 h</x:v>
      </x:c>
      <x:c r="G44" s="18" t="str">
        <x:v>Not calculable</x:v>
      </x:c>
      <x:c r="H44" s="18" t="n">
        <x:v>50</x:v>
      </x:c>
      <x:c r="I44" s="18" t="n">
        <x:v>50</x:v>
      </x:c>
      <x:c r="J44" s="18"/>
      <x:c r="K44" s="18"/>
      <x:c r="L44" s="18"/>
      <x:c r="M44" s="18"/>
      <x:c r="N44" s="18" t="str">
        <x:v>published formulation 0.15 µg/kg in 100 mL</x:v>
      </x:c>
      <x:c r="O44" s="18" t="str">
        <x:v>No</x:v>
      </x:c>
      <x:c r="P44" s="18" t="str">
        <x:v>No</x:v>
      </x:c>
      <x:c r="Q44" s="18" t="str">
        <x:v>EXCLUDE — DATA UNAVAILABLE</x:v>
      </x:c>
      <x:c r="R44" s="18" t="str">
        <x:v>The source does not provide a defensible quantitative value for this analysis.</x:v>
      </x:c>
      <x:c r="S44" s="18" t="str"/>
      <x:c r="T44" s="18" t="str">
        <x:v>Published PCA formulation is ambiguous/implausibly low, successful delivered boluses are not reported, and actual cumulative sufentanil is unavailable</x:v>
      </x:c>
      <x:c r="U44" s="18" t="str">
        <x:v>https://drive.google.com/file/d/1TA4BstaUWY3EdQbDNEvvGxF35ekGanrm/view?usp=drivesdk</x:v>
      </x:c>
    </x:row>
    <x:row r="45">
      <x:c r="A45" s="18" t="str">
        <x:v>Liu 2026 (burn)</x:v>
      </x:c>
      <x:c r="B45" s="18" t="str">
        <x:v>LIU26BURN_TEAS_vs_SHAM_OPIOID24</x:v>
      </x:c>
      <x:c r="C45" s="18" t="str">
        <x:v>Pre-induction TEAS</x:v>
      </x:c>
      <x:c r="D45" s="18" t="str">
        <x:v>Placebo/sham TEAS</x:v>
      </x:c>
      <x:c r="E45" s="18" t="str">
        <x:v>Complete postoperative opioid/MME exposure</x:v>
      </x:c>
      <x:c r="F45" s="18" t="str">
        <x:v>0-24 h</x:v>
      </x:c>
      <x:c r="G45" s="18" t="str">
        <x:v>Not calculable</x:v>
      </x:c>
      <x:c r="H45" s="18" t="n">
        <x:v>43</x:v>
      </x:c>
      <x:c r="I45" s="18" t="n">
        <x:v>43</x:v>
      </x:c>
      <x:c r="J45" s="18"/>
      <x:c r="K45" s="18"/>
      <x:c r="L45" s="18"/>
      <x:c r="M45" s="18"/>
      <x:c r="N45" s="18" t="str">
        <x:v>sufentanil + butorphanol PCIA; rescue dezocine</x:v>
      </x:c>
      <x:c r="O45" s="18" t="str">
        <x:v>No</x:v>
      </x:c>
      <x:c r="P45" s="18" t="str">
        <x:v>No</x:v>
      </x:c>
      <x:c r="Q45" s="18" t="str">
        <x:v>EXCLUDE — DATA UNAVAILABLE</x:v>
      </x:c>
      <x:c r="R45" s="18" t="str">
        <x:v>The source does not provide a defensible quantitative value for this analysis.</x:v>
      </x:c>
      <x:c r="S45" s="18" t="str"/>
      <x:c r="T45" s="18" t="str">
        <x:v>PCIA composition is known but bolus volume, basal rate, delivered-volume and successful-delivery counts are not; two opioids are present in the pump</x:v>
      </x:c>
      <x:c r="U45" s="18" t="str">
        <x:v>https://drive.google.com/file/d/1mvekGtHD2JAKCRbIXrvLw1Nz7hbQ1dZ3/view?usp=drivesdk</x:v>
      </x:c>
    </x:row>
    <x:row r="46">
      <x:c r="A46" s="18" t="str">
        <x:v>Liu 2025</x:v>
      </x:c>
      <x:c r="B46" s="18" t="str">
        <x:v>LIU25_EA_vs_CTRL_OPIOID24</x:v>
      </x:c>
      <x:c r="C46" s="18" t="str">
        <x:v>Perioperative electroacupuncture</x:v>
      </x:c>
      <x:c r="D46" s="18" t="str">
        <x:v>Control/sham procedure</x:v>
      </x:c>
      <x:c r="E46" s="18" t="str">
        <x:v>Exact cumulative postoperative opioid consumption</x:v>
      </x:c>
      <x:c r="F46" s="18" t="str">
        <x:v>0-24 h</x:v>
      </x:c>
      <x:c r="G46" s="18" t="str">
        <x:v>Not reported</x:v>
      </x:c>
      <x:c r="H46" s="18" t="n">
        <x:v>38</x:v>
      </x:c>
      <x:c r="I46" s="18" t="n">
        <x:v>39</x:v>
      </x:c>
      <x:c r="J46" s="18"/>
      <x:c r="K46" s="18"/>
      <x:c r="L46" s="18"/>
      <x:c r="M46" s="18"/>
      <x:c r="N46" s="18" t="str">
        <x:v>mg/µg</x:v>
      </x:c>
      <x:c r="O46" s="18" t="str">
        <x:v>No</x:v>
      </x:c>
      <x:c r="P46" s="18" t="str">
        <x:v>No</x:v>
      </x:c>
      <x:c r="Q46" s="18" t="str">
        <x:v>EXCLUDE — DATA UNAVAILABLE</x:v>
      </x:c>
      <x:c r="R46" s="18" t="str">
        <x:v>The source does not provide a defensible quantitative value for this analysis.</x:v>
      </x:c>
      <x:c r="S46" s="18" t="str"/>
      <x:c r="T46" s="18" t="str">
        <x:v>No source-grounded exact 0-24-h postoperative opioid total is available in the reconciled extraction</x:v>
      </x:c>
      <x:c r="U46" s="18" t="str">
        <x:v>https://drive.google.com/file/d/1SHBSKFaeE4G3PXTGVMm7TR8L0H9EgtsD/view?usp=drivesdk</x:v>
      </x:c>
    </x:row>
    <x:row r="47">
      <x:c r="A47" s="18" t="str">
        <x:v>Li 2022</x:v>
      </x:c>
      <x:c r="B47" s="18" t="str">
        <x:v>LI22_EA_vs_SHAM_OPIOID24</x:v>
      </x:c>
      <x:c r="C47" s="18" t="str">
        <x:v>Preoperative electroacupuncture</x:v>
      </x:c>
      <x:c r="D47" s="18" t="str">
        <x:v>Sham electroacupuncture</x:v>
      </x:c>
      <x:c r="E47" s="18" t="str">
        <x:v>Exact cumulative postoperative opioid consumption</x:v>
      </x:c>
      <x:c r="F47" s="18" t="str">
        <x:v>0-24 h</x:v>
      </x:c>
      <x:c r="G47" s="18" t="str">
        <x:v>Not reported</x:v>
      </x:c>
      <x:c r="H47" s="18" t="n">
        <x:v>39</x:v>
      </x:c>
      <x:c r="I47" s="18" t="n">
        <x:v>40</x:v>
      </x:c>
      <x:c r="J47" s="18"/>
      <x:c r="K47" s="18"/>
      <x:c r="L47" s="18"/>
      <x:c r="M47" s="18"/>
      <x:c r="N47" s="18" t="str">
        <x:v>mg/µg</x:v>
      </x:c>
      <x:c r="O47" s="18" t="str">
        <x:v>No</x:v>
      </x:c>
      <x:c r="P47" s="18" t="str">
        <x:v>No</x:v>
      </x:c>
      <x:c r="Q47" s="18" t="str">
        <x:v>EXCLUDE — DATA UNAVAILABLE</x:v>
      </x:c>
      <x:c r="R47" s="18" t="str">
        <x:v>The source does not provide a defensible quantitative value for this analysis.</x:v>
      </x:c>
      <x:c r="S47" s="18" t="str"/>
      <x:c r="T47" s="18" t="str">
        <x:v>The prior derivative's 24-h sufentanil result was fabricated; no source-grounded exact 24-h postoperative opioid total is available</x:v>
      </x:c>
      <x:c r="U47" s="18" t="str">
        <x:v>https://drive.google.com/file/d/1rQTrwnCvj72poJrGGvYjpxSZXvUhSD0u/view?usp=drivesdk</x:v>
      </x:c>
    </x:row>
    <x:row r="48">
      <x:c r="A48" s="18" t="str">
        <x:v>Liang 2021</x:v>
      </x:c>
      <x:c r="B48" s="18" t="str">
        <x:v>LIANG21_TEAS_vs_CTRL_OPIOID24</x:v>
      </x:c>
      <x:c r="C48" s="18" t="str">
        <x:v>Preoperative TEAS</x:v>
      </x:c>
      <x:c r="D48" s="18" t="str">
        <x:v>Control/no stimulation</x:v>
      </x:c>
      <x:c r="E48" s="18" t="str">
        <x:v>Exact cumulative postoperative opioid consumption</x:v>
      </x:c>
      <x:c r="F48" s="18" t="str">
        <x:v>0-24 h</x:v>
      </x:c>
      <x:c r="G48" s="18" t="str">
        <x:v>Not reported</x:v>
      </x:c>
      <x:c r="H48" s="18" t="n">
        <x:v>35</x:v>
      </x:c>
      <x:c r="I48" s="18" t="n">
        <x:v>35</x:v>
      </x:c>
      <x:c r="J48" s="18"/>
      <x:c r="K48" s="18"/>
      <x:c r="L48" s="18"/>
      <x:c r="M48" s="18"/>
      <x:c r="N48" s="18" t="str">
        <x:v>mg/µg</x:v>
      </x:c>
      <x:c r="O48" s="18" t="str">
        <x:v>No</x:v>
      </x:c>
      <x:c r="P48" s="18" t="str">
        <x:v>No</x:v>
      </x:c>
      <x:c r="Q48" s="18" t="str">
        <x:v>EXCLUDE — DATA UNAVAILABLE</x:v>
      </x:c>
      <x:c r="R48" s="18" t="str">
        <x:v>The source does not provide a defensible quantitative value for this analysis.</x:v>
      </x:c>
      <x:c r="S48" s="18" t="str"/>
      <x:c r="T48" s="18" t="str">
        <x:v>The source trial focuses on CRBD; no source-grounded exact cumulative 24-h opioid endpoint is available</x:v>
      </x:c>
      <x:c r="U48" s="18" t="str">
        <x:v>https://drive.google.com/file/d/1guriAcqNbJNXpfd_UjYwevULLVSeiHXS/view?usp=drivesdk</x:v>
      </x:c>
    </x:row>
    <x:row r="49">
      <x:c r="A49" s="18" t="str">
        <x:v>Jin 2023</x:v>
      </x:c>
      <x:c r="B49" s="18" t="str">
        <x:v>JIN23_2HZ_vs_SHAM_VOL24</x:v>
      </x:c>
      <x:c r="C49" s="18" t="str">
        <x:v>2-Hz postoperative EA</x:v>
      </x:c>
      <x:c r="D49" s="18" t="str">
        <x:v>Sham nonpenetrating EA/no current</x:v>
      </x:c>
      <x:c r="E49" s="18" t="str">
        <x:v>Published 'fentanyl consumption' / PCIA solution volume</x:v>
      </x:c>
      <x:c r="F49" s="18" t="str">
        <x:v>24 h</x:v>
      </x:c>
      <x:c r="G49" s="18" t="str">
        <x:v>Mean/SD</x:v>
      </x:c>
      <x:c r="H49" s="18" t="n">
        <x:v>53</x:v>
      </x:c>
      <x:c r="I49" s="18" t="n">
        <x:v>52</x:v>
      </x:c>
      <x:c r="J49" s="18" t="n">
        <x:v>39.31</x:v>
      </x:c>
      <x:c r="K49" s="18" t="n">
        <x:v>15.58</x:v>
      </x:c>
      <x:c r="L49" s="18" t="n">
        <x:v>56.54</x:v>
      </x:c>
      <x:c r="M49" s="18" t="n">
        <x:v>12.5</x:v>
      </x:c>
      <x:c r="N49" s="18" t="str">
        <x:v>mL PCIA solution</x:v>
      </x:c>
      <x:c r="O49" s="18" t="str">
        <x:v>Yes</x:v>
      </x:c>
      <x:c r="P49" s="18" t="str">
        <x:v>No</x:v>
      </x:c>
      <x:c r="Q49" s="18" t="str">
        <x:v>CONDITIONAL</x:v>
      </x:c>
      <x:c r="R49" s="18" t="str">
        <x:v>Source value is valid in its native metric but cannot be converted to the target opioid mass/MME without additional information.</x:v>
      </x:c>
      <x:c r="S49" s="18" t="str"/>
      <x:c r="T49" s="18" t="str">
        <x:v>Main article does not report fentanyl concentration. Do not convert mL to µg/mg/MME. 2-Hz vs 20/100-Hz inferential statistics conflict between table and prose</x:v>
      </x:c>
      <x:c r="U49" s="18" t="str">
        <x:v>https://drive.google.com/file/d/1fkNAFra0gZ9jkWkzp_S0TWy-5zVrXCtj/view?usp=drivesdk</x:v>
      </x:c>
    </x:row>
    <x:row r="50">
      <x:c r="A50" s="18" t="str">
        <x:v>Jin 2023</x:v>
      </x:c>
      <x:c r="B50" s="18" t="str">
        <x:v>JIN23_20100_vs_SHAM_VOL24</x:v>
      </x:c>
      <x:c r="C50" s="18" t="str">
        <x:v>20/100-Hz postoperative EA</x:v>
      </x:c>
      <x:c r="D50" s="18" t="str">
        <x:v>Sham nonpenetrating EA/no current</x:v>
      </x:c>
      <x:c r="E50" s="18" t="str">
        <x:v>Published 'fentanyl consumption' / PCIA solution volume</x:v>
      </x:c>
      <x:c r="F50" s="18" t="str">
        <x:v>24 h</x:v>
      </x:c>
      <x:c r="G50" s="18" t="str">
        <x:v>Mean/SD</x:v>
      </x:c>
      <x:c r="H50" s="18" t="n">
        <x:v>53</x:v>
      </x:c>
      <x:c r="I50" s="18" t="n">
        <x:v>52</x:v>
      </x:c>
      <x:c r="J50" s="18" t="n">
        <x:v>45.72</x:v>
      </x:c>
      <x:c r="K50" s="18" t="n">
        <x:v>16.92</x:v>
      </x:c>
      <x:c r="L50" s="18" t="n">
        <x:v>56.54</x:v>
      </x:c>
      <x:c r="M50" s="18" t="n">
        <x:v>12.5</x:v>
      </x:c>
      <x:c r="N50" s="18" t="str">
        <x:v>mL PCIA solution</x:v>
      </x:c>
      <x:c r="O50" s="18" t="str">
        <x:v>Yes</x:v>
      </x:c>
      <x:c r="P50" s="18" t="str">
        <x:v>No</x:v>
      </x:c>
      <x:c r="Q50" s="18" t="str">
        <x:v>CONDITIONAL</x:v>
      </x:c>
      <x:c r="R50" s="18" t="str">
        <x:v>Source value is valid in its native metric but cannot be converted to the target opioid mass/MME without additional information.</x:v>
      </x:c>
      <x:c r="S50" s="18" t="str"/>
      <x:c r="T50" s="18" t="str">
        <x:v>Main article does not report fentanyl concentration. Do not convert mL to µg/mg/MME. 2-Hz vs 20/100-Hz inferential statistics conflict between table and prose</x:v>
      </x:c>
      <x:c r="U50" s="18" t="str">
        <x:v>https://drive.google.com/file/d/1fkNAFra0gZ9jkWkzp_S0TWy-5zVrXCtj/view?usp=drivesdk</x:v>
      </x:c>
    </x:row>
    <x:row r="51">
      <x:c r="A51" s="18" t="str">
        <x:v>Jin 2023</x:v>
      </x:c>
      <x:c r="B51" s="18" t="str">
        <x:v>JIN23_OPIOID24_MASS</x:v>
      </x:c>
      <x:c r="C51" s="18" t="str">
        <x:v>Active EA arms</x:v>
      </x:c>
      <x:c r="D51" s="18" t="str">
        <x:v>Sham nonpenetrating EA/no current</x:v>
      </x:c>
      <x:c r="E51" s="18" t="str">
        <x:v>Exact cumulative fentanyl mass / MME</x:v>
      </x:c>
      <x:c r="F51" s="18" t="str">
        <x:v>0-24 h</x:v>
      </x:c>
      <x:c r="G51" s="18" t="str">
        <x:v>Not calculable</x:v>
      </x:c>
      <x:c r="H51" s="18"/>
      <x:c r="I51" s="18"/>
      <x:c r="J51" s="18"/>
      <x:c r="K51" s="18"/>
      <x:c r="L51" s="18"/>
      <x:c r="M51" s="18"/>
      <x:c r="N51" s="18" t="str">
        <x:v>µg fentanyl / MME</x:v>
      </x:c>
      <x:c r="O51" s="18" t="str">
        <x:v>Yes</x:v>
      </x:c>
      <x:c r="P51" s="18" t="str">
        <x:v>No</x:v>
      </x:c>
      <x:c r="Q51" s="18" t="str">
        <x:v>EXCLUDE — DATA UNAVAILABLE</x:v>
      </x:c>
      <x:c r="R51" s="18" t="str">
        <x:v>The source does not provide a defensible quantitative value for this analysis.</x:v>
      </x:c>
      <x:c r="S51" s="18" t="str"/>
      <x:c r="T51" s="18" t="str">
        <x:v>Only mL of solution are reported in the main article</x:v>
      </x:c>
      <x:c r="U51" s="18" t="str">
        <x:v>https://drive.google.com/file/d/1fkNAFra0gZ9jkWkzp_S0TWy-5zVrXCtj/view?usp=drivesdk</x:v>
      </x:c>
    </x:row>
    <x:row r="52">
      <x:c r="A52" s="18" t="str">
        <x:v>Jiang 2026</x:v>
      </x:c>
      <x:c r="B52" s="18" t="str">
        <x:v>JIANG26_TEAS_vs_SHAM_OPIOID24</x:v>
      </x:c>
      <x:c r="C52" s="18" t="str">
        <x:v>Perioperative TEAS</x:v>
      </x:c>
      <x:c r="D52" s="18" t="str">
        <x:v>Sham/no current</x:v>
      </x:c>
      <x:c r="E52" s="18" t="str">
        <x:v>Exact cumulative postoperative opioid consumption</x:v>
      </x:c>
      <x:c r="F52" s="18" t="str">
        <x:v>0-24 h</x:v>
      </x:c>
      <x:c r="G52" s="18" t="str">
        <x:v>Not reported</x:v>
      </x:c>
      <x:c r="H52" s="18" t="n">
        <x:v>294</x:v>
      </x:c>
      <x:c r="I52" s="18" t="n">
        <x:v>293</x:v>
      </x:c>
      <x:c r="J52" s="18"/>
      <x:c r="K52" s="18"/>
      <x:c r="L52" s="18"/>
      <x:c r="M52" s="18"/>
      <x:c r="N52" s="18" t="str">
        <x:v>mg/µg</x:v>
      </x:c>
      <x:c r="O52" s="18" t="str">
        <x:v>No</x:v>
      </x:c>
      <x:c r="P52" s="18" t="str">
        <x:v>No</x:v>
      </x:c>
      <x:c r="Q52" s="18" t="str">
        <x:v>EXCLUDE — DATA UNAVAILABLE</x:v>
      </x:c>
      <x:c r="R52" s="18" t="str">
        <x:v>The source does not provide a defensible quantitative value for this analysis.</x:v>
      </x:c>
      <x:c r="S52" s="18" t="str"/>
      <x:c r="T52" s="18" t="str">
        <x:v>PCIA use is reported but exact group-specific postoperative dose is not</x:v>
      </x:c>
      <x:c r="U52" s="18" t="str">
        <x:v>https://drive.google.com/file/d/1nujlP9A_IMWUfd3HdCD2rOxTc9-I8v92/view?usp=drivesdk</x:v>
      </x:c>
    </x:row>
    <x:row r="53">
      <x:c r="A53" s="18" t="str">
        <x:v>Huang 2025</x:v>
      </x:c>
      <x:c r="B53" s="18" t="str">
        <x:v>HUANG25_EA_vs_UC_OPIOID24</x:v>
      </x:c>
      <x:c r="C53" s="18" t="str">
        <x:v>Postoperative EA + ERAS</x:v>
      </x:c>
      <x:c r="D53" s="18" t="str">
        <x:v>ERAS/standard care</x:v>
      </x:c>
      <x:c r="E53" s="18" t="str">
        <x:v>Exact cumulative postoperative opioid consumption</x:v>
      </x:c>
      <x:c r="F53" s="18" t="str">
        <x:v>0-24 h</x:v>
      </x:c>
      <x:c r="G53" s="18" t="str">
        <x:v>Not reported</x:v>
      </x:c>
      <x:c r="H53" s="18" t="n">
        <x:v>43</x:v>
      </x:c>
      <x:c r="I53" s="18" t="n">
        <x:v>45</x:v>
      </x:c>
      <x:c r="J53" s="18"/>
      <x:c r="K53" s="18"/>
      <x:c r="L53" s="18"/>
      <x:c r="M53" s="18"/>
      <x:c r="N53" s="18" t="str">
        <x:v>mg/µg</x:v>
      </x:c>
      <x:c r="O53" s="18" t="str">
        <x:v>No</x:v>
      </x:c>
      <x:c r="P53" s="18" t="str">
        <x:v>No</x:v>
      </x:c>
      <x:c r="Q53" s="18" t="str">
        <x:v>EXCLUDE — DATA UNAVAILABLE</x:v>
      </x:c>
      <x:c r="R53" s="18" t="str">
        <x:v>The source does not provide a defensible quantitative value for this analysis.</x:v>
      </x:c>
      <x:c r="S53" s="18" t="str"/>
      <x:c r="T53" s="18" t="str">
        <x:v>PCA drug/composition and consumption are not reported; rescue analgesia was ketorolac, a non-opioid NSAID</x:v>
      </x:c>
      <x:c r="U53" s="18" t="str">
        <x:v>https://drive.google.com/file/d/1VnJCbIPz8Uy1kXYCTKk7l9Zqj-rTECrY/view?usp=drivesdk</x:v>
      </x:c>
    </x:row>
    <x:row r="54">
      <x:c r="A54" s="18" t="str">
        <x:v>Huang 2024</x:v>
      </x:c>
      <x:c r="B54" s="18" t="str">
        <x:v>HUANG24_OPIOID24</x:v>
      </x:c>
      <x:c r="C54" s="18" t="str">
        <x:v>True-EA arms</x:v>
      </x:c>
      <x:c r="D54" s="18" t="str">
        <x:v>Bilateral sham EA</x:v>
      </x:c>
      <x:c r="E54" s="18" t="str">
        <x:v>Exact cumulative postoperative opioid dose</x:v>
      </x:c>
      <x:c r="F54" s="18" t="str">
        <x:v>0-24 h</x:v>
      </x:c>
      <x:c r="G54" s="18" t="str">
        <x:v>Not calculable</x:v>
      </x:c>
      <x:c r="H54" s="18" t="n">
        <x:v>38</x:v>
      </x:c>
      <x:c r="I54" s="18" t="n">
        <x:v>38</x:v>
      </x:c>
      <x:c r="J54" s="18"/>
      <x:c r="K54" s="18"/>
      <x:c r="L54" s="18"/>
      <x:c r="M54" s="18"/>
      <x:c r="N54" s="18" t="str">
        <x:v>MME</x:v>
      </x:c>
      <x:c r="O54" s="18" t="str">
        <x:v>No</x:v>
      </x:c>
      <x:c r="P54" s="18" t="str">
        <x:v>No</x:v>
      </x:c>
      <x:c r="Q54" s="18" t="str">
        <x:v>EXCLUDE — DATA UNAVAILABLE</x:v>
      </x:c>
      <x:c r="R54" s="18" t="str">
        <x:v>The source does not provide a defensible quantitative value for this analysis.</x:v>
      </x:c>
      <x:c r="S54" s="18" t="str"/>
      <x:c r="T54" s="18" t="str">
        <x:v>PCA drug identity/composition, bolus dose and exact 24-h-after-surgery exposure are unavailable</x:v>
      </x:c>
      <x:c r="U54" s="18" t="str">
        <x:v>https://drive.google.com/file/d/1z-76QoxqmtMRV32wOpem7jAyDnuD6fb8/view?usp=drivesdk</x:v>
      </x:c>
    </x:row>
    <x:row r="55">
      <x:c r="A55" s="18" t="str">
        <x:v>Hou 2023</x:v>
      </x:c>
      <x:c r="B55" s="18" t="str">
        <x:v>HOU23_TEAS_vs_SHAM_OPIOID24</x:v>
      </x:c>
      <x:c r="C55" s="18" t="str">
        <x:v>Perioperative TEAS</x:v>
      </x:c>
      <x:c r="D55" s="18" t="str">
        <x:v>Sham/no-current TEAS</x:v>
      </x:c>
      <x:c r="E55" s="18" t="str">
        <x:v>Actual total postoperative sufentanil consumption</x:v>
      </x:c>
      <x:c r="F55" s="18" t="str">
        <x:v>0-24 h</x:v>
      </x:c>
      <x:c r="G55" s="18" t="str">
        <x:v>Not reported</x:v>
      </x:c>
      <x:c r="H55" s="18" t="n">
        <x:v>36</x:v>
      </x:c>
      <x:c r="I55" s="18" t="n">
        <x:v>36</x:v>
      </x:c>
      <x:c r="J55" s="18"/>
      <x:c r="K55" s="18"/>
      <x:c r="L55" s="18"/>
      <x:c r="M55" s="18"/>
      <x:c r="N55" s="18" t="str">
        <x:v>µg sufentanil</x:v>
      </x:c>
      <x:c r="O55" s="18" t="str">
        <x:v>Yes</x:v>
      </x:c>
      <x:c r="P55" s="18" t="str">
        <x:v>No</x:v>
      </x:c>
      <x:c r="Q55" s="18" t="str">
        <x:v>EXCLUDE — DATA UNAVAILABLE</x:v>
      </x:c>
      <x:c r="R55" s="18" t="str">
        <x:v>The source does not provide a defensible quantitative value for this analysis.</x:v>
      </x:c>
      <x:c r="S55" s="18" t="str"/>
      <x:c r="T55" s="18" t="str">
        <x:v>PCIA concentration and basal/bolus settings are known, but actual bolus use/total delivered sufentanil are not reported; fixed basal exposure is not total consumption</x:v>
      </x:c>
      <x:c r="U55" s="18" t="str">
        <x:v>https://drive.google.com/file/d/161WdTRehgwvDHvQ8OkRf8U9TbUmVQgaR/view?usp=drivesdk</x:v>
      </x:c>
    </x:row>
    <x:row r="56">
      <x:c r="A56" s="18" t="str">
        <x:v>Huang 2017</x:v>
      </x:c>
      <x:c r="B56" s="18" t="str">
        <x:v>HUANG17_POSTOP_SUF_AGG</x:v>
      </x:c>
      <x:c r="C56" s="18" t="str">
        <x:v>2/100-Hz TEAS</x:v>
      </x:c>
      <x:c r="D56" s="18" t="str">
        <x:v>Placebo TEAS/no current</x:v>
      </x:c>
      <x:c r="E56" s="18" t="str">
        <x:v>Published postoperative sufentanil aggregate</x:v>
      </x:c>
      <x:c r="F56" s="18" t="str">
        <x:v>Observation window unclear</x:v>
      </x:c>
      <x:c r="G56" s="18" t="str">
        <x:v>Mean/SD</x:v>
      </x:c>
      <x:c r="H56" s="18" t="n">
        <x:v>20</x:v>
      </x:c>
      <x:c r="I56" s="18" t="n">
        <x:v>20</x:v>
      </x:c>
      <x:c r="J56" s="18" t="n">
        <x:v>1.67</x:v>
      </x:c>
      <x:c r="K56" s="18" t="n">
        <x:v>0.59</x:v>
      </x:c>
      <x:c r="L56" s="18" t="n">
        <x:v>1.32</x:v>
      </x:c>
      <x:c r="M56" s="18" t="n">
        <x:v>0.48</x:v>
      </x:c>
      <x:c r="N56" s="18" t="str">
        <x:v>µg/kg sufentanil</x:v>
      </x:c>
      <x:c r="O56" s="18" t="str">
        <x:v>No</x:v>
      </x:c>
      <x:c r="P56" s="18" t="str">
        <x:v>No</x:v>
      </x:c>
      <x:c r="Q56" s="18" t="str">
        <x:v>EXCLUDE — NOT PRIMARY 24H OPIOID</x:v>
      </x:c>
      <x:c r="R56" s="18" t="str">
        <x:v>Not a strict 0-24-h postoperative opioid-consumption endpoint.</x:v>
      </x:c>
      <x:c r="S56" s="18" t="str"/>
      <x:c r="T56" s="18" t="str">
        <x:v>Methods mention 6/12/24/48-h assessments but Table 5 gives only one aggregate dose per group</x:v>
      </x:c>
      <x:c r="U56" s="18" t="str">
        <x:v>https://drive.google.com/file/d/1RJGi1PYvw75qVW9UK8CBtJPH4G035ASs/view?usp=drivesdk</x:v>
      </x:c>
    </x:row>
    <x:row r="57">
      <x:c r="A57" s="18" t="str">
        <x:v>Huang 2017</x:v>
      </x:c>
      <x:c r="B57" s="18" t="str">
        <x:v>HUANG17_OPIOID24</x:v>
      </x:c>
      <x:c r="C57" s="18" t="str">
        <x:v>Active TEAS frequency arms</x:v>
      </x:c>
      <x:c r="D57" s="18" t="str">
        <x:v>Placebo TEAS/no current</x:v>
      </x:c>
      <x:c r="E57" s="18" t="str">
        <x:v>Exact cumulative postoperative sufentanil consumption</x:v>
      </x:c>
      <x:c r="F57" s="18" t="str">
        <x:v>0-24 h</x:v>
      </x:c>
      <x:c r="G57" s="18" t="str">
        <x:v>Not reported</x:v>
      </x:c>
      <x:c r="H57" s="18" t="n">
        <x:v>20</x:v>
      </x:c>
      <x:c r="I57" s="18" t="n">
        <x:v>20</x:v>
      </x:c>
      <x:c r="J57" s="18"/>
      <x:c r="K57" s="18"/>
      <x:c r="L57" s="18"/>
      <x:c r="M57" s="18"/>
      <x:c r="N57" s="18" t="str">
        <x:v>µg/kg sufentanil</x:v>
      </x:c>
      <x:c r="O57" s="18" t="str">
        <x:v>No</x:v>
      </x:c>
      <x:c r="P57" s="18" t="str">
        <x:v>No</x:v>
      </x:c>
      <x:c r="Q57" s="18" t="str">
        <x:v>EXCLUDE — DATA UNAVAILABLE</x:v>
      </x:c>
      <x:c r="R57" s="18" t="str">
        <x:v>The source does not provide a defensible quantitative value for this analysis.</x:v>
      </x:c>
      <x:c r="S57" s="18" t="str"/>
      <x:c r="T57" s="18" t="str">
        <x:v>Exact 24-h group values and PCA demand/delivery counts are not published</x:v>
      </x:c>
      <x:c r="U57" s="18" t="str">
        <x:v>https://drive.google.com/file/d/1RJGi1PYvw75qVW9UK8CBtJPH4G035ASs/view?usp=drivesdk</x:v>
      </x:c>
    </x:row>
    <x:row r="58">
      <x:c r="A58" s="18" t="str">
        <x:v>He 2026 (hepatectomy/JIS)</x:v>
      </x:c>
      <x:c r="B58" s="18" t="str">
        <x:v>HEJIS26_TEAS_vs_CTRL_MME24</x:v>
      </x:c>
      <x:c r="C58" s="18" t="str">
        <x:v>Intraoperative PC6 TEAS</x:v>
      </x:c>
      <x:c r="D58" s="18" t="str">
        <x:v>No-current PC6 control</x:v>
      </x:c>
      <x:c r="E58" s="18" t="str">
        <x:v>Total postoperative opioid consumption in morphine equivalents</x:v>
      </x:c>
      <x:c r="F58" s="18" t="str">
        <x:v>0-24 h</x:v>
      </x:c>
      <x:c r="G58" s="18" t="str">
        <x:v>Mean/SD</x:v>
      </x:c>
      <x:c r="H58" s="18" t="n">
        <x:v>80</x:v>
      </x:c>
      <x:c r="I58" s="18" t="n">
        <x:v>79</x:v>
      </x:c>
      <x:c r="J58" s="18" t="n">
        <x:v>20</x:v>
      </x:c>
      <x:c r="K58" s="18" t="n">
        <x:v>2.5</x:v>
      </x:c>
      <x:c r="L58" s="18" t="n">
        <x:v>20.6</x:v>
      </x:c>
      <x:c r="M58" s="18" t="n">
        <x:v>4.5</x:v>
      </x:c>
      <x:c r="N58" s="18" t="str">
        <x:v>mg MME</x:v>
      </x:c>
      <x:c r="O58" s="18" t="str">
        <x:v>Yes</x:v>
      </x:c>
      <x:c r="P58" s="18" t="str">
        <x:v>Yes</x:v>
      </x:c>
      <x:c r="Q58" s="18" t="str">
        <x:v>INCLUDE</x:v>
      </x:c>
      <x:c r="R58" s="18" t="str">
        <x:v>Explicit 0-24-h postoperative opioid endpoint and marked eligible in the reconciled source data.</x:v>
      </x:c>
      <x:c r="S58" s="18" t="str"/>
      <x:c r="T58" s="18" t="str">
        <x:v>Supplemental eTable 1 directly reports MME; mITT excludes one canceled surgery and one consent withdrawal after randomization</x:v>
      </x:c>
      <x:c r="U58" s="18" t="str">
        <x:v>https://drive.google.com/file/d/1VgOxIOrGe7ZVevkKEVP7G-0V1DXPU0Gf/view?usp=drivesdk</x:v>
      </x:c>
    </x:row>
    <x:row r="59">
      <x:c r="A59" s="18" t="str">
        <x:v>He 2026 (breast/WJCO)</x:v>
      </x:c>
      <x:c r="B59" s="18" t="str">
        <x:v>HEBREAST26_OPIOID24</x:v>
      </x:c>
      <x:c r="C59" s="18" t="str">
        <x:v>Perioperative EA + flurbiprofen</x:v>
      </x:c>
      <x:c r="D59" s="18" t="str">
        <x:v>Sham acupuncture + flurbiprofen</x:v>
      </x:c>
      <x:c r="E59" s="18" t="str">
        <x:v>Cumulative rescue morphine consumption</x:v>
      </x:c>
      <x:c r="F59" s="18" t="str">
        <x:v>0-24 h</x:v>
      </x:c>
      <x:c r="G59" s="18" t="str">
        <x:v>Not reported</x:v>
      </x:c>
      <x:c r="H59" s="18" t="n">
        <x:v>65</x:v>
      </x:c>
      <x:c r="I59" s="18" t="n">
        <x:v>65</x:v>
      </x:c>
      <x:c r="J59" s="18"/>
      <x:c r="K59" s="18"/>
      <x:c r="L59" s="18"/>
      <x:c r="M59" s="18"/>
      <x:c r="N59" s="18" t="str">
        <x:v>mg IV morphine</x:v>
      </x:c>
      <x:c r="O59" s="18" t="str">
        <x:v>No</x:v>
      </x:c>
      <x:c r="P59" s="18" t="str">
        <x:v>No</x:v>
      </x:c>
      <x:c r="Q59" s="18" t="str">
        <x:v>EXCLUDE — DATA UNAVAILABLE</x:v>
      </x:c>
      <x:c r="R59" s="18" t="str">
        <x:v>The source does not provide a defensible quantitative value for this analysis.</x:v>
      </x:c>
      <x:c r="S59" s="18" t="str"/>
      <x:c r="T59" s="18" t="str">
        <x:v>Rescue morphine 1-3 mg IV was allowed, but authors explicitly state rescue opioid consumption was not recorded or compared</x:v>
      </x:c>
      <x:c r="U59" s="18" t="str">
        <x:v>https://drive.google.com/file/d/1D6Js5nTN2AwL5-BB-NIJVoCKVtcbcczH/view?usp=drivesdk</x:v>
      </x:c>
    </x:row>
    <x:row r="60">
      <x:c r="A60" s="18" t="str">
        <x:v>Gu 2019</x:v>
      </x:c>
      <x:c r="B60" s="18" t="str">
        <x:v>GU19_LTEAS_vs_CTEAS_PCIA4</x:v>
      </x:c>
      <x:c r="C60" s="18" t="str">
        <x:v>Long-duration TEAS</x:v>
      </x:c>
      <x:c r="D60" s="18" t="str">
        <x:v>Sham/no-current TEAS</x:v>
      </x:c>
      <x:c r="E60" s="18" t="str">
        <x:v>Cumulative multimodal PCIA solution consumed</x:v>
      </x:c>
      <x:c r="F60" s="18" t="str">
        <x:v>4 h</x:v>
      </x:c>
      <x:c r="G60" s="18" t="str">
        <x:v>Mean/SD</x:v>
      </x:c>
      <x:c r="H60" s="18" t="n">
        <x:v>58</x:v>
      </x:c>
      <x:c r="I60" s="18" t="n">
        <x:v>59</x:v>
      </x:c>
      <x:c r="J60" s="18" t="n">
        <x:v>10.02</x:v>
      </x:c>
      <x:c r="K60" s="18" t="n">
        <x:v>2.26</x:v>
      </x:c>
      <x:c r="L60" s="18" t="n">
        <x:v>13.38</x:v>
      </x:c>
      <x:c r="M60" s="18" t="n">
        <x:v>2.98</x:v>
      </x:c>
      <x:c r="N60" s="18" t="str">
        <x:v>mL solution = numerically same µg sufentanil at 1 µg/mL</x:v>
      </x:c>
      <x:c r="O60" s="18" t="str">
        <x:v>No</x:v>
      </x:c>
      <x:c r="P60" s="18" t="str">
        <x:v>No</x:v>
      </x:c>
      <x:c r="Q60" s="18" t="str">
        <x:v>EXCLUDE — NOT PRIMARY 24H OPIOID</x:v>
      </x:c>
      <x:c r="R60" s="18" t="str">
        <x:v>Not a strict 0-24-h postoperative opioid-consumption endpoint.</x:v>
      </x:c>
      <x:c r="S60" s="18" t="str"/>
      <x:c r="T60" s="18" t="str">
        <x:v>Pump also contains dexmedetomidine, flurbiprofen and palonosetron; exact 24-h value is graph-only</x:v>
      </x:c>
      <x:c r="U60" s="18" t="str">
        <x:v>https://drive.google.com/file/d/1ipQFXfERgAVmgNKMpLkvaaecYJVSTDiw/view?usp=drivesdk</x:v>
      </x:c>
    </x:row>
    <x:row r="61">
      <x:c r="A61" s="18" t="str">
        <x:v>Gu 2019</x:v>
      </x:c>
      <x:c r="B61" s="18" t="str">
        <x:v>GU19_LTEAS_vs_CTEAS_PCIA8</x:v>
      </x:c>
      <x:c r="C61" s="18" t="str">
        <x:v>Long-duration TEAS</x:v>
      </x:c>
      <x:c r="D61" s="18" t="str">
        <x:v>Sham/no-current TEAS</x:v>
      </x:c>
      <x:c r="E61" s="18" t="str">
        <x:v>Cumulative multimodal PCIA solution consumed</x:v>
      </x:c>
      <x:c r="F61" s="18" t="str">
        <x:v>8 h</x:v>
      </x:c>
      <x:c r="G61" s="18" t="str">
        <x:v>Mean/SD</x:v>
      </x:c>
      <x:c r="H61" s="18" t="n">
        <x:v>58</x:v>
      </x:c>
      <x:c r="I61" s="18" t="n">
        <x:v>59</x:v>
      </x:c>
      <x:c r="J61" s="18" t="n">
        <x:v>20.55</x:v>
      </x:c>
      <x:c r="K61" s="18" t="n">
        <x:v>4.59</x:v>
      </x:c>
      <x:c r="L61" s="18" t="n">
        <x:v>24.63</x:v>
      </x:c>
      <x:c r="M61" s="18" t="n">
        <x:v>3.94</x:v>
      </x:c>
      <x:c r="N61" s="18" t="str">
        <x:v>mL solution = numerically same µg sufentanil at 1 µg/mL</x:v>
      </x:c>
      <x:c r="O61" s="18" t="str">
        <x:v>No</x:v>
      </x:c>
      <x:c r="P61" s="18" t="str">
        <x:v>No</x:v>
      </x:c>
      <x:c r="Q61" s="18" t="str">
        <x:v>EXCLUDE — NOT PRIMARY 24H OPIOID</x:v>
      </x:c>
      <x:c r="R61" s="18" t="str">
        <x:v>Not a strict 0-24-h postoperative opioid-consumption endpoint.</x:v>
      </x:c>
      <x:c r="S61" s="18" t="str"/>
      <x:c r="T61" s="18" t="str">
        <x:v>Pump also contains dexmedetomidine, flurbiprofen and palonosetron; exact 24-h value is graph-only</x:v>
      </x:c>
      <x:c r="U61" s="18" t="str">
        <x:v>https://drive.google.com/file/d/1ipQFXfERgAVmgNKMpLkvaaecYJVSTDiw/view?usp=drivesdk</x:v>
      </x:c>
    </x:row>
    <x:row r="62">
      <x:c r="A62" s="18" t="str">
        <x:v>Gu 2019</x:v>
      </x:c>
      <x:c r="B62" s="18" t="str">
        <x:v>GU19_LTEAS_vs_CTEAS_PCIA36</x:v>
      </x:c>
      <x:c r="C62" s="18" t="str">
        <x:v>Long-duration TEAS</x:v>
      </x:c>
      <x:c r="D62" s="18" t="str">
        <x:v>Sham/no-current TEAS</x:v>
      </x:c>
      <x:c r="E62" s="18" t="str">
        <x:v>Cumulative multimodal PCIA solution consumed</x:v>
      </x:c>
      <x:c r="F62" s="18" t="str">
        <x:v>36 h</x:v>
      </x:c>
      <x:c r="G62" s="18" t="str">
        <x:v>Mean/SD</x:v>
      </x:c>
      <x:c r="H62" s="18" t="n">
        <x:v>58</x:v>
      </x:c>
      <x:c r="I62" s="18" t="n">
        <x:v>59</x:v>
      </x:c>
      <x:c r="J62" s="18" t="n">
        <x:v>72.64</x:v>
      </x:c>
      <x:c r="K62" s="18" t="n">
        <x:v>9.74</x:v>
      </x:c>
      <x:c r="L62" s="18" t="n">
        <x:v>76.01</x:v>
      </x:c>
      <x:c r="M62" s="18" t="n">
        <x:v>10.43</x:v>
      </x:c>
      <x:c r="N62" s="18" t="str">
        <x:v>mL solution = numerically same µg sufentanil at 1 µg/mL</x:v>
      </x:c>
      <x:c r="O62" s="18" t="str">
        <x:v>No</x:v>
      </x:c>
      <x:c r="P62" s="18" t="str">
        <x:v>No</x:v>
      </x:c>
      <x:c r="Q62" s="18" t="str">
        <x:v>EXCLUDE — NOT PRIMARY 24H OPIOID</x:v>
      </x:c>
      <x:c r="R62" s="18" t="str">
        <x:v>Not a strict 0-24-h postoperative opioid-consumption endpoint.</x:v>
      </x:c>
      <x:c r="S62" s="18" t="str"/>
      <x:c r="T62" s="18" t="str">
        <x:v>Pump also contains dexmedetomidine, flurbiprofen and palonosetron; exact 24-h value is graph-only</x:v>
      </x:c>
      <x:c r="U62" s="18" t="str">
        <x:v>https://drive.google.com/file/d/1ipQFXfERgAVmgNKMpLkvaaecYJVSTDiw/view?usp=drivesdk</x:v>
      </x:c>
    </x:row>
    <x:row r="63">
      <x:c r="A63" s="18" t="str">
        <x:v>Gu 2019</x:v>
      </x:c>
      <x:c r="B63" s="18" t="str">
        <x:v>GU19_OPIOID24</x:v>
      </x:c>
      <x:c r="C63" s="18" t="str">
        <x:v>Long-duration TEAS</x:v>
      </x:c>
      <x:c r="D63" s="18" t="str">
        <x:v>Sham/no-current TEAS</x:v>
      </x:c>
      <x:c r="E63" s="18" t="str">
        <x:v>Exact cumulative 24-h postoperative sufentanil</x:v>
      </x:c>
      <x:c r="F63" s="18" t="str">
        <x:v>0-24 h</x:v>
      </x:c>
      <x:c r="G63" s="18" t="str">
        <x:v>Graph-only / not numerically reported</x:v>
      </x:c>
      <x:c r="H63" s="18" t="n">
        <x:v>58</x:v>
      </x:c>
      <x:c r="I63" s="18" t="n">
        <x:v>59</x:v>
      </x:c>
      <x:c r="J63" s="18"/>
      <x:c r="K63" s="18"/>
      <x:c r="L63" s="18"/>
      <x:c r="M63" s="18"/>
      <x:c r="N63" s="18" t="str">
        <x:v>µg sufentanil</x:v>
      </x:c>
      <x:c r="O63" s="18" t="str">
        <x:v>Yes</x:v>
      </x:c>
      <x:c r="P63" s="18" t="str">
        <x:v>No</x:v>
      </x:c>
      <x:c r="Q63" s="18" t="str">
        <x:v>DIGITIZATION NEEDED</x:v>
      </x:c>
      <x:c r="R63" s="18" t="str">
        <x:v>Exact numeric result is not tabulated; formal graph digitization or author data is required before quantitative pooling.</x:v>
      </x:c>
      <x:c r="S63" s="18" t="str"/>
      <x:c r="T63" s="18" t="str">
        <x:v>24-h PCIA point is visible graphically but not numerically reported</x:v>
      </x:c>
      <x:c r="U63" s="18" t="str">
        <x:v>https://drive.google.com/file/d/1ipQFXfERgAVmgNKMpLkvaaecYJVSTDiw/view?usp=drivesdk</x:v>
      </x:c>
    </x:row>
    <x:row r="64">
      <x:c r="A64" s="18" t="str">
        <x:v>Guo 2023</x:v>
      </x:c>
      <x:c r="B64" s="18" t="str">
        <x:v>GUO23_OPIOID24</x:v>
      </x:c>
      <x:c r="C64" s="18" t="str">
        <x:v>Perioperative TEAS</x:v>
      </x:c>
      <x:c r="D64" s="18" t="str">
        <x:v>Sham/no-current TEAS</x:v>
      </x:c>
      <x:c r="E64" s="18" t="str">
        <x:v>Actual postoperative sufentanil consumption</x:v>
      </x:c>
      <x:c r="F64" s="18" t="str">
        <x:v>0-24 h</x:v>
      </x:c>
      <x:c r="G64" s="18" t="str">
        <x:v>Not reported</x:v>
      </x:c>
      <x:c r="H64" s="18" t="n">
        <x:v>55</x:v>
      </x:c>
      <x:c r="I64" s="18" t="n">
        <x:v>55</x:v>
      </x:c>
      <x:c r="J64" s="18"/>
      <x:c r="K64" s="18"/>
      <x:c r="L64" s="18"/>
      <x:c r="M64" s="18"/>
      <x:c r="N64" s="18" t="str">
        <x:v>µg sufentanil</x:v>
      </x:c>
      <x:c r="O64" s="18" t="str">
        <x:v>No</x:v>
      </x:c>
      <x:c r="P64" s="18" t="str">
        <x:v>No</x:v>
      </x:c>
      <x:c r="Q64" s="18" t="str">
        <x:v>EXCLUDE — DATA UNAVAILABLE</x:v>
      </x:c>
      <x:c r="R64" s="18" t="str">
        <x:v>The source does not provide a defensible quantitative value for this analysis.</x:v>
      </x:c>
      <x:c r="S64" s="18" t="str"/>
      <x:c r="T64" s="18" t="str">
        <x:v>PCIA prescription is reported but actual delivered 24-h/48-h sufentanil is not</x:v>
      </x:c>
      <x:c r="U64" s="18" t="str">
        <x:v>https://drive.google.com/file/d/1Idfl7rfZhgAUJHDpsmgzp17ADiGvrU8C/view?usp=drivesdk</x:v>
      </x:c>
    </x:row>
    <x:row r="65">
      <x:c r="A65" s="18" t="str">
        <x:v>Grech 2016</x:v>
      </x:c>
      <x:c r="B65" s="18" t="str">
        <x:v>GRECH16_EA_vs_CTRL_PACU_MME_WOMEN</x:v>
      </x:c>
      <x:c r="C65" s="18" t="str">
        <x:v>Intraoperative low-frequency EA</x:v>
      </x:c>
      <x:c r="D65" s="18" t="str">
        <x:v>Sham/control</x:v>
      </x:c>
      <x:c r="E65" s="18" t="str">
        <x:v>PACU analgesic requirement in women-only subgroup</x:v>
      </x:c>
      <x:c r="F65" s="18" t="str">
        <x:v>PACU</x:v>
      </x:c>
      <x:c r="G65" s="18" t="str">
        <x:v>Graph-only morphine-equivalent outcome</x:v>
      </x:c>
      <x:c r="H65" s="18" t="n">
        <x:v>9</x:v>
      </x:c>
      <x:c r="I65" s="18" t="n">
        <x:v>9</x:v>
      </x:c>
      <x:c r="J65" s="18"/>
      <x:c r="K65" s="18"/>
      <x:c r="L65" s="18"/>
      <x:c r="M65" s="18"/>
      <x:c r="N65" s="18" t="str">
        <x:v>mg morphine-equivalent</x:v>
      </x:c>
      <x:c r="O65" s="18" t="str">
        <x:v>No</x:v>
      </x:c>
      <x:c r="P65" s="18" t="str">
        <x:v>No</x:v>
      </x:c>
      <x:c r="Q65" s="18" t="str">
        <x:v>DIGITIZATION NEEDED</x:v>
      </x:c>
      <x:c r="R65" s="18" t="str">
        <x:v>Exact numeric result is not tabulated; formal graph digitization or author data is required before quantitative pooling.</x:v>
      </x:c>
      <x:c r="S65" s="18" t="str"/>
      <x:c r="T65" s="18" t="str">
        <x:v>Post hoc women-only subgroup excludes two men from EA arm; exact means/SEM are not tabulated</x:v>
      </x:c>
      <x:c r="U65" s="18" t="str">
        <x:v>https://drive.google.com/file/d/1U3KShiAZKL8n9hxSpBkhuhuQHW2EN-IY/view?usp=drivesdk</x:v>
      </x:c>
    </x:row>
    <x:row r="66">
      <x:c r="A66" s="18" t="str">
        <x:v>Grech 2016</x:v>
      </x:c>
      <x:c r="B66" s="18" t="str">
        <x:v>GRECH16_EA_vs_CTRL_OPIOID24</x:v>
      </x:c>
      <x:c r="C66" s="18" t="str">
        <x:v>Intraoperative low-frequency EA</x:v>
      </x:c>
      <x:c r="D66" s="18" t="str">
        <x:v>Sham/control</x:v>
      </x:c>
      <x:c r="E66" s="18" t="str">
        <x:v>Exact cumulative 24-h postoperative morphine-equivalent consumption</x:v>
      </x:c>
      <x:c r="F66" s="18" t="str">
        <x:v>0-24 h</x:v>
      </x:c>
      <x:c r="G66" s="18" t="str">
        <x:v>Not reported</x:v>
      </x:c>
      <x:c r="H66" s="18"/>
      <x:c r="I66" s="18"/>
      <x:c r="J66" s="18"/>
      <x:c r="K66" s="18"/>
      <x:c r="L66" s="18"/>
      <x:c r="M66" s="18"/>
      <x:c r="N66" s="18" t="str">
        <x:v>mg morphine-equivalent</x:v>
      </x:c>
      <x:c r="O66" s="18" t="str">
        <x:v>No</x:v>
      </x:c>
      <x:c r="P66" s="18" t="str">
        <x:v>No</x:v>
      </x:c>
      <x:c r="Q66" s="18" t="str">
        <x:v>EXCLUDE — DATA UNAVAILABLE</x:v>
      </x:c>
      <x:c r="R66" s="18" t="str">
        <x:v>The source does not provide a defensible quantitative value for this analysis.</x:v>
      </x:c>
      <x:c r="S66" s="18" t="str"/>
      <x:c r="T66" s="18" t="str">
        <x:v>Day-1 analgesic use is graphical and exact 24-h mean/dispersion is not tabulated</x:v>
      </x:c>
      <x:c r="U66" s="18" t="str">
        <x:v>https://drive.google.com/file/d/1U3KShiAZKL8n9hxSpBkhuhuQHW2EN-IY/view?usp=drivesdk</x:v>
      </x:c>
    </x:row>
    <x:row r="67">
      <x:c r="A67" s="18" t="str">
        <x:v>Gao 2021</x:v>
      </x:c>
      <x:c r="B67" s="18" t="str">
        <x:v>GAO21_OPIOID24</x:v>
      </x:c>
      <x:c r="C67" s="18" t="str">
        <x:v>Postoperative TEAS</x:v>
      </x:c>
      <x:c r="D67" s="18" t="str">
        <x:v>Sham/no-current TEAS</x:v>
      </x:c>
      <x:c r="E67" s="18" t="str">
        <x:v>Exact cumulative postoperative opioid consumption</x:v>
      </x:c>
      <x:c r="F67" s="18" t="str">
        <x:v>0-24 h</x:v>
      </x:c>
      <x:c r="G67" s="18" t="str">
        <x:v>Not reported</x:v>
      </x:c>
      <x:c r="H67" s="18" t="n">
        <x:v>303</x:v>
      </x:c>
      <x:c r="I67" s="18" t="n">
        <x:v>307</x:v>
      </x:c>
      <x:c r="J67" s="18"/>
      <x:c r="K67" s="18"/>
      <x:c r="L67" s="18"/>
      <x:c r="M67" s="18"/>
      <x:c r="N67" s="18" t="str">
        <x:v>mg/µg</x:v>
      </x:c>
      <x:c r="O67" s="18" t="str">
        <x:v>No</x:v>
      </x:c>
      <x:c r="P67" s="18" t="str">
        <x:v>No</x:v>
      </x:c>
      <x:c r="Q67" s="18" t="str">
        <x:v>EXCLUDE — DATA UNAVAILABLE</x:v>
      </x:c>
      <x:c r="R67" s="18" t="str">
        <x:v>The source does not provide a defensible quantitative value for this analysis.</x:v>
      </x:c>
      <x:c r="S67" s="18" t="str"/>
      <x:c r="T67" s="18" t="str">
        <x:v>Main article reports only whether postoperative analgesia was used, not drug-specific dose/route/PCA consumption</x:v>
      </x:c>
      <x:c r="U67" s="18" t="str">
        <x:v>https://drive.google.com/file/d/1QbM6CNi8KfBXmMTqG1ASm3hK05cz_hKQ/view?usp=drivesdk</x:v>
      </x:c>
    </x:row>
    <x:row r="68">
      <x:c r="A68" s="18" t="str">
        <x:v>Yeh 2010</x:v>
      </x:c>
      <x:c r="B68" s="18" t="str">
        <x:v>YEH10_AES_vs_SHAM_MORPH24</x:v>
      </x:c>
      <x:c r="C68" s="18" t="str">
        <x:v>True-acupoint AES</x:v>
      </x:c>
      <x:c r="D68" s="18" t="str">
        <x:v>Electrical sham/nonmeridian AES</x:v>
      </x:c>
      <x:c r="E68" s="18" t="str">
        <x:v>24-h morphine PCA dose</x:v>
      </x:c>
      <x:c r="F68" s="18" t="str">
        <x:v>First 24 postoperative hours</x:v>
      </x:c>
      <x:c r="G68" s="18" t="str">
        <x:v>Mean/SD</x:v>
      </x:c>
      <x:c r="H68" s="18" t="n">
        <x:v>33</x:v>
      </x:c>
      <x:c r="I68" s="18" t="n">
        <x:v>30</x:v>
      </x:c>
      <x:c r="J68" s="18" t="n">
        <x:v>18.6</x:v>
      </x:c>
      <x:c r="K68" s="18" t="n">
        <x:v>9.7</x:v>
      </x:c>
      <x:c r="L68" s="18" t="n">
        <x:v>21.6</x:v>
      </x:c>
      <x:c r="M68" s="18" t="n">
        <x:v>13.1</x:v>
      </x:c>
      <x:c r="N68" s="18" t="str">
        <x:v>mg morphine; source explicitly calls PCA epidural</x:v>
      </x:c>
      <x:c r="O68" s="18" t="str">
        <x:v>Yes</x:v>
      </x:c>
      <x:c r="P68" s="18" t="str">
        <x:v>Conditional</x:v>
      </x:c>
      <x:c r="Q68" s="18" t="str">
        <x:v>DUPLICATE HOLD</x:v>
      </x:c>
      <x:c r="R68" s="18" t="str">
        <x:v>Probable overlapping publication/cohort; do not pool as an independent study until linkage is resolved.</x:v>
      </x:c>
      <x:c r="S68" s="18" t="str">
        <x:v>Yeh lumbar-spine publication family</x:v>
      </x:c>
      <x:c r="T68" s="18" t="str">
        <x:v>Probable overlapping publication/cohort with Yeh 2011. Five of 99 entrants did not complete and randomized arm assignment of losses is NR. Do not treat both papers as independent.</x:v>
      </x:c>
      <x:c r="U68" s="18" t="str">
        <x:v>https://drive.google.com/file/d/1a1s31PQPWGnaVkYUtNUxO22F3QFTcwmi/view?usp=drivesdk</x:v>
      </x:c>
    </x:row>
    <x:row r="69">
      <x:c r="A69" s="18" t="str">
        <x:v>Yeh 2010</x:v>
      </x:c>
      <x:c r="B69" s="18" t="str">
        <x:v>YEH10_AES_vs_CONTROL_MORPH24</x:v>
      </x:c>
      <x:c r="C69" s="18" t="str">
        <x:v>True-acupoint AES</x:v>
      </x:c>
      <x:c r="D69" s="18" t="str">
        <x:v>No-AES control</x:v>
      </x:c>
      <x:c r="E69" s="18" t="str">
        <x:v>24-h morphine PCA dose</x:v>
      </x:c>
      <x:c r="F69" s="18" t="str">
        <x:v>First 24 postoperative hours</x:v>
      </x:c>
      <x:c r="G69" s="18" t="str">
        <x:v>Mean/SD</x:v>
      </x:c>
      <x:c r="H69" s="18" t="n">
        <x:v>33</x:v>
      </x:c>
      <x:c r="I69" s="18" t="n">
        <x:v>31</x:v>
      </x:c>
      <x:c r="J69" s="18" t="n">
        <x:v>18.6</x:v>
      </x:c>
      <x:c r="K69" s="18" t="n">
        <x:v>9.7</x:v>
      </x:c>
      <x:c r="L69" s="18" t="n">
        <x:v>27.2</x:v>
      </x:c>
      <x:c r="M69" s="18" t="n">
        <x:v>12.5</x:v>
      </x:c>
      <x:c r="N69" s="18" t="str">
        <x:v>mg morphine; source explicitly calls PCA epidural</x:v>
      </x:c>
      <x:c r="O69" s="18" t="str">
        <x:v>Yes</x:v>
      </x:c>
      <x:c r="P69" s="18" t="str">
        <x:v>Conditional</x:v>
      </x:c>
      <x:c r="Q69" s="18" t="str">
        <x:v>DUPLICATE HOLD</x:v>
      </x:c>
      <x:c r="R69" s="18" t="str">
        <x:v>Probable overlapping publication/cohort; do not pool as an independent study until linkage is resolved.</x:v>
      </x:c>
      <x:c r="S69" s="18" t="str">
        <x:v>Yeh lumbar-spine publication family</x:v>
      </x:c>
      <x:c r="T69" s="18" t="str">
        <x:v>Same probable overlapping cohort issue; route must not be silently recoded as IV.</x:v>
      </x:c>
      <x:c r="U69" s="18" t="str">
        <x:v>https://drive.google.com/file/d/1a1s31PQPWGnaVkYUtNUxO22F3QFTcwmi/view?usp=drivesdk</x:v>
      </x:c>
    </x:row>
    <x:row r="70">
      <x:c r="A70" s="18" t="str">
        <x:v>Yeh 2011</x:v>
      </x:c>
      <x:c r="B70" s="18" t="str">
        <x:v>YEH11_AES_vs_SHAM_MORPH24</x:v>
      </x:c>
      <x:c r="C70" s="18" t="str">
        <x:v>True-acupoint AES</x:v>
      </x:c>
      <x:c r="D70" s="18" t="str">
        <x:v>Electrical sham/nonacupoint AES</x:v>
      </x:c>
      <x:c r="E70" s="18" t="str">
        <x:v>24-h IV morphine PCA dose</x:v>
      </x:c>
      <x:c r="F70" s="18" t="str">
        <x:v>First 24 postoperative hours</x:v>
      </x:c>
      <x:c r="G70" s="18" t="str">
        <x:v>Mean/SD</x:v>
      </x:c>
      <x:c r="H70" s="18" t="n">
        <x:v>30</x:v>
      </x:c>
      <x:c r="I70" s="18" t="n">
        <x:v>30</x:v>
      </x:c>
      <x:c r="J70" s="18" t="n">
        <x:v>19.3</x:v>
      </x:c>
      <x:c r="K70" s="18" t="n">
        <x:v>9.7</x:v>
      </x:c>
      <x:c r="L70" s="18" t="n">
        <x:v>21.6</x:v>
      </x:c>
      <x:c r="M70" s="18" t="n">
        <x:v>13.1</x:v>
      </x:c>
      <x:c r="N70" s="18" t="str">
        <x:v>mg IV morphine</x:v>
      </x:c>
      <x:c r="O70" s="18" t="str">
        <x:v>Yes</x:v>
      </x:c>
      <x:c r="P70" s="18" t="str">
        <x:v>Conditional</x:v>
      </x:c>
      <x:c r="Q70" s="18" t="str">
        <x:v>DUPLICATE HOLD</x:v>
      </x:c>
      <x:c r="R70" s="18" t="str">
        <x:v>Probable overlapping publication/cohort; do not pool as an independent study until linkage is resolved.</x:v>
      </x:c>
      <x:c r="S70" s="18" t="str">
        <x:v>Yeh lumbar-spine publication family</x:v>
      </x:c>
      <x:c r="T70" s="18" t="str">
        <x:v>Highly similar to Yeh 2010 in population, acupoints, comparator and 24-h opioid values; do not count independently until cohort/publication linkage is adjudicated.</x:v>
      </x:c>
      <x:c r="U70" s="18" t="str">
        <x:v>https://drive.google.com/file/d/1ZJ60ZvJ5Q7sRu1iptK_tLLfBXxZZ_Hwl/view?usp=drivesdk</x:v>
      </x:c>
    </x:row>
    <x:row r="71">
      <x:c r="A71" s="18" t="str">
        <x:v>Yeh 2011</x:v>
      </x:c>
      <x:c r="B71" s="18" t="str">
        <x:v>YEH11_AES_vs_CONTROL_MORPH24</x:v>
      </x:c>
      <x:c r="C71" s="18" t="str">
        <x:v>True-acupoint AES</x:v>
      </x:c>
      <x:c r="D71" s="18" t="str">
        <x:v>No-AES control</x:v>
      </x:c>
      <x:c r="E71" s="18" t="str">
        <x:v>24-h IV morphine PCA dose</x:v>
      </x:c>
      <x:c r="F71" s="18" t="str">
        <x:v>First 24 postoperative hours</x:v>
      </x:c>
      <x:c r="G71" s="18" t="str">
        <x:v>Mean/SD</x:v>
      </x:c>
      <x:c r="H71" s="18" t="n">
        <x:v>30</x:v>
      </x:c>
      <x:c r="I71" s="18" t="n">
        <x:v>30</x:v>
      </x:c>
      <x:c r="J71" s="18" t="n">
        <x:v>19.3</x:v>
      </x:c>
      <x:c r="K71" s="18" t="n">
        <x:v>9.7</x:v>
      </x:c>
      <x:c r="L71" s="18" t="n">
        <x:v>28</x:v>
      </x:c>
      <x:c r="M71" s="18" t="n">
        <x:v>12.1</x:v>
      </x:c>
      <x:c r="N71" s="18" t="str">
        <x:v>mg IV morphine</x:v>
      </x:c>
      <x:c r="O71" s="18" t="str">
        <x:v>Yes</x:v>
      </x:c>
      <x:c r="P71" s="18" t="str">
        <x:v>Conditional</x:v>
      </x:c>
      <x:c r="Q71" s="18" t="str">
        <x:v>DUPLICATE HOLD</x:v>
      </x:c>
      <x:c r="R71" s="18" t="str">
        <x:v>Probable overlapping publication/cohort; do not pool as an independent study until linkage is resolved.</x:v>
      </x:c>
      <x:c r="S71" s="18" t="str">
        <x:v>Yeh lumbar-spine publication family</x:v>
      </x:c>
      <x:c r="T71" s="18" t="str">
        <x:v>Sequential allocation without sealed envelopes; probable overlapping publication family with Yeh 2010.</x:v>
      </x:c>
      <x:c r="U71" s="18" t="str">
        <x:v>https://drive.google.com/file/d/1ZJ60ZvJ5Q7sRu1iptK_tLLfBXxZZ_Hwl/view?usp=drivesdk</x:v>
      </x:c>
    </x:row>
    <x:row r="72">
      <x:c r="A72" s="18" t="str">
        <x:v>Wong 2006</x:v>
      </x:c>
      <x:c r="B72" s="18" t="str">
        <x:v>WONG06_EA_vs_SHAM_MORPHD0</x:v>
      </x:c>
      <x:c r="C72" s="18" t="str">
        <x:v>Postoperative electroacupuncture</x:v>
      </x:c>
      <x:c r="D72" s="18" t="str">
        <x:v>Nonpenetrating sham acupuncture</x:v>
      </x:c>
      <x:c r="E72" s="18" t="str">
        <x:v>IV PCA morphine consumption</x:v>
      </x:c>
      <x:c r="F72" s="18" t="str">
        <x:v>Day 0</x:v>
      </x:c>
      <x:c r="G72" s="18" t="str">
        <x:v>Mean/SD</x:v>
      </x:c>
      <x:c r="H72" s="18" t="n">
        <x:v>13</x:v>
      </x:c>
      <x:c r="I72" s="18" t="n">
        <x:v>12</x:v>
      </x:c>
      <x:c r="J72" s="18" t="n">
        <x:v>8.3</x:v>
      </x:c>
      <x:c r="K72" s="18" t="n">
        <x:v>4.9</x:v>
      </x:c>
      <x:c r="L72" s="18" t="n">
        <x:v>7.8</x:v>
      </x:c>
      <x:c r="M72" s="18" t="n">
        <x:v>6.4</x:v>
      </x:c>
      <x:c r="N72" s="18" t="str">
        <x:v>mg IV morphine</x:v>
      </x:c>
      <x:c r="O72" s="18" t="str">
        <x:v>No</x:v>
      </x:c>
      <x:c r="P72" s="18" t="str">
        <x:v>No</x:v>
      </x:c>
      <x:c r="Q72" s="18" t="str">
        <x:v>EXCLUDE — NOT PRIMARY 24H OPIOID</x:v>
      </x:c>
      <x:c r="R72" s="18" t="str">
        <x:v>Not a strict 0-24-h postoperative opioid-consumption endpoint.</x:v>
      </x:c>
      <x:c r="S72" s="18" t="str"/>
      <x:c r="T72" s="18" t="str">
        <x:v>Both groups also received scheduled oral dextropropoxyphene. Two randomized sham patients were excluded after serious postoperative complications.</x:v>
      </x:c>
      <x:c r="U72" s="18" t="str">
        <x:v>https://drive.google.com/file/d/1-XmRdgXyZmOmKIDRhL80sxha5M2P00jd/view?usp=drivesdk</x:v>
      </x:c>
    </x:row>
    <x:row r="73">
      <x:c r="A73" s="18" t="str">
        <x:v>Wong 2006</x:v>
      </x:c>
      <x:c r="B73" s="18" t="str">
        <x:v>WONG06_EA_vs_SHAM_MORPHD1</x:v>
      </x:c>
      <x:c r="C73" s="18" t="str">
        <x:v>Postoperative electroacupuncture</x:v>
      </x:c>
      <x:c r="D73" s="18" t="str">
        <x:v>Nonpenetrating sham acupuncture</x:v>
      </x:c>
      <x:c r="E73" s="18" t="str">
        <x:v>IV PCA morphine consumption</x:v>
      </x:c>
      <x:c r="F73" s="18" t="str">
        <x:v>Day 1</x:v>
      </x:c>
      <x:c r="G73" s="18" t="str">
        <x:v>Mean/SD</x:v>
      </x:c>
      <x:c r="H73" s="18" t="n">
        <x:v>13</x:v>
      </x:c>
      <x:c r="I73" s="18" t="n">
        <x:v>12</x:v>
      </x:c>
      <x:c r="J73" s="18" t="n">
        <x:v>18</x:v>
      </x:c>
      <x:c r="K73" s="18" t="n">
        <x:v>8.8</x:v>
      </x:c>
      <x:c r="L73" s="18" t="n">
        <x:v>18.8</x:v>
      </x:c>
      <x:c r="M73" s="18" t="n">
        <x:v>9.8</x:v>
      </x:c>
      <x:c r="N73" s="18" t="str">
        <x:v>mg IV morphine</x:v>
      </x:c>
      <x:c r="O73" s="18" t="str">
        <x:v>No</x:v>
      </x:c>
      <x:c r="P73" s="18" t="str">
        <x:v>No</x:v>
      </x:c>
      <x:c r="Q73" s="18" t="str">
        <x:v>EXCLUDE — NOT PRIMARY 24H OPIOID</x:v>
      </x:c>
      <x:c r="R73" s="18" t="str">
        <x:v>Not a strict 0-24-h postoperative opioid-consumption endpoint.</x:v>
      </x:c>
      <x:c r="S73" s="18" t="str"/>
      <x:c r="T73" s="18" t="str">
        <x:v>Both groups also received scheduled oral dextropropoxyphene. Two randomized sham patients were excluded after serious postoperative complications.</x:v>
      </x:c>
      <x:c r="U73" s="18" t="str">
        <x:v>https://drive.google.com/file/d/1-XmRdgXyZmOmKIDRhL80sxha5M2P00jd/view?usp=drivesdk</x:v>
      </x:c>
    </x:row>
    <x:row r="74">
      <x:c r="A74" s="18" t="str">
        <x:v>Wong 2006</x:v>
      </x:c>
      <x:c r="B74" s="18" t="str">
        <x:v>WONG06_EA_vs_SHAM_MORPHD2</x:v>
      </x:c>
      <x:c r="C74" s="18" t="str">
        <x:v>Postoperative electroacupuncture</x:v>
      </x:c>
      <x:c r="D74" s="18" t="str">
        <x:v>Nonpenetrating sham acupuncture</x:v>
      </x:c>
      <x:c r="E74" s="18" t="str">
        <x:v>IV PCA morphine consumption</x:v>
      </x:c>
      <x:c r="F74" s="18" t="str">
        <x:v>Day 2</x:v>
      </x:c>
      <x:c r="G74" s="18" t="str">
        <x:v>Mean/SD</x:v>
      </x:c>
      <x:c r="H74" s="18" t="n">
        <x:v>13</x:v>
      </x:c>
      <x:c r="I74" s="18" t="n">
        <x:v>12</x:v>
      </x:c>
      <x:c r="J74" s="18" t="n">
        <x:v>7.5</x:v>
      </x:c>
      <x:c r="K74" s="18" t="n">
        <x:v>5</x:v>
      </x:c>
      <x:c r="L74" s="18" t="n">
        <x:v>15.7</x:v>
      </x:c>
      <x:c r="M74" s="18" t="n">
        <x:v>12</x:v>
      </x:c>
      <x:c r="N74" s="18" t="str">
        <x:v>mg IV morphine</x:v>
      </x:c>
      <x:c r="O74" s="18" t="str">
        <x:v>No</x:v>
      </x:c>
      <x:c r="P74" s="18" t="str">
        <x:v>No</x:v>
      </x:c>
      <x:c r="Q74" s="18" t="str">
        <x:v>EXCLUDE — NOT PRIMARY 24H OPIOID</x:v>
      </x:c>
      <x:c r="R74" s="18" t="str">
        <x:v>Not a strict 0-24-h postoperative opioid-consumption endpoint.</x:v>
      </x:c>
      <x:c r="S74" s="18" t="str"/>
      <x:c r="T74" s="18" t="str">
        <x:v>Both groups also received scheduled oral dextropropoxyphene. Two randomized sham patients were excluded after serious postoperative complications.</x:v>
      </x:c>
      <x:c r="U74" s="18" t="str">
        <x:v>https://drive.google.com/file/d/1-XmRdgXyZmOmKIDRhL80sxha5M2P00jd/view?usp=drivesdk</x:v>
      </x:c>
    </x:row>
    <x:row r="75">
      <x:c r="A75" s="18" t="str">
        <x:v>Wong 2006</x:v>
      </x:c>
      <x:c r="B75" s="18" t="str">
        <x:v>WONG06_EA_vs_SHAM_MORPHTOTAL</x:v>
      </x:c>
      <x:c r="C75" s="18" t="str">
        <x:v>Postoperative electroacupuncture</x:v>
      </x:c>
      <x:c r="D75" s="18" t="str">
        <x:v>Nonpenetrating sham acupuncture</x:v>
      </x:c>
      <x:c r="E75" s="18" t="str">
        <x:v>IV PCA morphine consumption</x:v>
      </x:c>
      <x:c r="F75" s="18" t="str">
        <x:v>First 3 postoperative days total</x:v>
      </x:c>
      <x:c r="G75" s="18" t="str">
        <x:v>Mean/SD</x:v>
      </x:c>
      <x:c r="H75" s="18" t="n">
        <x:v>13</x:v>
      </x:c>
      <x:c r="I75" s="18" t="n">
        <x:v>12</x:v>
      </x:c>
      <x:c r="J75" s="18" t="n">
        <x:v>33.9</x:v>
      </x:c>
      <x:c r="K75" s="18" t="n">
        <x:v>12.8</x:v>
      </x:c>
      <x:c r="L75" s="18" t="n">
        <x:v>42.3</x:v>
      </x:c>
      <x:c r="M75" s="18" t="n">
        <x:v>21.3</x:v>
      </x:c>
      <x:c r="N75" s="18" t="str">
        <x:v>mg IV morphine</x:v>
      </x:c>
      <x:c r="O75" s="18" t="str">
        <x:v>No</x:v>
      </x:c>
      <x:c r="P75" s="18" t="str">
        <x:v>No</x:v>
      </x:c>
      <x:c r="Q75" s="18" t="str">
        <x:v>EXCLUDE — NOT PRIMARY 24H OPIOID</x:v>
      </x:c>
      <x:c r="R75" s="18" t="str">
        <x:v>Not a strict 0-24-h postoperative opioid-consumption endpoint.</x:v>
      </x:c>
      <x:c r="S75" s="18" t="str"/>
      <x:c r="T75" s="18" t="str">
        <x:v>Both groups also received scheduled oral dextropropoxyphene. Two randomized sham patients were excluded after serious postoperative complications.</x:v>
      </x:c>
      <x:c r="U75" s="18" t="str">
        <x:v>https://drive.google.com/file/d/1-XmRdgXyZmOmKIDRhL80sxha5M2P00jd/view?usp=drivesdk</x:v>
      </x:c>
    </x:row>
    <x:row r="76">
      <x:c r="A76" s="18" t="str">
        <x:v>Wong 2006</x:v>
      </x:c>
      <x:c r="B76" s="18" t="str">
        <x:v>WONG06_EA_vs_SHAM_OPIOID24</x:v>
      </x:c>
      <x:c r="C76" s="18" t="str">
        <x:v>Postoperative electroacupuncture</x:v>
      </x:c>
      <x:c r="D76" s="18" t="str">
        <x:v>Nonpenetrating sham acupuncture</x:v>
      </x:c>
      <x:c r="E76" s="18" t="str">
        <x:v>Exact total opioid exposure</x:v>
      </x:c>
      <x:c r="F76" s="18" t="str">
        <x:v>0-24 h</x:v>
      </x:c>
      <x:c r="G76" s="18" t="str">
        <x:v>Not reported</x:v>
      </x:c>
      <x:c r="H76" s="18" t="n">
        <x:v>13</x:v>
      </x:c>
      <x:c r="I76" s="18" t="n">
        <x:v>12</x:v>
      </x:c>
      <x:c r="J76" s="18"/>
      <x:c r="K76" s="18"/>
      <x:c r="L76" s="18"/>
      <x:c r="M76" s="18"/>
      <x:c r="N76" s="18" t="str">
        <x:v>mg MME</x:v>
      </x:c>
      <x:c r="O76" s="18" t="str">
        <x:v>No</x:v>
      </x:c>
      <x:c r="P76" s="18" t="str">
        <x:v>No</x:v>
      </x:c>
      <x:c r="Q76" s="18" t="str">
        <x:v>EXCLUDE — DATA UNAVAILABLE</x:v>
      </x:c>
      <x:c r="R76" s="18" t="str">
        <x:v>The source does not provide a defensible quantitative value for this analysis.</x:v>
      </x:c>
      <x:c r="S76" s="18" t="str"/>
      <x:c r="T76" s="18" t="str">
        <x:v>Day labels are not defined as exact consecutive 24-h windows and scheduled dextropropoxyphene contributes additional opioid exposure.</x:v>
      </x:c>
      <x:c r="U76" s="18" t="str">
        <x:v>https://drive.google.com/file/d/1-XmRdgXyZmOmKIDRhL80sxha5M2P00jd/view?usp=drivesdk</x:v>
      </x:c>
    </x:row>
    <x:row r="77">
      <x:c r="A77" s="18" t="str">
        <x:v>El-Rakshy 2009</x:v>
      </x:c>
      <x:c r="B77" s="18" t="str">
        <x:v>ELR09_EA_vs_CTRL_MORPH24</x:v>
      </x:c>
      <x:c r="C77" s="18" t="str">
        <x:v>Intraoperative EA + PCA</x:v>
      </x:c>
      <x:c r="D77" s="18" t="str">
        <x:v>PCA alone/no acupuncture</x:v>
      </x:c>
      <x:c r="E77" s="18" t="str">
        <x:v>Total IV morphine analgesia</x:v>
      </x:c>
      <x:c r="F77" s="18" t="str">
        <x:v>First 24 h</x:v>
      </x:c>
      <x:c r="G77" s="18" t="str">
        <x:v>Mean/SD</x:v>
      </x:c>
      <x:c r="H77" s="18" t="n">
        <x:v>42</x:v>
      </x:c>
      <x:c r="I77" s="18" t="n">
        <x:v>53</x:v>
      </x:c>
      <x:c r="J77" s="18" t="n">
        <x:v>35.3</x:v>
      </x:c>
      <x:c r="K77" s="18" t="n">
        <x:v>18</x:v>
      </x:c>
      <x:c r="L77" s="18" t="n">
        <x:v>36.9</x:v>
      </x:c>
      <x:c r="M77" s="18" t="n">
        <x:v>18</x:v>
      </x:c>
      <x:c r="N77" s="18" t="str">
        <x:v>mg IV morphine</x:v>
      </x:c>
      <x:c r="O77" s="18" t="str">
        <x:v>Yes</x:v>
      </x:c>
      <x:c r="P77" s="18" t="str">
        <x:v>Yes</x:v>
      </x:c>
      <x:c r="Q77" s="18" t="str">
        <x:v>INCLUDE</x:v>
      </x:c>
      <x:c r="R77" s="18" t="str">
        <x:v>Explicit 0-24-h postoperative opioid endpoint and marked eligible in the reconciled source data.</x:v>
      </x:c>
      <x:c r="S77" s="18" t="str"/>
      <x:c r="T77" s="18" t="str">
        <x:v>Publication has irreconcilable allocation/analyzed group labels. Use Table 2 n=42 EA and n=53 control for this result; do not substitute overall study denominators.</x:v>
      </x:c>
      <x:c r="U77" s="18" t="str">
        <x:v>https://drive.google.com/file/d/12AfIox-MgnMU15U-mdvZgaTKnukXKvAR/view?usp=drivesdk</x:v>
      </x:c>
    </x:row>
    <x:row r="78">
      <x:c r="A78" s="18" t="str">
        <x:v>El-Rakshy 2009</x:v>
      </x:c>
      <x:c r="B78" s="18" t="str">
        <x:v>ELR09_EA_vs_CTRL_MORPH4</x:v>
      </x:c>
      <x:c r="C78" s="18" t="str">
        <x:v>Intraoperative EA + PCA</x:v>
      </x:c>
      <x:c r="D78" s="18" t="str">
        <x:v>PCA alone/no acupuncture</x:v>
      </x:c>
      <x:c r="E78" s="18" t="str">
        <x:v>Total IV morphine analgesia</x:v>
      </x:c>
      <x:c r="F78" s="18" t="str">
        <x:v>First 4 h</x:v>
      </x:c>
      <x:c r="G78" s="18" t="str">
        <x:v>Mean/SD</x:v>
      </x:c>
      <x:c r="H78" s="18" t="n">
        <x:v>40</x:v>
      </x:c>
      <x:c r="I78" s="18" t="n">
        <x:v>53</x:v>
      </x:c>
      <x:c r="J78" s="18" t="n">
        <x:v>13.4</x:v>
      </x:c>
      <x:c r="K78" s="18" t="n">
        <x:v>7.5</x:v>
      </x:c>
      <x:c r="L78" s="18" t="n">
        <x:v>13.2</x:v>
      </x:c>
      <x:c r="M78" s="18" t="n">
        <x:v>8.6</x:v>
      </x:c>
      <x:c r="N78" s="18" t="str">
        <x:v>mg IV morphine</x:v>
      </x:c>
      <x:c r="O78" s="18" t="str">
        <x:v>No</x:v>
      </x:c>
      <x:c r="P78" s="18" t="str">
        <x:v>No</x:v>
      </x:c>
      <x:c r="Q78" s="18" t="str">
        <x:v>EXCLUDE — NOT PRIMARY 24H OPIOID</x:v>
      </x:c>
      <x:c r="R78" s="18" t="str">
        <x:v>Not a strict 0-24-h postoperative opioid-consumption endpoint.</x:v>
      </x:c>
      <x:c r="S78" s="18" t="str"/>
      <x:c r="T78" s="18" t="str">
        <x:v>Again preserve outcome-specific n=40 EA and n=53 control.</x:v>
      </x:c>
      <x:c r="U78" s="18" t="str">
        <x:v>https://drive.google.com/file/d/12AfIox-MgnMU15U-mdvZgaTKnukXKvAR/view?usp=drivesdk</x:v>
      </x:c>
    </x:row>
    <x:row r="79">
      <x:c r="A79" s="18" t="str">
        <x:v>An 2014</x:v>
      </x:c>
      <x:c r="B79" s="18" t="str">
        <x:v>AN14_EA_vs_CTRL_FENT48</x:v>
      </x:c>
      <x:c r="C79" s="18" t="str">
        <x:v>Intraoperative electroacupuncture</x:v>
      </x:c>
      <x:c r="D79" s="18" t="str">
        <x:v>No acupuncture control</x:v>
      </x:c>
      <x:c r="E79" s="18" t="str">
        <x:v>Total postoperative fentanyl PCIA dose</x:v>
      </x:c>
      <x:c r="F79" s="18" t="str">
        <x:v>Through reported 48-h PCIA period</x:v>
      </x:c>
      <x:c r="G79" s="18" t="str">
        <x:v>Mean/SD</x:v>
      </x:c>
      <x:c r="H79" s="18" t="n">
        <x:v>41</x:v>
      </x:c>
      <x:c r="I79" s="18" t="n">
        <x:v>40</x:v>
      </x:c>
      <x:c r="J79" s="18" t="n">
        <x:v>0.67</x:v>
      </x:c>
      <x:c r="K79" s="18" t="n">
        <x:v>0.09</x:v>
      </x:c>
      <x:c r="L79" s="18" t="n">
        <x:v>0.73</x:v>
      </x:c>
      <x:c r="M79" s="18" t="n">
        <x:v>0.12</x:v>
      </x:c>
      <x:c r="N79" s="18" t="str">
        <x:v>mg fentanyl</x:v>
      </x:c>
      <x:c r="O79" s="18" t="str">
        <x:v>No</x:v>
      </x:c>
      <x:c r="P79" s="18" t="str">
        <x:v>No</x:v>
      </x:c>
      <x:c r="Q79" s="18" t="str">
        <x:v>EXCLUDE — NOT PRIMARY 24H OPIOID</x:v>
      </x:c>
      <x:c r="R79" s="18" t="str">
        <x:v>Not a strict 0-24-h postoperative opioid-consumption endpoint.</x:v>
      </x:c>
      <x:c r="S79" s="18" t="str"/>
      <x:c r="T79" s="18" t="str">
        <x:v>Seven of 88 randomized patients were excluded from analysis; total fentanyl is not isolated to 0-24 h.</x:v>
      </x:c>
      <x:c r="U79" s="18" t="str">
        <x:v>https://drive.google.com/file/d/1Ygu3g28udKuPe0OS95oge2ryIGNeJ0te/view?usp=drivesdk</x:v>
      </x:c>
    </x:row>
    <x:row r="80">
      <x:c r="A80" s="18" t="str">
        <x:v>An 2014</x:v>
      </x:c>
      <x:c r="B80" s="18" t="str">
        <x:v>AN14_EA_vs_CTRL_OPIOID24</x:v>
      </x:c>
      <x:c r="C80" s="18" t="str">
        <x:v>Intraoperative electroacupuncture</x:v>
      </x:c>
      <x:c r="D80" s="18" t="str">
        <x:v>No acupuncture control</x:v>
      </x:c>
      <x:c r="E80" s="18" t="str">
        <x:v>Exact cumulative postoperative fentanyl</x:v>
      </x:c>
      <x:c r="F80" s="18" t="str">
        <x:v>0-24 h</x:v>
      </x:c>
      <x:c r="G80" s="18" t="str">
        <x:v>Not reported</x:v>
      </x:c>
      <x:c r="H80" s="18" t="n">
        <x:v>41</x:v>
      </x:c>
      <x:c r="I80" s="18" t="n">
        <x:v>40</x:v>
      </x:c>
      <x:c r="J80" s="18"/>
      <x:c r="K80" s="18"/>
      <x:c r="L80" s="18"/>
      <x:c r="M80" s="18"/>
      <x:c r="N80" s="18" t="str">
        <x:v>mg/µg fentanyl</x:v>
      </x:c>
      <x:c r="O80" s="18" t="str">
        <x:v>No</x:v>
      </x:c>
      <x:c r="P80" s="18" t="str">
        <x:v>No</x:v>
      </x:c>
      <x:c r="Q80" s="18" t="str">
        <x:v>EXCLUDE — DATA UNAVAILABLE</x:v>
      </x:c>
      <x:c r="R80" s="18" t="str">
        <x:v>The source does not provide a defensible quantitative value for this analysis.</x:v>
      </x:c>
      <x:c r="S80" s="18" t="str"/>
      <x:c r="T80" s="18" t="str">
        <x:v>Published bolus activity is split 0-6 h and 6-48 h; exact 0-24-h fentanyl cannot be reconstructed.</x:v>
      </x:c>
      <x:c r="U80" s="18" t="str">
        <x:v>https://drive.google.com/file/d/1Ygu3g28udKuPe0OS95oge2ryIGNeJ0te/view?usp=drivesdk</x:v>
      </x:c>
    </x:row>
    <x:row r="81">
      <x:c r="A81" s="18" t="str">
        <x:v>Chen 2015</x:v>
      </x:c>
      <x:c r="B81" s="18" t="str">
        <x:v>CHEN15Q_TEAS_vs_CTRL_RESCUEMORPH24</x:v>
      </x:c>
      <x:c r="C81" s="18" t="str">
        <x:v>Preoperative TEAS</x:v>
      </x:c>
      <x:c r="D81" s="18" t="str">
        <x:v>Electrodes/device with no stimulation</x:v>
      </x:c>
      <x:c r="E81" s="18" t="str">
        <x:v>Cumulative rescue IV morphine dose derived from fixed 2-mg rescue administrations</x:v>
      </x:c>
      <x:c r="F81" s="18" t="str">
        <x:v>0-24 h</x:v>
      </x:c>
      <x:c r="G81" s="18" t="str">
        <x:v>Median/IQR</x:v>
      </x:c>
      <x:c r="H81" s="18" t="n">
        <x:v>41</x:v>
      </x:c>
      <x:c r="I81" s="18" t="n">
        <x:v>42</x:v>
      </x:c>
      <x:c r="J81" s="18" t="n">
        <x:v>2</x:v>
      </x:c>
      <x:c r="K81" s="18" t="str">
        <x:v>2–6</x:v>
      </x:c>
      <x:c r="L81" s="18" t="n">
        <x:v>7</x:v>
      </x:c>
      <x:c r="M81" s="18" t="str">
        <x:v>4–14</x:v>
      </x:c>
      <x:c r="N81" s="18" t="str">
        <x:v>mg IV morphine</x:v>
      </x:c>
      <x:c r="O81" s="18" t="str">
        <x:v>Yes</x:v>
      </x:c>
      <x:c r="P81" s="18" t="str">
        <x:v>Conditional</x:v>
      </x:c>
      <x:c r="Q81" s="18" t="str">
        <x:v>CONDITIONAL</x:v>
      </x:c>
      <x:c r="R81" s="18" t="str">
        <x:v>24-h opioid endpoint exists but requires a prespecified route/unit/time-window or derived-value rule.</x:v>
      </x:c>
      <x:c r="S81" s="18" t="str"/>
      <x:c r="T81" s="18" t="str">
        <x:v>Source reports rescue-administration count 1 (1-3) vs 3.5 (2-7); each rescue administration was fixed at morphine 2 mg. Linear conversion to mg is exact, but the source itself reports counts rather than dose.</x:v>
      </x:c>
      <x:c r="U81" s="18" t="str">
        <x:v>https://drive.google.com/file/d/1ZtE8GImDcpDJH1tOvzqazoh_S4Gd67oH/view?usp=drivesdk</x:v>
      </x:c>
    </x:row>
    <x:row r="82">
      <x:c r="A82" s="18" t="str">
        <x:v>Chen 2015 (Hyperalgesia)</x:v>
      </x:c>
      <x:c r="B82" s="18" t="str">
        <x:v>CHEN15H_TEAS_vs_SHAM_SUFKG24</x:v>
      </x:c>
      <x:c r="C82" s="18" t="str">
        <x:v>Preoperative TEAS</x:v>
      </x:c>
      <x:c r="D82" s="18" t="str">
        <x:v>Electrodes/no-current sham</x:v>
      </x:c>
      <x:c r="E82" s="18" t="str">
        <x:v>Derived cumulative sufentanil dose from fixed 0.05 µg/kg bolus</x:v>
      </x:c>
      <x:c r="F82" s="18" t="str">
        <x:v>0-24 h</x:v>
      </x:c>
      <x:c r="G82" s="18" t="str">
        <x:v>Median/IQR</x:v>
      </x:c>
      <x:c r="H82" s="18" t="n">
        <x:v>29</x:v>
      </x:c>
      <x:c r="I82" s="18" t="n">
        <x:v>30</x:v>
      </x:c>
      <x:c r="J82" s="18" t="n">
        <x:v>0.15</x:v>
      </x:c>
      <x:c r="K82" s="18" t="str">
        <x:v>0.1–0.2</x:v>
      </x:c>
      <x:c r="L82" s="18" t="n">
        <x:v>0.35</x:v>
      </x:c>
      <x:c r="M82" s="18" t="str">
        <x:v>0.3–0.4</x:v>
      </x:c>
      <x:c r="N82" s="18" t="str">
        <x:v>µg/kg sufentanil</x:v>
      </x:c>
      <x:c r="O82" s="18" t="str">
        <x:v>Yes</x:v>
      </x:c>
      <x:c r="P82" s="18" t="str">
        <x:v>Conditional</x:v>
      </x:c>
      <x:c r="Q82" s="18" t="str">
        <x:v>CONDITIONAL</x:v>
      </x:c>
      <x:c r="R82" s="18" t="str">
        <x:v>24-h opioid endpoint exists but requires a prespecified route/unit/time-window or derived-value rule.</x:v>
      </x:c>
      <x:c r="S82" s="18" t="str"/>
      <x:c r="T82" s="18" t="str">
        <x:v>Exact linear conversion from 0.05 µg/kg per bolus × reported bolus count. Do not convert to absolute µg or MME without individual body weights.</x:v>
      </x:c>
      <x:c r="U82" s="18" t="str">
        <x:v>https://drive.google.com/file/d/13YKAZZsc2VQEPqkw1Ye40BYDZSRpI6N3/view?usp=drivesdk</x:v>
      </x:c>
    </x:row>
  </x:sheetData>
  <x:conditionalFormatting sqref="Q2:Q82">
    <x:cfRule type="expression" dxfId="42" priority="1">
      <x:formula>LEFT(Q2,7)="INCLUDE"</x:formula>
    </x:cfRule>
    <x:cfRule type="expression" dxfId="43" priority="2">
      <x:formula>LEFT(Q2,11)="CONDITIONAL"</x:formula>
    </x:cfRule>
    <x:cfRule type="expression" dxfId="44" priority="3">
      <x:formula>LEFT(Q2,7)="EXCLUDE"</x:formula>
    </x:cfRule>
    <x:cfRule type="expression" dxfId="45" priority="4">
      <x:formula>Q2="DUPLICATE HOLD"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24" max="24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</x:cols>
  <x:sheetData>
    <x:row r="1">
      <x:c r="A1" s="67" t="str">
        <x:v>Canonical study</x:v>
      </x:c>
      <x:c r="B1" s="67" t="str">
        <x:v>Comparison ID</x:v>
      </x:c>
      <x:c r="C1" s="67" t="str">
        <x:v>Intervention arm</x:v>
      </x:c>
      <x:c r="D1" s="67" t="str">
        <x:v>Comparator arm</x:v>
      </x:c>
      <x:c r="E1" s="67" t="str">
        <x:v>Outcome/result</x:v>
      </x:c>
      <x:c r="F1" s="67" t="str">
        <x:v>Timepoint/window</x:v>
      </x:c>
      <x:c r="G1" s="67" t="str">
        <x:v>Data type</x:v>
      </x:c>
      <x:c r="H1" s="67" t="str">
        <x:v>Randomized n intervention</x:v>
      </x:c>
      <x:c r="I1" s="67" t="str">
        <x:v>Randomized n comparator</x:v>
      </x:c>
      <x:c r="J1" s="67" t="str">
        <x:v>Analyzed n intervention</x:v>
      </x:c>
      <x:c r="K1" s="67" t="str">
        <x:v>Analyzed n comparator</x:v>
      </x:c>
      <x:c r="L1" s="67" t="str">
        <x:v>Mean intervention</x:v>
      </x:c>
      <x:c r="M1" s="67" t="str">
        <x:v>SD intervention</x:v>
      </x:c>
      <x:c r="N1" s="67" t="str">
        <x:v>Median intervention</x:v>
      </x:c>
      <x:c r="O1" s="67" t="str">
        <x:v>Q1 intervention</x:v>
      </x:c>
      <x:c r="P1" s="67" t="str">
        <x:v>Q3 intervention</x:v>
      </x:c>
      <x:c r="Q1" s="67" t="str">
        <x:v>Events intervention</x:v>
      </x:c>
      <x:c r="R1" s="67" t="str">
        <x:v>Mean comparator</x:v>
      </x:c>
      <x:c r="S1" s="67" t="str">
        <x:v>SD comparator</x:v>
      </x:c>
      <x:c r="T1" s="67" t="str">
        <x:v>Median comparator</x:v>
      </x:c>
      <x:c r="U1" s="67" t="str">
        <x:v>Q1 comparator</x:v>
      </x:c>
      <x:c r="V1" s="67" t="str">
        <x:v>Q3 comparator</x:v>
      </x:c>
      <x:c r="W1" s="67" t="str">
        <x:v>Events comparator</x:v>
      </x:c>
      <x:c r="X1" s="67" t="str">
        <x:v>Unit/scale</x:v>
      </x:c>
      <x:c r="Y1" s="67" t="str">
        <x:v>Reported P</x:v>
      </x:c>
      <x:c r="Z1" s="67" t="str">
        <x:v>Derived effect measure</x:v>
      </x:c>
      <x:c r="AA1" s="67" t="str">
        <x:v>Derived effect</x:v>
      </x:c>
      <x:c r="AB1" s="67" t="str">
        <x:v>Analysis readiness</x:v>
      </x:c>
      <x:c r="AC1" s="67" t="str">
        <x:v>Readiness reason</x:v>
      </x:c>
      <x:c r="AD1" s="67" t="str">
        <x:v>Duplicate/overlap cluster</x:v>
      </x:c>
      <x:c r="AE1" s="67" t="str">
        <x:v>Conversion/handling needed</x:v>
      </x:c>
      <x:c r="AF1" s="67" t="str">
        <x:v>Selected RoB2 overall judgment</x:v>
      </x:c>
      <x:c r="AG1" s="67" t="str">
        <x:v>Additional outcome-specific RoB needed?</x:v>
      </x:c>
      <x:c r="AH1" s="67" t="str">
        <x:v>Independent randomized-study unit</x:v>
      </x:c>
      <x:c r="AI1" s="67" t="str">
        <x:v>Recommended comparison role</x:v>
      </x:c>
      <x:c r="AJ1" s="67" t="str">
        <x:v>Independent-study counting note</x:v>
      </x:c>
      <x:c r="AK1" s="67" t="str">
        <x:v>Source-QC issue</x:v>
      </x:c>
      <x:c r="AL1" s="67" t="str">
        <x:v>Source PDF URL</x:v>
      </x:c>
    </x:row>
    <x:row r="2">
      <x:c r="A2" s="18" t="str">
        <x:v>Seevaunnamtum 2016</x:v>
      </x:c>
      <x:c r="B2" s="18" t="str">
        <x:v>SEEVA16_EA_vs_UC</x:v>
      </x:c>
      <x:c r="C2" s="18" t="str">
        <x:v>Intraoperative EA</x:v>
      </x:c>
      <x:c r="D2" s="18" t="str">
        <x:v>Standard care</x:v>
      </x:c>
      <x:c r="E2" s="18" t="str">
        <x:v>Cumulative IV PCA morphine requirement</x:v>
      </x:c>
      <x:c r="F2" s="18" t="str">
        <x:v>First 24 h postoperatively</x:v>
      </x:c>
      <x:c r="G2" s="18" t="str">
        <x:v>Mean/SD</x:v>
      </x:c>
      <x:c r="H2" s="18" t="n">
        <x:v>32</x:v>
      </x:c>
      <x:c r="I2" s="18" t="n">
        <x:v>32</x:v>
      </x:c>
      <x:c r="J2" s="18" t="n">
        <x:v>32</x:v>
      </x:c>
      <x:c r="K2" s="18" t="n">
        <x:v>32</x:v>
      </x:c>
      <x:c r="L2" s="18" t="n">
        <x:v>21.38</x:v>
      </x:c>
      <x:c r="M2" s="18" t="n">
        <x:v>14.38</x:v>
      </x:c>
      <x:c r="N2" s="18"/>
      <x:c r="O2" s="18"/>
      <x:c r="P2" s="18"/>
      <x:c r="Q2" s="18"/>
      <x:c r="R2" s="18" t="n">
        <x:v>33.94</x:v>
      </x:c>
      <x:c r="S2" s="18" t="n">
        <x:v>20.24</x:v>
      </x:c>
      <x:c r="T2" s="18"/>
      <x:c r="U2" s="18"/>
      <x:c r="V2" s="18"/>
      <x:c r="W2" s="18"/>
      <x:c r="X2" s="18" t="str">
        <x:v>mg morphine</x:v>
      </x:c>
      <x:c r="Y2" s="18" t="str">
        <x:v>0.006</x:v>
      </x:c>
      <x:c r="Z2" s="18" t="str">
        <x:v>MD</x:v>
      </x:c>
      <x:c r="AA2" s="18" t="n">
        <x:v>-12.559999999999999</x:v>
      </x:c>
      <x:c r="AB2" s="18" t="str">
        <x:v>INCLUDE</x:v>
      </x:c>
      <x:c r="AC2" s="18" t="str">
        <x:v>Explicit 0-24-h postoperative opioid endpoint and marked eligible in the reconciled source data.</x:v>
      </x:c>
      <x:c r="AD2" s="18"/>
      <x:c r="AE2" s="18" t="str">
        <x:v>None</x:v>
      </x:c>
      <x:c r="AF2" s="18" t="str">
        <x:v>Some concerns</x:v>
      </x:c>
      <x:c r="AG2" s="18" t="str">
        <x:v>Yes — selected RoB is for a different result/timepoint</x:v>
      </x:c>
      <x:c r="AH2" s="18" t="str">
        <x:v>Seevaunnamtum 2016</x:v>
      </x:c>
      <x:c r="AI2" s="18" t="str">
        <x:v>Primary eligible contrast</x:v>
      </x:c>
      <x:c r="AJ2" s="18" t="str">
        <x:v>Count this study once per synthesis unless a valid multi-arm method is used.</x:v>
      </x:c>
      <x:c r="AK2" s="18" t="str">
        <x:v>No allocation-concealment method reported</x:v>
      </x:c>
      <x:c r="AL2" s="18" t="str">
        <x:v>https://drive.google.com/file/d/1OhuqhDUCEmOij7fZFhHHCJNwfQ9xpMzd/view?usp=drivesdk</x:v>
      </x:c>
    </x:row>
    <x:row r="3">
      <x:c r="A3" s="18" t="str">
        <x:v>Chen 1998</x:v>
      </x:c>
      <x:c r="B3" s="18" t="str">
        <x:v>CHEN98_NONACU_vs_SHAM</x:v>
      </x:c>
      <x:c r="C3" s="18" t="str">
        <x:v>Active nonacupoint shoulder TENS</x:v>
      </x:c>
      <x:c r="D3" s="18" t="str">
        <x:v>Sham ST36 TENS (0 mA)</x:v>
      </x:c>
      <x:c r="E3" s="18" t="str">
        <x:v>Cumulative IV PCA hydromorphone</x:v>
      </x:c>
      <x:c r="F3" s="18" t="str">
        <x:v>First 24 h postoperatively</x:v>
      </x:c>
      <x:c r="G3" s="18" t="str">
        <x:v>Mean/SD</x:v>
      </x:c>
      <x:c r="H3" s="18" t="n">
        <x:v>25</x:v>
      </x:c>
      <x:c r="I3" s="18" t="n">
        <x:v>25</x:v>
      </x:c>
      <x:c r="J3" s="18" t="n">
        <x:v>25</x:v>
      </x:c>
      <x:c r="K3" s="18" t="n">
        <x:v>25</x:v>
      </x:c>
      <x:c r="L3" s="18" t="n">
        <x:v>10.5</x:v>
      </x:c>
      <x:c r="M3" s="18" t="n">
        <x:v>6.2</x:v>
      </x:c>
      <x:c r="N3" s="18"/>
      <x:c r="O3" s="18"/>
      <x:c r="P3" s="18"/>
      <x:c r="Q3" s="18"/>
      <x:c r="R3" s="18" t="n">
        <x:v>10.7</x:v>
      </x:c>
      <x:c r="S3" s="18" t="n">
        <x:v>5</x:v>
      </x:c>
      <x:c r="T3" s="18"/>
      <x:c r="U3" s="18"/>
      <x:c r="V3" s="18"/>
      <x:c r="W3" s="18"/>
      <x:c r="X3" s="18" t="str">
        <x:v>mg hydromorphone</x:v>
      </x:c>
      <x:c r="Y3" s="18"/>
      <x:c r="Z3" s="18" t="str">
        <x:v>MD</x:v>
      </x:c>
      <x:c r="AA3" s="18" t="n">
        <x:v>-0.1999999999999993</x:v>
      </x:c>
      <x:c r="AB3" s="18" t="str">
        <x:v>INCLUDE</x:v>
      </x:c>
      <x:c r="AC3" s="18" t="str">
        <x:v>Explicit 0-24-h postoperative opioid endpoint and marked eligible in the reconciled source data.</x:v>
      </x:c>
      <x:c r="AD3" s="18"/>
      <x:c r="AE3" s="18" t="str">
        <x:v>Opioid/MME conversion required using prespecified review conversion</x:v>
      </x:c>
      <x:c r="AF3" s="18" t="str">
        <x:v>Some concerns</x:v>
      </x:c>
      <x:c r="AG3" s="18" t="str">
        <x:v>No — selected RoB matches this result</x:v>
      </x:c>
      <x:c r="AH3" s="18" t="str">
        <x:v>Chen 1998</x:v>
      </x:c>
      <x:c r="AI3" s="18" t="str">
        <x:v>Preferred acupoint-specific contrast</x:v>
      </x:c>
      <x:c r="AJ3" s="18" t="str">
        <x:v>Four-arm RCT with shared sham; do not count three active-vs-sham rows as three independent studies.</x:v>
      </x:c>
      <x:c r="AK3" s="18" t="str">
        <x:v>Four-arm RCT; shared sham control must be handled correctly</x:v>
      </x:c>
      <x:c r="AL3" s="18" t="str">
        <x:v>https://drive.google.com/file/d/1lUyYj9aN1CL9RpY86ZY0970To83Kb17s/view?usp=drivesdk</x:v>
      </x:c>
    </x:row>
    <x:row r="4">
      <x:c r="A4" s="18" t="str">
        <x:v>Chen 1998</x:v>
      </x:c>
      <x:c r="B4" s="18" t="str">
        <x:v>CHEN98_DERM_vs_SHAM</x:v>
      </x:c>
      <x:c r="C4" s="18" t="str">
        <x:v>Active dermatomal/peri-incisional TENS</x:v>
      </x:c>
      <x:c r="D4" s="18" t="str">
        <x:v>Sham ST36 TENS (0 mA)</x:v>
      </x:c>
      <x:c r="E4" s="18" t="str">
        <x:v>Cumulative IV PCA hydromorphone</x:v>
      </x:c>
      <x:c r="F4" s="18" t="str">
        <x:v>First 24 h postoperatively</x:v>
      </x:c>
      <x:c r="G4" s="18" t="str">
        <x:v>Mean/SD</x:v>
      </x:c>
      <x:c r="H4" s="18" t="n">
        <x:v>25</x:v>
      </x:c>
      <x:c r="I4" s="18" t="n">
        <x:v>25</x:v>
      </x:c>
      <x:c r="J4" s="18" t="n">
        <x:v>25</x:v>
      </x:c>
      <x:c r="K4" s="18" t="n">
        <x:v>25</x:v>
      </x:c>
      <x:c r="L4" s="18" t="n">
        <x:v>6.8</x:v>
      </x:c>
      <x:c r="M4" s="18" t="n">
        <x:v>4.2</x:v>
      </x:c>
      <x:c r="N4" s="18"/>
      <x:c r="O4" s="18"/>
      <x:c r="P4" s="18"/>
      <x:c r="Q4" s="18"/>
      <x:c r="R4" s="18" t="n">
        <x:v>10.7</x:v>
      </x:c>
      <x:c r="S4" s="18" t="n">
        <x:v>5</x:v>
      </x:c>
      <x:c r="T4" s="18"/>
      <x:c r="U4" s="18"/>
      <x:c r="V4" s="18"/>
      <x:c r="W4" s="18"/>
      <x:c r="X4" s="18" t="str">
        <x:v>mg hydromorphone</x:v>
      </x:c>
      <x:c r="Y4" s="18"/>
      <x:c r="Z4" s="18" t="str">
        <x:v>MD</x:v>
      </x:c>
      <x:c r="AA4" s="18" t="n">
        <x:v>-3.8999999999999995</x:v>
      </x:c>
      <x:c r="AB4" s="18" t="str">
        <x:v>INCLUDE</x:v>
      </x:c>
      <x:c r="AC4" s="18" t="str">
        <x:v>Explicit 0-24-h postoperative opioid endpoint and marked eligible in the reconciled source data.</x:v>
      </x:c>
      <x:c r="AD4" s="18"/>
      <x:c r="AE4" s="18" t="str">
        <x:v>Opioid/MME conversion required using prespecified review conversion</x:v>
      </x:c>
      <x:c r="AF4" s="18" t="str">
        <x:v>Some concerns</x:v>
      </x:c>
      <x:c r="AG4" s="18" t="str">
        <x:v>No — selected RoB matches this result</x:v>
      </x:c>
      <x:c r="AH4" s="18" t="str">
        <x:v>Chen 1998</x:v>
      </x:c>
      <x:c r="AI4" s="18" t="str">
        <x:v>Alternative active-site contrast</x:v>
      </x:c>
      <x:c r="AJ4" s="18" t="str">
        <x:v>Four-arm RCT with shared sham; do not count three active-vs-sham rows as three independent studies.</x:v>
      </x:c>
      <x:c r="AK4" s="18" t="str">
        <x:v>Four-arm RCT; shared sham control must be handled correctly</x:v>
      </x:c>
      <x:c r="AL4" s="18" t="str">
        <x:v>https://drive.google.com/file/d/1lUyYj9aN1CL9RpY86ZY0970To83Kb17s/view?usp=drivesdk</x:v>
      </x:c>
    </x:row>
    <x:row r="5">
      <x:c r="A5" s="18" t="str">
        <x:v>Chen 1998</x:v>
      </x:c>
      <x:c r="B5" s="18" t="str">
        <x:v>CHEN98_ACU_vs_SHAM</x:v>
      </x:c>
      <x:c r="C5" s="18" t="str">
        <x:v>Active ST36 acupoint TENS</x:v>
      </x:c>
      <x:c r="D5" s="18" t="str">
        <x:v>Sham ST36 TENS (0 mA)</x:v>
      </x:c>
      <x:c r="E5" s="18" t="str">
        <x:v>Cumulative IV PCA hydromorphone</x:v>
      </x:c>
      <x:c r="F5" s="18" t="str">
        <x:v>First 24 h postoperatively</x:v>
      </x:c>
      <x:c r="G5" s="18" t="str">
        <x:v>Mean/SD</x:v>
      </x:c>
      <x:c r="H5" s="18" t="n">
        <x:v>25</x:v>
      </x:c>
      <x:c r="I5" s="18" t="n">
        <x:v>25</x:v>
      </x:c>
      <x:c r="J5" s="18" t="n">
        <x:v>25</x:v>
      </x:c>
      <x:c r="K5" s="18" t="n">
        <x:v>25</x:v>
      </x:c>
      <x:c r="L5" s="18" t="n">
        <x:v>6.5</x:v>
      </x:c>
      <x:c r="M5" s="18" t="n">
        <x:v>3.5</x:v>
      </x:c>
      <x:c r="N5" s="18"/>
      <x:c r="O5" s="18"/>
      <x:c r="P5" s="18"/>
      <x:c r="Q5" s="18"/>
      <x:c r="R5" s="18" t="n">
        <x:v>10.7</x:v>
      </x:c>
      <x:c r="S5" s="18" t="n">
        <x:v>5</x:v>
      </x:c>
      <x:c r="T5" s="18"/>
      <x:c r="U5" s="18"/>
      <x:c r="V5" s="18"/>
      <x:c r="W5" s="18"/>
      <x:c r="X5" s="18" t="str">
        <x:v>mg hydromorphone</x:v>
      </x:c>
      <x:c r="Y5" s="18"/>
      <x:c r="Z5" s="18" t="str">
        <x:v>MD</x:v>
      </x:c>
      <x:c r="AA5" s="18" t="n">
        <x:v>-4.199999999999999</x:v>
      </x:c>
      <x:c r="AB5" s="18" t="str">
        <x:v>INCLUDE</x:v>
      </x:c>
      <x:c r="AC5" s="18" t="str">
        <x:v>Explicit 0-24-h postoperative opioid endpoint and marked eligible in the reconciled source data.</x:v>
      </x:c>
      <x:c r="AD5" s="18"/>
      <x:c r="AE5" s="18" t="str">
        <x:v>Opioid/MME conversion required using prespecified review conversion</x:v>
      </x:c>
      <x:c r="AF5" s="18" t="str">
        <x:v>Some concerns</x:v>
      </x:c>
      <x:c r="AG5" s="18" t="str">
        <x:v>No — selected RoB matches this result</x:v>
      </x:c>
      <x:c r="AH5" s="18" t="str">
        <x:v>Chen 1998</x:v>
      </x:c>
      <x:c r="AI5" s="18" t="str">
        <x:v>Preferred acupoint-specific contrast</x:v>
      </x:c>
      <x:c r="AJ5" s="18" t="str">
        <x:v>Four-arm RCT with shared sham; do not count three active-vs-sham rows as three independent studies.</x:v>
      </x:c>
      <x:c r="AK5" s="18" t="str">
        <x:v>Four-arm RCT; shared sham control must be handled correctly</x:v>
      </x:c>
      <x:c r="AL5" s="18" t="str">
        <x:v>https://drive.google.com/file/d/1lUyYj9aN1CL9RpY86ZY0970To83Kb17s/view?usp=drivesdk</x:v>
      </x:c>
    </x:row>
    <x:row r="6">
      <x:c r="A6" s="18" t="str">
        <x:v>Chen 2020</x:v>
      </x:c>
      <x:c r="B6" s="18" t="str">
        <x:v>CHEN20_TEAS_vs_SHAM</x:v>
      </x:c>
      <x:c r="C6" s="18" t="str">
        <x:v>Perioperative TEAS</x:v>
      </x:c>
      <x:c r="D6" s="18" t="str">
        <x:v>Sham low/zero-current protocol</x:v>
      </x:c>
      <x:c r="E6" s="18" t="str">
        <x:v>Cumulative sufentanil</x:v>
      </x:c>
      <x:c r="F6" s="18" t="str">
        <x:v>24 h postoperatively</x:v>
      </x:c>
      <x:c r="G6" s="18" t="str">
        <x:v>Mean/SD</x:v>
      </x:c>
      <x:c r="H6" s="18" t="n">
        <x:v>40</x:v>
      </x:c>
      <x:c r="I6" s="18" t="n">
        <x:v>40</x:v>
      </x:c>
      <x:c r="J6" s="18" t="n">
        <x:v>40</x:v>
      </x:c>
      <x:c r="K6" s="18" t="n">
        <x:v>40</x:v>
      </x:c>
      <x:c r="L6" s="18" t="n">
        <x:v>72.43</x:v>
      </x:c>
      <x:c r="M6" s="18" t="n">
        <x:v>4.78</x:v>
      </x:c>
      <x:c r="N6" s="18"/>
      <x:c r="O6" s="18"/>
      <x:c r="P6" s="18"/>
      <x:c r="Q6" s="18"/>
      <x:c r="R6" s="18" t="n">
        <x:v>100.62</x:v>
      </x:c>
      <x:c r="S6" s="18" t="n">
        <x:v>10.2</x:v>
      </x:c>
      <x:c r="T6" s="18"/>
      <x:c r="U6" s="18"/>
      <x:c r="V6" s="18"/>
      <x:c r="W6" s="18"/>
      <x:c r="X6" s="18" t="str">
        <x:v>µg sufentanil</x:v>
      </x:c>
      <x:c r="Y6" s="18"/>
      <x:c r="Z6" s="18" t="str">
        <x:v>MD</x:v>
      </x:c>
      <x:c r="AA6" s="18" t="n">
        <x:v>-28.189999999999998</x:v>
      </x:c>
      <x:c r="AB6" s="18" t="str">
        <x:v>INCLUDE</x:v>
      </x:c>
      <x:c r="AC6" s="18" t="str">
        <x:v>Explicit 0-24-h postoperative opioid endpoint and marked eligible in the reconciled source data.</x:v>
      </x:c>
      <x:c r="AD6" s="18"/>
      <x:c r="AE6" s="18" t="str">
        <x:v>Opioid/MME conversion required using prespecified review conversion</x:v>
      </x:c>
      <x:c r="AF6" s="18" t="str">
        <x:v>Some concerns</x:v>
      </x:c>
      <x:c r="AG6" s="18" t="str">
        <x:v>No — selected RoB matches this result</x:v>
      </x:c>
      <x:c r="AH6" s="18" t="str">
        <x:v>Chen 2020</x:v>
      </x:c>
      <x:c r="AI6" s="18" t="str">
        <x:v>Primary eligible contrast</x:v>
      </x:c>
      <x:c r="AJ6" s="18" t="str">
        <x:v>Count this study once per synthesis unless a valid multi-arm method is used.</x:v>
      </x:c>
      <x:c r="AK6" s="18" t="str">
        <x:v>Sham was 4 mA pre/postoperatively but 0 mA intraoperatively; preserve this nuance</x:v>
      </x:c>
      <x:c r="AL6" s="18" t="str">
        <x:v>https://drive.google.com/file/d/1y0_cC1NCl5g2vYxDMOtYmxVA_YEE-rsR/view?usp=drivesdk</x:v>
      </x:c>
    </x:row>
    <x:row r="7">
      <x:c r="A7" s="18" t="str">
        <x:v>Coura 2011</x:v>
      </x:c>
      <x:c r="B7" s="18" t="str">
        <x:v>COURA11_EA_vs_SHAM</x:v>
      </x:c>
      <x:c r="C7" s="18" t="str">
        <x:v>Preoperative EA</x:v>
      </x:c>
      <x:c r="D7" s="18" t="str">
        <x:v>Sham stimulation</x:v>
      </x:c>
      <x:c r="E7" s="18" t="str">
        <x:v>Cumulative fentanyl</x:v>
      </x:c>
      <x:c r="F7" s="18" t="str">
        <x:v>First 24 h postoperatively</x:v>
      </x:c>
      <x:c r="G7" s="18" t="str">
        <x:v>Mean/SD</x:v>
      </x:c>
      <x:c r="H7" s="18" t="n">
        <x:v>16</x:v>
      </x:c>
      <x:c r="I7" s="18" t="n">
        <x:v>16</x:v>
      </x:c>
      <x:c r="J7" s="18" t="n">
        <x:v>13</x:v>
      </x:c>
      <x:c r="K7" s="18" t="n">
        <x:v>9</x:v>
      </x:c>
      <x:c r="L7" s="18" t="n">
        <x:v>13.1</x:v>
      </x:c>
      <x:c r="M7" s="18" t="n">
        <x:v>2.2</x:v>
      </x:c>
      <x:c r="N7" s="18"/>
      <x:c r="O7" s="18"/>
      <x:c r="P7" s="18"/>
      <x:c r="Q7" s="18"/>
      <x:c r="R7" s="18" t="n">
        <x:v>16.3</x:v>
      </x:c>
      <x:c r="S7" s="18" t="n">
        <x:v>1.6</x:v>
      </x:c>
      <x:c r="T7" s="18"/>
      <x:c r="U7" s="18"/>
      <x:c r="V7" s="18"/>
      <x:c r="W7" s="18"/>
      <x:c r="X7" s="18" t="str">
        <x:v>µg/kg fentanyl</x:v>
      </x:c>
      <x:c r="Y7" s="18"/>
      <x:c r="Z7" s="18" t="str">
        <x:v>MD</x:v>
      </x:c>
      <x:c r="AA7" s="18" t="n">
        <x:v>-3.200000000000001</x:v>
      </x:c>
      <x:c r="AB7" s="18" t="str">
        <x:v>CONDITIONAL</x:v>
      </x:c>
      <x:c r="AC7" s="18" t="str">
        <x:v>24-h opioid endpoint exists but requires a prespecified route/unit/time-window or derived-value rule.</x:v>
      </x:c>
      <x:c r="AD7" s="18"/>
      <x:c r="AE7" s="18" t="str">
        <x:v>Opioid/MME conversion required using prespecified review conversion</x:v>
      </x:c>
      <x:c r="AF7" s="18" t="str">
        <x:v>High</x:v>
      </x:c>
      <x:c r="AG7" s="18" t="str">
        <x:v>No — selected RoB matches this result</x:v>
      </x:c>
      <x:c r="AH7" s="18" t="str">
        <x:v>Coura 2011</x:v>
      </x:c>
      <x:c r="AI7" s="18" t="str">
        <x:v>Primary eligible contrast</x:v>
      </x:c>
      <x:c r="AJ7" s="18" t="str">
        <x:v>Count this study once per synthesis unless a valid multi-arm method is used.</x:v>
      </x:c>
      <x:c r="AK7" s="18" t="str">
        <x:v>10/32 post-randomization exclusions; supplemental morphine/fentanyl inclusion unclear</x:v>
      </x:c>
      <x:c r="AL7" s="18" t="str">
        <x:v>https://drive.google.com/file/d/120NJxCmxsdiyqWTXzjmaUWAaVa1i8iZz/view?usp=drivesdk</x:v>
      </x:c>
    </x:row>
    <x:row r="8">
      <x:c r="A8" s="18" t="str">
        <x:v>Zhou 2021</x:v>
      </x:c>
      <x:c r="B8" s="18" t="str">
        <x:v>ZHOU21_TEAS_vs_UC_OPIOIDUSE</x:v>
      </x:c>
      <x:c r="C8" s="18" t="str">
        <x:v>Postoperative TEAS + ERAS</x:v>
      </x:c>
      <x:c r="D8" s="18" t="str">
        <x:v>ERAS/usual care</x:v>
      </x:c>
      <x:c r="E8" s="18" t="str">
        <x:v>Any postoperative opioid use</x:v>
      </x:c>
      <x:c r="F8" s="18" t="str">
        <x:v>Postoperative window not clearly defined as 0-24 h</x:v>
      </x:c>
      <x:c r="G8" s="18" t="str">
        <x:v>Events/total</x:v>
      </x:c>
      <x:c r="H8" s="18" t="n">
        <x:v>41</x:v>
      </x:c>
      <x:c r="I8" s="18" t="n">
        <x:v>41</x:v>
      </x:c>
      <x:c r="J8" s="18" t="n">
        <x:v>41</x:v>
      </x:c>
      <x:c r="K8" s="18" t="n">
        <x:v>40</x:v>
      </x:c>
      <x:c r="L8" s="18"/>
      <x:c r="M8" s="18"/>
      <x:c r="N8" s="18"/>
      <x:c r="O8" s="18"/>
      <x:c r="P8" s="18"/>
      <x:c r="Q8" s="18" t="n">
        <x:v>18</x:v>
      </x:c>
      <x:c r="R8" s="18"/>
      <x:c r="S8" s="18"/>
      <x:c r="T8" s="18"/>
      <x:c r="U8" s="18"/>
      <x:c r="V8" s="18"/>
      <x:c r="W8" s="18" t="n">
        <x:v>30</x:v>
      </x:c>
      <x:c r="X8" s="18" t="str">
        <x:v>participants</x:v>
      </x:c>
      <x:c r="Y8" s="18" t="str">
        <x:v>0.004</x:v>
      </x:c>
      <x:c r="Z8" s="18" t="str">
        <x:v>RR</x:v>
      </x:c>
      <x:c r="AA8" s="18" t="n">
        <x:v>0.5853658536585366</x:v>
      </x:c>
      <x:c r="AB8" s="18" t="str">
        <x:v>CONDITIONAL</x:v>
      </x:c>
      <x:c r="AC8" s="18" t="str">
        <x:v>Published postoperative opioid endpoint is relevant but does not meet the strict primary 0-24-h definition without an explicit protocol rule.</x:v>
      </x:c>
      <x:c r="AD8" s="18"/>
      <x:c r="AE8" s="18" t="str">
        <x:v>None</x:v>
      </x:c>
      <x:c r="AF8" s="18" t="str">
        <x:v>High</x:v>
      </x:c>
      <x:c r="AG8" s="18" t="str">
        <x:v>Yes — selected RoB is for a different result/timepoint</x:v>
      </x:c>
      <x:c r="AH8" s="18" t="str">
        <x:v>Zhou 2021</x:v>
      </x:c>
      <x:c r="AI8" s="18" t="str">
        <x:v>Primary eligible contrast</x:v>
      </x:c>
      <x:c r="AJ8" s="18" t="str">
        <x:v>Count this study once per synthesis unless a valid multi-arm method is used.</x:v>
      </x:c>
      <x:c r="AK8" s="18" t="str">
        <x:v>Exact postoperative time window is not clearly stated</x:v>
      </x:c>
      <x:c r="AL8" s="18" t="str">
        <x:v>https://drive.google.com/file/d/1PxYyULBv_ZjWeqAm_bNYkDn_j2_lNYLq/view?usp=drivesdk</x:v>
      </x:c>
    </x:row>
    <x:row r="9">
      <x:c r="A9" s="18" t="str">
        <x:v>Zhang 2025</x:v>
      </x:c>
      <x:c r="B9" s="18" t="str">
        <x:v>ZHANG25_TEAS_vs_SHAM_SUFPOD1</x:v>
      </x:c>
      <x:c r="C9" s="18" t="str">
        <x:v>Perioperative TEAS</x:v>
      </x:c>
      <x:c r="D9" s="18" t="str">
        <x:v>Sub-sensory sham</x:v>
      </x:c>
      <x:c r="E9" s="18" t="str">
        <x:v>Total sufentanil consumption</x:v>
      </x:c>
      <x:c r="F9" s="18" t="str">
        <x:v>POD1; approximately 24 h but exact clock window not explicit</x:v>
      </x:c>
      <x:c r="G9" s="18" t="str">
        <x:v>Mean/SD</x:v>
      </x:c>
      <x:c r="H9" s="18" t="n">
        <x:v>54</x:v>
      </x:c>
      <x:c r="I9" s="18" t="n">
        <x:v>54</x:v>
      </x:c>
      <x:c r="J9" s="18" t="n">
        <x:v>45</x:v>
      </x:c>
      <x:c r="K9" s="18" t="n">
        <x:v>48</x:v>
      </x:c>
      <x:c r="L9" s="18" t="n">
        <x:v>50.53</x:v>
      </x:c>
      <x:c r="M9" s="18" t="n">
        <x:v>4.46</x:v>
      </x:c>
      <x:c r="N9" s="18"/>
      <x:c r="O9" s="18"/>
      <x:c r="P9" s="18"/>
      <x:c r="Q9" s="18"/>
      <x:c r="R9" s="18" t="n">
        <x:v>53.79</x:v>
      </x:c>
      <x:c r="S9" s="18" t="n">
        <x:v>5.14</x:v>
      </x:c>
      <x:c r="T9" s="18"/>
      <x:c r="U9" s="18"/>
      <x:c r="V9" s="18"/>
      <x:c r="W9" s="18"/>
      <x:c r="X9" s="18" t="str">
        <x:v>µg sufentanil</x:v>
      </x:c>
      <x:c r="Y9" s="18" t="str">
        <x:v>0.002</x:v>
      </x:c>
      <x:c r="Z9" s="18" t="str">
        <x:v>MD</x:v>
      </x:c>
      <x:c r="AA9" s="18" t="n">
        <x:v>-3.259999999999998</x:v>
      </x:c>
      <x:c r="AB9" s="18" t="str">
        <x:v>CONDITIONAL</x:v>
      </x:c>
      <x:c r="AC9" s="18" t="str">
        <x:v>24-h opioid endpoint exists but requires a prespecified route/unit/time-window or derived-value rule.</x:v>
      </x:c>
      <x:c r="AD9" s="18"/>
      <x:c r="AE9" s="18" t="str">
        <x:v>Opioid/MME conversion required using prespecified review conversion</x:v>
      </x:c>
      <x:c r="AF9" s="18" t="str">
        <x:v>High</x:v>
      </x:c>
      <x:c r="AG9" s="18" t="str">
        <x:v>No — selected RoB matches this result</x:v>
      </x:c>
      <x:c r="AH9" s="18" t="str">
        <x:v>Zhang 2025</x:v>
      </x:c>
      <x:c r="AI9" s="18" t="str">
        <x:v>Primary eligible contrast</x:v>
      </x:c>
      <x:c r="AJ9" s="18" t="str">
        <x:v>Count this study once per synthesis unless a valid multi-arm method is used.</x:v>
      </x:c>
      <x:c r="AK9" s="18" t="str">
        <x:v>Endpoint is directly reported as POD1, not explicitly clock-defined 0-24 h; 15/108 excluded after randomization</x:v>
      </x:c>
      <x:c r="AL9" s="18" t="str">
        <x:v>https://drive.google.com/file/d/1eHx6Hk16vmIfMgoiZ5eNae4zmCR5ktwJ/view?usp=drivesdk</x:v>
      </x:c>
    </x:row>
    <x:row r="10">
      <x:c r="A10" s="18" t="str">
        <x:v>Yang 2024</x:v>
      </x:c>
      <x:c r="B10" s="18" t="str">
        <x:v>YANG24_EA_vs_UC_MORPH24</x:v>
      </x:c>
      <x:c r="C10" s="18" t="str">
        <x:v>Perioperative EA + usual care</x:v>
      </x:c>
      <x:c r="D10" s="18" t="str">
        <x:v>Usual care</x:v>
      </x:c>
      <x:c r="E10" s="18" t="str">
        <x:v>Morphine use via IV PCA</x:v>
      </x:c>
      <x:c r="F10" s="18" t="str">
        <x:v>First 24 h / POD1</x:v>
      </x:c>
      <x:c r="G10" s="18" t="str">
        <x:v>Mean/SD</x:v>
      </x:c>
      <x:c r="H10" s="18" t="n">
        <x:v>90</x:v>
      </x:c>
      <x:c r="I10" s="18" t="n">
        <x:v>90</x:v>
      </x:c>
      <x:c r="J10" s="18" t="n">
        <x:v>90</x:v>
      </x:c>
      <x:c r="K10" s="18" t="n">
        <x:v>90</x:v>
      </x:c>
      <x:c r="L10" s="18" t="n">
        <x:v>43.7</x:v>
      </x:c>
      <x:c r="M10" s="18" t="n">
        <x:v>4.7</x:v>
      </x:c>
      <x:c r="N10" s="18"/>
      <x:c r="O10" s="18"/>
      <x:c r="P10" s="18"/>
      <x:c r="Q10" s="18"/>
      <x:c r="R10" s="18" t="n">
        <x:v>44</x:v>
      </x:c>
      <x:c r="S10" s="18" t="n">
        <x:v>4.9</x:v>
      </x:c>
      <x:c r="T10" s="18"/>
      <x:c r="U10" s="18"/>
      <x:c r="V10" s="18"/>
      <x:c r="W10" s="18"/>
      <x:c r="X10" s="18" t="str">
        <x:v>mg morphine</x:v>
      </x:c>
      <x:c r="Y10" s="18" t="str">
        <x:v>0.733</x:v>
      </x:c>
      <x:c r="Z10" s="18" t="str">
        <x:v>MD</x:v>
      </x:c>
      <x:c r="AA10" s="18" t="n">
        <x:v>-0.29999999999999716</x:v>
      </x:c>
      <x:c r="AB10" s="18" t="str">
        <x:v>INCLUDE</x:v>
      </x:c>
      <x:c r="AC10" s="18" t="str">
        <x:v>Explicit 0-24-h postoperative opioid endpoint and marked eligible in the reconciled source data.</x:v>
      </x:c>
      <x:c r="AD10" s="18"/>
      <x:c r="AE10" s="18" t="str">
        <x:v>None</x:v>
      </x:c>
      <x:c r="AF10" s="18" t="str">
        <x:v>Some concerns</x:v>
      </x:c>
      <x:c r="AG10" s="18" t="str">
        <x:v>No — selected RoB matches this result</x:v>
      </x:c>
      <x:c r="AH10" s="18" t="str">
        <x:v>Yang 2024</x:v>
      </x:c>
      <x:c r="AI10" s="18" t="str">
        <x:v>Primary eligible contrast</x:v>
      </x:c>
      <x:c r="AJ10" s="18" t="str">
        <x:v>Count this study once per synthesis unless a valid multi-arm method is used.</x:v>
      </x:c>
      <x:c r="AK10" s="18" t="str">
        <x:v>All 180 randomized participants retained in ITT; open-label patients but objective PCA drug-use record</x:v>
      </x:c>
      <x:c r="AL10" s="18" t="str">
        <x:v>https://drive.google.com/file/d/160N3psd5tLEphwXHJzUEZ3uJfaIXcs5V/view?usp=drivesdk</x:v>
      </x:c>
    </x:row>
    <x:row r="11">
      <x:c r="A11" s="18" t="str">
        <x:v>Sim 2002</x:v>
      </x:c>
      <x:c r="B11" s="18" t="str">
        <x:v>SIM02_PREOP_vs_PLACEBO_MORPH24</x:v>
      </x:c>
      <x:c r="C11" s="18" t="str">
        <x:v>Preoperative EA</x:v>
      </x:c>
      <x:c r="D11" s="18" t="str">
        <x:v>Placebo EA</x:v>
      </x:c>
      <x:c r="E11" s="18" t="str">
        <x:v>Cumulative postoperative IV PCA morphine</x:v>
      </x:c>
      <x:c r="F11" s="18" t="str">
        <x:v>0-24 h</x:v>
      </x:c>
      <x:c r="G11" s="18" t="str">
        <x:v>Mean/SD</x:v>
      </x:c>
      <x:c r="H11" s="18" t="n">
        <x:v>30</x:v>
      </x:c>
      <x:c r="I11" s="18" t="n">
        <x:v>30</x:v>
      </x:c>
      <x:c r="J11" s="18" t="n">
        <x:v>30</x:v>
      </x:c>
      <x:c r="K11" s="18" t="n">
        <x:v>30</x:v>
      </x:c>
      <x:c r="L11" s="18" t="n">
        <x:v>0.52</x:v>
      </x:c>
      <x:c r="M11" s="18" t="n">
        <x:v>0.19</x:v>
      </x:c>
      <x:c r="N11" s="18"/>
      <x:c r="O11" s="18"/>
      <x:c r="P11" s="18"/>
      <x:c r="Q11" s="18"/>
      <x:c r="R11" s="18" t="n">
        <x:v>0.68</x:v>
      </x:c>
      <x:c r="S11" s="18" t="n">
        <x:v>0.38</x:v>
      </x:c>
      <x:c r="T11" s="18"/>
      <x:c r="U11" s="18"/>
      <x:c r="V11" s="18"/>
      <x:c r="W11" s="18"/>
      <x:c r="X11" s="18" t="str">
        <x:v>mg/kg morphine</x:v>
      </x:c>
      <x:c r="Y11" s="18" t="str">
        <x:v>NS overall 24-h cumulative comparison</x:v>
      </x:c>
      <x:c r="Z11" s="18" t="str">
        <x:v>MD</x:v>
      </x:c>
      <x:c r="AA11" s="18" t="n">
        <x:v>-0.16000000000000003</x:v>
      </x:c>
      <x:c r="AB11" s="18" t="str">
        <x:v>CONDITIONAL</x:v>
      </x:c>
      <x:c r="AC11" s="18" t="str">
        <x:v>24-h opioid endpoint exists but requires a prespecified route/unit/time-window or derived-value rule.</x:v>
      </x:c>
      <x:c r="AD11" s="18"/>
      <x:c r="AE11" s="18" t="str">
        <x:v>Weight-normalized endpoint; do not reconstruct absolute dose from group mean weight</x:v>
      </x:c>
      <x:c r="AF11" s="18" t="str">
        <x:v>Some concerns</x:v>
      </x:c>
      <x:c r="AG11" s="18" t="str">
        <x:v>No — selected RoB matches this result</x:v>
      </x:c>
      <x:c r="AH11" s="18" t="str">
        <x:v>Sim 2002</x:v>
      </x:c>
      <x:c r="AI11" s="18" t="str">
        <x:v>Timing-arm contrast</x:v>
      </x:c>
      <x:c r="AJ11" s="18" t="str">
        <x:v>Three-arm trial with shared placebo; preop and postop EA are not independent studies.</x:v>
      </x:c>
      <x:c r="AK11" s="18" t="str">
        <x:v>Do not convert mg/kg to absolute mg using group mean body weight; aggregate means cannot reconstruct individual absolute dose</x:v>
      </x:c>
      <x:c r="AL11" s="18" t="str">
        <x:v>https://drive.google.com/file/d/1YsNHL-J3Kgfu8mCanRrNu_bHk_roj0w6/view?usp=drivesdk</x:v>
      </x:c>
    </x:row>
    <x:row r="12">
      <x:c r="A12" s="18" t="str">
        <x:v>Sim 2002</x:v>
      </x:c>
      <x:c r="B12" s="18" t="str">
        <x:v>SIM02_POSTOP_vs_PLACEBO_MORPH24</x:v>
      </x:c>
      <x:c r="C12" s="18" t="str">
        <x:v>Postoperative EA</x:v>
      </x:c>
      <x:c r="D12" s="18" t="str">
        <x:v>Placebo EA</x:v>
      </x:c>
      <x:c r="E12" s="18" t="str">
        <x:v>Cumulative postoperative IV PCA morphine</x:v>
      </x:c>
      <x:c r="F12" s="18" t="str">
        <x:v>0-24 h</x:v>
      </x:c>
      <x:c r="G12" s="18" t="str">
        <x:v>Mean/SD</x:v>
      </x:c>
      <x:c r="H12" s="18" t="n">
        <x:v>30</x:v>
      </x:c>
      <x:c r="I12" s="18" t="n">
        <x:v>30</x:v>
      </x:c>
      <x:c r="J12" s="18" t="n">
        <x:v>30</x:v>
      </x:c>
      <x:c r="K12" s="18" t="n">
        <x:v>30</x:v>
      </x:c>
      <x:c r="L12" s="18" t="n">
        <x:v>0.58</x:v>
      </x:c>
      <x:c r="M12" s="18" t="n">
        <x:v>0.27</x:v>
      </x:c>
      <x:c r="N12" s="18"/>
      <x:c r="O12" s="18"/>
      <x:c r="P12" s="18"/>
      <x:c r="Q12" s="18"/>
      <x:c r="R12" s="18" t="n">
        <x:v>0.68</x:v>
      </x:c>
      <x:c r="S12" s="18" t="n">
        <x:v>0.38</x:v>
      </x:c>
      <x:c r="T12" s="18"/>
      <x:c r="U12" s="18"/>
      <x:c r="V12" s="18"/>
      <x:c r="W12" s="18"/>
      <x:c r="X12" s="18" t="str">
        <x:v>mg/kg morphine</x:v>
      </x:c>
      <x:c r="Y12" s="18" t="str">
        <x:v>NS overall 24-h cumulative comparison</x:v>
      </x:c>
      <x:c r="Z12" s="18" t="str">
        <x:v>MD</x:v>
      </x:c>
      <x:c r="AA12" s="18" t="n">
        <x:v>-0.10000000000000009</x:v>
      </x:c>
      <x:c r="AB12" s="18" t="str">
        <x:v>CONDITIONAL</x:v>
      </x:c>
      <x:c r="AC12" s="18" t="str">
        <x:v>24-h opioid endpoint exists but requires a prespecified route/unit/time-window or derived-value rule.</x:v>
      </x:c>
      <x:c r="AD12" s="18"/>
      <x:c r="AE12" s="18" t="str">
        <x:v>Weight-normalized endpoint; do not reconstruct absolute dose from group mean weight</x:v>
      </x:c>
      <x:c r="AF12" s="18" t="str">
        <x:v>Some concerns</x:v>
      </x:c>
      <x:c r="AG12" s="18" t="str">
        <x:v>No — selected RoB matches this result</x:v>
      </x:c>
      <x:c r="AH12" s="18" t="str">
        <x:v>Sim 2002</x:v>
      </x:c>
      <x:c r="AI12" s="18" t="str">
        <x:v>Timing-arm contrast</x:v>
      </x:c>
      <x:c r="AJ12" s="18" t="str">
        <x:v>Three-arm trial with shared placebo; preop and postop EA are not independent studies.</x:v>
      </x:c>
      <x:c r="AK12" s="18" t="str">
        <x:v>Postoperative EA is a distinct randomized timing arm and must not be merged with preoperative EA</x:v>
      </x:c>
      <x:c r="AL12" s="18" t="str">
        <x:v>https://drive.google.com/file/d/1YsNHL-J3Kgfu8mCanRrNu_bHk_roj0w6/view?usp=drivesdk</x:v>
      </x:c>
    </x:row>
    <x:row r="13">
      <x:c r="A13" s="18" t="str">
        <x:v>Luo 2026</x:v>
      </x:c>
      <x:c r="B13" s="18" t="str">
        <x:v>LUO26_TEAS_vs_SHAM_OPIOIDEQUIV</x:v>
      </x:c>
      <x:c r="C13" s="18" t="str">
        <x:v>Intraoperative PC6 TEAS + standard antiemetics</x:v>
      </x:c>
      <x:c r="D13" s="18" t="str">
        <x:v>Sham/no current + standard antiemetics</x:v>
      </x:c>
      <x:c r="E13" s="18" t="str">
        <x:v>Published 'sufentanil equivalents' metric</x:v>
      </x:c>
      <x:c r="F13" s="18" t="str">
        <x:v>Perioperative</x:v>
      </x:c>
      <x:c r="G13" s="18" t="str">
        <x:v>Mean/SD</x:v>
      </x:c>
      <x:c r="H13" s="18" t="n">
        <x:v>138</x:v>
      </x:c>
      <x:c r="I13" s="18" t="n">
        <x:v>139</x:v>
      </x:c>
      <x:c r="J13" s="18" t="n">
        <x:v>138</x:v>
      </x:c>
      <x:c r="K13" s="18" t="n">
        <x:v>139</x:v>
      </x:c>
      <x:c r="L13" s="18" t="n">
        <x:v>15.86</x:v>
      </x:c>
      <x:c r="M13" s="18" t="n">
        <x:v>5.11</x:v>
      </x:c>
      <x:c r="N13" s="18"/>
      <x:c r="O13" s="18"/>
      <x:c r="P13" s="18"/>
      <x:c r="Q13" s="18"/>
      <x:c r="R13" s="18" t="n">
        <x:v>15.18</x:v>
      </x:c>
      <x:c r="S13" s="18" t="n">
        <x:v>4.95</x:v>
      </x:c>
      <x:c r="T13" s="18"/>
      <x:c r="U13" s="18"/>
      <x:c r="V13" s="18"/>
      <x:c r="W13" s="18"/>
      <x:c r="X13" s="18" t="str">
        <x:v>published as mg; definition/unit unresolved</x:v>
      </x:c>
      <x:c r="Y13" s="18" t="str">
        <x:v>0.27</x:v>
      </x:c>
      <x:c r="Z13" s="18" t="str">
        <x:v>MD</x:v>
      </x:c>
      <x:c r="AA13" s="18" t="n">
        <x:v>0.6799999999999997</x:v>
      </x:c>
      <x:c r="AB13" s="18" t="str">
        <x:v>CONDITIONAL</x:v>
      </x:c>
      <x:c r="AC13" s="18" t="str">
        <x:v>Source value is valid in its native metric but cannot be converted to the target opioid mass/MME without additional information.</x:v>
      </x:c>
      <x:c r="AD13" s="18"/>
      <x:c r="AE13" s="18" t="str">
        <x:v>None</x:v>
      </x:c>
      <x:c r="AF13" s="18" t="str">
        <x:v>Some concerns</x:v>
      </x:c>
      <x:c r="AG13" s="18" t="str">
        <x:v>Yes — selected RoB is for a different result/timepoint</x:v>
      </x:c>
      <x:c r="AH13" s="18" t="str">
        <x:v>Luo 2026</x:v>
      </x:c>
      <x:c r="AI13" s="18" t="str">
        <x:v>Primary eligible contrast</x:v>
      </x:c>
      <x:c r="AJ13" s="18" t="str">
        <x:v>Count this study once per synthesis unless a valid multi-arm method is used.</x:v>
      </x:c>
      <x:c r="AK13" s="18" t="str">
        <x:v>Source labels approximately 15-16 as 'sufentanil equivalents (mg)' without explaining conversion; preserve verbatim</x:v>
      </x:c>
      <x:c r="AL13" s="18" t="str">
        <x:v>https://drive.google.com/file/d/1xxZle6mPpcnmHLblJbsy1kA4CyQHpvm2/view?usp=drivesdk</x:v>
      </x:c>
    </x:row>
    <x:row r="14">
      <x:c r="A14" s="18" t="str">
        <x:v>Jin 2023</x:v>
      </x:c>
      <x:c r="B14" s="18" t="str">
        <x:v>JIN23_2HZ_vs_SHAM_VOL24</x:v>
      </x:c>
      <x:c r="C14" s="18" t="str">
        <x:v>2-Hz postoperative EA</x:v>
      </x:c>
      <x:c r="D14" s="18" t="str">
        <x:v>Sham nonpenetrating EA/no current</x:v>
      </x:c>
      <x:c r="E14" s="18" t="str">
        <x:v>Published 'fentanyl consumption' / PCIA solution volume</x:v>
      </x:c>
      <x:c r="F14" s="18" t="str">
        <x:v>24 h</x:v>
      </x:c>
      <x:c r="G14" s="18" t="str">
        <x:v>Mean/SD</x:v>
      </x:c>
      <x:c r="H14" s="18" t="n">
        <x:v>58</x:v>
      </x:c>
      <x:c r="I14" s="18" t="n">
        <x:v>58</x:v>
      </x:c>
      <x:c r="J14" s="18" t="n">
        <x:v>53</x:v>
      </x:c>
      <x:c r="K14" s="18" t="n">
        <x:v>52</x:v>
      </x:c>
      <x:c r="L14" s="18" t="n">
        <x:v>39.31</x:v>
      </x:c>
      <x:c r="M14" s="18" t="n">
        <x:v>15.58</x:v>
      </x:c>
      <x:c r="N14" s="18"/>
      <x:c r="O14" s="18"/>
      <x:c r="P14" s="18"/>
      <x:c r="Q14" s="18"/>
      <x:c r="R14" s="18" t="n">
        <x:v>56.54</x:v>
      </x:c>
      <x:c r="S14" s="18" t="n">
        <x:v>12.5</x:v>
      </x:c>
      <x:c r="T14" s="18"/>
      <x:c r="U14" s="18"/>
      <x:c r="V14" s="18"/>
      <x:c r="W14" s="18"/>
      <x:c r="X14" s="18" t="str">
        <x:v>mL PCIA solution</x:v>
      </x:c>
      <x:c r="Y14" s="18" t="str">
        <x:v>&lt;0.001 overall; pairwise P&lt;0.001 (2 Hz) / 0.001 (20/100 Hz)</x:v>
      </x:c>
      <x:c r="Z14" s="18" t="str">
        <x:v>MD</x:v>
      </x:c>
      <x:c r="AA14" s="18" t="n">
        <x:v>-17.229999999999997</x:v>
      </x:c>
      <x:c r="AB14" s="18" t="str">
        <x:v>CONDITIONAL</x:v>
      </x:c>
      <x:c r="AC14" s="18" t="str">
        <x:v>Source value is valid in its native metric but cannot be converted to the target opioid mass/MME without additional information.</x:v>
      </x:c>
      <x:c r="AD14" s="18"/>
      <x:c r="AE14" s="18" t="str">
        <x:v>Do not convert unless concentration and delivered dose are fully known</x:v>
      </x:c>
      <x:c r="AF14" s="18" t="str">
        <x:v>High</x:v>
      </x:c>
      <x:c r="AG14" s="18" t="str">
        <x:v>Yes — selected RoB is for a different result/timepoint</x:v>
      </x:c>
      <x:c r="AH14" s="18" t="str">
        <x:v>Jin 2023</x:v>
      </x:c>
      <x:c r="AI14" s="18" t="str">
        <x:v>Frequency-arm contrast</x:v>
      </x:c>
      <x:c r="AJ14" s="18" t="str">
        <x:v>Three-arm trial with shared sham; use multi-arm handling.</x:v>
      </x:c>
      <x:c r="AK14" s="18" t="str">
        <x:v>Main article does not report fentanyl concentration. Do not convert mL to µg/mg/MME. 2-Hz vs 20/100-Hz inferential statistics conflict between table and prose</x:v>
      </x:c>
      <x:c r="AL14" s="18" t="str">
        <x:v>https://drive.google.com/file/d/1fkNAFra0gZ9jkWkzp_S0TWy-5zVrXCtj/view?usp=drivesdk</x:v>
      </x:c>
    </x:row>
    <x:row r="15">
      <x:c r="A15" s="18" t="str">
        <x:v>Jin 2023</x:v>
      </x:c>
      <x:c r="B15" s="18" t="str">
        <x:v>JIN23_20100_vs_SHAM_VOL24</x:v>
      </x:c>
      <x:c r="C15" s="18" t="str">
        <x:v>20/100-Hz postoperative EA</x:v>
      </x:c>
      <x:c r="D15" s="18" t="str">
        <x:v>Sham nonpenetrating EA/no current</x:v>
      </x:c>
      <x:c r="E15" s="18" t="str">
        <x:v>Published 'fentanyl consumption' / PCIA solution volume</x:v>
      </x:c>
      <x:c r="F15" s="18" t="str">
        <x:v>24 h</x:v>
      </x:c>
      <x:c r="G15" s="18" t="str">
        <x:v>Mean/SD</x:v>
      </x:c>
      <x:c r="H15" s="18" t="n">
        <x:v>58</x:v>
      </x:c>
      <x:c r="I15" s="18" t="n">
        <x:v>58</x:v>
      </x:c>
      <x:c r="J15" s="18" t="n">
        <x:v>53</x:v>
      </x:c>
      <x:c r="K15" s="18" t="n">
        <x:v>52</x:v>
      </x:c>
      <x:c r="L15" s="18" t="n">
        <x:v>45.72</x:v>
      </x:c>
      <x:c r="M15" s="18" t="n">
        <x:v>16.92</x:v>
      </x:c>
      <x:c r="N15" s="18"/>
      <x:c r="O15" s="18"/>
      <x:c r="P15" s="18"/>
      <x:c r="Q15" s="18"/>
      <x:c r="R15" s="18" t="n">
        <x:v>56.54</x:v>
      </x:c>
      <x:c r="S15" s="18" t="n">
        <x:v>12.5</x:v>
      </x:c>
      <x:c r="T15" s="18"/>
      <x:c r="U15" s="18"/>
      <x:c r="V15" s="18"/>
      <x:c r="W15" s="18"/>
      <x:c r="X15" s="18" t="str">
        <x:v>mL PCIA solution</x:v>
      </x:c>
      <x:c r="Y15" s="18" t="str">
        <x:v>&lt;0.001 overall; pairwise P&lt;0.001 (2 Hz) / 0.001 (20/100 Hz)</x:v>
      </x:c>
      <x:c r="Z15" s="18" t="str">
        <x:v>MD</x:v>
      </x:c>
      <x:c r="AA15" s="18" t="n">
        <x:v>-10.82</x:v>
      </x:c>
      <x:c r="AB15" s="18" t="str">
        <x:v>CONDITIONAL</x:v>
      </x:c>
      <x:c r="AC15" s="18" t="str">
        <x:v>Source value is valid in its native metric but cannot be converted to the target opioid mass/MME without additional information.</x:v>
      </x:c>
      <x:c r="AD15" s="18"/>
      <x:c r="AE15" s="18" t="str">
        <x:v>Do not convert unless concentration and delivered dose are fully known</x:v>
      </x:c>
      <x:c r="AF15" s="18" t="str">
        <x:v>High</x:v>
      </x:c>
      <x:c r="AG15" s="18" t="str">
        <x:v>Yes — selected RoB is for a different result/timepoint</x:v>
      </x:c>
      <x:c r="AH15" s="18" t="str">
        <x:v>Jin 2023</x:v>
      </x:c>
      <x:c r="AI15" s="18" t="str">
        <x:v>Frequency-arm contrast</x:v>
      </x:c>
      <x:c r="AJ15" s="18" t="str">
        <x:v>Three-arm trial with shared sham; use multi-arm handling.</x:v>
      </x:c>
      <x:c r="AK15" s="18" t="str">
        <x:v>Main article does not report fentanyl concentration. Do not convert mL to µg/mg/MME. 2-Hz vs 20/100-Hz inferential statistics conflict between table and prose</x:v>
      </x:c>
      <x:c r="AL15" s="18" t="str">
        <x:v>https://drive.google.com/file/d/1fkNAFra0gZ9jkWkzp_S0TWy-5zVrXCtj/view?usp=drivesdk</x:v>
      </x:c>
    </x:row>
    <x:row r="16">
      <x:c r="A16" s="18" t="str">
        <x:v>He 2026 (hepatectomy/JIS)</x:v>
      </x:c>
      <x:c r="B16" s="18" t="str">
        <x:v>HEJIS26_TEAS_vs_CTRL_MME24</x:v>
      </x:c>
      <x:c r="C16" s="18" t="str">
        <x:v>Intraoperative PC6 TEAS</x:v>
      </x:c>
      <x:c r="D16" s="18" t="str">
        <x:v>No-current PC6 control</x:v>
      </x:c>
      <x:c r="E16" s="18" t="str">
        <x:v>Total postoperative opioid consumption in morphine equivalents</x:v>
      </x:c>
      <x:c r="F16" s="18" t="str">
        <x:v>0-24 h</x:v>
      </x:c>
      <x:c r="G16" s="18" t="str">
        <x:v>Mean/SD</x:v>
      </x:c>
      <x:c r="H16" s="18" t="n">
        <x:v>81</x:v>
      </x:c>
      <x:c r="I16" s="18" t="n">
        <x:v>80</x:v>
      </x:c>
      <x:c r="J16" s="18" t="n">
        <x:v>80</x:v>
      </x:c>
      <x:c r="K16" s="18" t="n">
        <x:v>79</x:v>
      </x:c>
      <x:c r="L16" s="18" t="n">
        <x:v>20</x:v>
      </x:c>
      <x:c r="M16" s="18" t="n">
        <x:v>2.5</x:v>
      </x:c>
      <x:c r="N16" s="18"/>
      <x:c r="O16" s="18"/>
      <x:c r="P16" s="18"/>
      <x:c r="Q16" s="18"/>
      <x:c r="R16" s="18" t="n">
        <x:v>20.6</x:v>
      </x:c>
      <x:c r="S16" s="18" t="n">
        <x:v>4.5</x:v>
      </x:c>
      <x:c r="T16" s="18"/>
      <x:c r="U16" s="18"/>
      <x:c r="V16" s="18"/>
      <x:c r="W16" s="18"/>
      <x:c r="X16" s="18" t="str">
        <x:v>mg MME</x:v>
      </x:c>
      <x:c r="Y16" s="18" t="str">
        <x:v>0.30</x:v>
      </x:c>
      <x:c r="Z16" s="18" t="str">
        <x:v>MD</x:v>
      </x:c>
      <x:c r="AA16" s="18" t="n">
        <x:v>-0.6000000000000014</x:v>
      </x:c>
      <x:c r="AB16" s="18" t="str">
        <x:v>INCLUDE</x:v>
      </x:c>
      <x:c r="AC16" s="18" t="str">
        <x:v>Explicit 0-24-h postoperative opioid endpoint and marked eligible in the reconciled source data.</x:v>
      </x:c>
      <x:c r="AD16" s="18"/>
      <x:c r="AE16" s="18" t="str">
        <x:v>None</x:v>
      </x:c>
      <x:c r="AF16" s="18" t="str">
        <x:v>Some concerns</x:v>
      </x:c>
      <x:c r="AG16" s="18" t="str">
        <x:v>No — selected RoB matches this result</x:v>
      </x:c>
      <x:c r="AH16" s="18" t="str">
        <x:v>He 2026 (hepatectomy/JIS)</x:v>
      </x:c>
      <x:c r="AI16" s="18" t="str">
        <x:v>Primary eligible contrast</x:v>
      </x:c>
      <x:c r="AJ16" s="18" t="str">
        <x:v>Count this study once per synthesis unless a valid multi-arm method is used.</x:v>
      </x:c>
      <x:c r="AK16" s="18" t="str">
        <x:v>Supplemental eTable 1 directly reports MME; mITT excludes one canceled surgery and one consent withdrawal after randomization</x:v>
      </x:c>
      <x:c r="AL16" s="18" t="str">
        <x:v>https://drive.google.com/file/d/1VgOxIOrGe7ZVevkKEVP7G-0V1DXPU0Gf/view?usp=drivesdk</x:v>
      </x:c>
    </x:row>
    <x:row r="17">
      <x:c r="A17" s="18" t="str">
        <x:v>Yeh 2010</x:v>
      </x:c>
      <x:c r="B17" s="18" t="str">
        <x:v>YEH10_AES_vs_SHAM_MORPH24</x:v>
      </x:c>
      <x:c r="C17" s="18" t="str">
        <x:v>True-acupoint AES</x:v>
      </x:c>
      <x:c r="D17" s="18" t="str">
        <x:v>Electrical sham/nonmeridian AES</x:v>
      </x:c>
      <x:c r="E17" s="18" t="str">
        <x:v>24-h morphine PCA dose</x:v>
      </x:c>
      <x:c r="F17" s="18" t="str">
        <x:v>First 24 postoperative hours</x:v>
      </x:c>
      <x:c r="G17" s="18" t="str">
        <x:v>Mean/SD</x:v>
      </x:c>
      <x:c r="H17" s="18"/>
      <x:c r="I17" s="18"/>
      <x:c r="J17" s="18" t="n">
        <x:v>33</x:v>
      </x:c>
      <x:c r="K17" s="18" t="n">
        <x:v>30</x:v>
      </x:c>
      <x:c r="L17" s="18" t="n">
        <x:v>18.6</x:v>
      </x:c>
      <x:c r="M17" s="18" t="n">
        <x:v>9.7</x:v>
      </x:c>
      <x:c r="N17" s="18"/>
      <x:c r="O17" s="18"/>
      <x:c r="P17" s="18"/>
      <x:c r="Q17" s="18"/>
      <x:c r="R17" s="18" t="n">
        <x:v>21.6</x:v>
      </x:c>
      <x:c r="S17" s="18" t="n">
        <x:v>13.1</x:v>
      </x:c>
      <x:c r="T17" s="18"/>
      <x:c r="U17" s="18"/>
      <x:c r="V17" s="18"/>
      <x:c r="W17" s="18"/>
      <x:c r="X17" s="18" t="str">
        <x:v>mg morphine; source explicitly calls PCA epidural</x:v>
      </x:c>
      <x:c r="Y17" s="18" t="str">
        <x:v>AES-vs-sham pairwise significance NR</x:v>
      </x:c>
      <x:c r="Z17" s="18" t="str">
        <x:v>MD</x:v>
      </x:c>
      <x:c r="AA17" s="18" t="n">
        <x:v>-3</x:v>
      </x:c>
      <x:c r="AB17" s="18" t="str">
        <x:v>DUPLICATE HOLD</x:v>
      </x:c>
      <x:c r="AC17" s="18" t="str">
        <x:v>Probable overlapping publication/cohort; do not pool as an independent study until linkage is resolved.</x:v>
      </x:c>
      <x:c r="AD17" s="18" t="str">
        <x:v>Yeh lumbar-spine publication family</x:v>
      </x:c>
      <x:c r="AE17" s="18" t="str">
        <x:v>None</x:v>
      </x:c>
      <x:c r="AF17" s="18" t="str">
        <x:v>Some concerns</x:v>
      </x:c>
      <x:c r="AG17" s="18" t="str">
        <x:v>No — selected RoB matches this result</x:v>
      </x:c>
      <x:c r="AH17" s="18" t="str">
        <x:v>Yeh lumbar-spine publication family — ONE study unit pending overlap adjudication</x:v>
      </x:c>
      <x:c r="AI17" s="18" t="str">
        <x:v>Duplicate/overlap hold</x:v>
      </x:c>
      <x:c r="AJ17" s="18" t="str">
        <x:v>Do not count independently until overlapping-publication status is resolved.</x:v>
      </x:c>
      <x:c r="AK17" s="18" t="str">
        <x:v>Probable overlapping publication/cohort with Yeh 2011. Five of 99 entrants did not complete and randomized arm assignment of losses is NR. Do not treat both papers as independent.</x:v>
      </x:c>
      <x:c r="AL17" s="18" t="str">
        <x:v>https://drive.google.com/file/d/1a1s31PQPWGnaVkYUtNUxO22F3QFTcwmi/view?usp=drivesdk</x:v>
      </x:c>
    </x:row>
    <x:row r="18">
      <x:c r="A18" s="18" t="str">
        <x:v>Yeh 2010</x:v>
      </x:c>
      <x:c r="B18" s="18" t="str">
        <x:v>YEH10_AES_vs_CONTROL_MORPH24</x:v>
      </x:c>
      <x:c r="C18" s="18" t="str">
        <x:v>True-acupoint AES</x:v>
      </x:c>
      <x:c r="D18" s="18" t="str">
        <x:v>No-AES control</x:v>
      </x:c>
      <x:c r="E18" s="18" t="str">
        <x:v>24-h morphine PCA dose</x:v>
      </x:c>
      <x:c r="F18" s="18" t="str">
        <x:v>First 24 postoperative hours</x:v>
      </x:c>
      <x:c r="G18" s="18" t="str">
        <x:v>Mean/SD</x:v>
      </x:c>
      <x:c r="H18" s="18"/>
      <x:c r="I18" s="18"/>
      <x:c r="J18" s="18" t="n">
        <x:v>33</x:v>
      </x:c>
      <x:c r="K18" s="18" t="n">
        <x:v>31</x:v>
      </x:c>
      <x:c r="L18" s="18" t="n">
        <x:v>18.6</x:v>
      </x:c>
      <x:c r="M18" s="18" t="n">
        <x:v>9.7</x:v>
      </x:c>
      <x:c r="N18" s="18"/>
      <x:c r="O18" s="18"/>
      <x:c r="P18" s="18"/>
      <x:c r="Q18" s="18"/>
      <x:c r="R18" s="18" t="n">
        <x:v>27.2</x:v>
      </x:c>
      <x:c r="S18" s="18" t="n">
        <x:v>12.5</x:v>
      </x:c>
      <x:c r="T18" s="18"/>
      <x:c r="U18" s="18"/>
      <x:c r="V18" s="18"/>
      <x:c r="W18" s="18"/>
      <x:c r="X18" s="18" t="str">
        <x:v>mg morphine; source explicitly calls PCA epidural</x:v>
      </x:c>
      <x:c r="Y18" s="18" t="str">
        <x:v>0.02</x:v>
      </x:c>
      <x:c r="Z18" s="18" t="str">
        <x:v>MD</x:v>
      </x:c>
      <x:c r="AA18" s="18" t="n">
        <x:v>-8.599999999999998</x:v>
      </x:c>
      <x:c r="AB18" s="18" t="str">
        <x:v>DUPLICATE HOLD</x:v>
      </x:c>
      <x:c r="AC18" s="18" t="str">
        <x:v>Probable overlapping publication/cohort; do not pool as an independent study until linkage is resolved.</x:v>
      </x:c>
      <x:c r="AD18" s="18" t="str">
        <x:v>Yeh lumbar-spine publication family</x:v>
      </x:c>
      <x:c r="AE18" s="18" t="str">
        <x:v>None</x:v>
      </x:c>
      <x:c r="AF18" s="18" t="str">
        <x:v>Some concerns</x:v>
      </x:c>
      <x:c r="AG18" s="18" t="str">
        <x:v>No — selected RoB matches this result</x:v>
      </x:c>
      <x:c r="AH18" s="18" t="str">
        <x:v>Yeh lumbar-spine publication family — ONE study unit pending overlap adjudication</x:v>
      </x:c>
      <x:c r="AI18" s="18" t="str">
        <x:v>Duplicate/overlap hold</x:v>
      </x:c>
      <x:c r="AJ18" s="18" t="str">
        <x:v>Do not count independently until overlapping-publication status is resolved.</x:v>
      </x:c>
      <x:c r="AK18" s="18" t="str">
        <x:v>Same probable overlapping cohort issue; route must not be silently recoded as IV.</x:v>
      </x:c>
      <x:c r="AL18" s="18" t="str">
        <x:v>https://drive.google.com/file/d/1a1s31PQPWGnaVkYUtNUxO22F3QFTcwmi/view?usp=drivesdk</x:v>
      </x:c>
    </x:row>
    <x:row r="19">
      <x:c r="A19" s="18" t="str">
        <x:v>Yeh 2011</x:v>
      </x:c>
      <x:c r="B19" s="18" t="str">
        <x:v>YEH11_AES_vs_SHAM_MORPH24</x:v>
      </x:c>
      <x:c r="C19" s="18" t="str">
        <x:v>True-acupoint AES</x:v>
      </x:c>
      <x:c r="D19" s="18" t="str">
        <x:v>Electrical sham/nonacupoint AES</x:v>
      </x:c>
      <x:c r="E19" s="18" t="str">
        <x:v>24-h IV morphine PCA dose</x:v>
      </x:c>
      <x:c r="F19" s="18" t="str">
        <x:v>First 24 postoperative hours</x:v>
      </x:c>
      <x:c r="G19" s="18" t="str">
        <x:v>Mean/SD</x:v>
      </x:c>
      <x:c r="H19" s="18" t="n">
        <x:v>30</x:v>
      </x:c>
      <x:c r="I19" s="18" t="n">
        <x:v>30</x:v>
      </x:c>
      <x:c r="J19" s="18" t="n">
        <x:v>30</x:v>
      </x:c>
      <x:c r="K19" s="18" t="n">
        <x:v>30</x:v>
      </x:c>
      <x:c r="L19" s="18" t="n">
        <x:v>19.3</x:v>
      </x:c>
      <x:c r="M19" s="18" t="n">
        <x:v>9.7</x:v>
      </x:c>
      <x:c r="N19" s="18"/>
      <x:c r="O19" s="18"/>
      <x:c r="P19" s="18"/>
      <x:c r="Q19" s="18"/>
      <x:c r="R19" s="18" t="n">
        <x:v>21.6</x:v>
      </x:c>
      <x:c r="S19" s="18" t="n">
        <x:v>13.1</x:v>
      </x:c>
      <x:c r="T19" s="18"/>
      <x:c r="U19" s="18"/>
      <x:c r="V19" s="18"/>
      <x:c r="W19" s="18"/>
      <x:c r="X19" s="18" t="str">
        <x:v>mg IV morphine</x:v>
      </x:c>
      <x:c r="Y19" s="18" t="str">
        <x:v>AES-vs-sham pairwise significance NR</x:v>
      </x:c>
      <x:c r="Z19" s="18" t="str">
        <x:v>MD</x:v>
      </x:c>
      <x:c r="AA19" s="18" t="n">
        <x:v>-2.3000000000000007</x:v>
      </x:c>
      <x:c r="AB19" s="18" t="str">
        <x:v>DUPLICATE HOLD</x:v>
      </x:c>
      <x:c r="AC19" s="18" t="str">
        <x:v>Probable overlapping publication/cohort; do not pool as an independent study until linkage is resolved.</x:v>
      </x:c>
      <x:c r="AD19" s="18" t="str">
        <x:v>Yeh lumbar-spine publication family</x:v>
      </x:c>
      <x:c r="AE19" s="18" t="str">
        <x:v>Use native IV morphine; convert to review-standard MME only per prespecified rule</x:v>
      </x:c>
      <x:c r="AF19" s="18" t="str">
        <x:v>Some concerns</x:v>
      </x:c>
      <x:c r="AG19" s="18" t="str">
        <x:v>No — selected RoB matches this result</x:v>
      </x:c>
      <x:c r="AH19" s="18" t="str">
        <x:v>Yeh lumbar-spine publication family — ONE study unit pending overlap adjudication</x:v>
      </x:c>
      <x:c r="AI19" s="18" t="str">
        <x:v>Duplicate/overlap hold</x:v>
      </x:c>
      <x:c r="AJ19" s="18" t="str">
        <x:v>Do not count independently until overlapping-publication status is resolved.</x:v>
      </x:c>
      <x:c r="AK19" s="18" t="str">
        <x:v>Highly similar to Yeh 2010 in population, acupoints, comparator and 24-h opioid values; do not count independently until cohort/publication linkage is adjudicated.</x:v>
      </x:c>
      <x:c r="AL19" s="18" t="str">
        <x:v>https://drive.google.com/file/d/1ZJ60ZvJ5Q7sRu1iptK_tLLfBXxZZ_Hwl/view?usp=drivesdk</x:v>
      </x:c>
    </x:row>
    <x:row r="20">
      <x:c r="A20" s="18" t="str">
        <x:v>Yeh 2011</x:v>
      </x:c>
      <x:c r="B20" s="18" t="str">
        <x:v>YEH11_AES_vs_CONTROL_MORPH24</x:v>
      </x:c>
      <x:c r="C20" s="18" t="str">
        <x:v>True-acupoint AES</x:v>
      </x:c>
      <x:c r="D20" s="18" t="str">
        <x:v>No-AES control</x:v>
      </x:c>
      <x:c r="E20" s="18" t="str">
        <x:v>24-h IV morphine PCA dose</x:v>
      </x:c>
      <x:c r="F20" s="18" t="str">
        <x:v>First 24 postoperative hours</x:v>
      </x:c>
      <x:c r="G20" s="18" t="str">
        <x:v>Mean/SD</x:v>
      </x:c>
      <x:c r="H20" s="18" t="n">
        <x:v>30</x:v>
      </x:c>
      <x:c r="I20" s="18" t="n">
        <x:v>30</x:v>
      </x:c>
      <x:c r="J20" s="18" t="n">
        <x:v>30</x:v>
      </x:c>
      <x:c r="K20" s="18" t="n">
        <x:v>30</x:v>
      </x:c>
      <x:c r="L20" s="18" t="n">
        <x:v>19.3</x:v>
      </x:c>
      <x:c r="M20" s="18" t="n">
        <x:v>9.7</x:v>
      </x:c>
      <x:c r="N20" s="18"/>
      <x:c r="O20" s="18"/>
      <x:c r="P20" s="18"/>
      <x:c r="Q20" s="18"/>
      <x:c r="R20" s="18" t="n">
        <x:v>28</x:v>
      </x:c>
      <x:c r="S20" s="18" t="n">
        <x:v>12.1</x:v>
      </x:c>
      <x:c r="T20" s="18"/>
      <x:c r="U20" s="18"/>
      <x:c r="V20" s="18"/>
      <x:c r="W20" s="18"/>
      <x:c r="X20" s="18" t="str">
        <x:v>mg IV morphine</x:v>
      </x:c>
      <x:c r="Y20" s="18" t="str">
        <x:v>0.023</x:v>
      </x:c>
      <x:c r="Z20" s="18" t="str">
        <x:v>MD</x:v>
      </x:c>
      <x:c r="AA20" s="18" t="n">
        <x:v>-8.7</x:v>
      </x:c>
      <x:c r="AB20" s="18" t="str">
        <x:v>DUPLICATE HOLD</x:v>
      </x:c>
      <x:c r="AC20" s="18" t="str">
        <x:v>Probable overlapping publication/cohort; do not pool as an independent study until linkage is resolved.</x:v>
      </x:c>
      <x:c r="AD20" s="18" t="str">
        <x:v>Yeh lumbar-spine publication family</x:v>
      </x:c>
      <x:c r="AE20" s="18" t="str">
        <x:v>Use native IV morphine; convert to review-standard MME only per prespecified rule</x:v>
      </x:c>
      <x:c r="AF20" s="18" t="str">
        <x:v>Some concerns</x:v>
      </x:c>
      <x:c r="AG20" s="18" t="str">
        <x:v>No — selected RoB matches this result</x:v>
      </x:c>
      <x:c r="AH20" s="18" t="str">
        <x:v>Yeh lumbar-spine publication family — ONE study unit pending overlap adjudication</x:v>
      </x:c>
      <x:c r="AI20" s="18" t="str">
        <x:v>Duplicate/overlap hold</x:v>
      </x:c>
      <x:c r="AJ20" s="18" t="str">
        <x:v>Do not count independently until overlapping-publication status is resolved.</x:v>
      </x:c>
      <x:c r="AK20" s="18" t="str">
        <x:v>Sequential allocation without sealed envelopes; probable overlapping publication family with Yeh 2010.</x:v>
      </x:c>
      <x:c r="AL20" s="18" t="str">
        <x:v>https://drive.google.com/file/d/1ZJ60ZvJ5Q7sRu1iptK_tLLfBXxZZ_Hwl/view?usp=drivesdk</x:v>
      </x:c>
    </x:row>
    <x:row r="21">
      <x:c r="A21" s="18" t="str">
        <x:v>El-Rakshy 2009</x:v>
      </x:c>
      <x:c r="B21" s="18" t="str">
        <x:v>ELR09_EA_vs_CTRL_MORPH24</x:v>
      </x:c>
      <x:c r="C21" s="18" t="str">
        <x:v>Intraoperative EA + PCA</x:v>
      </x:c>
      <x:c r="D21" s="18" t="str">
        <x:v>PCA alone/no acupuncture</x:v>
      </x:c>
      <x:c r="E21" s="18" t="str">
        <x:v>Total IV morphine analgesia</x:v>
      </x:c>
      <x:c r="F21" s="18" t="str">
        <x:v>First 24 h</x:v>
      </x:c>
      <x:c r="G21" s="18" t="str">
        <x:v>Mean/SD</x:v>
      </x:c>
      <x:c r="H21" s="18"/>
      <x:c r="I21" s="18"/>
      <x:c r="J21" s="18" t="n">
        <x:v>42</x:v>
      </x:c>
      <x:c r="K21" s="18" t="n">
        <x:v>53</x:v>
      </x:c>
      <x:c r="L21" s="18" t="n">
        <x:v>35.3</x:v>
      </x:c>
      <x:c r="M21" s="18" t="n">
        <x:v>18</x:v>
      </x:c>
      <x:c r="N21" s="18"/>
      <x:c r="O21" s="18"/>
      <x:c r="P21" s="18"/>
      <x:c r="Q21" s="18"/>
      <x:c r="R21" s="18" t="n">
        <x:v>36.9</x:v>
      </x:c>
      <x:c r="S21" s="18" t="n">
        <x:v>18</x:v>
      </x:c>
      <x:c r="T21" s="18"/>
      <x:c r="U21" s="18"/>
      <x:c r="V21" s="18"/>
      <x:c r="W21" s="18"/>
      <x:c r="X21" s="18" t="str">
        <x:v>mg IV morphine</x:v>
      </x:c>
      <x:c r="Y21" s="18" t="str">
        <x:v>0.961</x:v>
      </x:c>
      <x:c r="Z21" s="18" t="str">
        <x:v>MD</x:v>
      </x:c>
      <x:c r="AA21" s="18" t="n">
        <x:v>-1.6000000000000014</x:v>
      </x:c>
      <x:c r="AB21" s="18" t="str">
        <x:v>INCLUDE</x:v>
      </x:c>
      <x:c r="AC21" s="18" t="str">
        <x:v>Explicit 0-24-h postoperative opioid endpoint and marked eligible in the reconciled source data.</x:v>
      </x:c>
      <x:c r="AD21" s="18"/>
      <x:c r="AE21" s="18" t="str">
        <x:v>Use native IV morphine; convert to review-standard MME only per prespecified rule</x:v>
      </x:c>
      <x:c r="AF21" s="18" t="str">
        <x:v>High</x:v>
      </x:c>
      <x:c r="AG21" s="18" t="str">
        <x:v>No — selected RoB matches this result</x:v>
      </x:c>
      <x:c r="AH21" s="18" t="str">
        <x:v>El-Rakshy 2009</x:v>
      </x:c>
      <x:c r="AI21" s="18" t="str">
        <x:v>Primary eligible contrast</x:v>
      </x:c>
      <x:c r="AJ21" s="18" t="str">
        <x:v>Count this study once per synthesis unless a valid multi-arm method is used.</x:v>
      </x:c>
      <x:c r="AK21" s="18" t="str">
        <x:v>Publication has irreconcilable allocation/analyzed group labels. Use Table 2 n=42 EA and n=53 control for this result; do not substitute overall study denominators.</x:v>
      </x:c>
      <x:c r="AL21" s="18" t="str">
        <x:v>https://drive.google.com/file/d/12AfIox-MgnMU15U-mdvZgaTKnukXKvAR/view?usp=drivesdk</x:v>
      </x:c>
    </x:row>
    <x:row r="22">
      <x:c r="A22" s="18" t="str">
        <x:v>Chen 2015</x:v>
      </x:c>
      <x:c r="B22" s="18" t="str">
        <x:v>CHEN15Q_TEAS_vs_CTRL_RESCUEMORPH24</x:v>
      </x:c>
      <x:c r="C22" s="18" t="str">
        <x:v>Preoperative TEAS</x:v>
      </x:c>
      <x:c r="D22" s="18" t="str">
        <x:v>Electrodes/device with no stimulation</x:v>
      </x:c>
      <x:c r="E22" s="18" t="str">
        <x:v>Cumulative rescue IV morphine dose derived from fixed 2-mg rescue administrations</x:v>
      </x:c>
      <x:c r="F22" s="18" t="str">
        <x:v>0-24 h</x:v>
      </x:c>
      <x:c r="G22" s="18" t="str">
        <x:v>Median/IQR</x:v>
      </x:c>
      <x:c r="H22" s="18" t="n">
        <x:v>42</x:v>
      </x:c>
      <x:c r="I22" s="18" t="n">
        <x:v>42</x:v>
      </x:c>
      <x:c r="J22" s="18" t="n">
        <x:v>41</x:v>
      </x:c>
      <x:c r="K22" s="18" t="n">
        <x:v>42</x:v>
      </x:c>
      <x:c r="L22" s="18"/>
      <x:c r="M22" s="18"/>
      <x:c r="N22" s="18" t="n">
        <x:v>2</x:v>
      </x:c>
      <x:c r="O22" s="18" t="n">
        <x:v>2</x:v>
      </x:c>
      <x:c r="P22" s="18" t="n">
        <x:v>6</x:v>
      </x:c>
      <x:c r="Q22" s="18"/>
      <x:c r="R22" s="18"/>
      <x:c r="S22" s="18"/>
      <x:c r="T22" s="18" t="n">
        <x:v>7</x:v>
      </x:c>
      <x:c r="U22" s="18" t="n">
        <x:v>4</x:v>
      </x:c>
      <x:c r="V22" s="18" t="n">
        <x:v>14</x:v>
      </x:c>
      <x:c r="W22" s="18"/>
      <x:c r="X22" s="18" t="str">
        <x:v>mg IV morphine</x:v>
      </x:c>
      <x:c r="Y22" s="18" t="str">
        <x:v>0.004</x:v>
      </x:c>
      <x:c r="Z22" s="18"/>
      <x:c r="AA22" s="18"/>
      <x:c r="AB22" s="18" t="str">
        <x:v>CONDITIONAL</x:v>
      </x:c>
      <x:c r="AC22" s="18" t="str">
        <x:v>24-h opioid endpoint exists but requires a prespecified route/unit/time-window or derived-value rule.</x:v>
      </x:c>
      <x:c r="AD22" s="18"/>
      <x:c r="AE22" s="18" t="str">
        <x:v>Use native IV morphine; convert to review-standard MME only per prespecified rule</x:v>
      </x:c>
      <x:c r="AF22" s="18" t="str">
        <x:v>High</x:v>
      </x:c>
      <x:c r="AG22" s="18" t="str">
        <x:v>Yes — selected RoB is for a different result/timepoint</x:v>
      </x:c>
      <x:c r="AH22" s="18" t="str">
        <x:v>Chen 2015</x:v>
      </x:c>
      <x:c r="AI22" s="18" t="str">
        <x:v>Primary eligible contrast</x:v>
      </x:c>
      <x:c r="AJ22" s="18" t="str">
        <x:v>Count this study once per synthesis unless a valid multi-arm method is used.</x:v>
      </x:c>
      <x:c r="AK22" s="18" t="str">
        <x:v>Source reports rescue-administration count 1 (1-3) vs 3.5 (2-7); each rescue administration was fixed at morphine 2 mg. Linear conversion to mg is exact, but the source itself reports counts rather than dose.</x:v>
      </x:c>
      <x:c r="AL22" s="18" t="str">
        <x:v>https://drive.google.com/file/d/1ZtE8GImDcpDJH1tOvzqazoh_S4Gd67oH/view?usp=drivesdk</x:v>
      </x:c>
    </x:row>
    <x:row r="23">
      <x:c r="A23" s="18" t="str">
        <x:v>Chen 2015 (Hyperalgesia)</x:v>
      </x:c>
      <x:c r="B23" s="18" t="str">
        <x:v>CHEN15H_TEAS_vs_SHAM_SUFKG24</x:v>
      </x:c>
      <x:c r="C23" s="18" t="str">
        <x:v>Preoperative TEAS</x:v>
      </x:c>
      <x:c r="D23" s="18" t="str">
        <x:v>Electrodes/no-current sham</x:v>
      </x:c>
      <x:c r="E23" s="18" t="str">
        <x:v>Derived cumulative sufentanil dose from fixed 0.05 µg/kg bolus</x:v>
      </x:c>
      <x:c r="F23" s="18" t="str">
        <x:v>0-24 h</x:v>
      </x:c>
      <x:c r="G23" s="18" t="str">
        <x:v>Median/IQR</x:v>
      </x:c>
      <x:c r="H23" s="18" t="n">
        <x:v>30</x:v>
      </x:c>
      <x:c r="I23" s="18" t="n">
        <x:v>30</x:v>
      </x:c>
      <x:c r="J23" s="18" t="n">
        <x:v>29</x:v>
      </x:c>
      <x:c r="K23" s="18" t="n">
        <x:v>30</x:v>
      </x:c>
      <x:c r="L23" s="18"/>
      <x:c r="M23" s="18"/>
      <x:c r="N23" s="18" t="n">
        <x:v>0.15</x:v>
      </x:c>
      <x:c r="O23" s="18" t="n">
        <x:v>0.1</x:v>
      </x:c>
      <x:c r="P23" s="18" t="n">
        <x:v>0.2</x:v>
      </x:c>
      <x:c r="Q23" s="18"/>
      <x:c r="R23" s="18"/>
      <x:c r="S23" s="18"/>
      <x:c r="T23" s="18" t="n">
        <x:v>0.35</x:v>
      </x:c>
      <x:c r="U23" s="18" t="n">
        <x:v>0.3</x:v>
      </x:c>
      <x:c r="V23" s="18" t="n">
        <x:v>0.4</x:v>
      </x:c>
      <x:c r="W23" s="18"/>
      <x:c r="X23" s="18" t="str">
        <x:v>µg/kg sufentanil</x:v>
      </x:c>
      <x:c r="Y23" s="18" t="str">
        <x:v>&lt;0.001</x:v>
      </x:c>
      <x:c r="Z23" s="18"/>
      <x:c r="AA23" s="18"/>
      <x:c r="AB23" s="18" t="str">
        <x:v>CONDITIONAL</x:v>
      </x:c>
      <x:c r="AC23" s="18" t="str">
        <x:v>24-h opioid endpoint exists but requires a prespecified route/unit/time-window or derived-value rule.</x:v>
      </x:c>
      <x:c r="AD23" s="18"/>
      <x:c r="AE23" s="18" t="str">
        <x:v>Opioid/MME conversion required using prespecified review conversion</x:v>
      </x:c>
      <x:c r="AF23" s="18" t="str">
        <x:v>Some concerns</x:v>
      </x:c>
      <x:c r="AG23" s="18" t="str">
        <x:v>Yes — selected RoB is for a different result/timepoint</x:v>
      </x:c>
      <x:c r="AH23" s="18" t="str">
        <x:v>Chen 2015 (Hyperalgesia)</x:v>
      </x:c>
      <x:c r="AI23" s="18" t="str">
        <x:v>Primary eligible contrast</x:v>
      </x:c>
      <x:c r="AJ23" s="18" t="str">
        <x:v>Count this study once per synthesis unless a valid multi-arm method is used.</x:v>
      </x:c>
      <x:c r="AK23" s="18" t="str">
        <x:v>Exact linear conversion from 0.05 µg/kg per bolus × reported bolus count. Do not convert to absolute µg or MME without individual body weights.</x:v>
      </x:c>
      <x:c r="AL23" s="18" t="str">
        <x:v>https://drive.google.com/file/d/13YKAZZsc2VQEPqkw1Ye40BYDZSRpI6N3/view?usp=drivesdk</x:v>
      </x:c>
    </x:row>
  </x:sheetData>
  <x:conditionalFormatting sqref="AB2:AB23">
    <x:cfRule type="expression" dxfId="46" priority="1">
      <x:formula>LEFT(AB2,7)="INCLUDE"</x:formula>
    </x:cfRule>
    <x:cfRule type="expression" dxfId="47" priority="2">
      <x:formula>LEFT(AB2,11)="CONDITIONAL"</x:formula>
    </x:cfRule>
    <x:cfRule type="expression" dxfId="48" priority="3">
      <x:formula>LEFT(AB2,7)="EXCLUDE"</x:formula>
    </x:cfRule>
    <x:cfRule type="expression" dxfId="49" priority="4">
      <x:formula>AB2="DUPLICATE HOLD"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24" max="24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</x:cols>
  <x:sheetData>
    <x:row r="1">
      <x:c r="A1" s="67" t="str">
        <x:v>Canonical study</x:v>
      </x:c>
      <x:c r="B1" s="67" t="str">
        <x:v>Comparison ID</x:v>
      </x:c>
      <x:c r="C1" s="67" t="str">
        <x:v>Intervention arm</x:v>
      </x:c>
      <x:c r="D1" s="67" t="str">
        <x:v>Comparator arm</x:v>
      </x:c>
      <x:c r="E1" s="67" t="str">
        <x:v>Outcome/result</x:v>
      </x:c>
      <x:c r="F1" s="67" t="str">
        <x:v>Timepoint/window</x:v>
      </x:c>
      <x:c r="G1" s="67" t="str">
        <x:v>Data type</x:v>
      </x:c>
      <x:c r="H1" s="67" t="str">
        <x:v>Randomized n intervention</x:v>
      </x:c>
      <x:c r="I1" s="67" t="str">
        <x:v>Randomized n comparator</x:v>
      </x:c>
      <x:c r="J1" s="67" t="str">
        <x:v>Analyzed n intervention</x:v>
      </x:c>
      <x:c r="K1" s="67" t="str">
        <x:v>Analyzed n comparator</x:v>
      </x:c>
      <x:c r="L1" s="67" t="str">
        <x:v>Mean intervention</x:v>
      </x:c>
      <x:c r="M1" s="67" t="str">
        <x:v>SD intervention</x:v>
      </x:c>
      <x:c r="N1" s="67" t="str">
        <x:v>Median intervention</x:v>
      </x:c>
      <x:c r="O1" s="67" t="str">
        <x:v>Q1 intervention</x:v>
      </x:c>
      <x:c r="P1" s="67" t="str">
        <x:v>Q3 intervention</x:v>
      </x:c>
      <x:c r="Q1" s="67" t="str">
        <x:v>Events intervention</x:v>
      </x:c>
      <x:c r="R1" s="67" t="str">
        <x:v>Mean comparator</x:v>
      </x:c>
      <x:c r="S1" s="67" t="str">
        <x:v>SD comparator</x:v>
      </x:c>
      <x:c r="T1" s="67" t="str">
        <x:v>Median comparator</x:v>
      </x:c>
      <x:c r="U1" s="67" t="str">
        <x:v>Q1 comparator</x:v>
      </x:c>
      <x:c r="V1" s="67" t="str">
        <x:v>Q3 comparator</x:v>
      </x:c>
      <x:c r="W1" s="67" t="str">
        <x:v>Events comparator</x:v>
      </x:c>
      <x:c r="X1" s="67" t="str">
        <x:v>Unit/scale</x:v>
      </x:c>
      <x:c r="Y1" s="67" t="str">
        <x:v>Reported P</x:v>
      </x:c>
      <x:c r="Z1" s="67" t="str">
        <x:v>Derived effect measure</x:v>
      </x:c>
      <x:c r="AA1" s="67" t="str">
        <x:v>Derived effect</x:v>
      </x:c>
      <x:c r="AB1" s="67" t="str">
        <x:v>Analysis readiness</x:v>
      </x:c>
      <x:c r="AC1" s="67" t="str">
        <x:v>Readiness reason</x:v>
      </x:c>
      <x:c r="AD1" s="67" t="str">
        <x:v>Duplicate/overlap cluster</x:v>
      </x:c>
      <x:c r="AE1" s="67" t="str">
        <x:v>Conversion/handling needed</x:v>
      </x:c>
      <x:c r="AF1" s="67" t="str">
        <x:v>Selected RoB2 overall judgment</x:v>
      </x:c>
      <x:c r="AG1" s="67" t="str">
        <x:v>Additional outcome-specific RoB needed?</x:v>
      </x:c>
      <x:c r="AH1" s="67" t="str">
        <x:v>Independent randomized-study unit</x:v>
      </x:c>
      <x:c r="AI1" s="67" t="str">
        <x:v>Recommended comparison role</x:v>
      </x:c>
      <x:c r="AJ1" s="67" t="str">
        <x:v>Independent-study counting note</x:v>
      </x:c>
      <x:c r="AK1" s="67" t="str">
        <x:v>Source-QC issue</x:v>
      </x:c>
      <x:c r="AL1" s="67" t="str">
        <x:v>Source PDF URL</x:v>
      </x:c>
    </x:row>
    <x:row r="2">
      <x:c r="A2" s="18" t="str">
        <x:v>Chen 2020</x:v>
      </x:c>
      <x:c r="B2" s="18" t="str">
        <x:v>CHEN20_TEAS_vs_SHAM_VAS</x:v>
      </x:c>
      <x:c r="C2" s="18" t="str">
        <x:v>Perioperative TEAS</x:v>
      </x:c>
      <x:c r="D2" s="18" t="str">
        <x:v>Sham low/zero-current protocol</x:v>
      </x:c>
      <x:c r="E2" s="18" t="str">
        <x:v>VAS pain intensity</x:v>
      </x:c>
      <x:c r="F2" s="18" t="str">
        <x:v>24 h postoperatively</x:v>
      </x:c>
      <x:c r="G2" s="18" t="str">
        <x:v>Mean/SD</x:v>
      </x:c>
      <x:c r="H2" s="18" t="n">
        <x:v>40</x:v>
      </x:c>
      <x:c r="I2" s="18" t="n">
        <x:v>40</x:v>
      </x:c>
      <x:c r="J2" s="18" t="n">
        <x:v>40</x:v>
      </x:c>
      <x:c r="K2" s="18" t="n">
        <x:v>40</x:v>
      </x:c>
      <x:c r="L2" s="18" t="n">
        <x:v>2.91</x:v>
      </x:c>
      <x:c r="M2" s="18" t="n">
        <x:v>0.2</x:v>
      </x:c>
      <x:c r="N2" s="18"/>
      <x:c r="O2" s="18"/>
      <x:c r="P2" s="18"/>
      <x:c r="Q2" s="18"/>
      <x:c r="R2" s="18" t="n">
        <x:v>5.97</x:v>
      </x:c>
      <x:c r="S2" s="18" t="n">
        <x:v>0.56</x:v>
      </x:c>
      <x:c r="T2" s="18"/>
      <x:c r="U2" s="18"/>
      <x:c r="V2" s="18"/>
      <x:c r="W2" s="18"/>
      <x:c r="X2" s="18" t="str">
        <x:v>VAS 0-10</x:v>
      </x:c>
      <x:c r="Y2" s="18"/>
      <x:c r="Z2" s="18" t="str">
        <x:v>MD</x:v>
      </x:c>
      <x:c r="AA2" s="18" t="n">
        <x:v>-3.0599999999999996</x:v>
      </x:c>
      <x:c r="AB2" s="18" t="str">
        <x:v>CONDITIONAL</x:v>
      </x:c>
      <x:c r="AC2" s="18" t="str">
        <x:v>Contains a 24-h measurement but timepoint definition differs from the strict analysis.</x:v>
      </x:c>
      <x:c r="AD2" s="18"/>
      <x:c r="AE2" s="18" t="str">
        <x:v>None</x:v>
      </x:c>
      <x:c r="AF2" s="18" t="str">
        <x:v>Some concerns</x:v>
      </x:c>
      <x:c r="AG2" s="18" t="str">
        <x:v>Yes — selected RoB is for a different result/timepoint</x:v>
      </x:c>
      <x:c r="AH2" s="18" t="str">
        <x:v>Chen 2020</x:v>
      </x:c>
      <x:c r="AI2" s="18" t="str">
        <x:v>Primary eligible contrast</x:v>
      </x:c>
      <x:c r="AJ2" s="18" t="str">
        <x:v>Count this study once per synthesis unless a valid multi-arm method is used.</x:v>
      </x:c>
      <x:c r="AK2" s="18" t="str">
        <x:v>Patient blinding adequacy depends on sensory contrast of sham protocol</x:v>
      </x:c>
      <x:c r="AL2" s="18" t="str">
        <x:v>https://drive.google.com/file/d/1y0_cC1NCl5g2vYxDMOtYmxVA_YEE-rsR/view?usp=drivesdk</x:v>
      </x:c>
    </x:row>
    <x:row r="3">
      <x:c r="A3" s="18" t="str">
        <x:v>Ao 2021</x:v>
      </x:c>
      <x:c r="B3" s="18" t="str">
        <x:v>AO21_TEAS_vs_SHAM_VAS</x:v>
      </x:c>
      <x:c r="C3" s="18" t="str">
        <x:v>TEAS</x:v>
      </x:c>
      <x:c r="D3" s="18" t="str">
        <x:v>Sham/no current</x:v>
      </x:c>
      <x:c r="E3" s="18" t="str">
        <x:v>VAS pain intensity</x:v>
      </x:c>
      <x:c r="F3" s="18" t="str">
        <x:v>24 h postoperatively</x:v>
      </x:c>
      <x:c r="G3" s="18" t="str">
        <x:v>Graph-digitized mean/SD</x:v>
      </x:c>
      <x:c r="H3" s="18" t="n">
        <x:v>35</x:v>
      </x:c>
      <x:c r="I3" s="18" t="n">
        <x:v>35</x:v>
      </x:c>
      <x:c r="J3" s="18" t="n">
        <x:v>32</x:v>
      </x:c>
      <x:c r="K3" s="18" t="n">
        <x:v>33</x:v>
      </x:c>
      <x:c r="L3" s="18" t="n">
        <x:v>2.51</x:v>
      </x:c>
      <x:c r="M3" s="18" t="n">
        <x:v>0.49</x:v>
      </x:c>
      <x:c r="N3" s="18"/>
      <x:c r="O3" s="18"/>
      <x:c r="P3" s="18"/>
      <x:c r="Q3" s="18"/>
      <x:c r="R3" s="18" t="n">
        <x:v>2.95</x:v>
      </x:c>
      <x:c r="S3" s="18" t="n">
        <x:v>0.53</x:v>
      </x:c>
      <x:c r="T3" s="18"/>
      <x:c r="U3" s="18"/>
      <x:c r="V3" s="18"/>
      <x:c r="W3" s="18"/>
      <x:c r="X3" s="18" t="str">
        <x:v>VAS 0-10</x:v>
      </x:c>
      <x:c r="Y3" s="18"/>
      <x:c r="Z3" s="18"/>
      <x:c r="AA3" s="18"/>
      <x:c r="AB3" s="18" t="str">
        <x:v>CONDITIONAL</x:v>
      </x:c>
      <x:c r="AC3" s="18" t="str">
        <x:v>Contains a 24-h measurement but timepoint definition differs from the strict analysis.</x:v>
      </x:c>
      <x:c r="AD3" s="18"/>
      <x:c r="AE3" s="18" t="str">
        <x:v>None</x:v>
      </x:c>
      <x:c r="AF3" s="18" t="str">
        <x:v>Some concerns</x:v>
      </x:c>
      <x:c r="AG3" s="18" t="str">
        <x:v>Yes — selected RoB is for a different result/timepoint</x:v>
      </x:c>
      <x:c r="AH3" s="18" t="str">
        <x:v>Ao 2021</x:v>
      </x:c>
      <x:c r="AI3" s="18" t="str">
        <x:v>Primary eligible contrast</x:v>
      </x:c>
      <x:c r="AJ3" s="18" t="str">
        <x:v>Count this study once per synthesis unless a valid multi-arm method is used.</x:v>
      </x:c>
      <x:c r="AK3" s="18" t="str">
        <x:v>Exact values are graph-digitized, not numerically tabulated by authors</x:v>
      </x:c>
      <x:c r="AL3" s="18" t="str">
        <x:v>https://drive.google.com/file/d/1tNFnY0fJpx53hrtY4DIaE1RsNjE55Xvd/view?usp=drivesdk</x:v>
      </x:c>
    </x:row>
    <x:row r="4">
      <x:c r="A4" s="18" t="str">
        <x:v>Zhou 2025</x:v>
      </x:c>
      <x:c r="B4" s="18" t="str">
        <x:v>ZHOU25_TEAS_vs_SHAM_PAINREST</x:v>
      </x:c>
      <x:c r="C4" s="18" t="str">
        <x:v>PACU TEAS</x:v>
      </x:c>
      <x:c r="D4" s="18" t="str">
        <x:v>Sham/no current</x:v>
      </x:c>
      <x:c r="E4" s="18" t="str">
        <x:v>Resting pain VAS</x:v>
      </x:c>
      <x:c r="F4" s="18" t="str">
        <x:v>POD1</x:v>
      </x:c>
      <x:c r="G4" s="18" t="str">
        <x:v>Median/IQR</x:v>
      </x:c>
      <x:c r="H4" s="18" t="n">
        <x:v>50</x:v>
      </x:c>
      <x:c r="I4" s="18" t="n">
        <x:v>50</x:v>
      </x:c>
      <x:c r="J4" s="18" t="n">
        <x:v>48</x:v>
      </x:c>
      <x:c r="K4" s="18" t="n">
        <x:v>49</x:v>
      </x:c>
      <x:c r="L4" s="18"/>
      <x:c r="M4" s="18"/>
      <x:c r="N4" s="18" t="n">
        <x:v>3</x:v>
      </x:c>
      <x:c r="O4" s="18" t="n">
        <x:v>3</x:v>
      </x:c>
      <x:c r="P4" s="18" t="n">
        <x:v>4</x:v>
      </x:c>
      <x:c r="Q4" s="18"/>
      <x:c r="R4" s="18"/>
      <x:c r="S4" s="18"/>
      <x:c r="T4" s="18" t="n">
        <x:v>4</x:v>
      </x:c>
      <x:c r="U4" s="18" t="n">
        <x:v>4</x:v>
      </x:c>
      <x:c r="V4" s="18" t="n">
        <x:v>5</x:v>
      </x:c>
      <x:c r="W4" s="18"/>
      <x:c r="X4" s="18" t="str">
        <x:v>VAS 0-10</x:v>
      </x:c>
      <x:c r="Y4" s="18" t="str">
        <x:v>&lt;0.001</x:v>
      </x:c>
      <x:c r="Z4" s="18"/>
      <x:c r="AA4" s="18"/>
      <x:c r="AB4" s="18" t="str">
        <x:v>CONDITIONAL — POD1</x:v>
      </x:c>
      <x:c r="AC4" s="18" t="str">
        <x:v>POD1/day-after-surgery is not necessarily a clock-defined 24-h measurement; pool only if protocol permits.</x:v>
      </x:c>
      <x:c r="AD4" s="18"/>
      <x:c r="AE4" s="18" t="str">
        <x:v>Use median/IQR-compatible meta-analysis method; do not relabel as mean/SD</x:v>
      </x:c>
      <x:c r="AF4" s="18" t="str">
        <x:v>High</x:v>
      </x:c>
      <x:c r="AG4" s="18" t="str">
        <x:v>Yes — selected RoB is for a different result/timepoint</x:v>
      </x:c>
      <x:c r="AH4" s="18" t="str">
        <x:v>Zhou 2025</x:v>
      </x:c>
      <x:c r="AI4" s="18" t="str">
        <x:v>Primary eligible contrast</x:v>
      </x:c>
      <x:c r="AJ4" s="18" t="str">
        <x:v>Count this study once per synthesis unless a valid multi-arm method is used.</x:v>
      </x:c>
      <x:c r="AK4" s="18" t="str">
        <x:v>Do not convert median/IQR to mean/SD without prespecified method</x:v>
      </x:c>
      <x:c r="AL4" s="18" t="str">
        <x:v>https://drive.google.com/file/d/1gpNBuoukUttXKWiAAeZSqdIaaHSMOwDU/view?usp=drivesdk</x:v>
      </x:c>
    </x:row>
    <x:row r="5">
      <x:c r="A5" s="18" t="str">
        <x:v>Zhou 2021</x:v>
      </x:c>
      <x:c r="B5" s="18" t="str">
        <x:v>ZHOU21_TEAS_vs_UC_PAIN</x:v>
      </x:c>
      <x:c r="C5" s="18" t="str">
        <x:v>Postoperative TEAS + ERAS</x:v>
      </x:c>
      <x:c r="D5" s="18" t="str">
        <x:v>ERAS/usual care</x:v>
      </x:c>
      <x:c r="E5" s="18" t="str">
        <x:v>Average postoperative pain</x:v>
      </x:c>
      <x:c r="F5" s="18" t="str">
        <x:v>POD1-POD5 average</x:v>
      </x:c>
      <x:c r="G5" s="18" t="str">
        <x:v>Mean/SD</x:v>
      </x:c>
      <x:c r="H5" s="18" t="n">
        <x:v>41</x:v>
      </x:c>
      <x:c r="I5" s="18" t="n">
        <x:v>41</x:v>
      </x:c>
      <x:c r="J5" s="18" t="n">
        <x:v>41</x:v>
      </x:c>
      <x:c r="K5" s="18" t="n">
        <x:v>40</x:v>
      </x:c>
      <x:c r="L5" s="18" t="n">
        <x:v>2.55</x:v>
      </x:c>
      <x:c r="M5" s="18" t="n">
        <x:v>0.21</x:v>
      </x:c>
      <x:c r="N5" s="18"/>
      <x:c r="O5" s="18"/>
      <x:c r="P5" s="18"/>
      <x:c r="Q5" s="18"/>
      <x:c r="R5" s="18" t="n">
        <x:v>3.1</x:v>
      </x:c>
      <x:c r="S5" s="18" t="n">
        <x:v>0.42</x:v>
      </x:c>
      <x:c r="T5" s="18"/>
      <x:c r="U5" s="18"/>
      <x:c r="V5" s="18"/>
      <x:c r="W5" s="18"/>
      <x:c r="X5" s="18" t="str">
        <x:v>pain score</x:v>
      </x:c>
      <x:c r="Y5" s="18" t="str">
        <x:v>&lt;0.001</x:v>
      </x:c>
      <x:c r="Z5" s="18" t="str">
        <x:v>MD</x:v>
      </x:c>
      <x:c r="AA5" s="18" t="n">
        <x:v>-0.5500000000000003</x:v>
      </x:c>
      <x:c r="AB5" s="18" t="str">
        <x:v>CONDITIONAL — POD1</x:v>
      </x:c>
      <x:c r="AC5" s="18" t="str">
        <x:v>POD1/day-after-surgery is not necessarily a clock-defined 24-h measurement; pool only if protocol permits.</x:v>
      </x:c>
      <x:c r="AD5" s="18"/>
      <x:c r="AE5" s="18" t="str">
        <x:v>None</x:v>
      </x:c>
      <x:c r="AF5" s="18" t="str">
        <x:v>High</x:v>
      </x:c>
      <x:c r="AG5" s="18" t="str">
        <x:v>Yes — selected RoB is for a different result/timepoint</x:v>
      </x:c>
      <x:c r="AH5" s="18" t="str">
        <x:v>Zhou 2021</x:v>
      </x:c>
      <x:c r="AI5" s="18" t="str">
        <x:v>Primary eligible contrast</x:v>
      </x:c>
      <x:c r="AJ5" s="18" t="str">
        <x:v>Count this study once per synthesis unless a valid multi-arm method is used.</x:v>
      </x:c>
      <x:c r="AK5" s="18" t="str">
        <x:v>Open-label/no sham; subjective outcome</x:v>
      </x:c>
      <x:c r="AL5" s="18" t="str">
        <x:v>https://drive.google.com/file/d/1PxYyULBv_ZjWeqAm_bNYkDn_j2_lNYLq/view?usp=drivesdk</x:v>
      </x:c>
    </x:row>
    <x:row r="6">
      <x:c r="A6" s="18" t="str">
        <x:v>Zhan 2020</x:v>
      </x:c>
      <x:c r="B6" s="18" t="str">
        <x:v>ZHAN20_TAPTEAS_vs_TAP_PAIN24</x:v>
      </x:c>
      <x:c r="C6" s="18" t="str">
        <x:v>TAP block + postoperative TEAS</x:v>
      </x:c>
      <x:c r="D6" s="18" t="str">
        <x:v>TAP block</x:v>
      </x:c>
      <x:c r="E6" s="18" t="str">
        <x:v>VAS pain intensity</x:v>
      </x:c>
      <x:c r="F6" s="18" t="str">
        <x:v>24 h postoperatively</x:v>
      </x:c>
      <x:c r="G6" s="18" t="str">
        <x:v>Source-format ambiguous</x:v>
      </x:c>
      <x:c r="H6" s="18" t="n">
        <x:v>30</x:v>
      </x:c>
      <x:c r="I6" s="18" t="n">
        <x:v>30</x:v>
      </x:c>
      <x:c r="J6" s="18" t="n">
        <x:v>30</x:v>
      </x:c>
      <x:c r="K6" s="18" t="n">
        <x:v>30</x:v>
      </x:c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 t="str">
        <x:v>VAS</x:v>
      </x:c>
      <x:c r="Y6" s="18" t="str">
        <x:v>0.03 pairwise</x:v>
      </x:c>
      <x:c r="Z6" s="18"/>
      <x:c r="AA6" s="18"/>
      <x:c r="AB6" s="18" t="str">
        <x:v>CONDITIONAL</x:v>
      </x:c>
      <x:c r="AC6" s="18" t="str">
        <x:v>Contains a 24-h measurement but timepoint definition differs from the strict analysis.</x:v>
      </x:c>
      <x:c r="AD6" s="18"/>
      <x:c r="AE6" s="18" t="str">
        <x:v>None</x:v>
      </x:c>
      <x:c r="AF6" s="18" t="str">
        <x:v>High</x:v>
      </x:c>
      <x:c r="AG6" s="18" t="str">
        <x:v>No — selected RoB matches this result</x:v>
      </x:c>
      <x:c r="AH6" s="18" t="str">
        <x:v>Zhan 2020</x:v>
      </x:c>
      <x:c r="AI6" s="18" t="str">
        <x:v>Shared-control / multi-arm contrast</x:v>
      </x:c>
      <x:c r="AJ6" s="18" t="str">
        <x:v>Shared comparator present; avoid double-counting controls.</x:v>
      </x:c>
      <x:c r="AK6" s="18" t="str">
        <x:v>Printed source values are TAP+TEAS '2 (1.7 ± 2.2)' vs TAP '2 (2.0 ± 3.0)'; format is not defined as mean/SD, median/IQR, or range</x:v>
      </x:c>
      <x:c r="AL6" s="18" t="str">
        <x:v>https://drive.google.com/file/d/1GYG7JxUOQxbt724-Ng7dWv3sYeC8dDSr/view?usp=drivesdk</x:v>
      </x:c>
    </x:row>
    <x:row r="7">
      <x:c r="A7" s="18" t="str">
        <x:v>Zhang 2025</x:v>
      </x:c>
      <x:c r="B7" s="18" t="str">
        <x:v>ZHANG25_TEAS_vs_SHAM_VISCERAL_POD1</x:v>
      </x:c>
      <x:c r="C7" s="18" t="str">
        <x:v>Perioperative TEAS</x:v>
      </x:c>
      <x:c r="D7" s="18" t="str">
        <x:v>Sub-sensory sham</x:v>
      </x:c>
      <x:c r="E7" s="18" t="str">
        <x:v>Moderate-to-severe visceral pain</x:v>
      </x:c>
      <x:c r="F7" s="18" t="str">
        <x:v>POD1</x:v>
      </x:c>
      <x:c r="G7" s="18" t="str">
        <x:v>Events/total</x:v>
      </x:c>
      <x:c r="H7" s="18" t="n">
        <x:v>54</x:v>
      </x:c>
      <x:c r="I7" s="18" t="n">
        <x:v>54</x:v>
      </x:c>
      <x:c r="J7" s="18" t="n">
        <x:v>45</x:v>
      </x:c>
      <x:c r="K7" s="18" t="n">
        <x:v>48</x:v>
      </x:c>
      <x:c r="L7" s="18"/>
      <x:c r="M7" s="18"/>
      <x:c r="N7" s="18"/>
      <x:c r="O7" s="18"/>
      <x:c r="P7" s="18"/>
      <x:c r="Q7" s="18" t="n">
        <x:v>4</x:v>
      </x:c>
      <x:c r="R7" s="18"/>
      <x:c r="S7" s="18"/>
      <x:c r="T7" s="18"/>
      <x:c r="U7" s="18"/>
      <x:c r="V7" s="18"/>
      <x:c r="W7" s="18" t="n">
        <x:v>18</x:v>
      </x:c>
      <x:c r="X7" s="18" t="str">
        <x:v>participants</x:v>
      </x:c>
      <x:c r="Y7" s="18" t="str">
        <x:v>0.001</x:v>
      </x:c>
      <x:c r="Z7" s="18" t="str">
        <x:v>RR</x:v>
      </x:c>
      <x:c r="AA7" s="18" t="n">
        <x:v>0.23703703703703705</x:v>
      </x:c>
      <x:c r="AB7" s="18" t="str">
        <x:v>CONDITIONAL — POD1</x:v>
      </x:c>
      <x:c r="AC7" s="18" t="str">
        <x:v>POD1/day-after-surgery is not necessarily a clock-defined 24-h measurement; pool only if protocol permits.</x:v>
      </x:c>
      <x:c r="AD7" s="18"/>
      <x:c r="AE7" s="18" t="str">
        <x:v>Binary effect measure (RR preferred per protocol)</x:v>
      </x:c>
      <x:c r="AF7" s="18" t="str">
        <x:v>High</x:v>
      </x:c>
      <x:c r="AG7" s="18" t="str">
        <x:v>Yes — selected RoB is for a different result/timepoint</x:v>
      </x:c>
      <x:c r="AH7" s="18" t="str">
        <x:v>Zhang 2025</x:v>
      </x:c>
      <x:c r="AI7" s="18" t="str">
        <x:v>Primary eligible contrast</x:v>
      </x:c>
      <x:c r="AJ7" s="18" t="str">
        <x:v>Count this study once per synthesis unless a valid multi-arm method is used.</x:v>
      </x:c>
      <x:c r="AK7" s="18" t="str">
        <x:v>Figure 3D reports 8.9% vs 37.5%; 4/45 and 18/48 are exact denominator reconstructions</x:v>
      </x:c>
      <x:c r="AL7" s="18" t="str">
        <x:v>https://drive.google.com/file/d/1eHx6Hk16vmIfMgoiZ5eNae4zmCR5ktwJ/view?usp=drivesdk</x:v>
      </x:c>
    </x:row>
    <x:row r="8">
      <x:c r="A8" s="18" t="str">
        <x:v>Xing 2022</x:v>
      </x:c>
      <x:c r="B8" s="18" t="str">
        <x:v>XING22_NTG_vs_NG_RESTVAS24</x:v>
      </x:c>
      <x:c r="C8" s="18" t="str">
        <x:v>TEAS + active TAPB</x:v>
      </x:c>
      <x:c r="D8" s="18" t="str">
        <x:v>Sham TEAS + active TAPB</x:v>
      </x:c>
      <x:c r="E8" s="18" t="str">
        <x:v>Rest pain VAS</x:v>
      </x:c>
      <x:c r="F8" s="18" t="str">
        <x:v>24 h</x:v>
      </x:c>
      <x:c r="G8" s="18" t="str">
        <x:v>Mean/SD</x:v>
      </x:c>
      <x:c r="H8" s="18" t="n">
        <x:v>30</x:v>
      </x:c>
      <x:c r="I8" s="18" t="n">
        <x:v>30</x:v>
      </x:c>
      <x:c r="J8" s="18" t="n">
        <x:v>29</x:v>
      </x:c>
      <x:c r="K8" s="18" t="n">
        <x:v>29</x:v>
      </x:c>
      <x:c r="L8" s="18" t="n">
        <x:v>1.18</x:v>
      </x:c>
      <x:c r="M8" s="18" t="n">
        <x:v>0.42</x:v>
      </x:c>
      <x:c r="N8" s="18"/>
      <x:c r="O8" s="18"/>
      <x:c r="P8" s="18"/>
      <x:c r="Q8" s="18"/>
      <x:c r="R8" s="18" t="n">
        <x:v>1.4</x:v>
      </x:c>
      <x:c r="S8" s="18" t="n">
        <x:v>0.52</x:v>
      </x:c>
      <x:c r="T8" s="18"/>
      <x:c r="U8" s="18"/>
      <x:c r="V8" s="18"/>
      <x:c r="W8" s="18"/>
      <x:c r="X8" s="18" t="str">
        <x:v>VAS 0-10</x:v>
      </x:c>
      <x:c r="Y8" s="18" t="str">
        <x:v>NS for NTG vs NG at 24 h</x:v>
      </x:c>
      <x:c r="Z8" s="18" t="str">
        <x:v>MD</x:v>
      </x:c>
      <x:c r="AA8" s="18" t="n">
        <x:v>-0.21999999999999997</x:v>
      </x:c>
      <x:c r="AB8" s="18" t="str">
        <x:v>INCLUDE</x:v>
      </x:c>
      <x:c r="AC8" s="18" t="str">
        <x:v>Explicit 24-h pain endpoint with quantitative source data.</x:v>
      </x:c>
      <x:c r="AD8" s="18"/>
      <x:c r="AE8" s="18" t="str">
        <x:v>None</x:v>
      </x:c>
      <x:c r="AF8" s="18" t="str">
        <x:v>Some concerns</x:v>
      </x:c>
      <x:c r="AG8" s="18" t="str">
        <x:v>Yes — selected RoB is for a different result/timepoint</x:v>
      </x:c>
      <x:c r="AH8" s="18" t="str">
        <x:v>Xing 2022</x:v>
      </x:c>
      <x:c r="AI8" s="18" t="str">
        <x:v>Shared-control / multi-arm contrast</x:v>
      </x:c>
      <x:c r="AJ8" s="18" t="str">
        <x:v>Shared comparator present; avoid double-counting controls.</x:v>
      </x:c>
      <x:c r="AK8" s="18" t="str">
        <x:v>At 24 h both TAPB groups improved versus G, but incremental NTG-vs-NG difference was not reported significant</x:v>
      </x:c>
      <x:c r="AL8" s="18" t="str">
        <x:v>https://drive.google.com/file/d/1h3IGpQ56nSh7H16xBEVyTzCBkWOXRSxK/view?usp=drivesdk</x:v>
      </x:c>
    </x:row>
    <x:row r="9">
      <x:c r="A9" s="18" t="str">
        <x:v>Wu 2022</x:v>
      </x:c>
      <x:c r="B9" s="18" t="str">
        <x:v>WU22_PTEAS_vs_CTRL_PAINPOD1</x:v>
      </x:c>
      <x:c r="C9" s="18" t="str">
        <x:v>Perioperative pTEAS</x:v>
      </x:c>
      <x:c r="D9" s="18" t="str">
        <x:v>No-current control</x:v>
      </x:c>
      <x:c r="E9" s="18" t="str">
        <x:v>VAS pain intensity</x:v>
      </x:c>
      <x:c r="F9" s="18" t="str">
        <x:v>POD1</x:v>
      </x:c>
      <x:c r="G9" s="18" t="str">
        <x:v>Mean/SD</x:v>
      </x:c>
      <x:c r="H9" s="18" t="n">
        <x:v>45</x:v>
      </x:c>
      <x:c r="I9" s="18" t="n">
        <x:v>45</x:v>
      </x:c>
      <x:c r="J9" s="18" t="n">
        <x:v>44</x:v>
      </x:c>
      <x:c r="K9" s="18" t="n">
        <x:v>40</x:v>
      </x:c>
      <x:c r="L9" s="18" t="n">
        <x:v>1.77</x:v>
      </x:c>
      <x:c r="M9" s="18" t="n">
        <x:v>0.91</x:v>
      </x:c>
      <x:c r="N9" s="18"/>
      <x:c r="O9" s="18"/>
      <x:c r="P9" s="18"/>
      <x:c r="Q9" s="18"/>
      <x:c r="R9" s="18" t="n">
        <x:v>2.25</x:v>
      </x:c>
      <x:c r="S9" s="18" t="n">
        <x:v>0.71</x:v>
      </x:c>
      <x:c r="T9" s="18"/>
      <x:c r="U9" s="18"/>
      <x:c r="V9" s="18"/>
      <x:c r="W9" s="18"/>
      <x:c r="X9" s="18" t="str">
        <x:v>VAS 0-10</x:v>
      </x:c>
      <x:c r="Y9" s="18" t="str">
        <x:v>0.009</x:v>
      </x:c>
      <x:c r="Z9" s="18" t="str">
        <x:v>MD</x:v>
      </x:c>
      <x:c r="AA9" s="18" t="n">
        <x:v>-0.48</x:v>
      </x:c>
      <x:c r="AB9" s="18" t="str">
        <x:v>CONDITIONAL — POD1</x:v>
      </x:c>
      <x:c r="AC9" s="18" t="str">
        <x:v>POD1/day-after-surgery is not necessarily a clock-defined 24-h measurement; pool only if protocol permits.</x:v>
      </x:c>
      <x:c r="AD9" s="18"/>
      <x:c r="AE9" s="18" t="str">
        <x:v>None</x:v>
      </x:c>
      <x:c r="AF9" s="18" t="str">
        <x:v>High</x:v>
      </x:c>
      <x:c r="AG9" s="18" t="str">
        <x:v>No — selected RoB matches this result</x:v>
      </x:c>
      <x:c r="AH9" s="18" t="str">
        <x:v>Wu 2022</x:v>
      </x:c>
      <x:c r="AI9" s="18" t="str">
        <x:v>Primary eligible contrast</x:v>
      </x:c>
      <x:c r="AJ9" s="18" t="str">
        <x:v>Count this study once per synthesis unless a valid multi-arm method is used.</x:v>
      </x:c>
      <x:c r="AK9" s="18" t="str">
        <x:v>Asymmetric post-randomization exclusions: 1/45 pTEAS vs 5/45 control; participant sensory blinding not convincing</x:v>
      </x:c>
      <x:c r="AL9" s="18" t="str">
        <x:v>https://drive.google.com/file/d/1XR_8qmeHR7ulwV7NaaI0CeYbpwKdc_ym/view?usp=drivesdk</x:v>
      </x:c>
    </x:row>
    <x:row r="10">
      <x:c r="A10" s="18" t="str">
        <x:v>Wu 2025</x:v>
      </x:c>
      <x:c r="B10" s="18" t="str">
        <x:v>WU25_TEAS_vs_SHAM_VAS24</x:v>
      </x:c>
      <x:c r="C10" s="18" t="str">
        <x:v>PACU TEAS</x:v>
      </x:c>
      <x:c r="D10" s="18" t="str">
        <x:v>Sham/no current</x:v>
      </x:c>
      <x:c r="E10" s="18" t="str">
        <x:v>VAS pain intensity</x:v>
      </x:c>
      <x:c r="F10" s="18" t="str">
        <x:v>24 h</x:v>
      </x:c>
      <x:c r="G10" s="18" t="str">
        <x:v>Mean/SD</x:v>
      </x:c>
      <x:c r="H10" s="18" t="n">
        <x:v>50</x:v>
      </x:c>
      <x:c r="I10" s="18" t="n">
        <x:v>50</x:v>
      </x:c>
      <x:c r="J10" s="18" t="n">
        <x:v>50</x:v>
      </x:c>
      <x:c r="K10" s="18" t="n">
        <x:v>50</x:v>
      </x:c>
      <x:c r="L10" s="18" t="n">
        <x:v>1.7</x:v>
      </x:c>
      <x:c r="M10" s="18" t="n">
        <x:v>0.9</x:v>
      </x:c>
      <x:c r="N10" s="18"/>
      <x:c r="O10" s="18"/>
      <x:c r="P10" s="18"/>
      <x:c r="Q10" s="18"/>
      <x:c r="R10" s="18" t="n">
        <x:v>4</x:v>
      </x:c>
      <x:c r="S10" s="18" t="n">
        <x:v>1.4</x:v>
      </x:c>
      <x:c r="T10" s="18"/>
      <x:c r="U10" s="18"/>
      <x:c r="V10" s="18"/>
      <x:c r="W10" s="18"/>
      <x:c r="X10" s="18" t="str">
        <x:v>VAS 0-10</x:v>
      </x:c>
      <x:c r="Y10" s="18" t="str">
        <x:v>&lt;0.001</x:v>
      </x:c>
      <x:c r="Z10" s="18" t="str">
        <x:v>MD</x:v>
      </x:c>
      <x:c r="AA10" s="18" t="n">
        <x:v>-2.3</x:v>
      </x:c>
      <x:c r="AB10" s="18" t="str">
        <x:v>EXCLUDE — DATA UNAVAILABLE</x:v>
      </x:c>
      <x:c r="AC10" s="18" t="str">
        <x:v>The source does not provide a defensible quantitative value for this analysis.</x:v>
      </x:c>
      <x:c r="AD10" s="18"/>
      <x:c r="AE10" s="18" t="str">
        <x:v>None</x:v>
      </x:c>
      <x:c r="AF10" s="18" t="str">
        <x:v>High</x:v>
      </x:c>
      <x:c r="AG10" s="18" t="str">
        <x:v>No — selected RoB matches this result</x:v>
      </x:c>
      <x:c r="AH10" s="18" t="str">
        <x:v>Wu 2025</x:v>
      </x:c>
      <x:c r="AI10" s="18" t="str">
        <x:v>Primary eligible contrast</x:v>
      </x:c>
      <x:c r="AJ10" s="18" t="str">
        <x:v>Count this study once per synthesis unless a valid multi-arm method is used.</x:v>
      </x:c>
      <x:c r="AK10" s="18" t="str">
        <x:v>Three patients could not be contacted at 24 h, yet all 100 were included in ITT; imputation/handling method is not explained</x:v>
      </x:c>
      <x:c r="AL10" s="18" t="str">
        <x:v>https://drive.google.com/file/d/1ZV6JFjevGSPqnISdX61KPdcC_yEtq3vf/view?usp=drivesdk</x:v>
      </x:c>
    </x:row>
    <x:row r="11">
      <x:c r="A11" s="18" t="str">
        <x:v>Wang 2023</x:v>
      </x:c>
      <x:c r="B11" s="18" t="str">
        <x:v>WANG23_TEAS_vs_SHAM_PAIN24</x:v>
      </x:c>
      <x:c r="C11" s="18" t="str">
        <x:v>Nighttime TEAS</x:v>
      </x:c>
      <x:c r="D11" s="18" t="str">
        <x:v>Sham/no current</x:v>
      </x:c>
      <x:c r="E11" s="18" t="str">
        <x:v>Activity pain VAS</x:v>
      </x:c>
      <x:c r="F11" s="18" t="str">
        <x:v>24 h</x:v>
      </x:c>
      <x:c r="G11" s="18" t="str">
        <x:v>Graph-only mean/SD</x:v>
      </x:c>
      <x:c r="H11" s="18" t="n">
        <x:v>43</x:v>
      </x:c>
      <x:c r="I11" s="18" t="n">
        <x:v>45</x:v>
      </x:c>
      <x:c r="J11" s="18" t="n">
        <x:v>40</x:v>
      </x:c>
      <x:c r="K11" s="18" t="n">
        <x:v>43</x:v>
      </x:c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 t="str">
        <x:v>VAS 0-10</x:v>
      </x:c>
      <x:c r="Y11" s="18" t="str">
        <x:v>&lt;0.05</x:v>
      </x:c>
      <x:c r="Z11" s="18"/>
      <x:c r="AA11" s="18"/>
      <x:c r="AB11" s="18" t="str">
        <x:v>DIGITIZATION NEEDED</x:v>
      </x:c>
      <x:c r="AC11" s="18" t="str">
        <x:v>Exact numeric result is not tabulated; formal graph digitization or author data is required before quantitative pooling.</x:v>
      </x:c>
      <x:c r="AD11" s="18"/>
      <x:c r="AE11" s="18" t="str">
        <x:v>None</x:v>
      </x:c>
      <x:c r="AF11" s="18" t="str">
        <x:v>High</x:v>
      </x:c>
      <x:c r="AG11" s="18" t="str">
        <x:v>Yes — selected RoB is for a different result/timepoint</x:v>
      </x:c>
      <x:c r="AH11" s="18" t="str">
        <x:v>Wang 2023</x:v>
      </x:c>
      <x:c r="AI11" s="18" t="str">
        <x:v>Primary eligible contrast</x:v>
      </x:c>
      <x:c r="AJ11" s="18" t="str">
        <x:v>Count this study once per synthesis unless a valid multi-arm method is used.</x:v>
      </x:c>
      <x:c r="AK11" s="18" t="str">
        <x:v>Exact 24-h activity VAS values are only shown graphically; stored derivative exact values were fabricated</x:v>
      </x:c>
      <x:c r="AL11" s="18" t="str">
        <x:v>https://drive.google.com/file/d/177A4aH42GD90DhsvvtD-VOBSChBBpIWL/view?usp=drivesdk</x:v>
      </x:c>
    </x:row>
    <x:row r="12">
      <x:c r="A12" s="18" t="str">
        <x:v>Tu 2024</x:v>
      </x:c>
      <x:c r="B12" s="18" t="str">
        <x:v>TU24_TEAS_vs_SHAM_PAIN6_24</x:v>
      </x:c>
      <x:c r="C12" s="18" t="str">
        <x:v>Postoperative TEAS</x:v>
      </x:c>
      <x:c r="D12" s="18" t="str">
        <x:v>Sham/no current</x:v>
      </x:c>
      <x:c r="E12" s="18" t="str">
        <x:v>VAS pain intensity</x:v>
      </x:c>
      <x:c r="F12" s="18" t="str">
        <x:v>6-24 h</x:v>
      </x:c>
      <x:c r="G12" s="18" t="str">
        <x:v>Median/IQR</x:v>
      </x:c>
      <x:c r="H12" s="18" t="n">
        <x:v>60</x:v>
      </x:c>
      <x:c r="I12" s="18" t="n">
        <x:v>60</x:v>
      </x:c>
      <x:c r="J12" s="18" t="n">
        <x:v>57</x:v>
      </x:c>
      <x:c r="K12" s="18" t="n">
        <x:v>58</x:v>
      </x:c>
      <x:c r="L12" s="18"/>
      <x:c r="M12" s="18"/>
      <x:c r="N12" s="18" t="n">
        <x:v>2</x:v>
      </x:c>
      <x:c r="O12" s="18" t="n">
        <x:v>0.5</x:v>
      </x:c>
      <x:c r="P12" s="18" t="n">
        <x:v>3</x:v>
      </x:c>
      <x:c r="Q12" s="18"/>
      <x:c r="R12" s="18"/>
      <x:c r="S12" s="18"/>
      <x:c r="T12" s="18" t="n">
        <x:v>4</x:v>
      </x:c>
      <x:c r="U12" s="18" t="n">
        <x:v>3</x:v>
      </x:c>
      <x:c r="V12" s="18" t="n">
        <x:v>4</x:v>
      </x:c>
      <x:c r="W12" s="18"/>
      <x:c r="X12" s="18" t="str">
        <x:v>VAS 0-10</x:v>
      </x:c>
      <x:c r="Y12" s="18" t="str">
        <x:v>0.001</x:v>
      </x:c>
      <x:c r="Z12" s="18"/>
      <x:c r="AA12" s="18"/>
      <x:c r="AB12" s="18" t="str">
        <x:v>CONDITIONAL</x:v>
      </x:c>
      <x:c r="AC12" s="18" t="str">
        <x:v>Contains a 24-h measurement but timepoint definition differs from the strict analysis.</x:v>
      </x:c>
      <x:c r="AD12" s="18"/>
      <x:c r="AE12" s="18" t="str">
        <x:v>Use median/IQR-compatible meta-analysis method; do not relabel as mean/SD</x:v>
      </x:c>
      <x:c r="AF12" s="18" t="str">
        <x:v>High</x:v>
      </x:c>
      <x:c r="AG12" s="18" t="str">
        <x:v>Yes — selected RoB is for a different result/timepoint</x:v>
      </x:c>
      <x:c r="AH12" s="18" t="str">
        <x:v>Tu 2024</x:v>
      </x:c>
      <x:c r="AI12" s="18" t="str">
        <x:v>Primary eligible contrast</x:v>
      </x:c>
      <x:c r="AJ12" s="18" t="str">
        <x:v>Count this study once per synthesis unless a valid multi-arm method is used.</x:v>
      </x:c>
      <x:c r="AK12" s="18" t="str">
        <x:v>Subjective outcome; sensory difference between active de qi and no-current sham may affect participant masking</x:v>
      </x:c>
      <x:c r="AL12" s="18" t="str">
        <x:v>https://drive.google.com/file/d/1xQ9SbXVZblphUrb0-T9xpnAXk-_z5nBX/view?usp=drivesdk</x:v>
      </x:c>
    </x:row>
    <x:row r="13">
      <x:c r="A13" s="18" t="str">
        <x:v>Sun 2017</x:v>
      </x:c>
      <x:c r="B13" s="18" t="str">
        <x:v>SUN17_TSS_vs_SSS_ACTIVITY24</x:v>
      </x:c>
      <x:c r="C13" s="18" t="str">
        <x:v>Preoperative true TEAS only</x:v>
      </x:c>
      <x:c r="D13" s="18" t="str">
        <x:v>All-period sham TEAS (SSS)</x:v>
      </x:c>
      <x:c r="E13" s="18" t="str">
        <x:v>Activity-evoked VAS</x:v>
      </x:c>
      <x:c r="F13" s="18" t="str">
        <x:v>24 h</x:v>
      </x:c>
      <x:c r="G13" s="18" t="str">
        <x:v>Median/IQR</x:v>
      </x:c>
      <x:c r="H13" s="18" t="n">
        <x:v>95</x:v>
      </x:c>
      <x:c r="I13" s="18" t="n">
        <x:v>95</x:v>
      </x:c>
      <x:c r="J13" s="18" t="n">
        <x:v>91</x:v>
      </x:c>
      <x:c r="K13" s="18" t="n">
        <x:v>90</x:v>
      </x:c>
      <x:c r="L13" s="18"/>
      <x:c r="M13" s="18"/>
      <x:c r="N13" s="18" t="n">
        <x:v>4</x:v>
      </x:c>
      <x:c r="O13" s="18" t="n">
        <x:v>4</x:v>
      </x:c>
      <x:c r="P13" s="18" t="n">
        <x:v>5</x:v>
      </x:c>
      <x:c r="Q13" s="18"/>
      <x:c r="R13" s="18"/>
      <x:c r="S13" s="18"/>
      <x:c r="T13" s="18" t="n">
        <x:v>4</x:v>
      </x:c>
      <x:c r="U13" s="18" t="n">
        <x:v>3.8</x:v>
      </x:c>
      <x:c r="V13" s="18" t="n">
        <x:v>5</x:v>
      </x:c>
      <x:c r="W13" s="18"/>
      <x:c r="X13" s="18" t="str">
        <x:v>VAS 0-10</x:v>
      </x:c>
      <x:c r="Y13" s="18" t="str">
        <x:v>&lt;0.001 reported comparisons</x:v>
      </x:c>
      <x:c r="Z13" s="18"/>
      <x:c r="AA13" s="18"/>
      <x:c r="AB13" s="18" t="str">
        <x:v>INCLUDE</x:v>
      </x:c>
      <x:c r="AC13" s="18" t="str">
        <x:v>Explicit 24-h pain endpoint with quantitative source data.</x:v>
      </x:c>
      <x:c r="AD13" s="18"/>
      <x:c r="AE13" s="18" t="str">
        <x:v>Use median/IQR-compatible meta-analysis method; do not relabel as mean/SD</x:v>
      </x:c>
      <x:c r="AF13" s="18" t="str">
        <x:v>Some concerns</x:v>
      </x:c>
      <x:c r="AG13" s="18" t="str">
        <x:v>No — selected RoB matches this result</x:v>
      </x:c>
      <x:c r="AH13" s="18" t="str">
        <x:v>Sun 2017</x:v>
      </x:c>
      <x:c r="AI13" s="18" t="str">
        <x:v>TEAS timing-arm contrast</x:v>
      </x:c>
      <x:c r="AJ13" s="18" t="str">
        <x:v>Four-arm timing trial with shared sham; do not count timing arms as independent studies.</x:v>
      </x:c>
      <x:c r="AK13" s="18" t="str">
        <x:v>Four-arm timing trial; sham received 5 min perceptible low-current stimulation, not electrically inert</x:v>
      </x:c>
      <x:c r="AL13" s="18" t="str">
        <x:v>https://drive.google.com/file/d/1lELlw0IpkhqoB8OuintAI22fxKfNEcEd/view?usp=drivesdk</x:v>
      </x:c>
    </x:row>
    <x:row r="14">
      <x:c r="A14" s="18" t="str">
        <x:v>Sun 2017</x:v>
      </x:c>
      <x:c r="B14" s="18" t="str">
        <x:v>SUN17_TTS_vs_SSS_ACTIVITY24</x:v>
      </x:c>
      <x:c r="C14" s="18" t="str">
        <x:v>Preoperative + intraoperative true TEAS</x:v>
      </x:c>
      <x:c r="D14" s="18" t="str">
        <x:v>All-period sham TEAS (SSS)</x:v>
      </x:c>
      <x:c r="E14" s="18" t="str">
        <x:v>Activity-evoked VAS</x:v>
      </x:c>
      <x:c r="F14" s="18" t="str">
        <x:v>24 h</x:v>
      </x:c>
      <x:c r="G14" s="18" t="str">
        <x:v>Median/IQR</x:v>
      </x:c>
      <x:c r="H14" s="18" t="n">
        <x:v>95</x:v>
      </x:c>
      <x:c r="I14" s="18" t="n">
        <x:v>95</x:v>
      </x:c>
      <x:c r="J14" s="18" t="n">
        <x:v>91</x:v>
      </x:c>
      <x:c r="K14" s="18" t="n">
        <x:v>90</x:v>
      </x:c>
      <x:c r="L14" s="18"/>
      <x:c r="M14" s="18"/>
      <x:c r="N14" s="18" t="n">
        <x:v>4</x:v>
      </x:c>
      <x:c r="O14" s="18" t="n">
        <x:v>3</x:v>
      </x:c>
      <x:c r="P14" s="18" t="n">
        <x:v>4</x:v>
      </x:c>
      <x:c r="Q14" s="18"/>
      <x:c r="R14" s="18"/>
      <x:c r="S14" s="18"/>
      <x:c r="T14" s="18" t="n">
        <x:v>4</x:v>
      </x:c>
      <x:c r="U14" s="18" t="n">
        <x:v>3.8</x:v>
      </x:c>
      <x:c r="V14" s="18" t="n">
        <x:v>5</x:v>
      </x:c>
      <x:c r="W14" s="18"/>
      <x:c r="X14" s="18" t="str">
        <x:v>VAS 0-10</x:v>
      </x:c>
      <x:c r="Y14" s="18" t="str">
        <x:v>&lt;0.001 reported comparisons</x:v>
      </x:c>
      <x:c r="Z14" s="18"/>
      <x:c r="AA14" s="18"/>
      <x:c r="AB14" s="18" t="str">
        <x:v>INCLUDE</x:v>
      </x:c>
      <x:c r="AC14" s="18" t="str">
        <x:v>Explicit 24-h pain endpoint with quantitative source data.</x:v>
      </x:c>
      <x:c r="AD14" s="18"/>
      <x:c r="AE14" s="18" t="str">
        <x:v>Use median/IQR-compatible meta-analysis method; do not relabel as mean/SD</x:v>
      </x:c>
      <x:c r="AF14" s="18" t="str">
        <x:v>Some concerns</x:v>
      </x:c>
      <x:c r="AG14" s="18" t="str">
        <x:v>No — selected RoB matches this result</x:v>
      </x:c>
      <x:c r="AH14" s="18" t="str">
        <x:v>Sun 2017</x:v>
      </x:c>
      <x:c r="AI14" s="18" t="str">
        <x:v>TEAS timing-arm contrast</x:v>
      </x:c>
      <x:c r="AJ14" s="18" t="str">
        <x:v>Four-arm timing trial with shared sham; do not count timing arms as independent studies.</x:v>
      </x:c>
      <x:c r="AK14" s="18" t="str">
        <x:v>Four-arm timing trial; sham received 5 min perceptible low-current stimulation, not electrically inert</x:v>
      </x:c>
      <x:c r="AL14" s="18" t="str">
        <x:v>https://drive.google.com/file/d/1lELlw0IpkhqoB8OuintAI22fxKfNEcEd/view?usp=drivesdk</x:v>
      </x:c>
    </x:row>
    <x:row r="15">
      <x:c r="A15" s="18" t="str">
        <x:v>Sun 2017</x:v>
      </x:c>
      <x:c r="B15" s="18" t="str">
        <x:v>SUN17_TST_vs_SSS_ACTIVITY24</x:v>
      </x:c>
      <x:c r="C15" s="18" t="str">
        <x:v>Preoperative + postoperative true TEAS</x:v>
      </x:c>
      <x:c r="D15" s="18" t="str">
        <x:v>All-period sham TEAS (SSS)</x:v>
      </x:c>
      <x:c r="E15" s="18" t="str">
        <x:v>Activity-evoked VAS</x:v>
      </x:c>
      <x:c r="F15" s="18" t="str">
        <x:v>24 h</x:v>
      </x:c>
      <x:c r="G15" s="18" t="str">
        <x:v>Median/IQR</x:v>
      </x:c>
      <x:c r="H15" s="18" t="n">
        <x:v>95</x:v>
      </x:c>
      <x:c r="I15" s="18" t="n">
        <x:v>95</x:v>
      </x:c>
      <x:c r="J15" s="18" t="n">
        <x:v>89</x:v>
      </x:c>
      <x:c r="K15" s="18" t="n">
        <x:v>90</x:v>
      </x:c>
      <x:c r="L15" s="18"/>
      <x:c r="M15" s="18"/>
      <x:c r="N15" s="18" t="n">
        <x:v>3</x:v>
      </x:c>
      <x:c r="O15" s="18" t="n">
        <x:v>3</x:v>
      </x:c>
      <x:c r="P15" s="18" t="n">
        <x:v>4</x:v>
      </x:c>
      <x:c r="Q15" s="18"/>
      <x:c r="R15" s="18"/>
      <x:c r="S15" s="18"/>
      <x:c r="T15" s="18" t="n">
        <x:v>4</x:v>
      </x:c>
      <x:c r="U15" s="18" t="n">
        <x:v>3.8</x:v>
      </x:c>
      <x:c r="V15" s="18" t="n">
        <x:v>5</x:v>
      </x:c>
      <x:c r="W15" s="18"/>
      <x:c r="X15" s="18" t="str">
        <x:v>VAS 0-10</x:v>
      </x:c>
      <x:c r="Y15" s="18" t="str">
        <x:v>&lt;0.001 reported comparisons</x:v>
      </x:c>
      <x:c r="Z15" s="18"/>
      <x:c r="AA15" s="18"/>
      <x:c r="AB15" s="18" t="str">
        <x:v>INCLUDE</x:v>
      </x:c>
      <x:c r="AC15" s="18" t="str">
        <x:v>Explicit 24-h pain endpoint with quantitative source data.</x:v>
      </x:c>
      <x:c r="AD15" s="18"/>
      <x:c r="AE15" s="18" t="str">
        <x:v>Use median/IQR-compatible meta-analysis method; do not relabel as mean/SD</x:v>
      </x:c>
      <x:c r="AF15" s="18" t="str">
        <x:v>Some concerns</x:v>
      </x:c>
      <x:c r="AG15" s="18" t="str">
        <x:v>No — selected RoB matches this result</x:v>
      </x:c>
      <x:c r="AH15" s="18" t="str">
        <x:v>Sun 2017</x:v>
      </x:c>
      <x:c r="AI15" s="18" t="str">
        <x:v>TEAS timing-arm contrast</x:v>
      </x:c>
      <x:c r="AJ15" s="18" t="str">
        <x:v>Four-arm timing trial with shared sham; do not count timing arms as independent studies.</x:v>
      </x:c>
      <x:c r="AK15" s="18" t="str">
        <x:v>Four-arm timing trial; sham received 5 min perceptible low-current stimulation, not electrically inert</x:v>
      </x:c>
      <x:c r="AL15" s="18" t="str">
        <x:v>https://drive.google.com/file/d/1lELlw0IpkhqoB8OuintAI22fxKfNEcEd/view?usp=drivesdk</x:v>
      </x:c>
    </x:row>
    <x:row r="16">
      <x:c r="A16" s="18" t="str">
        <x:v>Ng 2013</x:v>
      </x:c>
      <x:c r="B16" s="18" t="str">
        <x:v>NG13_EA_vs_SHAM_PAINPOD1</x:v>
      </x:c>
      <x:c r="C16" s="18" t="str">
        <x:v>Electroacupuncture</x:v>
      </x:c>
      <x:c r="D16" s="18" t="str">
        <x:v>Sham acupuncture</x:v>
      </x:c>
      <x:c r="E16" s="18" t="str">
        <x:v>VAS pain intensity</x:v>
      </x:c>
      <x:c r="F16" s="18" t="str">
        <x:v>POD1</x:v>
      </x:c>
      <x:c r="G16" s="18" t="str">
        <x:v>Mean/SD</x:v>
      </x:c>
      <x:c r="H16" s="18" t="n">
        <x:v>55</x:v>
      </x:c>
      <x:c r="I16" s="18" t="n">
        <x:v>55</x:v>
      </x:c>
      <x:c r="J16" s="18" t="n">
        <x:v>55</x:v>
      </x:c>
      <x:c r="K16" s="18" t="n">
        <x:v>55</x:v>
      </x:c>
      <x:c r="L16" s="18" t="n">
        <x:v>5.6</x:v>
      </x:c>
      <x:c r="M16" s="18" t="n">
        <x:v>2</x:v>
      </x:c>
      <x:c r="N16" s="18"/>
      <x:c r="O16" s="18"/>
      <x:c r="P16" s="18"/>
      <x:c r="Q16" s="18"/>
      <x:c r="R16" s="18" t="n">
        <x:v>5.8</x:v>
      </x:c>
      <x:c r="S16" s="18" t="n">
        <x:v>1.9</x:v>
      </x:c>
      <x:c r="T16" s="18"/>
      <x:c r="U16" s="18"/>
      <x:c r="V16" s="18"/>
      <x:c r="W16" s="18"/>
      <x:c r="X16" s="18" t="str">
        <x:v>VAS 0-10</x:v>
      </x:c>
      <x:c r="Y16" s="18" t="str">
        <x:v>0.655</x:v>
      </x:c>
      <x:c r="Z16" s="18" t="str">
        <x:v>MD</x:v>
      </x:c>
      <x:c r="AA16" s="18" t="n">
        <x:v>-0.20000000000000018</x:v>
      </x:c>
      <x:c r="AB16" s="18" t="str">
        <x:v>CONDITIONAL — POD1</x:v>
      </x:c>
      <x:c r="AC16" s="18" t="str">
        <x:v>POD1/day-after-surgery is not necessarily a clock-defined 24-h measurement; pool only if protocol permits.</x:v>
      </x:c>
      <x:c r="AD16" s="18"/>
      <x:c r="AE16" s="18" t="str">
        <x:v>None</x:v>
      </x:c>
      <x:c r="AF16" s="18" t="str">
        <x:v>Some concerns</x:v>
      </x:c>
      <x:c r="AG16" s="18" t="str">
        <x:v>Yes — selected RoB is for a different result/timepoint</x:v>
      </x:c>
      <x:c r="AH16" s="18" t="str">
        <x:v>Ng 2013</x:v>
      </x:c>
      <x:c r="AI16" s="18" t="str">
        <x:v>Shared-control / multi-arm contrast</x:v>
      </x:c>
      <x:c r="AJ16" s="18" t="str">
        <x:v>Shared comparator present; avoid double-counting controls.</x:v>
      </x:c>
      <x:c r="AK16" s="18" t="str">
        <x:v>POD1 is not an exact clock-defined 24-h point</x:v>
      </x:c>
      <x:c r="AL16" s="18" t="str">
        <x:v>https://drive.google.com/file/d/1R1zCiyfWvuSp99Hi2U_K1__8kgdi90gd/view?usp=drivesdk</x:v>
      </x:c>
    </x:row>
    <x:row r="17">
      <x:c r="A17" s="18" t="str">
        <x:v>Ma 2026</x:v>
      </x:c>
      <x:c r="B17" s="18" t="str">
        <x:v>MA26_T_vs_S_PAIN24</x:v>
      </x:c>
      <x:c r="C17" s="18" t="str">
        <x:v>Group T: sleep disturbance + preop TEAS</x:v>
      </x:c>
      <x:c r="D17" s="18" t="str">
        <x:v>Group S: sleep disturbance, no TEAS</x:v>
      </x:c>
      <x:c r="E17" s="18" t="str">
        <x:v>Resting NRS pain</x:v>
      </x:c>
      <x:c r="F17" s="18" t="str">
        <x:v>24 h</x:v>
      </x:c>
      <x:c r="G17" s="18" t="str">
        <x:v>Graph-only continuous data</x:v>
      </x:c>
      <x:c r="H17" s="18" t="n">
        <x:v>18</x:v>
      </x:c>
      <x:c r="I17" s="18" t="n">
        <x:v>17</x:v>
      </x:c>
      <x:c r="J17" s="18" t="n">
        <x:v>17</x:v>
      </x:c>
      <x:c r="K17" s="18" t="n">
        <x:v>16</x:v>
      </x:c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 t="str">
        <x:v>NRS 0-10</x:v>
      </x:c>
      <x:c r="Y17" s="18" t="str">
        <x:v>P&lt;0.05 T vs S</x:v>
      </x:c>
      <x:c r="Z17" s="18"/>
      <x:c r="AA17" s="18"/>
      <x:c r="AB17" s="18" t="str">
        <x:v>DIGITIZATION NEEDED</x:v>
      </x:c>
      <x:c r="AC17" s="18" t="str">
        <x:v>Exact numeric result is not tabulated; formal graph digitization or author data is required before quantitative pooling.</x:v>
      </x:c>
      <x:c r="AD17" s="18"/>
      <x:c r="AE17" s="18" t="str">
        <x:v>None</x:v>
      </x:c>
      <x:c r="AF17" s="18" t="str">
        <x:v>High</x:v>
      </x:c>
      <x:c r="AG17" s="18" t="str">
        <x:v>No — selected RoB matches this result</x:v>
      </x:c>
      <x:c r="AH17" s="18" t="str">
        <x:v>Ma 2026</x:v>
      </x:c>
      <x:c r="AI17" s="18" t="str">
        <x:v>Primary eligible contrast</x:v>
      </x:c>
      <x:c r="AJ17" s="18" t="str">
        <x:v>Count this study once per synthesis unless a valid multi-arm method is used.</x:v>
      </x:c>
      <x:c r="AK17" s="18" t="str">
        <x:v>Partially randomized trial: only T vs S is randomized. Exact 24-h means/SDs are graph-only and must not be inferred from Antigravity candidate values</x:v>
      </x:c>
      <x:c r="AL17" s="18" t="str">
        <x:v>https://drive.google.com/file/d/1tMEOwvRWIMeEmBmKfeHEt7YF10yxslUe/view?usp=drivesdk</x:v>
      </x:c>
    </x:row>
    <x:row r="18">
      <x:c r="A18" s="18" t="str">
        <x:v>Luo 2026</x:v>
      </x:c>
      <x:c r="B18" s="18" t="str">
        <x:v>LUO26_TEAS_vs_SHAM_NRS24</x:v>
      </x:c>
      <x:c r="C18" s="18" t="str">
        <x:v>Intraoperative PC6 TEAS + standard antiemetics</x:v>
      </x:c>
      <x:c r="D18" s="18" t="str">
        <x:v>Sham/no current + standard antiemetics</x:v>
      </x:c>
      <x:c r="E18" s="18" t="str">
        <x:v>Postoperative NRS pain</x:v>
      </x:c>
      <x:c r="F18" s="18" t="str">
        <x:v>24 h</x:v>
      </x:c>
      <x:c r="G18" s="18" t="str">
        <x:v>Mean/SD</x:v>
      </x:c>
      <x:c r="H18" s="18" t="n">
        <x:v>138</x:v>
      </x:c>
      <x:c r="I18" s="18" t="n">
        <x:v>139</x:v>
      </x:c>
      <x:c r="J18" s="18" t="n">
        <x:v>138</x:v>
      </x:c>
      <x:c r="K18" s="18" t="n">
        <x:v>139</x:v>
      </x:c>
      <x:c r="L18" s="18" t="n">
        <x:v>1.3</x:v>
      </x:c>
      <x:c r="M18" s="18" t="n">
        <x:v>0.92</x:v>
      </x:c>
      <x:c r="N18" s="18"/>
      <x:c r="O18" s="18"/>
      <x:c r="P18" s="18"/>
      <x:c r="Q18" s="18"/>
      <x:c r="R18" s="18" t="n">
        <x:v>1.65</x:v>
      </x:c>
      <x:c r="S18" s="18" t="n">
        <x:v>0.95</x:v>
      </x:c>
      <x:c r="T18" s="18"/>
      <x:c r="U18" s="18"/>
      <x:c r="V18" s="18"/>
      <x:c r="W18" s="18"/>
      <x:c r="X18" s="18" t="str">
        <x:v>NRS 0-10</x:v>
      </x:c>
      <x:c r="Y18" s="18" t="str">
        <x:v>&lt;0.01</x:v>
      </x:c>
      <x:c r="Z18" s="18" t="str">
        <x:v>MD</x:v>
      </x:c>
      <x:c r="AA18" s="18" t="n">
        <x:v>-0.34999999999999987</x:v>
      </x:c>
      <x:c r="AB18" s="18" t="str">
        <x:v>INCLUDE</x:v>
      </x:c>
      <x:c r="AC18" s="18" t="str">
        <x:v>Explicit 24-h pain endpoint with quantitative source data.</x:v>
      </x:c>
      <x:c r="AD18" s="18"/>
      <x:c r="AE18" s="18" t="str">
        <x:v>None</x:v>
      </x:c>
      <x:c r="AF18" s="18" t="str">
        <x:v>Some concerns</x:v>
      </x:c>
      <x:c r="AG18" s="18" t="str">
        <x:v>Yes — selected RoB is for a different result/timepoint</x:v>
      </x:c>
      <x:c r="AH18" s="18" t="str">
        <x:v>Luo 2026</x:v>
      </x:c>
      <x:c r="AI18" s="18" t="str">
        <x:v>Primary eligible contrast</x:v>
      </x:c>
      <x:c r="AJ18" s="18" t="str">
        <x:v>Count this study once per synthesis unless a valid multi-arm method is used.</x:v>
      </x:c>
      <x:c r="AK18" s="18" t="str">
        <x:v>Rest-versus-movement condition is not reported; participant masking was incomplete</x:v>
      </x:c>
      <x:c r="AL18" s="18" t="str">
        <x:v>https://drive.google.com/file/d/1xxZle6mPpcnmHLblJbsy1kA4CyQHpvm2/view?usp=drivesdk</x:v>
      </x:c>
    </x:row>
    <x:row r="19">
      <x:c r="A19" s="18" t="str">
        <x:v>Long 2025</x:v>
      </x:c>
      <x:c r="B19" s="18" t="str">
        <x:v>LONG25_TEAS_vs_CTRL_VAS24</x:v>
      </x:c>
      <x:c r="C19" s="18" t="str">
        <x:v>Perioperative electrical acupoint stimulation</x:v>
      </x:c>
      <x:c r="D19" s="18" t="str">
        <x:v>Electrodes/no current</x:v>
      </x:c>
      <x:c r="E19" s="18" t="str">
        <x:v>VAS pain intensity</x:v>
      </x:c>
      <x:c r="F19" s="18" t="str">
        <x:v>24 h</x:v>
      </x:c>
      <x:c r="G19" s="18" t="str">
        <x:v>Mean/SD</x:v>
      </x:c>
      <x:c r="H19" s="18" t="n">
        <x:v>30</x:v>
      </x:c>
      <x:c r="I19" s="18" t="n">
        <x:v>30</x:v>
      </x:c>
      <x:c r="J19" s="18" t="n">
        <x:v>27</x:v>
      </x:c>
      <x:c r="K19" s="18" t="n">
        <x:v>26</x:v>
      </x:c>
      <x:c r="L19" s="18" t="n">
        <x:v>2.78</x:v>
      </x:c>
      <x:c r="M19" s="18" t="n">
        <x:v>0.97</x:v>
      </x:c>
      <x:c r="N19" s="18"/>
      <x:c r="O19" s="18"/>
      <x:c r="P19" s="18"/>
      <x:c r="Q19" s="18"/>
      <x:c r="R19" s="18" t="n">
        <x:v>3.96</x:v>
      </x:c>
      <x:c r="S19" s="18" t="n">
        <x:v>0.96</x:v>
      </x:c>
      <x:c r="T19" s="18"/>
      <x:c r="U19" s="18"/>
      <x:c r="V19" s="18"/>
      <x:c r="W19" s="18"/>
      <x:c r="X19" s="18" t="str">
        <x:v>VAS 0-10</x:v>
      </x:c>
      <x:c r="Y19" s="18" t="str">
        <x:v>&lt;0.001</x:v>
      </x:c>
      <x:c r="Z19" s="18" t="str">
        <x:v>MD</x:v>
      </x:c>
      <x:c r="AA19" s="18" t="n">
        <x:v>-1.1800000000000002</x:v>
      </x:c>
      <x:c r="AB19" s="18" t="str">
        <x:v>INCLUDE</x:v>
      </x:c>
      <x:c r="AC19" s="18" t="str">
        <x:v>Explicit 24-h pain endpoint with quantitative source data.</x:v>
      </x:c>
      <x:c r="AD19" s="18"/>
      <x:c r="AE19" s="18" t="str">
        <x:v>None</x:v>
      </x:c>
      <x:c r="AF19" s="18" t="str">
        <x:v>High</x:v>
      </x:c>
      <x:c r="AG19" s="18" t="str">
        <x:v>Yes — selected RoB is for a different result/timepoint</x:v>
      </x:c>
      <x:c r="AH19" s="18" t="str">
        <x:v>Long 2025</x:v>
      </x:c>
      <x:c r="AI19" s="18" t="str">
        <x:v>Primary eligible contrast</x:v>
      </x:c>
      <x:c r="AJ19" s="18" t="str">
        <x:v>Count this study once per synthesis unless a valid multi-arm method is used.</x:v>
      </x:c>
      <x:c r="AK19" s="18" t="str">
        <x:v>Abstract/Results prose gives active 2.65 ± 0.94; Table 7/Figure 9 gives 2.78 ± 0.97. Master uses the directly tabulated Table 7 value and retains discrepancy</x:v>
      </x:c>
      <x:c r="AL19" s="18" t="str">
        <x:v>https://drive.google.com/file/d/1LDqtQLq9-kZLP0Vv_G3iiK8QKjy4pRXP/view?usp=drivesdk</x:v>
      </x:c>
    </x:row>
    <x:row r="20">
      <x:c r="A20" s="18" t="str">
        <x:v>Liu 2026 (ESD)</x:v>
      </x:c>
      <x:c r="B20" s="18" t="str">
        <x:v>LIU26ESD_TEAS_vs_SHAM_MODPAIN24</x:v>
      </x:c>
      <x:c r="C20" s="18" t="str">
        <x:v>Perioperative TEAS</x:v>
      </x:c>
      <x:c r="D20" s="18" t="str">
        <x:v>Sham-point/no current</x:v>
      </x:c>
      <x:c r="E20" s="18" t="str">
        <x:v>Moderate-to-severe pain (NRS ≥4)</x:v>
      </x:c>
      <x:c r="F20" s="18" t="str">
        <x:v>Within 24 h</x:v>
      </x:c>
      <x:c r="G20" s="18" t="str">
        <x:v>Events/total</x:v>
      </x:c>
      <x:c r="H20" s="18" t="n">
        <x:v>64</x:v>
      </x:c>
      <x:c r="I20" s="18" t="n">
        <x:v>65</x:v>
      </x:c>
      <x:c r="J20" s="18" t="n">
        <x:v>58</x:v>
      </x:c>
      <x:c r="K20" s="18" t="n">
        <x:v>62</x:v>
      </x:c>
      <x:c r="L20" s="18"/>
      <x:c r="M20" s="18"/>
      <x:c r="N20" s="18"/>
      <x:c r="O20" s="18"/>
      <x:c r="P20" s="18"/>
      <x:c r="Q20" s="18" t="n">
        <x:v>22</x:v>
      </x:c>
      <x:c r="R20" s="18"/>
      <x:c r="S20" s="18"/>
      <x:c r="T20" s="18"/>
      <x:c r="U20" s="18"/>
      <x:c r="V20" s="18"/>
      <x:c r="W20" s="18" t="n">
        <x:v>40</x:v>
      </x:c>
      <x:c r="X20" s="18" t="str">
        <x:v>participants</x:v>
      </x:c>
      <x:c r="Y20" s="18" t="str">
        <x:v>0.004</x:v>
      </x:c>
      <x:c r="Z20" s="18" t="str">
        <x:v>RR</x:v>
      </x:c>
      <x:c r="AA20" s="18" t="n">
        <x:v>0.5879310344827586</x:v>
      </x:c>
      <x:c r="AB20" s="18" t="str">
        <x:v>CONDITIONAL</x:v>
      </x:c>
      <x:c r="AC20" s="18" t="str">
        <x:v>Contains a 24-h measurement but timepoint definition differs from the strict analysis.</x:v>
      </x:c>
      <x:c r="AD20" s="18"/>
      <x:c r="AE20" s="18" t="str">
        <x:v>Binary effect measure (RR preferred per protocol)</x:v>
      </x:c>
      <x:c r="AF20" s="18" t="str">
        <x:v>High</x:v>
      </x:c>
      <x:c r="AG20" s="18" t="str">
        <x:v>No — selected RoB matches this result</x:v>
      </x:c>
      <x:c r="AH20" s="18" t="str">
        <x:v>Liu 2026 (ESD)</x:v>
      </x:c>
      <x:c r="AI20" s="18" t="str">
        <x:v>Primary eligible contrast</x:v>
      </x:c>
      <x:c r="AJ20" s="18" t="str">
        <x:v>Count this study once per synthesis unless a valid multi-arm method is used.</x:v>
      </x:c>
      <x:c r="AK20" s="18" t="str">
        <x:v>9/129 randomized participants excluded after randomization, including postoperative bleeding and conversion to laparotomy; no ITT sensitivity analysis</x:v>
      </x:c>
      <x:c r="AL20" s="18" t="str">
        <x:v>https://drive.google.com/file/d/1Hp7pCBP8iXkGGYVhlFY0BHTeaaM7bhdY/view?usp=drivesdk</x:v>
      </x:c>
    </x:row>
    <x:row r="21">
      <x:c r="A21" s="18" t="str">
        <x:v>Liu 2026 (ESD)</x:v>
      </x:c>
      <x:c r="B21" s="18" t="str">
        <x:v>LIU26ESD_TEAS_vs_SHAM_NRS24</x:v>
      </x:c>
      <x:c r="C21" s="18" t="str">
        <x:v>Perioperative TEAS</x:v>
      </x:c>
      <x:c r="D21" s="18" t="str">
        <x:v>Sham-point/no current</x:v>
      </x:c>
      <x:c r="E21" s="18" t="str">
        <x:v>NRS pain intensity</x:v>
      </x:c>
      <x:c r="F21" s="18" t="str">
        <x:v>24 h</x:v>
      </x:c>
      <x:c r="G21" s="18" t="str">
        <x:v>Mean/SD</x:v>
      </x:c>
      <x:c r="H21" s="18" t="n">
        <x:v>64</x:v>
      </x:c>
      <x:c r="I21" s="18" t="n">
        <x:v>65</x:v>
      </x:c>
      <x:c r="J21" s="18" t="n">
        <x:v>58</x:v>
      </x:c>
      <x:c r="K21" s="18" t="n">
        <x:v>62</x:v>
      </x:c>
      <x:c r="L21" s="18" t="n">
        <x:v>1.2</x:v>
      </x:c>
      <x:c r="M21" s="18" t="n">
        <x:v>1.3</x:v>
      </x:c>
      <x:c r="N21" s="18"/>
      <x:c r="O21" s="18"/>
      <x:c r="P21" s="18"/>
      <x:c r="Q21" s="18"/>
      <x:c r="R21" s="18" t="n">
        <x:v>2.8</x:v>
      </x:c>
      <x:c r="S21" s="18" t="n">
        <x:v>1.9</x:v>
      </x:c>
      <x:c r="T21" s="18"/>
      <x:c r="U21" s="18"/>
      <x:c r="V21" s="18"/>
      <x:c r="W21" s="18"/>
      <x:c r="X21" s="18" t="str">
        <x:v>NRS 0-10</x:v>
      </x:c>
      <x:c r="Y21" s="18" t="str">
        <x:v>0.001</x:v>
      </x:c>
      <x:c r="Z21" s="18" t="str">
        <x:v>MD</x:v>
      </x:c>
      <x:c r="AA21" s="18" t="n">
        <x:v>-1.5999999999999999</x:v>
      </x:c>
      <x:c r="AB21" s="18" t="str">
        <x:v>INCLUDE</x:v>
      </x:c>
      <x:c r="AC21" s="18" t="str">
        <x:v>Explicit 24-h pain endpoint with quantitative source data.</x:v>
      </x:c>
      <x:c r="AD21" s="18"/>
      <x:c r="AE21" s="18" t="str">
        <x:v>None</x:v>
      </x:c>
      <x:c r="AF21" s="18" t="str">
        <x:v>High</x:v>
      </x:c>
      <x:c r="AG21" s="18" t="str">
        <x:v>Yes — selected RoB is for a different result/timepoint</x:v>
      </x:c>
      <x:c r="AH21" s="18" t="str">
        <x:v>Liu 2026 (ESD)</x:v>
      </x:c>
      <x:c r="AI21" s="18" t="str">
        <x:v>Primary eligible contrast</x:v>
      </x:c>
      <x:c r="AJ21" s="18" t="str">
        <x:v>Count this study once per synthesis unless a valid multi-arm method is used.</x:v>
      </x:c>
      <x:c r="AK21" s="18" t="str">
        <x:v>Active TEAS at maximum tolerated intensity vs sham no current; sensory blinding success was not tested</x:v>
      </x:c>
      <x:c r="AL21" s="18" t="str">
        <x:v>https://drive.google.com/file/d/1Hp7pCBP8iXkGGYVhlFY0BHTeaaM7bhdY/view?usp=drivesdk</x:v>
      </x:c>
    </x:row>
    <x:row r="22">
      <x:c r="A22" s="18" t="str">
        <x:v>Liu 2021</x:v>
      </x:c>
      <x:c r="B22" s="18" t="str">
        <x:v>LIU21_TEAS_vs_CTRL_VASREST24</x:v>
      </x:c>
      <x:c r="C22" s="18" t="str">
        <x:v>Perioperative TEAS</x:v>
      </x:c>
      <x:c r="D22" s="18" t="str">
        <x:v>Electrodes/no current</x:v>
      </x:c>
      <x:c r="E22" s="18" t="str">
        <x:v>VAS at rest</x:v>
      </x:c>
      <x:c r="F22" s="18" t="str">
        <x:v>24 h</x:v>
      </x:c>
      <x:c r="G22" s="18" t="str">
        <x:v>Mean/SD</x:v>
      </x:c>
      <x:c r="H22" s="18" t="n">
        <x:v>50</x:v>
      </x:c>
      <x:c r="I22" s="18" t="n">
        <x:v>50</x:v>
      </x:c>
      <x:c r="J22" s="18" t="n">
        <x:v>50</x:v>
      </x:c>
      <x:c r="K22" s="18" t="n">
        <x:v>50</x:v>
      </x:c>
      <x:c r="L22" s="18" t="n">
        <x:v>2.52</x:v>
      </x:c>
      <x:c r="M22" s="18" t="n">
        <x:v>0.505</x:v>
      </x:c>
      <x:c r="N22" s="18"/>
      <x:c r="O22" s="18"/>
      <x:c r="P22" s="18"/>
      <x:c r="Q22" s="18"/>
      <x:c r="R22" s="18" t="n">
        <x:v>2.66</x:v>
      </x:c>
      <x:c r="S22" s="18" t="n">
        <x:v>0.626</x:v>
      </x:c>
      <x:c r="T22" s="18"/>
      <x:c r="U22" s="18"/>
      <x:c r="V22" s="18"/>
      <x:c r="W22" s="18"/>
      <x:c r="X22" s="18" t="str">
        <x:v>VAS</x:v>
      </x:c>
      <x:c r="Y22" s="18" t="str">
        <x:v>0.221</x:v>
      </x:c>
      <x:c r="Z22" s="18" t="str">
        <x:v>MD</x:v>
      </x:c>
      <x:c r="AA22" s="18" t="n">
        <x:v>-0.14000000000000012</x:v>
      </x:c>
      <x:c r="AB22" s="18" t="str">
        <x:v>INCLUDE</x:v>
      </x:c>
      <x:c r="AC22" s="18" t="str">
        <x:v>Explicit 24-h pain endpoint with quantitative source data.</x:v>
      </x:c>
      <x:c r="AD22" s="18"/>
      <x:c r="AE22" s="18" t="str">
        <x:v>None</x:v>
      </x:c>
      <x:c r="AF22" s="18" t="str">
        <x:v>Some concerns</x:v>
      </x:c>
      <x:c r="AG22" s="18" t="str">
        <x:v>Yes — selected RoB is for a different result/timepoint</x:v>
      </x:c>
      <x:c r="AH22" s="18" t="str">
        <x:v>Liu 2021</x:v>
      </x:c>
      <x:c r="AI22" s="18" t="str">
        <x:v>Primary eligible contrast</x:v>
      </x:c>
      <x:c r="AJ22" s="18" t="str">
        <x:v>Count this study once per synthesis unless a valid multi-arm method is used.</x:v>
      </x:c>
      <x:c r="AK22" s="18" t="str">
        <x:v>Participant blinding is unclear because active stimulation was maximum tolerated and control received no current</x:v>
      </x:c>
      <x:c r="AL22" s="18" t="str">
        <x:v>https://drive.google.com/file/d/1TA4BstaUWY3EdQbDNEvvGxF35ekGanrm/view?usp=drivesdk</x:v>
      </x:c>
    </x:row>
    <x:row r="23">
      <x:c r="A23" s="18" t="str">
        <x:v>Liu 2021</x:v>
      </x:c>
      <x:c r="B23" s="18" t="str">
        <x:v>LIU21_TEAS_vs_CTRL_VASCOUGH24</x:v>
      </x:c>
      <x:c r="C23" s="18" t="str">
        <x:v>Perioperative TEAS</x:v>
      </x:c>
      <x:c r="D23" s="18" t="str">
        <x:v>Electrodes/no current</x:v>
      </x:c>
      <x:c r="E23" s="18" t="str">
        <x:v>VAS with coughing</x:v>
      </x:c>
      <x:c r="F23" s="18" t="str">
        <x:v>24 h</x:v>
      </x:c>
      <x:c r="G23" s="18" t="str">
        <x:v>Mean/SD</x:v>
      </x:c>
      <x:c r="H23" s="18" t="n">
        <x:v>50</x:v>
      </x:c>
      <x:c r="I23" s="18" t="n">
        <x:v>50</x:v>
      </x:c>
      <x:c r="J23" s="18" t="n">
        <x:v>50</x:v>
      </x:c>
      <x:c r="K23" s="18" t="n">
        <x:v>50</x:v>
      </x:c>
      <x:c r="L23" s="18" t="n">
        <x:v>3.2</x:v>
      </x:c>
      <x:c r="M23" s="18" t="n">
        <x:v>0.571</x:v>
      </x:c>
      <x:c r="N23" s="18"/>
      <x:c r="O23" s="18"/>
      <x:c r="P23" s="18"/>
      <x:c r="Q23" s="18"/>
      <x:c r="R23" s="18" t="n">
        <x:v>3.16</x:v>
      </x:c>
      <x:c r="S23" s="18" t="n">
        <x:v>0.681</x:v>
      </x:c>
      <x:c r="T23" s="18"/>
      <x:c r="U23" s="18"/>
      <x:c r="V23" s="18"/>
      <x:c r="W23" s="18"/>
      <x:c r="X23" s="18" t="str">
        <x:v>VAS</x:v>
      </x:c>
      <x:c r="Y23" s="18" t="str">
        <x:v>0.751</x:v>
      </x:c>
      <x:c r="Z23" s="18" t="str">
        <x:v>MD</x:v>
      </x:c>
      <x:c r="AA23" s="18" t="n">
        <x:v>0.040000000000000036</x:v>
      </x:c>
      <x:c r="AB23" s="18" t="str">
        <x:v>INCLUDE</x:v>
      </x:c>
      <x:c r="AC23" s="18" t="str">
        <x:v>Explicit 24-h pain endpoint with quantitative source data.</x:v>
      </x:c>
      <x:c r="AD23" s="18"/>
      <x:c r="AE23" s="18" t="str">
        <x:v>None</x:v>
      </x:c>
      <x:c r="AF23" s="18" t="str">
        <x:v>Some concerns</x:v>
      </x:c>
      <x:c r="AG23" s="18" t="str">
        <x:v>Yes — selected RoB is for a different result/timepoint</x:v>
      </x:c>
      <x:c r="AH23" s="18" t="str">
        <x:v>Liu 2021</x:v>
      </x:c>
      <x:c r="AI23" s="18" t="str">
        <x:v>Primary eligible contrast</x:v>
      </x:c>
      <x:c r="AJ23" s="18" t="str">
        <x:v>Count this study once per synthesis unless a valid multi-arm method is used.</x:v>
      </x:c>
      <x:c r="AK23" s="18" t="str">
        <x:v>No evidence of analgesic benefit at 24 h</x:v>
      </x:c>
      <x:c r="AL23" s="18" t="str">
        <x:v>https://drive.google.com/file/d/1TA4BstaUWY3EdQbDNEvvGxF35ekGanrm/view?usp=drivesdk</x:v>
      </x:c>
    </x:row>
    <x:row r="24">
      <x:c r="A24" s="18" t="str">
        <x:v>Liu 2026 (burn)</x:v>
      </x:c>
      <x:c r="B24" s="18" t="str">
        <x:v>LIU26BURN_TEAS_vs_SHAM_FVAS24</x:v>
      </x:c>
      <x:c r="C24" s="18" t="str">
        <x:v>Pre-induction TEAS</x:v>
      </x:c>
      <x:c r="D24" s="18" t="str">
        <x:v>Placebo/sham TEAS</x:v>
      </x:c>
      <x:c r="E24" s="18" t="str">
        <x:v>Resting F-VAS pain</x:v>
      </x:c>
      <x:c r="F24" s="18" t="str">
        <x:v>24 h</x:v>
      </x:c>
      <x:c r="G24" s="18" t="str">
        <x:v>Graph-only continuous data</x:v>
      </x:c>
      <x:c r="H24" s="18" t="n">
        <x:v>44</x:v>
      </x:c>
      <x:c r="I24" s="18" t="n">
        <x:v>44</x:v>
      </x:c>
      <x:c r="J24" s="18" t="n">
        <x:v>43</x:v>
      </x:c>
      <x:c r="K24" s="18" t="n">
        <x:v>43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 t="str">
        <x:v>F-VAS 0-100 mm</x:v>
      </x:c>
      <x:c r="Y24" s="18" t="str">
        <x:v>0.039</x:v>
      </x:c>
      <x:c r="Z24" s="18"/>
      <x:c r="AA24" s="18"/>
      <x:c r="AB24" s="18" t="str">
        <x:v>DIGITIZATION NEEDED</x:v>
      </x:c>
      <x:c r="AC24" s="18" t="str">
        <x:v>Exact numeric result is not tabulated; formal graph digitization or author data is required before quantitative pooling.</x:v>
      </x:c>
      <x:c r="AD24" s="18"/>
      <x:c r="AE24" s="18" t="str">
        <x:v>None</x:v>
      </x:c>
      <x:c r="AF24" s="18" t="str">
        <x:v>Some concerns</x:v>
      </x:c>
      <x:c r="AG24" s="18" t="str">
        <x:v>Yes — selected RoB is for a different result/timepoint</x:v>
      </x:c>
      <x:c r="AH24" s="18" t="str">
        <x:v>Liu 2026 (burn)</x:v>
      </x:c>
      <x:c r="AI24" s="18" t="str">
        <x:v>Primary eligible contrast</x:v>
      </x:c>
      <x:c r="AJ24" s="18" t="str">
        <x:v>Count this study once per synthesis unless a valid multi-arm method is used.</x:v>
      </x:c>
      <x:c r="AK24" s="18" t="str">
        <x:v>Exact means/SDs are figure-only; do not infer numeric values from bar heights</x:v>
      </x:c>
      <x:c r="AL24" s="18" t="str">
        <x:v>https://drive.google.com/file/d/1mvekGtHD2JAKCRbIXrvLw1Nz7hbQ1dZ3/view?usp=drivesdk</x:v>
      </x:c>
    </x:row>
    <x:row r="25">
      <x:c r="A25" s="18" t="str">
        <x:v>Liu 2025</x:v>
      </x:c>
      <x:c r="B25" s="18" t="str">
        <x:v>LIU25_EA_vs_CTRL_PAIN24</x:v>
      </x:c>
      <x:c r="C25" s="18" t="str">
        <x:v>Perioperative electroacupuncture</x:v>
      </x:c>
      <x:c r="D25" s="18" t="str">
        <x:v>Control/sham procedure</x:v>
      </x:c>
      <x:c r="E25" s="18" t="str">
        <x:v>VAS pain intensity</x:v>
      </x:c>
      <x:c r="F25" s="18" t="str">
        <x:v>24 h</x:v>
      </x:c>
      <x:c r="G25" s="18" t="str">
        <x:v>Graph-only continuous data</x:v>
      </x:c>
      <x:c r="H25" s="18" t="n">
        <x:v>40</x:v>
      </x:c>
      <x:c r="I25" s="18" t="n">
        <x:v>40</x:v>
      </x:c>
      <x:c r="J25" s="18" t="n">
        <x:v>38</x:v>
      </x:c>
      <x:c r="K25" s="18" t="n">
        <x:v>39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 t="str">
        <x:v>VAS 0-10</x:v>
      </x:c>
      <x:c r="Y25" s="18" t="str">
        <x:v>Between-group difference not significant</x:v>
      </x:c>
      <x:c r="Z25" s="18"/>
      <x:c r="AA25" s="18"/>
      <x:c r="AB25" s="18" t="str">
        <x:v>DIGITIZATION NEEDED</x:v>
      </x:c>
      <x:c r="AC25" s="18" t="str">
        <x:v>Exact numeric result is not tabulated; formal graph digitization or author data is required before quantitative pooling.</x:v>
      </x:c>
      <x:c r="AD25" s="18"/>
      <x:c r="AE25" s="18" t="str">
        <x:v>None</x:v>
      </x:c>
      <x:c r="AF25" s="18" t="str">
        <x:v>Some concerns</x:v>
      </x:c>
      <x:c r="AG25" s="18" t="str">
        <x:v>Yes — selected RoB is for a different result/timepoint</x:v>
      </x:c>
      <x:c r="AH25" s="18" t="str">
        <x:v>Liu 2025</x:v>
      </x:c>
      <x:c r="AI25" s="18" t="str">
        <x:v>Primary eligible contrast</x:v>
      </x:c>
      <x:c r="AJ25" s="18" t="str">
        <x:v>Count this study once per synthesis unless a valid multi-arm method is used.</x:v>
      </x:c>
      <x:c r="AK25" s="18" t="str">
        <x:v>Figure shows approximately 2/10 in both groups, but exact means/SDs are not numerically reported</x:v>
      </x:c>
      <x:c r="AL25" s="18" t="str">
        <x:v>https://drive.google.com/file/d/1SHBSKFaeE4G3PXTGVMm7TR8L0H9EgtsD/view?usp=drivesdk</x:v>
      </x:c>
    </x:row>
    <x:row r="26">
      <x:c r="A26" s="18" t="str">
        <x:v>Li 2022</x:v>
      </x:c>
      <x:c r="B26" s="18" t="str">
        <x:v>LI22_EA_vs_SHAM_NRS24</x:v>
      </x:c>
      <x:c r="C26" s="18" t="str">
        <x:v>Preoperative electroacupuncture</x:v>
      </x:c>
      <x:c r="D26" s="18" t="str">
        <x:v>Sham electroacupuncture</x:v>
      </x:c>
      <x:c r="E26" s="18" t="str">
        <x:v>Postoperative NRS pain</x:v>
      </x:c>
      <x:c r="F26" s="18" t="str">
        <x:v>24 h</x:v>
      </x:c>
      <x:c r="G26" s="18" t="str">
        <x:v>Median/IQR</x:v>
      </x:c>
      <x:c r="H26" s="18" t="n">
        <x:v>40</x:v>
      </x:c>
      <x:c r="I26" s="18" t="n">
        <x:v>40</x:v>
      </x:c>
      <x:c r="J26" s="18" t="n">
        <x:v>39</x:v>
      </x:c>
      <x:c r="K26" s="18" t="n">
        <x:v>40</x:v>
      </x:c>
      <x:c r="L26" s="18"/>
      <x:c r="M26" s="18"/>
      <x:c r="N26" s="18" t="n">
        <x:v>1.5</x:v>
      </x:c>
      <x:c r="O26" s="18" t="n">
        <x:v>1</x:v>
      </x:c>
      <x:c r="P26" s="18" t="n">
        <x:v>3</x:v>
      </x:c>
      <x:c r="Q26" s="18"/>
      <x:c r="R26" s="18"/>
      <x:c r="S26" s="18"/>
      <x:c r="T26" s="18" t="n">
        <x:v>1.6</x:v>
      </x:c>
      <x:c r="U26" s="18" t="n">
        <x:v>1</x:v>
      </x:c>
      <x:c r="V26" s="18" t="n">
        <x:v>3</x:v>
      </x:c>
      <x:c r="W26" s="18"/>
      <x:c r="X26" s="18" t="str">
        <x:v>NRS 0-10</x:v>
      </x:c>
      <x:c r="Y26" s="18" t="str">
        <x:v>0.223</x:v>
      </x:c>
      <x:c r="Z26" s="18"/>
      <x:c r="AA26" s="18"/>
      <x:c r="AB26" s="18" t="str">
        <x:v>INCLUDE</x:v>
      </x:c>
      <x:c r="AC26" s="18" t="str">
        <x:v>Explicit 24-h pain endpoint with quantitative source data.</x:v>
      </x:c>
      <x:c r="AD26" s="18"/>
      <x:c r="AE26" s="18" t="str">
        <x:v>Use median/IQR-compatible meta-analysis method; do not relabel as mean/SD</x:v>
      </x:c>
      <x:c r="AF26" s="18" t="str">
        <x:v>Some concerns</x:v>
      </x:c>
      <x:c r="AG26" s="18" t="str">
        <x:v>No — selected RoB matches this result</x:v>
      </x:c>
      <x:c r="AH26" s="18" t="str">
        <x:v>Li 2022</x:v>
      </x:c>
      <x:c r="AI26" s="18" t="str">
        <x:v>Primary eligible contrast</x:v>
      </x:c>
      <x:c r="AJ26" s="18" t="str">
        <x:v>Count this study once per synthesis unless a valid multi-arm method is used.</x:v>
      </x:c>
      <x:c r="AK26" s="18" t="str">
        <x:v>One randomized participant was not included in the final EA analysis; the 24-h pain difference is not significant</x:v>
      </x:c>
      <x:c r="AL26" s="18" t="str">
        <x:v>https://drive.google.com/file/d/1rQTrwnCvj72poJrGGvYjpxSZXvUhSD0u/view?usp=drivesdk</x:v>
      </x:c>
    </x:row>
    <x:row r="27">
      <x:c r="A27" s="18" t="str">
        <x:v>Li 2022</x:v>
      </x:c>
      <x:c r="B27" s="18" t="str">
        <x:v>LI22_EA_vs_SHAM_MPT24</x:v>
      </x:c>
      <x:c r="C27" s="18" t="str">
        <x:v>Preoperative electroacupuncture</x:v>
      </x:c>
      <x:c r="D27" s="18" t="str">
        <x:v>Sham electroacupuncture</x:v>
      </x:c>
      <x:c r="E27" s="18" t="str">
        <x:v>Mechanical pain threshold around surgical incision</x:v>
      </x:c>
      <x:c r="F27" s="18" t="str">
        <x:v>24 h</x:v>
      </x:c>
      <x:c r="G27" s="18" t="str">
        <x:v>Source-reported direction; exact value not promoted</x:v>
      </x:c>
      <x:c r="H27" s="18" t="n">
        <x:v>40</x:v>
      </x:c>
      <x:c r="I27" s="18" t="n">
        <x:v>40</x:v>
      </x:c>
      <x:c r="J27" s="18" t="n">
        <x:v>39</x:v>
      </x:c>
      <x:c r="K27" s="18" t="n">
        <x:v>40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 t="str">
        <x:v>mechanical threshold</x:v>
      </x:c>
      <x:c r="Y27" s="18" t="str">
        <x:v>No significant between-group difference at 24 h</x:v>
      </x:c>
      <x:c r="Z27" s="18"/>
      <x:c r="AA27" s="18"/>
      <x:c r="AB27" s="18" t="str">
        <x:v>INCLUDE</x:v>
      </x:c>
      <x:c r="AC27" s="18" t="str">
        <x:v>Explicit 24-h pain endpoint with quantitative source data.</x:v>
      </x:c>
      <x:c r="AD27" s="18"/>
      <x:c r="AE27" s="18" t="str">
        <x:v>None</x:v>
      </x:c>
      <x:c r="AF27" s="18" t="str">
        <x:v>Some concerns</x:v>
      </x:c>
      <x:c r="AG27" s="18" t="str">
        <x:v>Yes — selected RoB is for a different result/timepoint</x:v>
      </x:c>
      <x:c r="AH27" s="18" t="str">
        <x:v>Li 2022</x:v>
      </x:c>
      <x:c r="AI27" s="18" t="str">
        <x:v>Primary eligible contrast</x:v>
      </x:c>
      <x:c r="AJ27" s="18" t="str">
        <x:v>Count this study once per synthesis unless a valid multi-arm method is used.</x:v>
      </x:c>
      <x:c r="AK27" s="18" t="str">
        <x:v>EA advantage was reported at 30 min and 6 h, not at 24 or 48 h; the earlier stored RoB fabricated a significant 24-h result</x:v>
      </x:c>
      <x:c r="AL27" s="18" t="str">
        <x:v>https://drive.google.com/file/d/1rQTrwnCvj72poJrGGvYjpxSZXvUhSD0u/view?usp=drivesdk</x:v>
      </x:c>
    </x:row>
    <x:row r="28">
      <x:c r="A28" s="18" t="str">
        <x:v>Lee 2011</x:v>
      </x:c>
      <x:c r="B28" s="18" t="str">
        <x:v>LEE11_LOW_vs_SHAM_VAS24</x:v>
      </x:c>
      <x:c r="C28" s="18" t="str">
        <x:v>Low-frequency dense-sparse SSP</x:v>
      </x:c>
      <x:c r="D28" s="18" t="str">
        <x:v>Sham SSP</x:v>
      </x:c>
      <x:c r="E28" s="18" t="str">
        <x:v>VAS pain intensity</x:v>
      </x:c>
      <x:c r="F28" s="18" t="str">
        <x:v>24 h</x:v>
      </x:c>
      <x:c r="G28" s="18" t="str">
        <x:v>Mean/SD</x:v>
      </x:c>
      <x:c r="H28" s="18" t="n">
        <x:v>12</x:v>
      </x:c>
      <x:c r="I28" s="18" t="n">
        <x:v>12</x:v>
      </x:c>
      <x:c r="J28" s="18" t="n">
        <x:v>10</x:v>
      </x:c>
      <x:c r="K28" s="18" t="n">
        <x:v>12</x:v>
      </x:c>
      <x:c r="L28" s="18" t="n">
        <x:v>1.21</x:v>
      </x:c>
      <x:c r="M28" s="18" t="n">
        <x:v>1.31</x:v>
      </x:c>
      <x:c r="N28" s="18"/>
      <x:c r="O28" s="18"/>
      <x:c r="P28" s="18"/>
      <x:c r="Q28" s="18"/>
      <x:c r="R28" s="18" t="n">
        <x:v>2.54</x:v>
      </x:c>
      <x:c r="S28" s="18" t="n">
        <x:v>0.86</x:v>
      </x:c>
      <x:c r="T28" s="18"/>
      <x:c r="U28" s="18"/>
      <x:c r="V28" s="18"/>
      <x:c r="W28" s="18"/>
      <x:c r="X28" s="18" t="str">
        <x:v>VAS 0-10</x:v>
      </x:c>
      <x:c r="Y28" s="18" t="str">
        <x:v>Group 4 significantly different from Groups 1-3</x:v>
      </x:c>
      <x:c r="Z28" s="18" t="str">
        <x:v>MD</x:v>
      </x:c>
      <x:c r="AA28" s="18" t="n">
        <x:v>-1.33</x:v>
      </x:c>
      <x:c r="AB28" s="18" t="str">
        <x:v>INCLUDE</x:v>
      </x:c>
      <x:c r="AC28" s="18" t="str">
        <x:v>Explicit 24-h pain endpoint with quantitative source data.</x:v>
      </x:c>
      <x:c r="AD28" s="18"/>
      <x:c r="AE28" s="18" t="str">
        <x:v>None</x:v>
      </x:c>
      <x:c r="AF28" s="18" t="str">
        <x:v>Some concerns</x:v>
      </x:c>
      <x:c r="AG28" s="18" t="str">
        <x:v>Yes — selected RoB is for a different result/timepoint</x:v>
      </x:c>
      <x:c r="AH28" s="18" t="str">
        <x:v>Lee 2011</x:v>
      </x:c>
      <x:c r="AI28" s="18" t="str">
        <x:v>Shared-control / multi-arm contrast</x:v>
      </x:c>
      <x:c r="AJ28" s="18" t="str">
        <x:v>Shared comparator present; avoid double-counting controls.</x:v>
      </x:c>
      <x:c r="AK28" s="18" t="str">
        <x:v>Rest vs movement not reported; two low-frequency participants excluded because unable to complete VAS</x:v>
      </x:c>
      <x:c r="AL28" s="18" t="str">
        <x:v>https://drive.google.com/file/d/1kQDSBtx3OpFOsim5oUMwhpfHOqaMy8Q9/view?usp=drivesdk</x:v>
      </x:c>
    </x:row>
    <x:row r="29">
      <x:c r="A29" s="18" t="str">
        <x:v>Huang 2024</x:v>
      </x:c>
      <x:c r="B29" s="18" t="str">
        <x:v>HUANG24_CONTRA_vs_SHAM_VASD1</x:v>
      </x:c>
      <x:c r="C29" s="18" t="str">
        <x:v>Contralateral EA</x:v>
      </x:c>
      <x:c r="D29" s="18" t="str">
        <x:v>Bilateral sham EA</x:v>
      </x:c>
      <x:c r="E29" s="18" t="str">
        <x:v>VAS during walking/knee movement</x:v>
      </x:c>
      <x:c r="F29" s="18" t="str">
        <x:v>POD1</x:v>
      </x:c>
      <x:c r="G29" s="18" t="str">
        <x:v>Mean/SD</x:v>
      </x:c>
      <x:c r="H29" s="18" t="n">
        <x:v>38</x:v>
      </x:c>
      <x:c r="I29" s="18" t="n">
        <x:v>38</x:v>
      </x:c>
      <x:c r="J29" s="18" t="n">
        <x:v>38</x:v>
      </x:c>
      <x:c r="K29" s="18" t="n">
        <x:v>38</x:v>
      </x:c>
      <x:c r="L29" s="18" t="n">
        <x:v>53.16</x:v>
      </x:c>
      <x:c r="M29" s="18" t="n">
        <x:v>9.99</x:v>
      </x:c>
      <x:c r="N29" s="18"/>
      <x:c r="O29" s="18"/>
      <x:c r="P29" s="18"/>
      <x:c r="Q29" s="18"/>
      <x:c r="R29" s="18" t="n">
        <x:v>56.71</x:v>
      </x:c>
      <x:c r="S29" s="18" t="n">
        <x:v>9.84</x:v>
      </x:c>
      <x:c r="T29" s="18"/>
      <x:c r="U29" s="18"/>
      <x:c r="V29" s="18"/>
      <x:c r="W29" s="18"/>
      <x:c r="X29" s="18" t="str">
        <x:v>VAS 0-100</x:v>
      </x:c>
      <x:c r="Y29" s="18" t="str">
        <x:v>Adjusted pairwise not significant on Day 1</x:v>
      </x:c>
      <x:c r="Z29" s="18" t="str">
        <x:v>MD</x:v>
      </x:c>
      <x:c r="AA29" s="18" t="n">
        <x:v>-3.5500000000000043</x:v>
      </x:c>
      <x:c r="AB29" s="18" t="str">
        <x:v>CONDITIONAL — POD1</x:v>
      </x:c>
      <x:c r="AC29" s="18" t="str">
        <x:v>POD1/day-after-surgery is not necessarily a clock-defined 24-h measurement; pool only if protocol permits.</x:v>
      </x:c>
      <x:c r="AD29" s="18"/>
      <x:c r="AE29" s="18" t="str">
        <x:v>None</x:v>
      </x:c>
      <x:c r="AF29" s="18" t="str">
        <x:v>Some concerns</x:v>
      </x:c>
      <x:c r="AG29" s="18" t="str">
        <x:v>No — selected RoB matches this result</x:v>
      </x:c>
      <x:c r="AH29" s="18" t="str">
        <x:v>Huang 2024</x:v>
      </x:c>
      <x:c r="AI29" s="18" t="str">
        <x:v>Laterality-arm contrast</x:v>
      </x:c>
      <x:c r="AJ29" s="18" t="str">
        <x:v>Three-arm trial with shared sham; contralateral and ipsilateral EA are not independent studies.</x:v>
      </x:c>
      <x:c r="AK29" s="18" t="str">
        <x:v>Three-arm trial; 6 did not complete allocated intervention but authors state ITT and follow-up was obtained for all 114</x:v>
      </x:c>
      <x:c r="AL29" s="18" t="str">
        <x:v>https://drive.google.com/file/d/1z-76QoxqmtMRV32wOpem7jAyDnuD6fb8/view?usp=drivesdk</x:v>
      </x:c>
    </x:row>
    <x:row r="30">
      <x:c r="A30" s="18" t="str">
        <x:v>Huang 2024</x:v>
      </x:c>
      <x:c r="B30" s="18" t="str">
        <x:v>HUANG24_IPSI_vs_SHAM_VASD1</x:v>
      </x:c>
      <x:c r="C30" s="18" t="str">
        <x:v>Ipsilateral EA</x:v>
      </x:c>
      <x:c r="D30" s="18" t="str">
        <x:v>Bilateral sham EA</x:v>
      </x:c>
      <x:c r="E30" s="18" t="str">
        <x:v>VAS during walking/knee movement</x:v>
      </x:c>
      <x:c r="F30" s="18" t="str">
        <x:v>POD1</x:v>
      </x:c>
      <x:c r="G30" s="18" t="str">
        <x:v>Mean/SD</x:v>
      </x:c>
      <x:c r="H30" s="18" t="n">
        <x:v>38</x:v>
      </x:c>
      <x:c r="I30" s="18" t="n">
        <x:v>38</x:v>
      </x:c>
      <x:c r="J30" s="18" t="n">
        <x:v>38</x:v>
      </x:c>
      <x:c r="K30" s="18" t="n">
        <x:v>38</x:v>
      </x:c>
      <x:c r="L30" s="18" t="n">
        <x:v>53.5</x:v>
      </x:c>
      <x:c r="M30" s="18" t="n">
        <x:v>10.79</x:v>
      </x:c>
      <x:c r="N30" s="18"/>
      <x:c r="O30" s="18"/>
      <x:c r="P30" s="18"/>
      <x:c r="Q30" s="18"/>
      <x:c r="R30" s="18" t="n">
        <x:v>56.71</x:v>
      </x:c>
      <x:c r="S30" s="18" t="n">
        <x:v>9.84</x:v>
      </x:c>
      <x:c r="T30" s="18"/>
      <x:c r="U30" s="18"/>
      <x:c r="V30" s="18"/>
      <x:c r="W30" s="18"/>
      <x:c r="X30" s="18" t="str">
        <x:v>VAS 0-100</x:v>
      </x:c>
      <x:c r="Y30" s="18" t="str">
        <x:v>Adjusted pairwise not significant on Day 1</x:v>
      </x:c>
      <x:c r="Z30" s="18" t="str">
        <x:v>MD</x:v>
      </x:c>
      <x:c r="AA30" s="18" t="n">
        <x:v>-3.210000000000001</x:v>
      </x:c>
      <x:c r="AB30" s="18" t="str">
        <x:v>CONDITIONAL — POD1</x:v>
      </x:c>
      <x:c r="AC30" s="18" t="str">
        <x:v>POD1/day-after-surgery is not necessarily a clock-defined 24-h measurement; pool only if protocol permits.</x:v>
      </x:c>
      <x:c r="AD30" s="18"/>
      <x:c r="AE30" s="18" t="str">
        <x:v>None</x:v>
      </x:c>
      <x:c r="AF30" s="18" t="str">
        <x:v>Some concerns</x:v>
      </x:c>
      <x:c r="AG30" s="18" t="str">
        <x:v>No — selected RoB matches this result</x:v>
      </x:c>
      <x:c r="AH30" s="18" t="str">
        <x:v>Huang 2024</x:v>
      </x:c>
      <x:c r="AI30" s="18" t="str">
        <x:v>Laterality-arm contrast</x:v>
      </x:c>
      <x:c r="AJ30" s="18" t="str">
        <x:v>Three-arm trial with shared sham; contralateral and ipsilateral EA are not independent studies.</x:v>
      </x:c>
      <x:c r="AK30" s="18" t="str">
        <x:v>Three-arm trial; 6 did not complete allocated intervention but authors state ITT and follow-up was obtained for all 114</x:v>
      </x:c>
      <x:c r="AL30" s="18" t="str">
        <x:v>https://drive.google.com/file/d/1z-76QoxqmtMRV32wOpem7jAyDnuD6fb8/view?usp=drivesdk</x:v>
      </x:c>
    </x:row>
    <x:row r="31">
      <x:c r="A31" s="18" t="str">
        <x:v>Hou 2023</x:v>
      </x:c>
      <x:c r="B31" s="18" t="str">
        <x:v>HOU23_TEAS_vs_SHAM_PAIN_D2</x:v>
      </x:c>
      <x:c r="C31" s="18" t="str">
        <x:v>Perioperative TEAS</x:v>
      </x:c>
      <x:c r="D31" s="18" t="str">
        <x:v>Sham/no-current TEAS</x:v>
      </x:c>
      <x:c r="E31" s="18" t="str">
        <x:v>VAS-P pain</x:v>
      </x:c>
      <x:c r="F31" s="18" t="str">
        <x:v>D2 = one day after surgery, not exact clock-time 24 h</x:v>
      </x:c>
      <x:c r="G31" s="18" t="str">
        <x:v>Median/IQR</x:v>
      </x:c>
      <x:c r="H31" s="18" t="n">
        <x:v>37</x:v>
      </x:c>
      <x:c r="I31" s="18" t="n">
        <x:v>37</x:v>
      </x:c>
      <x:c r="J31" s="18" t="n">
        <x:v>36</x:v>
      </x:c>
      <x:c r="K31" s="18" t="n">
        <x:v>36</x:v>
      </x:c>
      <x:c r="L31" s="18"/>
      <x:c r="M31" s="18"/>
      <x:c r="N31" s="18" t="n">
        <x:v>30</x:v>
      </x:c>
      <x:c r="O31" s="18" t="n">
        <x:v>30</x:v>
      </x:c>
      <x:c r="P31" s="18" t="n">
        <x:v>47.5</x:v>
      </x:c>
      <x:c r="Q31" s="18"/>
      <x:c r="R31" s="18"/>
      <x:c r="S31" s="18"/>
      <x:c r="T31" s="18" t="n">
        <x:v>55</x:v>
      </x:c>
      <x:c r="U31" s="18" t="n">
        <x:v>40</x:v>
      </x:c>
      <x:c r="V31" s="18" t="n">
        <x:v>60</x:v>
      </x:c>
      <x:c r="W31" s="18"/>
      <x:c r="X31" s="18" t="str">
        <x:v>VAS 0-100 mm</x:v>
      </x:c>
      <x:c r="Y31" s="18" t="str">
        <x:v>0.001</x:v>
      </x:c>
      <x:c r="Z31" s="18"/>
      <x:c r="AA31" s="18"/>
      <x:c r="AB31" s="18" t="str">
        <x:v>CONDITIONAL — POD1</x:v>
      </x:c>
      <x:c r="AC31" s="18" t="str">
        <x:v>POD1/day-after-surgery is not necessarily a clock-defined 24-h measurement; pool only if protocol permits.</x:v>
      </x:c>
      <x:c r="AD31" s="18"/>
      <x:c r="AE31" s="18" t="str">
        <x:v>Use median/IQR-compatible meta-analysis method; do not relabel as mean/SD</x:v>
      </x:c>
      <x:c r="AF31" s="18" t="str">
        <x:v>Some concerns</x:v>
      </x:c>
      <x:c r="AG31" s="18" t="str">
        <x:v>Yes — selected RoB is for a different result/timepoint</x:v>
      </x:c>
      <x:c r="AH31" s="18" t="str">
        <x:v>Hou 2023</x:v>
      </x:c>
      <x:c r="AI31" s="18" t="str">
        <x:v>Primary eligible contrast</x:v>
      </x:c>
      <x:c r="AJ31" s="18" t="str">
        <x:v>Count this study once per synthesis unless a valid multi-arm method is used.</x:v>
      </x:c>
      <x:c r="AK31" s="18" t="str">
        <x:v>D2 is author-defined as one day after surgery; do not silently label it exact 24 h</x:v>
      </x:c>
      <x:c r="AL31" s="18" t="str">
        <x:v>https://drive.google.com/file/d/161WdTRehgwvDHvQ8OkRf8U9TbUmVQgaR/view?usp=drivesdk</x:v>
      </x:c>
    </x:row>
    <x:row r="32">
      <x:c r="A32" s="18" t="str">
        <x:v>He 2026 (breast/WJCO)</x:v>
      </x:c>
      <x:c r="B32" s="18" t="str">
        <x:v>HEBREAST26_EA_vs_SHAM_MODMOV24</x:v>
      </x:c>
      <x:c r="C32" s="18" t="str">
        <x:v>Perioperative EA + flurbiprofen</x:v>
      </x:c>
      <x:c r="D32" s="18" t="str">
        <x:v>Sham acupuncture + flurbiprofen</x:v>
      </x:c>
      <x:c r="E32" s="18" t="str">
        <x:v>Moderate-to-severe movement-evoked pain (VAS &gt;4)</x:v>
      </x:c>
      <x:c r="F32" s="18" t="str">
        <x:v>24 h</x:v>
      </x:c>
      <x:c r="G32" s="18" t="str">
        <x:v>Events/total</x:v>
      </x:c>
      <x:c r="H32" s="18" t="n">
        <x:v>65</x:v>
      </x:c>
      <x:c r="I32" s="18" t="n">
        <x:v>65</x:v>
      </x:c>
      <x:c r="J32" s="18" t="n">
        <x:v>65</x:v>
      </x:c>
      <x:c r="K32" s="18" t="n">
        <x:v>65</x:v>
      </x:c>
      <x:c r="L32" s="18"/>
      <x:c r="M32" s="18"/>
      <x:c r="N32" s="18"/>
      <x:c r="O32" s="18"/>
      <x:c r="P32" s="18"/>
      <x:c r="Q32" s="18" t="n">
        <x:v>32</x:v>
      </x:c>
      <x:c r="R32" s="18"/>
      <x:c r="S32" s="18"/>
      <x:c r="T32" s="18"/>
      <x:c r="U32" s="18"/>
      <x:c r="V32" s="18"/>
      <x:c r="W32" s="18" t="n">
        <x:v>42</x:v>
      </x:c>
      <x:c r="X32" s="18" t="str">
        <x:v>participants</x:v>
      </x:c>
      <x:c r="Y32" s="18" t="str">
        <x:v>&lt;0.05</x:v>
      </x:c>
      <x:c r="Z32" s="18" t="str">
        <x:v>RR</x:v>
      </x:c>
      <x:c r="AA32" s="18" t="n">
        <x:v>0.7619047619047619</x:v>
      </x:c>
      <x:c r="AB32" s="18" t="str">
        <x:v>INCLUDE</x:v>
      </x:c>
      <x:c r="AC32" s="18" t="str">
        <x:v>Explicit 24-h pain endpoint with quantitative source data.</x:v>
      </x:c>
      <x:c r="AD32" s="18"/>
      <x:c r="AE32" s="18" t="str">
        <x:v>Binary effect measure (RR preferred per protocol)</x:v>
      </x:c>
      <x:c r="AF32" s="18" t="str">
        <x:v>Some concerns</x:v>
      </x:c>
      <x:c r="AG32" s="18" t="str">
        <x:v>No — selected RoB matches this result</x:v>
      </x:c>
      <x:c r="AH32" s="18" t="str">
        <x:v>He 2026 (breast/WJCO)</x:v>
      </x:c>
      <x:c r="AI32" s="18" t="str">
        <x:v>Primary eligible contrast</x:v>
      </x:c>
      <x:c r="AJ32" s="18" t="str">
        <x:v>Count this study once per synthesis unless a valid multi-arm method is used.</x:v>
      </x:c>
      <x:c r="AK32" s="18" t="str">
        <x:v>All 130 analyzed; participant masking intended with shallow sham puncture, but sensory differences were possible</x:v>
      </x:c>
      <x:c r="AL32" s="18" t="str">
        <x:v>https://drive.google.com/file/d/1D6Js5nTN2AwL5-BB-NIJVoCKVtcbcczH/view?usp=drivesdk</x:v>
      </x:c>
    </x:row>
    <x:row r="33">
      <x:c r="A33" s="18" t="str">
        <x:v>He 2026 (breast/WJCO)</x:v>
      </x:c>
      <x:c r="B33" s="18" t="str">
        <x:v>HEBREAST26_EA_vs_SHAM_VASMOV24</x:v>
      </x:c>
      <x:c r="C33" s="18" t="str">
        <x:v>Perioperative EA + flurbiprofen</x:v>
      </x:c>
      <x:c r="D33" s="18" t="str">
        <x:v>Sham acupuncture + flurbiprofen</x:v>
      </x:c>
      <x:c r="E33" s="18" t="str">
        <x:v>Movement VAS</x:v>
      </x:c>
      <x:c r="F33" s="18" t="str">
        <x:v>24 h</x:v>
      </x:c>
      <x:c r="G33" s="18" t="str">
        <x:v>Mean/SD</x:v>
      </x:c>
      <x:c r="H33" s="18" t="n">
        <x:v>65</x:v>
      </x:c>
      <x:c r="I33" s="18" t="n">
        <x:v>65</x:v>
      </x:c>
      <x:c r="J33" s="18" t="n">
        <x:v>65</x:v>
      </x:c>
      <x:c r="K33" s="18" t="n">
        <x:v>65</x:v>
      </x:c>
      <x:c r="L33" s="18" t="n">
        <x:v>2.862</x:v>
      </x:c>
      <x:c r="M33" s="18" t="n">
        <x:v>0.233</x:v>
      </x:c>
      <x:c r="N33" s="18"/>
      <x:c r="O33" s="18"/>
      <x:c r="P33" s="18"/>
      <x:c r="Q33" s="18"/>
      <x:c r="R33" s="18" t="n">
        <x:v>3.954</x:v>
      </x:c>
      <x:c r="S33" s="18" t="n">
        <x:v>0.233</x:v>
      </x:c>
      <x:c r="T33" s="18"/>
      <x:c r="U33" s="18"/>
      <x:c r="V33" s="18"/>
      <x:c r="W33" s="18"/>
      <x:c r="X33" s="18" t="str">
        <x:v>VAS</x:v>
      </x:c>
      <x:c r="Y33" s="18" t="str">
        <x:v>&lt;0.01</x:v>
      </x:c>
      <x:c r="Z33" s="18" t="str">
        <x:v>MD</x:v>
      </x:c>
      <x:c r="AA33" s="18" t="n">
        <x:v>-1.092</x:v>
      </x:c>
      <x:c r="AB33" s="18" t="str">
        <x:v>INCLUDE</x:v>
      </x:c>
      <x:c r="AC33" s="18" t="str">
        <x:v>Explicit 24-h pain endpoint with quantitative source data.</x:v>
      </x:c>
      <x:c r="AD33" s="18"/>
      <x:c r="AE33" s="18" t="str">
        <x:v>None</x:v>
      </x:c>
      <x:c r="AF33" s="18" t="str">
        <x:v>Some concerns</x:v>
      </x:c>
      <x:c r="AG33" s="18" t="str">
        <x:v>Yes — selected RoB is for a different result/timepoint</x:v>
      </x:c>
      <x:c r="AH33" s="18" t="str">
        <x:v>He 2026 (breast/WJCO)</x:v>
      </x:c>
      <x:c r="AI33" s="18" t="str">
        <x:v>Primary eligible contrast</x:v>
      </x:c>
      <x:c r="AJ33" s="18" t="str">
        <x:v>Count this study once per synthesis unless a valid multi-arm method is used.</x:v>
      </x:c>
      <x:c r="AK33" s="18" t="str">
        <x:v>Article labels values mean±SD, but identical very small dispersions across arms/timepoints warrant source-verification caution</x:v>
      </x:c>
      <x:c r="AL33" s="18" t="str">
        <x:v>https://drive.google.com/file/d/1D6Js5nTN2AwL5-BB-NIJVoCKVtcbcczH/view?usp=drivesdk</x:v>
      </x:c>
    </x:row>
    <x:row r="34">
      <x:c r="A34" s="18" t="str">
        <x:v>He 2026 (breast/WJCO)</x:v>
      </x:c>
      <x:c r="B34" s="18" t="str">
        <x:v>HEBREAST26_EA_vs_SHAM_VASREST24</x:v>
      </x:c>
      <x:c r="C34" s="18" t="str">
        <x:v>Perioperative EA + flurbiprofen</x:v>
      </x:c>
      <x:c r="D34" s="18" t="str">
        <x:v>Sham acupuncture + flurbiprofen</x:v>
      </x:c>
      <x:c r="E34" s="18" t="str">
        <x:v>Resting VAS</x:v>
      </x:c>
      <x:c r="F34" s="18" t="str">
        <x:v>24 h</x:v>
      </x:c>
      <x:c r="G34" s="18" t="str">
        <x:v>Mean/SD</x:v>
      </x:c>
      <x:c r="H34" s="18" t="n">
        <x:v>65</x:v>
      </x:c>
      <x:c r="I34" s="18" t="n">
        <x:v>65</x:v>
      </x:c>
      <x:c r="J34" s="18" t="n">
        <x:v>65</x:v>
      </x:c>
      <x:c r="K34" s="18" t="n">
        <x:v>65</x:v>
      </x:c>
      <x:c r="L34" s="18" t="n">
        <x:v>1.789</x:v>
      </x:c>
      <x:c r="M34" s="18" t="n">
        <x:v>0.174</x:v>
      </x:c>
      <x:c r="N34" s="18"/>
      <x:c r="O34" s="18"/>
      <x:c r="P34" s="18"/>
      <x:c r="Q34" s="18"/>
      <x:c r="R34" s="18" t="n">
        <x:v>2.692</x:v>
      </x:c>
      <x:c r="S34" s="18" t="n">
        <x:v>0.174</x:v>
      </x:c>
      <x:c r="T34" s="18"/>
      <x:c r="U34" s="18"/>
      <x:c r="V34" s="18"/>
      <x:c r="W34" s="18"/>
      <x:c r="X34" s="18" t="str">
        <x:v>VAS</x:v>
      </x:c>
      <x:c r="Y34" s="18" t="str">
        <x:v>&lt;0.01</x:v>
      </x:c>
      <x:c r="Z34" s="18" t="str">
        <x:v>MD</x:v>
      </x:c>
      <x:c r="AA34" s="18" t="n">
        <x:v>-0.9030000000000002</x:v>
      </x:c>
      <x:c r="AB34" s="18" t="str">
        <x:v>INCLUDE</x:v>
      </x:c>
      <x:c r="AC34" s="18" t="str">
        <x:v>Explicit 24-h pain endpoint with quantitative source data.</x:v>
      </x:c>
      <x:c r="AD34" s="18"/>
      <x:c r="AE34" s="18" t="str">
        <x:v>None</x:v>
      </x:c>
      <x:c r="AF34" s="18" t="str">
        <x:v>Some concerns</x:v>
      </x:c>
      <x:c r="AG34" s="18" t="str">
        <x:v>Yes — selected RoB is for a different result/timepoint</x:v>
      </x:c>
      <x:c r="AH34" s="18" t="str">
        <x:v>He 2026 (breast/WJCO)</x:v>
      </x:c>
      <x:c r="AI34" s="18" t="str">
        <x:v>Primary eligible contrast</x:v>
      </x:c>
      <x:c r="AJ34" s="18" t="str">
        <x:v>Count this study once per synthesis unless a valid multi-arm method is used.</x:v>
      </x:c>
      <x:c r="AK34" s="18" t="str">
        <x:v>Same dispersion-format caution as movement VAS</x:v>
      </x:c>
      <x:c r="AL34" s="18" t="str">
        <x:v>https://drive.google.com/file/d/1D6Js5nTN2AwL5-BB-NIJVoCKVtcbcczH/view?usp=drivesdk</x:v>
      </x:c>
    </x:row>
    <x:row r="35">
      <x:c r="A35" s="18" t="str">
        <x:v>Gu 2019</x:v>
      </x:c>
      <x:c r="B35" s="18" t="str">
        <x:v>GU19_LTEAS_vs_CTEAS_VAS24</x:v>
      </x:c>
      <x:c r="C35" s="18" t="str">
        <x:v>Long-duration TEAS</x:v>
      </x:c>
      <x:c r="D35" s="18" t="str">
        <x:v>Sham/no-current TEAS</x:v>
      </x:c>
      <x:c r="E35" s="18" t="str">
        <x:v>VAS pain intensity</x:v>
      </x:c>
      <x:c r="F35" s="18" t="str">
        <x:v>24 h</x:v>
      </x:c>
      <x:c r="G35" s="18" t="str">
        <x:v>Mean/SD</x:v>
      </x:c>
      <x:c r="H35" s="18" t="n">
        <x:v>60</x:v>
      </x:c>
      <x:c r="I35" s="18" t="n">
        <x:v>60</x:v>
      </x:c>
      <x:c r="J35" s="18" t="n">
        <x:v>58</x:v>
      </x:c>
      <x:c r="K35" s="18" t="n">
        <x:v>59</x:v>
      </x:c>
      <x:c r="L35" s="18" t="n">
        <x:v>1.98</x:v>
      </x:c>
      <x:c r="M35" s="18" t="n">
        <x:v>0.39</x:v>
      </x:c>
      <x:c r="N35" s="18"/>
      <x:c r="O35" s="18"/>
      <x:c r="P35" s="18"/>
      <x:c r="Q35" s="18"/>
      <x:c r="R35" s="18" t="n">
        <x:v>2.72</x:v>
      </x:c>
      <x:c r="S35" s="18" t="n">
        <x:v>0.73</x:v>
      </x:c>
      <x:c r="T35" s="18"/>
      <x:c r="U35" s="18"/>
      <x:c r="V35" s="18"/>
      <x:c r="W35" s="18"/>
      <x:c r="X35" s="18" t="str">
        <x:v>VAS 0-10</x:v>
      </x:c>
      <x:c r="Y35" s="18" t="str">
        <x:v>&lt;0.05</x:v>
      </x:c>
      <x:c r="Z35" s="18" t="str">
        <x:v>MD</x:v>
      </x:c>
      <x:c r="AA35" s="18" t="n">
        <x:v>-0.7400000000000002</x:v>
      </x:c>
      <x:c r="AB35" s="18" t="str">
        <x:v>INCLUDE</x:v>
      </x:c>
      <x:c r="AC35" s="18" t="str">
        <x:v>Explicit 24-h pain endpoint with quantitative source data.</x:v>
      </x:c>
      <x:c r="AD35" s="18"/>
      <x:c r="AE35" s="18" t="str">
        <x:v>None</x:v>
      </x:c>
      <x:c r="AF35" s="18" t="str">
        <x:v>Some concerns</x:v>
      </x:c>
      <x:c r="AG35" s="18" t="str">
        <x:v>Yes — selected RoB is for a different result/timepoint</x:v>
      </x:c>
      <x:c r="AH35" s="18" t="str">
        <x:v>Gu 2019</x:v>
      </x:c>
      <x:c r="AI35" s="18" t="str">
        <x:v>Primary eligible contrast</x:v>
      </x:c>
      <x:c r="AJ35" s="18" t="str">
        <x:v>Count this study once per synthesis unless a valid multi-arm method is used.</x:v>
      </x:c>
      <x:c r="AK35" s="18" t="str">
        <x:v>Three randomized patients excluded; active 5-30 mA stimulation vs sham no current with no blinding-success assessment</x:v>
      </x:c>
      <x:c r="AL35" s="18" t="str">
        <x:v>https://drive.google.com/file/d/1ipQFXfERgAVmgNKMpLkvaaecYJVSTDiw/view?usp=drivesdk</x:v>
      </x:c>
    </x:row>
    <x:row r="36">
      <x:c r="A36" s="18" t="str">
        <x:v>Guo 2023</x:v>
      </x:c>
      <x:c r="B36" s="18" t="str">
        <x:v>GUO23_PAINPOD1</x:v>
      </x:c>
      <x:c r="C36" s="18" t="str">
        <x:v>Perioperative TEAS</x:v>
      </x:c>
      <x:c r="D36" s="18" t="str">
        <x:v>Sham/no-current TEAS</x:v>
      </x:c>
      <x:c r="E36" s="18" t="str">
        <x:v>NRS pain intensity</x:v>
      </x:c>
      <x:c r="F36" s="18" t="str">
        <x:v>POD1</x:v>
      </x:c>
      <x:c r="G36" s="18" t="str">
        <x:v>Graph-only continuous data</x:v>
      </x:c>
      <x:c r="H36" s="18" t="n">
        <x:v>64</x:v>
      </x:c>
      <x:c r="I36" s="18" t="n">
        <x:v>64</x:v>
      </x:c>
      <x:c r="J36" s="18" t="n">
        <x:v>55</x:v>
      </x:c>
      <x:c r="K36" s="18" t="n">
        <x:v>55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 t="str">
        <x:v>NRS</x:v>
      </x:c>
      <x:c r="Y36" s="18" t="str">
        <x:v>&lt;0.001</x:v>
      </x:c>
      <x:c r="Z36" s="18"/>
      <x:c r="AA36" s="18"/>
      <x:c r="AB36" s="18" t="str">
        <x:v>DIGITIZATION NEEDED</x:v>
      </x:c>
      <x:c r="AC36" s="18" t="str">
        <x:v>Exact numeric result is not tabulated; formal graph digitization or author data is required before quantitative pooling.</x:v>
      </x:c>
      <x:c r="AD36" s="18"/>
      <x:c r="AE36" s="18" t="str">
        <x:v>None</x:v>
      </x:c>
      <x:c r="AF36" s="18" t="str">
        <x:v>High</x:v>
      </x:c>
      <x:c r="AG36" s="18" t="str">
        <x:v>Yes — selected RoB is for a different result/timepoint</x:v>
      </x:c>
      <x:c r="AH36" s="18" t="str">
        <x:v>Guo 2023</x:v>
      </x:c>
      <x:c r="AI36" s="18" t="str">
        <x:v>Primary eligible contrast</x:v>
      </x:c>
      <x:c r="AJ36" s="18" t="str">
        <x:v>Count this study once per synthesis unless a valid multi-arm method is used.</x:v>
      </x:c>
      <x:c r="AK36" s="18" t="str">
        <x:v>Exact means/SDs are figure-only</x:v>
      </x:c>
      <x:c r="AL36" s="18" t="str">
        <x:v>https://drive.google.com/file/d/1Idfl7rfZhgAUJHDpsmgzp17ADiGvrU8C/view?usp=drivesdk</x:v>
      </x:c>
    </x:row>
    <x:row r="37">
      <x:c r="A37" s="18" t="str">
        <x:v>Grech 2016</x:v>
      </x:c>
      <x:c r="B37" s="18" t="str">
        <x:v>GRECH16_EA_vs_CTRL_PAIN</x:v>
      </x:c>
      <x:c r="C37" s="18" t="str">
        <x:v>Intraoperative low-frequency EA</x:v>
      </x:c>
      <x:c r="D37" s="18" t="str">
        <x:v>Sham/control</x:v>
      </x:c>
      <x:c r="E37" s="18" t="str">
        <x:v>Postoperative VAS pain</x:v>
      </x:c>
      <x:c r="F37" s="18" t="str">
        <x:v>PACU and POD1-3</x:v>
      </x:c>
      <x:c r="G37" s="18" t="str">
        <x:v>Graph-only continuous data</x:v>
      </x:c>
      <x:c r="H37" s="18" t="n">
        <x:v>11</x:v>
      </x:c>
      <x:c r="I37" s="18" t="n">
        <x:v>9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 t="str">
        <x:v>VAS 0-10</x:v>
      </x:c>
      <x:c r="Y37" s="18" t="str">
        <x:v>No significant overall difference</x:v>
      </x:c>
      <x:c r="Z37" s="18"/>
      <x:c r="AA37" s="18"/>
      <x:c r="AB37" s="18" t="str">
        <x:v>DIGITIZATION NEEDED</x:v>
      </x:c>
      <x:c r="AC37" s="18" t="str">
        <x:v>Exact numeric result is not tabulated; formal graph digitization or author data is required before quantitative pooling.</x:v>
      </x:c>
      <x:c r="AD37" s="18"/>
      <x:c r="AE37" s="18" t="str">
        <x:v>None</x:v>
      </x:c>
      <x:c r="AF37" s="18" t="str">
        <x:v>High</x:v>
      </x:c>
      <x:c r="AG37" s="18" t="str">
        <x:v>Yes — selected RoB is for a different result/timepoint</x:v>
      </x:c>
      <x:c r="AH37" s="18" t="str">
        <x:v>Grech 2016</x:v>
      </x:c>
      <x:c r="AI37" s="18" t="str">
        <x:v>Primary eligible contrast</x:v>
      </x:c>
      <x:c r="AJ37" s="18" t="str">
        <x:v>Count this study once per synthesis unless a valid multi-arm method is used.</x:v>
      </x:c>
      <x:c r="AK37" s="18" t="str">
        <x:v>Exact numeric pain means/SEM are not tabulated</x:v>
      </x:c>
      <x:c r="AL37" s="18" t="str">
        <x:v>https://drive.google.com/file/d/1U3KShiAZKL8n9hxSpBkhuhuQHW2EN-IY/view?usp=drivesdk</x:v>
      </x:c>
    </x:row>
  </x:sheetData>
  <x:conditionalFormatting sqref="AB2:AB37">
    <x:cfRule type="expression" dxfId="50" priority="1">
      <x:formula>LEFT(AB2,7)="INCLUDE"</x:formula>
    </x:cfRule>
    <x:cfRule type="expression" dxfId="51" priority="2">
      <x:formula>LEFT(AB2,11)="CONDITIONAL"</x:formula>
    </x:cfRule>
    <x:cfRule type="expression" dxfId="52" priority="3">
      <x:formula>LEFT(AB2,7)="EXCLUDE"</x:formula>
    </x:cfRule>
    <x:cfRule type="expression" dxfId="53" priority="4">
      <x:formula>AB2="DUPLICATE HOLD"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24" max="24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</x:cols>
  <x:sheetData>
    <x:row r="1">
      <x:c r="A1" s="67" t="str">
        <x:v>Canonical study</x:v>
      </x:c>
      <x:c r="B1" s="67" t="str">
        <x:v>Comparison ID</x:v>
      </x:c>
      <x:c r="C1" s="67" t="str">
        <x:v>Intervention arm</x:v>
      </x:c>
      <x:c r="D1" s="67" t="str">
        <x:v>Comparator arm</x:v>
      </x:c>
      <x:c r="E1" s="67" t="str">
        <x:v>Outcome/result</x:v>
      </x:c>
      <x:c r="F1" s="67" t="str">
        <x:v>Timepoint/window</x:v>
      </x:c>
      <x:c r="G1" s="67" t="str">
        <x:v>Data type</x:v>
      </x:c>
      <x:c r="H1" s="67" t="str">
        <x:v>Randomized n intervention</x:v>
      </x:c>
      <x:c r="I1" s="67" t="str">
        <x:v>Randomized n comparator</x:v>
      </x:c>
      <x:c r="J1" s="67" t="str">
        <x:v>Analyzed n intervention</x:v>
      </x:c>
      <x:c r="K1" s="67" t="str">
        <x:v>Analyzed n comparator</x:v>
      </x:c>
      <x:c r="L1" s="67" t="str">
        <x:v>Mean intervention</x:v>
      </x:c>
      <x:c r="M1" s="67" t="str">
        <x:v>SD intervention</x:v>
      </x:c>
      <x:c r="N1" s="67" t="str">
        <x:v>Median intervention</x:v>
      </x:c>
      <x:c r="O1" s="67" t="str">
        <x:v>Q1 intervention</x:v>
      </x:c>
      <x:c r="P1" s="67" t="str">
        <x:v>Q3 intervention</x:v>
      </x:c>
      <x:c r="Q1" s="67" t="str">
        <x:v>Events intervention</x:v>
      </x:c>
      <x:c r="R1" s="67" t="str">
        <x:v>Mean comparator</x:v>
      </x:c>
      <x:c r="S1" s="67" t="str">
        <x:v>SD comparator</x:v>
      </x:c>
      <x:c r="T1" s="67" t="str">
        <x:v>Median comparator</x:v>
      </x:c>
      <x:c r="U1" s="67" t="str">
        <x:v>Q1 comparator</x:v>
      </x:c>
      <x:c r="V1" s="67" t="str">
        <x:v>Q3 comparator</x:v>
      </x:c>
      <x:c r="W1" s="67" t="str">
        <x:v>Events comparator</x:v>
      </x:c>
      <x:c r="X1" s="67" t="str">
        <x:v>Unit/scale</x:v>
      </x:c>
      <x:c r="Y1" s="67" t="str">
        <x:v>Reported P</x:v>
      </x:c>
      <x:c r="Z1" s="67" t="str">
        <x:v>Derived effect measure</x:v>
      </x:c>
      <x:c r="AA1" s="67" t="str">
        <x:v>Derived effect</x:v>
      </x:c>
      <x:c r="AB1" s="67" t="str">
        <x:v>Analysis readiness</x:v>
      </x:c>
      <x:c r="AC1" s="67" t="str">
        <x:v>Readiness reason</x:v>
      </x:c>
      <x:c r="AD1" s="67" t="str">
        <x:v>Duplicate/overlap cluster</x:v>
      </x:c>
      <x:c r="AE1" s="67" t="str">
        <x:v>Conversion/handling needed</x:v>
      </x:c>
      <x:c r="AF1" s="67" t="str">
        <x:v>Selected RoB2 overall judgment</x:v>
      </x:c>
      <x:c r="AG1" s="67" t="str">
        <x:v>Additional outcome-specific RoB needed?</x:v>
      </x:c>
      <x:c r="AH1" s="67" t="str">
        <x:v>Independent randomized-study unit</x:v>
      </x:c>
      <x:c r="AI1" s="67" t="str">
        <x:v>Recommended comparison role</x:v>
      </x:c>
      <x:c r="AJ1" s="67" t="str">
        <x:v>Independent-study counting note</x:v>
      </x:c>
      <x:c r="AK1" s="67" t="str">
        <x:v>Source-QC issue</x:v>
      </x:c>
      <x:c r="AL1" s="67" t="str">
        <x:v>Source PDF URL</x:v>
      </x:c>
    </x:row>
    <x:row r="2">
      <x:c r="A2" s="18" t="str">
        <x:v>Zhu 2022</x:v>
      </x:c>
      <x:c r="B2" s="18" t="str">
        <x:v>ZHU22_PRE_vs_USUAL_PON</x:v>
      </x:c>
      <x:c r="C2" s="18" t="str">
        <x:v>EA day before surgery</x:v>
      </x:c>
      <x:c r="D2" s="18" t="str">
        <x:v>Usual care alone</x:v>
      </x:c>
      <x:c r="E2" s="18" t="str">
        <x:v>Postoperative nausea</x:v>
      </x:c>
      <x:c r="F2" s="18" t="str">
        <x:v>6-24 h postoperatively</x:v>
      </x:c>
      <x:c r="G2" s="18" t="str">
        <x:v>Events/total</x:v>
      </x:c>
      <x:c r="H2" s="18" t="n">
        <x:v>103</x:v>
      </x:c>
      <x:c r="I2" s="18" t="n">
        <x:v>104</x:v>
      </x:c>
      <x:c r="J2" s="18" t="n">
        <x:v>101</x:v>
      </x:c>
      <x:c r="K2" s="18" t="n">
        <x:v>101</x:v>
      </x:c>
      <x:c r="L2" s="18"/>
      <x:c r="M2" s="18"/>
      <x:c r="N2" s="18"/>
      <x:c r="O2" s="18"/>
      <x:c r="P2" s="18"/>
      <x:c r="Q2" s="18" t="n">
        <x:v>11</x:v>
      </x:c>
      <x:c r="R2" s="18"/>
      <x:c r="S2" s="18"/>
      <x:c r="T2" s="18"/>
      <x:c r="U2" s="18"/>
      <x:c r="V2" s="18"/>
      <x:c r="W2" s="18" t="n">
        <x:v>27</x:v>
      </x:c>
      <x:c r="X2" s="18" t="str">
        <x:v>participants with nausea</x:v>
      </x:c>
      <x:c r="Y2" s="18" t="str">
        <x:v>0.024</x:v>
      </x:c>
      <x:c r="Z2" s="18" t="str">
        <x:v>RR</x:v>
      </x:c>
      <x:c r="AA2" s="18" t="n">
        <x:v>0.4074074074074074</x:v>
      </x:c>
      <x:c r="AB2" s="18" t="str">
        <x:v>CONDITIONAL</x:v>
      </x:c>
      <x:c r="AC2" s="18" t="str">
        <x:v>Valid PONV result, but the postoperative observation window should be matched to the intended synthesis.</x:v>
      </x:c>
      <x:c r="AD2" s="18"/>
      <x:c r="AE2" s="18" t="str">
        <x:v>Binary effect measure (RR preferred per protocol)</x:v>
      </x:c>
      <x:c r="AF2" s="18" t="str">
        <x:v>Some concerns</x:v>
      </x:c>
      <x:c r="AG2" s="18" t="str">
        <x:v>Yes — selected RoB is for a different result/timepoint</x:v>
      </x:c>
      <x:c r="AH2" s="18" t="str">
        <x:v>Zhu 2022</x:v>
      </x:c>
      <x:c r="AI2" s="18" t="str">
        <x:v>Shared-control / multi-arm contrast</x:v>
      </x:c>
      <x:c r="AJ2" s="18" t="str">
        <x:v>Shared comparator present; avoid double-counting controls.</x:v>
      </x:c>
      <x:c r="AK2" s="18" t="str">
        <x:v>Four-arm RCT; no sham; analysis denominators differ from randomized denominators</x:v>
      </x:c>
      <x:c r="AL2" s="18" t="str">
        <x:v>https://drive.google.com/file/d/1vux5IaubjInusplW6GJ2SsxhzibtSCe-/view?usp=drivesdk</x:v>
      </x:c>
    </x:row>
    <x:row r="3">
      <x:c r="A3" s="18" t="str">
        <x:v>Zhu 2022</x:v>
      </x:c>
      <x:c r="B3" s="18" t="str">
        <x:v>ZHU22_PRE_vs_USUAL_POV</x:v>
      </x:c>
      <x:c r="C3" s="18" t="str">
        <x:v>EA day before surgery</x:v>
      </x:c>
      <x:c r="D3" s="18" t="str">
        <x:v>Usual care alone</x:v>
      </x:c>
      <x:c r="E3" s="18" t="str">
        <x:v>Postoperative vomiting</x:v>
      </x:c>
      <x:c r="F3" s="18" t="str">
        <x:v>6-24 h postoperatively</x:v>
      </x:c>
      <x:c r="G3" s="18" t="str">
        <x:v>Events/total</x:v>
      </x:c>
      <x:c r="H3" s="18" t="n">
        <x:v>103</x:v>
      </x:c>
      <x:c r="I3" s="18" t="n">
        <x:v>104</x:v>
      </x:c>
      <x:c r="J3" s="18" t="n">
        <x:v>101</x:v>
      </x:c>
      <x:c r="K3" s="18" t="n">
        <x:v>101</x:v>
      </x:c>
      <x:c r="L3" s="18"/>
      <x:c r="M3" s="18"/>
      <x:c r="N3" s="18"/>
      <x:c r="O3" s="18"/>
      <x:c r="P3" s="18"/>
      <x:c r="Q3" s="18" t="n">
        <x:v>5</x:v>
      </x:c>
      <x:c r="R3" s="18"/>
      <x:c r="S3" s="18"/>
      <x:c r="T3" s="18"/>
      <x:c r="U3" s="18"/>
      <x:c r="V3" s="18"/>
      <x:c r="W3" s="18" t="n">
        <x:v>22</x:v>
      </x:c>
      <x:c r="X3" s="18" t="str">
        <x:v>participants with vomiting</x:v>
      </x:c>
      <x:c r="Y3" s="18" t="str">
        <x:v>0.002</x:v>
      </x:c>
      <x:c r="Z3" s="18" t="str">
        <x:v>RR</x:v>
      </x:c>
      <x:c r="AA3" s="18" t="n">
        <x:v>0.2272727272727273</x:v>
      </x:c>
      <x:c r="AB3" s="18" t="str">
        <x:v>CONDITIONAL</x:v>
      </x:c>
      <x:c r="AC3" s="18" t="str">
        <x:v>Valid PONV result, but the postoperative observation window should be matched to the intended synthesis.</x:v>
      </x:c>
      <x:c r="AD3" s="18"/>
      <x:c r="AE3" s="18" t="str">
        <x:v>Binary effect measure (RR preferred per protocol)</x:v>
      </x:c>
      <x:c r="AF3" s="18" t="str">
        <x:v>Some concerns</x:v>
      </x:c>
      <x:c r="AG3" s="18" t="str">
        <x:v>No — selected RoB matches this result</x:v>
      </x:c>
      <x:c r="AH3" s="18" t="str">
        <x:v>Zhu 2022</x:v>
      </x:c>
      <x:c r="AI3" s="18" t="str">
        <x:v>Shared-control / multi-arm contrast</x:v>
      </x:c>
      <x:c r="AJ3" s="18" t="str">
        <x:v>Shared comparator present; avoid double-counting controls.</x:v>
      </x:c>
      <x:c r="AK3" s="18" t="str">
        <x:v>Four-arm RCT; no sham; use exact arm-specific analyzed denominators</x:v>
      </x:c>
      <x:c r="AL3" s="18" t="str">
        <x:v>https://drive.google.com/file/d/1vux5IaubjInusplW6GJ2SsxhzibtSCe-/view?usp=drivesdk</x:v>
      </x:c>
    </x:row>
    <x:row r="4">
      <x:c r="A4" s="18" t="str">
        <x:v>Zhu 2022</x:v>
      </x:c>
      <x:c r="B4" s="18" t="str">
        <x:v>ZHU22_30_vs_USUAL_PON</x:v>
      </x:c>
      <x:c r="C4" s="18" t="str">
        <x:v>EA 30 min before surgery</x:v>
      </x:c>
      <x:c r="D4" s="18" t="str">
        <x:v>Usual care alone</x:v>
      </x:c>
      <x:c r="E4" s="18" t="str">
        <x:v>Postoperative nausea</x:v>
      </x:c>
      <x:c r="F4" s="18" t="str">
        <x:v>6-24 h postoperatively</x:v>
      </x:c>
      <x:c r="G4" s="18" t="str">
        <x:v>Events/total</x:v>
      </x:c>
      <x:c r="H4" s="18" t="n">
        <x:v>103</x:v>
      </x:c>
      <x:c r="I4" s="18" t="n">
        <x:v>104</x:v>
      </x:c>
      <x:c r="J4" s="18" t="n">
        <x:v>98</x:v>
      </x:c>
      <x:c r="K4" s="18" t="n">
        <x:v>101</x:v>
      </x:c>
      <x:c r="L4" s="18"/>
      <x:c r="M4" s="18"/>
      <x:c r="N4" s="18"/>
      <x:c r="O4" s="18"/>
      <x:c r="P4" s="18"/>
      <x:c r="Q4" s="18" t="n">
        <x:v>18</x:v>
      </x:c>
      <x:c r="R4" s="18"/>
      <x:c r="S4" s="18"/>
      <x:c r="T4" s="18"/>
      <x:c r="U4" s="18"/>
      <x:c r="V4" s="18"/>
      <x:c r="W4" s="18" t="n">
        <x:v>27</x:v>
      </x:c>
      <x:c r="X4" s="18" t="str">
        <x:v>participants with nausea</x:v>
      </x:c>
      <x:c r="Y4" s="18" t="str">
        <x:v>NR pairwise</x:v>
      </x:c>
      <x:c r="Z4" s="18" t="str">
        <x:v>RR</x:v>
      </x:c>
      <x:c r="AA4" s="18" t="n">
        <x:v>0.6870748299319728</x:v>
      </x:c>
      <x:c r="AB4" s="18" t="str">
        <x:v>CONDITIONAL</x:v>
      </x:c>
      <x:c r="AC4" s="18" t="str">
        <x:v>Valid PONV result, but the postoperative observation window should be matched to the intended synthesis.</x:v>
      </x:c>
      <x:c r="AD4" s="18"/>
      <x:c r="AE4" s="18" t="str">
        <x:v>Binary effect measure (RR preferred per protocol)</x:v>
      </x:c>
      <x:c r="AF4" s="18" t="str">
        <x:v>Some concerns</x:v>
      </x:c>
      <x:c r="AG4" s="18" t="str">
        <x:v>Yes — selected RoB is for a different result/timepoint</x:v>
      </x:c>
      <x:c r="AH4" s="18" t="str">
        <x:v>Zhu 2022</x:v>
      </x:c>
      <x:c r="AI4" s="18" t="str">
        <x:v>Shared-control / multi-arm contrast</x:v>
      </x:c>
      <x:c r="AJ4" s="18" t="str">
        <x:v>Shared comparator present; avoid double-counting controls.</x:v>
      </x:c>
      <x:c r="AK4" s="18" t="str">
        <x:v>Four-arm RCT; no sham; analysis denominators differ from randomized denominators</x:v>
      </x:c>
      <x:c r="AL4" s="18" t="str">
        <x:v>https://drive.google.com/file/d/1vux5IaubjInusplW6GJ2SsxhzibtSCe-/view?usp=drivesdk</x:v>
      </x:c>
    </x:row>
    <x:row r="5">
      <x:c r="A5" s="18" t="str">
        <x:v>Zhu 2022</x:v>
      </x:c>
      <x:c r="B5" s="18" t="str">
        <x:v>ZHU22_30_vs_USUAL_POV</x:v>
      </x:c>
      <x:c r="C5" s="18" t="str">
        <x:v>EA 30 min before surgery</x:v>
      </x:c>
      <x:c r="D5" s="18" t="str">
        <x:v>Usual care alone</x:v>
      </x:c>
      <x:c r="E5" s="18" t="str">
        <x:v>Postoperative vomiting</x:v>
      </x:c>
      <x:c r="F5" s="18" t="str">
        <x:v>6-24 h postoperatively</x:v>
      </x:c>
      <x:c r="G5" s="18" t="str">
        <x:v>Events/total</x:v>
      </x:c>
      <x:c r="H5" s="18" t="n">
        <x:v>103</x:v>
      </x:c>
      <x:c r="I5" s="18" t="n">
        <x:v>104</x:v>
      </x:c>
      <x:c r="J5" s="18" t="n">
        <x:v>98</x:v>
      </x:c>
      <x:c r="K5" s="18" t="n">
        <x:v>101</x:v>
      </x:c>
      <x:c r="L5" s="18"/>
      <x:c r="M5" s="18"/>
      <x:c r="N5" s="18"/>
      <x:c r="O5" s="18"/>
      <x:c r="P5" s="18"/>
      <x:c r="Q5" s="18" t="n">
        <x:v>8</x:v>
      </x:c>
      <x:c r="R5" s="18"/>
      <x:c r="S5" s="18"/>
      <x:c r="T5" s="18"/>
      <x:c r="U5" s="18"/>
      <x:c r="V5" s="18"/>
      <x:c r="W5" s="18" t="n">
        <x:v>22</x:v>
      </x:c>
      <x:c r="X5" s="18" t="str">
        <x:v>participants with vomiting</x:v>
      </x:c>
      <x:c r="Y5" s="18" t="str">
        <x:v>0.034</x:v>
      </x:c>
      <x:c r="Z5" s="18" t="str">
        <x:v>RR</x:v>
      </x:c>
      <x:c r="AA5" s="18" t="n">
        <x:v>0.3747680890538033</x:v>
      </x:c>
      <x:c r="AB5" s="18" t="str">
        <x:v>CONDITIONAL</x:v>
      </x:c>
      <x:c r="AC5" s="18" t="str">
        <x:v>Valid PONV result, but the postoperative observation window should be matched to the intended synthesis.</x:v>
      </x:c>
      <x:c r="AD5" s="18"/>
      <x:c r="AE5" s="18" t="str">
        <x:v>Binary effect measure (RR preferred per protocol)</x:v>
      </x:c>
      <x:c r="AF5" s="18" t="str">
        <x:v>Some concerns</x:v>
      </x:c>
      <x:c r="AG5" s="18" t="str">
        <x:v>No — selected RoB matches this result</x:v>
      </x:c>
      <x:c r="AH5" s="18" t="str">
        <x:v>Zhu 2022</x:v>
      </x:c>
      <x:c r="AI5" s="18" t="str">
        <x:v>Shared-control / multi-arm contrast</x:v>
      </x:c>
      <x:c r="AJ5" s="18" t="str">
        <x:v>Shared comparator present; avoid double-counting controls.</x:v>
      </x:c>
      <x:c r="AK5" s="18" t="str">
        <x:v>Four-arm RCT; no sham; use exact arm-specific analyzed denominators</x:v>
      </x:c>
      <x:c r="AL5" s="18" t="str">
        <x:v>https://drive.google.com/file/d/1vux5IaubjInusplW6GJ2SsxhzibtSCe-/view?usp=drivesdk</x:v>
      </x:c>
    </x:row>
    <x:row r="6">
      <x:c r="A6" s="18" t="str">
        <x:v>Zhu 2022</x:v>
      </x:c>
      <x:c r="B6" s="18" t="str">
        <x:v>ZHU22_COMB_vs_USUAL_PON</x:v>
      </x:c>
      <x:c r="C6" s="18" t="str">
        <x:v>EA day before + 30 min before</x:v>
      </x:c>
      <x:c r="D6" s="18" t="str">
        <x:v>Usual care alone</x:v>
      </x:c>
      <x:c r="E6" s="18" t="str">
        <x:v>Postoperative nausea</x:v>
      </x:c>
      <x:c r="F6" s="18" t="str">
        <x:v>6-24 h postoperatively</x:v>
      </x:c>
      <x:c r="G6" s="18" t="str">
        <x:v>Events/total</x:v>
      </x:c>
      <x:c r="H6" s="18" t="n">
        <x:v>103</x:v>
      </x:c>
      <x:c r="I6" s="18" t="n">
        <x:v>104</x:v>
      </x:c>
      <x:c r="J6" s="18" t="n">
        <x:v>100</x:v>
      </x:c>
      <x:c r="K6" s="18" t="n">
        <x:v>101</x:v>
      </x:c>
      <x:c r="L6" s="18"/>
      <x:c r="M6" s="18"/>
      <x:c r="N6" s="18"/>
      <x:c r="O6" s="18"/>
      <x:c r="P6" s="18"/>
      <x:c r="Q6" s="18" t="n">
        <x:v>11</x:v>
      </x:c>
      <x:c r="R6" s="18"/>
      <x:c r="S6" s="18"/>
      <x:c r="T6" s="18"/>
      <x:c r="U6" s="18"/>
      <x:c r="V6" s="18"/>
      <x:c r="W6" s="18" t="n">
        <x:v>27</x:v>
      </x:c>
      <x:c r="X6" s="18" t="str">
        <x:v>participants with nausea</x:v>
      </x:c>
      <x:c r="Y6" s="18" t="str">
        <x:v>0.024</x:v>
      </x:c>
      <x:c r="Z6" s="18" t="str">
        <x:v>RR</x:v>
      </x:c>
      <x:c r="AA6" s="18" t="n">
        <x:v>0.41148148148148145</x:v>
      </x:c>
      <x:c r="AB6" s="18" t="str">
        <x:v>CONDITIONAL</x:v>
      </x:c>
      <x:c r="AC6" s="18" t="str">
        <x:v>Valid PONV result, but the postoperative observation window should be matched to the intended synthesis.</x:v>
      </x:c>
      <x:c r="AD6" s="18"/>
      <x:c r="AE6" s="18" t="str">
        <x:v>Binary effect measure (RR preferred per protocol)</x:v>
      </x:c>
      <x:c r="AF6" s="18" t="str">
        <x:v>Some concerns</x:v>
      </x:c>
      <x:c r="AG6" s="18" t="str">
        <x:v>Yes — selected RoB is for a different result/timepoint</x:v>
      </x:c>
      <x:c r="AH6" s="18" t="str">
        <x:v>Zhu 2022</x:v>
      </x:c>
      <x:c r="AI6" s="18" t="str">
        <x:v>Shared-control / multi-arm contrast</x:v>
      </x:c>
      <x:c r="AJ6" s="18" t="str">
        <x:v>Shared comparator present; avoid double-counting controls.</x:v>
      </x:c>
      <x:c r="AK6" s="18" t="str">
        <x:v>Four-arm RCT; no sham; analysis denominators differ from randomized denominators</x:v>
      </x:c>
      <x:c r="AL6" s="18" t="str">
        <x:v>https://drive.google.com/file/d/1vux5IaubjInusplW6GJ2SsxhzibtSCe-/view?usp=drivesdk</x:v>
      </x:c>
    </x:row>
    <x:row r="7">
      <x:c r="A7" s="18" t="str">
        <x:v>Zhu 2022</x:v>
      </x:c>
      <x:c r="B7" s="18" t="str">
        <x:v>ZHU22_COMB_vs_USUAL_POV</x:v>
      </x:c>
      <x:c r="C7" s="18" t="str">
        <x:v>EA day before + 30 min before</x:v>
      </x:c>
      <x:c r="D7" s="18" t="str">
        <x:v>Usual care alone</x:v>
      </x:c>
      <x:c r="E7" s="18" t="str">
        <x:v>Postoperative vomiting</x:v>
      </x:c>
      <x:c r="F7" s="18" t="str">
        <x:v>6-24 h postoperatively</x:v>
      </x:c>
      <x:c r="G7" s="18" t="str">
        <x:v>Events/total</x:v>
      </x:c>
      <x:c r="H7" s="18" t="n">
        <x:v>103</x:v>
      </x:c>
      <x:c r="I7" s="18" t="n">
        <x:v>104</x:v>
      </x:c>
      <x:c r="J7" s="18" t="n">
        <x:v>100</x:v>
      </x:c>
      <x:c r="K7" s="18" t="n">
        <x:v>101</x:v>
      </x:c>
      <x:c r="L7" s="18"/>
      <x:c r="M7" s="18"/>
      <x:c r="N7" s="18"/>
      <x:c r="O7" s="18"/>
      <x:c r="P7" s="18"/>
      <x:c r="Q7" s="18" t="n">
        <x:v>9</x:v>
      </x:c>
      <x:c r="R7" s="18"/>
      <x:c r="S7" s="18"/>
      <x:c r="T7" s="18"/>
      <x:c r="U7" s="18"/>
      <x:c r="V7" s="18"/>
      <x:c r="W7" s="18" t="n">
        <x:v>22</x:v>
      </x:c>
      <x:c r="X7" s="18" t="str">
        <x:v>participants with vomiting</x:v>
      </x:c>
      <x:c r="Y7" s="18" t="str">
        <x:v>NR pairwise</x:v>
      </x:c>
      <x:c r="Z7" s="18" t="str">
        <x:v>RR</x:v>
      </x:c>
      <x:c r="AA7" s="18" t="n">
        <x:v>0.41318181818181815</x:v>
      </x:c>
      <x:c r="AB7" s="18" t="str">
        <x:v>CONDITIONAL</x:v>
      </x:c>
      <x:c r="AC7" s="18" t="str">
        <x:v>Valid PONV result, but the postoperative observation window should be matched to the intended synthesis.</x:v>
      </x:c>
      <x:c r="AD7" s="18"/>
      <x:c r="AE7" s="18" t="str">
        <x:v>Binary effect measure (RR preferred per protocol)</x:v>
      </x:c>
      <x:c r="AF7" s="18" t="str">
        <x:v>Some concerns</x:v>
      </x:c>
      <x:c r="AG7" s="18" t="str">
        <x:v>No — selected RoB matches this result</x:v>
      </x:c>
      <x:c r="AH7" s="18" t="str">
        <x:v>Zhu 2022</x:v>
      </x:c>
      <x:c r="AI7" s="18" t="str">
        <x:v>Shared-control / multi-arm contrast</x:v>
      </x:c>
      <x:c r="AJ7" s="18" t="str">
        <x:v>Shared comparator present; avoid double-counting controls.</x:v>
      </x:c>
      <x:c r="AK7" s="18" t="str">
        <x:v>Four-arm RCT; no sham; use exact arm-specific analyzed denominators</x:v>
      </x:c>
      <x:c r="AL7" s="18" t="str">
        <x:v>https://drive.google.com/file/d/1vux5IaubjInusplW6GJ2SsxhzibtSCe-/view?usp=drivesdk</x:v>
      </x:c>
    </x:row>
    <x:row r="8">
      <x:c r="A8" s="18" t="str">
        <x:v>Zhou 2025</x:v>
      </x:c>
      <x:c r="B8" s="18" t="str">
        <x:v>ZHOU25_TEAS_vs_SHAM_PONV</x:v>
      </x:c>
      <x:c r="C8" s="18" t="str">
        <x:v>PACU TEAS</x:v>
      </x:c>
      <x:c r="D8" s="18" t="str">
        <x:v>Sham/no current</x:v>
      </x:c>
      <x:c r="E8" s="18" t="str">
        <x:v>PONV incidence</x:v>
      </x:c>
      <x:c r="F8" s="18" t="str">
        <x:v>POD1</x:v>
      </x:c>
      <x:c r="G8" s="18" t="str">
        <x:v>Events/total</x:v>
      </x:c>
      <x:c r="H8" s="18" t="n">
        <x:v>50</x:v>
      </x:c>
      <x:c r="I8" s="18" t="n">
        <x:v>50</x:v>
      </x:c>
      <x:c r="J8" s="18" t="n">
        <x:v>48</x:v>
      </x:c>
      <x:c r="K8" s="18" t="n">
        <x:v>49</x:v>
      </x:c>
      <x:c r="L8" s="18"/>
      <x:c r="M8" s="18"/>
      <x:c r="N8" s="18"/>
      <x:c r="O8" s="18"/>
      <x:c r="P8" s="18"/>
      <x:c r="Q8" s="18" t="n">
        <x:v>10</x:v>
      </x:c>
      <x:c r="R8" s="18"/>
      <x:c r="S8" s="18"/>
      <x:c r="T8" s="18"/>
      <x:c r="U8" s="18"/>
      <x:c r="V8" s="18"/>
      <x:c r="W8" s="18" t="n">
        <x:v>19</x:v>
      </x:c>
      <x:c r="X8" s="18" t="str">
        <x:v>participants</x:v>
      </x:c>
      <x:c r="Y8" s="18" t="str">
        <x:v>0.047</x:v>
      </x:c>
      <x:c r="Z8" s="18" t="str">
        <x:v>RR</x:v>
      </x:c>
      <x:c r="AA8" s="18" t="n">
        <x:v>0.537280701754386</x:v>
      </x:c>
      <x:c r="AB8" s="18" t="str">
        <x:v>CONDITIONAL</x:v>
      </x:c>
      <x:c r="AC8" s="18" t="str">
        <x:v>Valid PONV result, but the postoperative observation window should be matched to the intended synthesis.</x:v>
      </x:c>
      <x:c r="AD8" s="18"/>
      <x:c r="AE8" s="18" t="str">
        <x:v>Binary effect measure (RR preferred per protocol)</x:v>
      </x:c>
      <x:c r="AF8" s="18" t="str">
        <x:v>High</x:v>
      </x:c>
      <x:c r="AG8" s="18" t="str">
        <x:v>Yes — selected RoB is for a different result/timepoint</x:v>
      </x:c>
      <x:c r="AH8" s="18" t="str">
        <x:v>Zhou 2025</x:v>
      </x:c>
      <x:c r="AI8" s="18" t="str">
        <x:v>Primary eligible contrast</x:v>
      </x:c>
      <x:c r="AJ8" s="18" t="str">
        <x:v>Count this study once per synthesis unless a valid multi-arm method is used.</x:v>
      </x:c>
      <x:c r="AK8" s="18" t="str">
        <x:v>Participant sensory blinding uncertain</x:v>
      </x:c>
      <x:c r="AL8" s="18" t="str">
        <x:v>https://drive.google.com/file/d/1gpNBuoukUttXKWiAAeZSqdIaaHSMOwDU/view?usp=drivesdk</x:v>
      </x:c>
    </x:row>
    <x:row r="9">
      <x:c r="A9" s="18" t="str">
        <x:v>Zheng 2025</x:v>
      </x:c>
      <x:c r="B9" s="18" t="str">
        <x:v>ZHENG25_TEAS_vs_SHAM_PONV</x:v>
      </x:c>
      <x:c r="C9" s="18" t="str">
        <x:v>Perioperative TEAS</x:v>
      </x:c>
      <x:c r="D9" s="18" t="str">
        <x:v>Sham/no current</x:v>
      </x:c>
      <x:c r="E9" s="18" t="str">
        <x:v>Any PONV</x:v>
      </x:c>
      <x:c r="F9" s="18" t="str">
        <x:v>Within 24 h postoperatively</x:v>
      </x:c>
      <x:c r="G9" s="18" t="str">
        <x:v>Events/total</x:v>
      </x:c>
      <x:c r="H9" s="18" t="n">
        <x:v>44</x:v>
      </x:c>
      <x:c r="I9" s="18" t="n">
        <x:v>44</x:v>
      </x:c>
      <x:c r="J9" s="18" t="n">
        <x:v>42</x:v>
      </x:c>
      <x:c r="K9" s="18" t="n">
        <x:v>43</x:v>
      </x:c>
      <x:c r="L9" s="18"/>
      <x:c r="M9" s="18"/>
      <x:c r="N9" s="18"/>
      <x:c r="O9" s="18"/>
      <x:c r="P9" s="18"/>
      <x:c r="Q9" s="18" t="n">
        <x:v>18</x:v>
      </x:c>
      <x:c r="R9" s="18"/>
      <x:c r="S9" s="18"/>
      <x:c r="T9" s="18"/>
      <x:c r="U9" s="18"/>
      <x:c r="V9" s="18"/>
      <x:c r="W9" s="18" t="n">
        <x:v>29</x:v>
      </x:c>
      <x:c r="X9" s="18" t="str">
        <x:v>participants</x:v>
      </x:c>
      <x:c r="Y9" s="18" t="str">
        <x:v>0.023</x:v>
      </x:c>
      <x:c r="Z9" s="18" t="str">
        <x:v>RR</x:v>
      </x:c>
      <x:c r="AA9" s="18" t="n">
        <x:v>0.6354679802955665</x:v>
      </x:c>
      <x:c r="AB9" s="18" t="str">
        <x:v>CONDITIONAL</x:v>
      </x:c>
      <x:c r="AC9" s="18" t="str">
        <x:v>Valid PONV result, but the postoperative observation window should be matched to the intended synthesis.</x:v>
      </x:c>
      <x:c r="AD9" s="18"/>
      <x:c r="AE9" s="18" t="str">
        <x:v>Binary effect measure (RR preferred per protocol)</x:v>
      </x:c>
      <x:c r="AF9" s="18" t="str">
        <x:v>Some concerns</x:v>
      </x:c>
      <x:c r="AG9" s="18" t="str">
        <x:v>No — selected RoB matches this result</x:v>
      </x:c>
      <x:c r="AH9" s="18" t="str">
        <x:v>Zheng 2025</x:v>
      </x:c>
      <x:c r="AI9" s="18" t="str">
        <x:v>Primary eligible contrast</x:v>
      </x:c>
      <x:c r="AJ9" s="18" t="str">
        <x:v>Count this study once per synthesis unless a valid multi-arm method is used.</x:v>
      </x:c>
      <x:c r="AK9" s="18" t="str">
        <x:v>Counts 18/42 and 29/43 are reconstructed from reported 42.9% and 67.4%; use percentages as source truth</x:v>
      </x:c>
      <x:c r="AL9" s="18" t="str">
        <x:v>https://drive.google.com/file/d/1-JWKZgQXaQQQBZgMSDqyIP-vG9aAxBqb/view?usp=drivesdk</x:v>
      </x:c>
    </x:row>
    <x:row r="10">
      <x:c r="A10" s="18" t="str">
        <x:v>Zhang 2014</x:v>
      </x:c>
      <x:c r="B10" s="18" t="str">
        <x:v>ZHANG14_TEAS_vs_SHAM_NAUSEA</x:v>
      </x:c>
      <x:c r="C10" s="18" t="str">
        <x:v>Preoperative TEAS</x:v>
      </x:c>
      <x:c r="D10" s="18" t="str">
        <x:v>Sham/no current</x:v>
      </x:c>
      <x:c r="E10" s="18" t="str">
        <x:v>Postoperative nausea</x:v>
      </x:c>
      <x:c r="F10" s="18" t="str">
        <x:v>Postoperative</x:v>
      </x:c>
      <x:c r="G10" s="18" t="str">
        <x:v>Events/total</x:v>
      </x:c>
      <x:c r="H10" s="18" t="n">
        <x:v>33</x:v>
      </x:c>
      <x:c r="I10" s="18" t="n">
        <x:v>32</x:v>
      </x:c>
      <x:c r="J10" s="18" t="n">
        <x:v>33</x:v>
      </x:c>
      <x:c r="K10" s="18" t="n">
        <x:v>32</x:v>
      </x:c>
      <x:c r="L10" s="18"/>
      <x:c r="M10" s="18"/>
      <x:c r="N10" s="18"/>
      <x:c r="O10" s="18"/>
      <x:c r="P10" s="18"/>
      <x:c r="Q10" s="18" t="n">
        <x:v>7</x:v>
      </x:c>
      <x:c r="R10" s="18"/>
      <x:c r="S10" s="18"/>
      <x:c r="T10" s="18"/>
      <x:c r="U10" s="18"/>
      <x:c r="V10" s="18"/>
      <x:c r="W10" s="18" t="n">
        <x:v>15</x:v>
      </x:c>
      <x:c r="X10" s="18" t="str">
        <x:v>participants</x:v>
      </x:c>
      <x:c r="Y10" s="18" t="str">
        <x:v>0.03</x:v>
      </x:c>
      <x:c r="Z10" s="18" t="str">
        <x:v>RR</x:v>
      </x:c>
      <x:c r="AA10" s="18" t="n">
        <x:v>0.45252525252525255</x:v>
      </x:c>
      <x:c r="AB10" s="18" t="str">
        <x:v>CONDITIONAL</x:v>
      </x:c>
      <x:c r="AC10" s="18" t="str">
        <x:v>Valid PONV result, but the postoperative observation window should be matched to the intended synthesis.</x:v>
      </x:c>
      <x:c r="AD10" s="18"/>
      <x:c r="AE10" s="18" t="str">
        <x:v>Binary effect measure (RR preferred per protocol)</x:v>
      </x:c>
      <x:c r="AF10" s="18" t="str">
        <x:v>Some concerns</x:v>
      </x:c>
      <x:c r="AG10" s="18" t="str">
        <x:v>Yes — selected RoB is for a different result/timepoint</x:v>
      </x:c>
      <x:c r="AH10" s="18" t="str">
        <x:v>Zhang 2014</x:v>
      </x:c>
      <x:c r="AI10" s="18" t="str">
        <x:v>Primary eligible contrast</x:v>
      </x:c>
      <x:c r="AJ10" s="18" t="str">
        <x:v>Count this study once per synthesis unless a valid multi-arm method is used.</x:v>
      </x:c>
      <x:c r="AK10" s="18" t="str">
        <x:v>No exact narrower time window reported in the extraction</x:v>
      </x:c>
      <x:c r="AL10" s="18" t="str">
        <x:v>https://drive.google.com/file/d/1lws1zFpIE-wbLY8X9ewYyTuIP-WySa-c/view?usp=drivesdk</x:v>
      </x:c>
    </x:row>
    <x:row r="11">
      <x:c r="A11" s="18" t="str">
        <x:v>Zhang 2014</x:v>
      </x:c>
      <x:c r="B11" s="18" t="str">
        <x:v>ZHANG14_TEAS_vs_SHAM_VOMIT</x:v>
      </x:c>
      <x:c r="C11" s="18" t="str">
        <x:v>Preoperative TEAS</x:v>
      </x:c>
      <x:c r="D11" s="18" t="str">
        <x:v>Sham/no current</x:v>
      </x:c>
      <x:c r="E11" s="18" t="str">
        <x:v>Postoperative vomiting</x:v>
      </x:c>
      <x:c r="F11" s="18" t="str">
        <x:v>Postoperative</x:v>
      </x:c>
      <x:c r="G11" s="18" t="str">
        <x:v>Events/total</x:v>
      </x:c>
      <x:c r="H11" s="18" t="n">
        <x:v>33</x:v>
      </x:c>
      <x:c r="I11" s="18" t="n">
        <x:v>32</x:v>
      </x:c>
      <x:c r="J11" s="18" t="n">
        <x:v>33</x:v>
      </x:c>
      <x:c r="K11" s="18" t="n">
        <x:v>32</x:v>
      </x:c>
      <x:c r="L11" s="18"/>
      <x:c r="M11" s="18"/>
      <x:c r="N11" s="18"/>
      <x:c r="O11" s="18"/>
      <x:c r="P11" s="18"/>
      <x:c r="Q11" s="18" t="n">
        <x:v>4</x:v>
      </x:c>
      <x:c r="R11" s="18"/>
      <x:c r="S11" s="18"/>
      <x:c r="T11" s="18"/>
      <x:c r="U11" s="18"/>
      <x:c r="V11" s="18"/>
      <x:c r="W11" s="18" t="n">
        <x:v>11</x:v>
      </x:c>
      <x:c r="X11" s="18" t="str">
        <x:v>participants</x:v>
      </x:c>
      <x:c r="Y11" s="18" t="str">
        <x:v>0.03</x:v>
      </x:c>
      <x:c r="Z11" s="18" t="str">
        <x:v>RR</x:v>
      </x:c>
      <x:c r="AA11" s="18" t="n">
        <x:v>0.3526170798898072</x:v>
      </x:c>
      <x:c r="AB11" s="18" t="str">
        <x:v>CONDITIONAL</x:v>
      </x:c>
      <x:c r="AC11" s="18" t="str">
        <x:v>Valid PONV result, but the postoperative observation window should be matched to the intended synthesis.</x:v>
      </x:c>
      <x:c r="AD11" s="18"/>
      <x:c r="AE11" s="18" t="str">
        <x:v>Binary effect measure (RR preferred per protocol)</x:v>
      </x:c>
      <x:c r="AF11" s="18" t="str">
        <x:v>Some concerns</x:v>
      </x:c>
      <x:c r="AG11" s="18" t="str">
        <x:v>Yes — selected RoB is for a different result/timepoint</x:v>
      </x:c>
      <x:c r="AH11" s="18" t="str">
        <x:v>Zhang 2014</x:v>
      </x:c>
      <x:c r="AI11" s="18" t="str">
        <x:v>Primary eligible contrast</x:v>
      </x:c>
      <x:c r="AJ11" s="18" t="str">
        <x:v>Count this study once per synthesis unless a valid multi-arm method is used.</x:v>
      </x:c>
      <x:c r="AK11" s="18" t="str">
        <x:v>No exact narrower time window reported in the extraction</x:v>
      </x:c>
      <x:c r="AL11" s="18" t="str">
        <x:v>https://drive.google.com/file/d/1lws1zFpIE-wbLY8X9ewYyTuIP-WySa-c/view?usp=drivesdk</x:v>
      </x:c>
    </x:row>
    <x:row r="12">
      <x:c r="A12" s="18" t="str">
        <x:v>Yang 2024</x:v>
      </x:c>
      <x:c r="B12" s="18" t="str">
        <x:v>YANG24_EA_vs_UC_VOMIT</x:v>
      </x:c>
      <x:c r="C12" s="18" t="str">
        <x:v>Perioperative EA + usual care</x:v>
      </x:c>
      <x:c r="D12" s="18" t="str">
        <x:v>Usual care</x:v>
      </x:c>
      <x:c r="E12" s="18" t="str">
        <x:v>Postoperative vomiting</x:v>
      </x:c>
      <x:c r="F12" s="18" t="str">
        <x:v>Within 72 h</x:v>
      </x:c>
      <x:c r="G12" s="18" t="str">
        <x:v>Events/total</x:v>
      </x:c>
      <x:c r="H12" s="18" t="n">
        <x:v>90</x:v>
      </x:c>
      <x:c r="I12" s="18" t="n">
        <x:v>90</x:v>
      </x:c>
      <x:c r="J12" s="18" t="n">
        <x:v>90</x:v>
      </x:c>
      <x:c r="K12" s="18" t="n">
        <x:v>90</x:v>
      </x:c>
      <x:c r="L12" s="18"/>
      <x:c r="M12" s="18"/>
      <x:c r="N12" s="18"/>
      <x:c r="O12" s="18"/>
      <x:c r="P12" s="18"/>
      <x:c r="Q12" s="18" t="n">
        <x:v>12</x:v>
      </x:c>
      <x:c r="R12" s="18"/>
      <x:c r="S12" s="18"/>
      <x:c r="T12" s="18"/>
      <x:c r="U12" s="18"/>
      <x:c r="V12" s="18"/>
      <x:c r="W12" s="18" t="n">
        <x:v>25</x:v>
      </x:c>
      <x:c r="X12" s="18" t="str">
        <x:v>participants</x:v>
      </x:c>
      <x:c r="Y12" s="18" t="str">
        <x:v>0.016</x:v>
      </x:c>
      <x:c r="Z12" s="18" t="str">
        <x:v>RR</x:v>
      </x:c>
      <x:c r="AA12" s="18" t="n">
        <x:v>0.48</x:v>
      </x:c>
      <x:c r="AB12" s="18" t="str">
        <x:v>INCLUDE — SEPARATE TIME WINDOW</x:v>
      </x:c>
      <x:c r="AC12" s="18" t="str">
        <x:v>Valid 72 h PONV endpoint; analyze separately from 24-h PONV.</x:v>
      </x:c>
      <x:c r="AD12" s="18"/>
      <x:c r="AE12" s="18" t="str">
        <x:v>Binary effect measure (RR preferred per protocol)</x:v>
      </x:c>
      <x:c r="AF12" s="18" t="str">
        <x:v>Some concerns</x:v>
      </x:c>
      <x:c r="AG12" s="18" t="str">
        <x:v>Yes — selected RoB is for a different result/timepoint</x:v>
      </x:c>
      <x:c r="AH12" s="18" t="str">
        <x:v>Yang 2024</x:v>
      </x:c>
      <x:c r="AI12" s="18" t="str">
        <x:v>Primary eligible contrast</x:v>
      </x:c>
      <x:c r="AJ12" s="18" t="str">
        <x:v>Count this study once per synthesis unless a valid multi-arm method is used.</x:v>
      </x:c>
      <x:c r="AK12" s="18" t="str">
        <x:v>No sham acupuncture; patient knowledge could affect subjective nausea but vomiting is more objective</x:v>
      </x:c>
      <x:c r="AL12" s="18" t="str">
        <x:v>https://drive.google.com/file/d/160N3psd5tLEphwXHJzUEZ3uJfaIXcs5V/view?usp=drivesdk</x:v>
      </x:c>
    </x:row>
    <x:row r="13">
      <x:c r="A13" s="18" t="str">
        <x:v>Xiong 2021</x:v>
      </x:c>
      <x:c r="B13" s="18" t="str">
        <x:v>XIONG21_TEAS_vs_CTRL_PONV48</x:v>
      </x:c>
      <x:c r="C13" s="18" t="str">
        <x:v>TEAS + dexamethasone + tropisetron</x:v>
      </x:c>
      <x:c r="D13" s="18" t="str">
        <x:v>Dexamethasone + tropisetron</x:v>
      </x:c>
      <x:c r="E13" s="18" t="str">
        <x:v>Any PONV</x:v>
      </x:c>
      <x:c r="F13" s="18" t="str">
        <x:v>Within 48 h</x:v>
      </x:c>
      <x:c r="G13" s="18" t="str">
        <x:v>Events/total</x:v>
      </x:c>
      <x:c r="H13" s="18" t="n">
        <x:v>31</x:v>
      </x:c>
      <x:c r="I13" s="18" t="n">
        <x:v>31</x:v>
      </x:c>
      <x:c r="J13" s="18" t="n">
        <x:v>31</x:v>
      </x:c>
      <x:c r="K13" s="18" t="n">
        <x:v>31</x:v>
      </x:c>
      <x:c r="L13" s="18"/>
      <x:c r="M13" s="18"/>
      <x:c r="N13" s="18"/>
      <x:c r="O13" s="18"/>
      <x:c r="P13" s="18"/>
      <x:c r="Q13" s="18" t="n">
        <x:v>13</x:v>
      </x:c>
      <x:c r="R13" s="18"/>
      <x:c r="S13" s="18"/>
      <x:c r="T13" s="18"/>
      <x:c r="U13" s="18"/>
      <x:c r="V13" s="18"/>
      <x:c r="W13" s="18" t="n">
        <x:v>24</x:v>
      </x:c>
      <x:c r="X13" s="18" t="str">
        <x:v>participants</x:v>
      </x:c>
      <x:c r="Y13" s="18" t="str">
        <x:v>0.004</x:v>
      </x:c>
      <x:c r="Z13" s="18" t="str">
        <x:v>RR</x:v>
      </x:c>
      <x:c r="AA13" s="18" t="n">
        <x:v>0.5416666666666667</x:v>
      </x:c>
      <x:c r="AB13" s="18" t="str">
        <x:v>INCLUDE — SEPARATE TIME WINDOW</x:v>
      </x:c>
      <x:c r="AC13" s="18" t="str">
        <x:v>Valid 48 h PONV endpoint; analyze separately from 24-h PONV.</x:v>
      </x:c>
      <x:c r="AD13" s="18"/>
      <x:c r="AE13" s="18" t="str">
        <x:v>Binary effect measure (RR preferred per protocol)</x:v>
      </x:c>
      <x:c r="AF13" s="18" t="str">
        <x:v>Some concerns</x:v>
      </x:c>
      <x:c r="AG13" s="18" t="str">
        <x:v>No — selected RoB matches this result</x:v>
      </x:c>
      <x:c r="AH13" s="18" t="str">
        <x:v>Xiong 2021</x:v>
      </x:c>
      <x:c r="AI13" s="18" t="str">
        <x:v>Primary eligible contrast</x:v>
      </x:c>
      <x:c r="AJ13" s="18" t="str">
        <x:v>Count this study once per synthesis unless a valid multi-arm method is used.</x:v>
      </x:c>
      <x:c r="AK13" s="18" t="str">
        <x:v>Participant blinding intended but active postoperative tingling may have revealed allocation</x:v>
      </x:c>
      <x:c r="AL13" s="18" t="str">
        <x:v>https://drive.google.com/file/d/1sNaquYeWpsts7_e3XYP9c0CwM-tbQS6T/view?usp=drivesdk</x:v>
      </x:c>
    </x:row>
    <x:row r="14">
      <x:c r="A14" s="18" t="str">
        <x:v>Xiong 2021</x:v>
      </x:c>
      <x:c r="B14" s="18" t="str">
        <x:v>XIONG21_TEAS_vs_CTRL_CIPONV</x:v>
      </x:c>
      <x:c r="C14" s="18" t="str">
        <x:v>TEAS + dexamethasone + tropisetron</x:v>
      </x:c>
      <x:c r="D14" s="18" t="str">
        <x:v>Dexamethasone + tropisetron</x:v>
      </x:c>
      <x:c r="E14" s="18" t="str">
        <x:v>Clinically important PONV</x:v>
      </x:c>
      <x:c r="F14" s="18" t="str">
        <x:v>Within 48 h</x:v>
      </x:c>
      <x:c r="G14" s="18" t="str">
        <x:v>Events/total</x:v>
      </x:c>
      <x:c r="H14" s="18" t="n">
        <x:v>31</x:v>
      </x:c>
      <x:c r="I14" s="18" t="n">
        <x:v>31</x:v>
      </x:c>
      <x:c r="J14" s="18" t="n">
        <x:v>31</x:v>
      </x:c>
      <x:c r="K14" s="18" t="n">
        <x:v>31</x:v>
      </x:c>
      <x:c r="L14" s="18"/>
      <x:c r="M14" s="18"/>
      <x:c r="N14" s="18"/>
      <x:c r="O14" s="18"/>
      <x:c r="P14" s="18"/>
      <x:c r="Q14" s="18" t="n">
        <x:v>5</x:v>
      </x:c>
      <x:c r="R14" s="18"/>
      <x:c r="S14" s="18"/>
      <x:c r="T14" s="18"/>
      <x:c r="U14" s="18"/>
      <x:c r="V14" s="18"/>
      <x:c r="W14" s="18" t="n">
        <x:v>15</x:v>
      </x:c>
      <x:c r="X14" s="18" t="str">
        <x:v>participants</x:v>
      </x:c>
      <x:c r="Y14" s="18" t="str">
        <x:v>0.007</x:v>
      </x:c>
      <x:c r="Z14" s="18" t="str">
        <x:v>RR</x:v>
      </x:c>
      <x:c r="AA14" s="18" t="n">
        <x:v>0.3333333333333333</x:v>
      </x:c>
      <x:c r="AB14" s="18" t="str">
        <x:v>INCLUDE — SEPARATE TIME WINDOW</x:v>
      </x:c>
      <x:c r="AC14" s="18" t="str">
        <x:v>Valid 48 h PONV endpoint; analyze separately from 24-h PONV.</x:v>
      </x:c>
      <x:c r="AD14" s="18"/>
      <x:c r="AE14" s="18" t="str">
        <x:v>Binary effect measure (RR preferred per protocol)</x:v>
      </x:c>
      <x:c r="AF14" s="18" t="str">
        <x:v>Some concerns</x:v>
      </x:c>
      <x:c r="AG14" s="18" t="str">
        <x:v>Yes — selected RoB is for a different result/timepoint</x:v>
      </x:c>
      <x:c r="AH14" s="18" t="str">
        <x:v>Xiong 2021</x:v>
      </x:c>
      <x:c r="AI14" s="18" t="str">
        <x:v>Primary eligible contrast</x:v>
      </x:c>
      <x:c r="AJ14" s="18" t="str">
        <x:v>Count this study once per synthesis unless a valid multi-arm method is used.</x:v>
      </x:c>
      <x:c r="AK14" s="18" t="str">
        <x:v>Patient-reported symptom severity; sensory blinding may be imperfect</x:v>
      </x:c>
      <x:c r="AL14" s="18" t="str">
        <x:v>https://drive.google.com/file/d/1sNaquYeWpsts7_e3XYP9c0CwM-tbQS6T/view?usp=drivesdk</x:v>
      </x:c>
    </x:row>
    <x:row r="15">
      <x:c r="A15" s="18" t="str">
        <x:v>Xing 2022</x:v>
      </x:c>
      <x:c r="B15" s="18" t="str">
        <x:v>XING22_NTG_vs_NG_PONV</x:v>
      </x:c>
      <x:c r="C15" s="18" t="str">
        <x:v>TEAS + active TAPB</x:v>
      </x:c>
      <x:c r="D15" s="18" t="str">
        <x:v>Sham TEAS + active TAPB</x:v>
      </x:c>
      <x:c r="E15" s="18" t="str">
        <x:v>PONV incidence</x:v>
      </x:c>
      <x:c r="F15" s="18" t="str">
        <x:v>Postoperative</x:v>
      </x:c>
      <x:c r="G15" s="18" t="str">
        <x:v>Events/total</x:v>
      </x:c>
      <x:c r="H15" s="18" t="n">
        <x:v>30</x:v>
      </x:c>
      <x:c r="I15" s="18" t="n">
        <x:v>30</x:v>
      </x:c>
      <x:c r="J15" s="18" t="n">
        <x:v>29</x:v>
      </x:c>
      <x:c r="K15" s="18" t="n">
        <x:v>29</x:v>
      </x:c>
      <x:c r="L15" s="18"/>
      <x:c r="M15" s="18"/>
      <x:c r="N15" s="18"/>
      <x:c r="O15" s="18"/>
      <x:c r="P15" s="18"/>
      <x:c r="Q15" s="18" t="n">
        <x:v>5</x:v>
      </x:c>
      <x:c r="R15" s="18"/>
      <x:c r="S15" s="18"/>
      <x:c r="T15" s="18"/>
      <x:c r="U15" s="18"/>
      <x:c r="V15" s="18"/>
      <x:c r="W15" s="18" t="n">
        <x:v>11</x:v>
      </x:c>
      <x:c r="X15" s="18" t="str">
        <x:v>participants</x:v>
      </x:c>
      <x:c r="Y15" s="18" t="str">
        <x:v>&lt;0.05 pairwise</x:v>
      </x:c>
      <x:c r="Z15" s="18" t="str">
        <x:v>RR</x:v>
      </x:c>
      <x:c r="AA15" s="18" t="n">
        <x:v>0.4545454545454546</x:v>
      </x:c>
      <x:c r="AB15" s="18" t="str">
        <x:v>CONDITIONAL</x:v>
      </x:c>
      <x:c r="AC15" s="18" t="str">
        <x:v>Valid PONV result, but the postoperative observation window should be matched to the intended synthesis.</x:v>
      </x:c>
      <x:c r="AD15" s="18"/>
      <x:c r="AE15" s="18" t="str">
        <x:v>Binary effect measure (RR preferred per protocol)</x:v>
      </x:c>
      <x:c r="AF15" s="18" t="str">
        <x:v>Some concerns</x:v>
      </x:c>
      <x:c r="AG15" s="18" t="str">
        <x:v>Yes — selected RoB is for a different result/timepoint</x:v>
      </x:c>
      <x:c r="AH15" s="18" t="str">
        <x:v>Xing 2022</x:v>
      </x:c>
      <x:c r="AI15" s="18" t="str">
        <x:v>Shared-control / multi-arm contrast</x:v>
      </x:c>
      <x:c r="AJ15" s="18" t="str">
        <x:v>Shared comparator present; avoid double-counting controls.</x:v>
      </x:c>
      <x:c r="AK15" s="18" t="str">
        <x:v>Counts reconstructed from n=29 analyzed per arm</x:v>
      </x:c>
      <x:c r="AL15" s="18" t="str">
        <x:v>https://drive.google.com/file/d/1h3IGpQ56nSh7H16xBEVyTzCBkWOXRSxK/view?usp=drivesdk</x:v>
      </x:c>
    </x:row>
    <x:row r="16">
      <x:c r="A16" s="18" t="str">
        <x:v>Wang 2024</x:v>
      </x:c>
      <x:c r="B16" s="18" t="str">
        <x:v>WANG24_SNVP_ODT_vs_OD_PONV6_12</x:v>
      </x:c>
      <x:c r="C16" s="18" t="str">
        <x:v>SNVP: ondansetron+dexamethasone+TEAS</x:v>
      </x:c>
      <x:c r="D16" s="18" t="str">
        <x:v>SNVP: ondansetron+dexamethasone</x:v>
      </x:c>
      <x:c r="E16" s="18" t="str">
        <x:v>PONV incidence</x:v>
      </x:c>
      <x:c r="F16" s="18" t="str">
        <x:v>6-12 h</x:v>
      </x:c>
      <x:c r="G16" s="18" t="str">
        <x:v>Events/total</x:v>
      </x:c>
      <x:c r="H16" s="18" t="n">
        <x:v>35</x:v>
      </x:c>
      <x:c r="I16" s="18" t="n">
        <x:v>35</x:v>
      </x:c>
      <x:c r="J16" s="18" t="n">
        <x:v>33</x:v>
      </x:c>
      <x:c r="K16" s="18" t="n">
        <x:v>35</x:v>
      </x:c>
      <x:c r="L16" s="18"/>
      <x:c r="M16" s="18"/>
      <x:c r="N16" s="18"/>
      <x:c r="O16" s="18"/>
      <x:c r="P16" s="18"/>
      <x:c r="Q16" s="18" t="n">
        <x:v>7</x:v>
      </x:c>
      <x:c r="R16" s="18"/>
      <x:c r="S16" s="18"/>
      <x:c r="T16" s="18"/>
      <x:c r="U16" s="18"/>
      <x:c r="V16" s="18"/>
      <x:c r="W16" s="18" t="n">
        <x:v>16</x:v>
      </x:c>
      <x:c r="X16" s="18" t="str">
        <x:v>participants</x:v>
      </x:c>
      <x:c r="Y16" s="18" t="str">
        <x:v>0.033</x:v>
      </x:c>
      <x:c r="Z16" s="18" t="str">
        <x:v>RR</x:v>
      </x:c>
      <x:c r="AA16" s="18" t="n">
        <x:v>0.46401515151515155</x:v>
      </x:c>
      <x:c r="AB16" s="18" t="str">
        <x:v>CONDITIONAL</x:v>
      </x:c>
      <x:c r="AC16" s="18" t="str">
        <x:v>Valid PONV result, but the postoperative observation window should be matched to the intended synthesis.</x:v>
      </x:c>
      <x:c r="AD16" s="18"/>
      <x:c r="AE16" s="18" t="str">
        <x:v>Binary effect measure (RR preferred per protocol)</x:v>
      </x:c>
      <x:c r="AF16" s="18" t="str">
        <x:v>High</x:v>
      </x:c>
      <x:c r="AG16" s="18" t="str">
        <x:v>No — selected RoB matches this result</x:v>
      </x:c>
      <x:c r="AH16" s="18" t="str">
        <x:v>Wang 2024</x:v>
      </x:c>
      <x:c r="AI16" s="18" t="str">
        <x:v>Risk-stratum randomized contrast</x:v>
      </x:c>
      <x:c r="AJ16" s="18" t="str">
        <x:v>SNVP and MNVP are separate randomized strata; do not pool across strata as one undifferentiated treatment contrast without a stratum-aware method.</x:v>
      </x:c>
      <x:c r="AK16" s="18" t="str">
        <x:v>Do not pool across SNVP/MNVP as if strata were randomized; 2 ODT patients excluded after randomization due postoperative fever</x:v>
      </x:c>
      <x:c r="AL16" s="18" t="str">
        <x:v>https://drive.google.com/file/d/1U8tkq6mKFO0IkA2glfgLjN4Krwku3FZn/view?usp=drivesdk</x:v>
      </x:c>
    </x:row>
    <x:row r="17">
      <x:c r="A17" s="18" t="str">
        <x:v>Wang 2024</x:v>
      </x:c>
      <x:c r="B17" s="18" t="str">
        <x:v>WANG24_SNVP_ODT_vs_OD_PONV12_24</x:v>
      </x:c>
      <x:c r="C17" s="18" t="str">
        <x:v>SNVP: ondansetron+dexamethasone+TEAS</x:v>
      </x:c>
      <x:c r="D17" s="18" t="str">
        <x:v>SNVP: ondansetron+dexamethasone</x:v>
      </x:c>
      <x:c r="E17" s="18" t="str">
        <x:v>PONV incidence</x:v>
      </x:c>
      <x:c r="F17" s="18" t="str">
        <x:v>12-24 h</x:v>
      </x:c>
      <x:c r="G17" s="18" t="str">
        <x:v>Events/total</x:v>
      </x:c>
      <x:c r="H17" s="18" t="n">
        <x:v>35</x:v>
      </x:c>
      <x:c r="I17" s="18" t="n">
        <x:v>35</x:v>
      </x:c>
      <x:c r="J17" s="18" t="n">
        <x:v>33</x:v>
      </x:c>
      <x:c r="K17" s="18" t="n">
        <x:v>35</x:v>
      </x:c>
      <x:c r="L17" s="18"/>
      <x:c r="M17" s="18"/>
      <x:c r="N17" s="18"/>
      <x:c r="O17" s="18"/>
      <x:c r="P17" s="18"/>
      <x:c r="Q17" s="18" t="n">
        <x:v>2</x:v>
      </x:c>
      <x:c r="R17" s="18"/>
      <x:c r="S17" s="18"/>
      <x:c r="T17" s="18"/>
      <x:c r="U17" s="18"/>
      <x:c r="V17" s="18"/>
      <x:c r="W17" s="18" t="n">
        <x:v>11</x:v>
      </x:c>
      <x:c r="X17" s="18" t="str">
        <x:v>participants</x:v>
      </x:c>
      <x:c r="Y17" s="18" t="str">
        <x:v>0.008</x:v>
      </x:c>
      <x:c r="Z17" s="18" t="str">
        <x:v>RR</x:v>
      </x:c>
      <x:c r="AA17" s="18" t="n">
        <x:v>0.1928374655647383</x:v>
      </x:c>
      <x:c r="AB17" s="18" t="str">
        <x:v>CONDITIONAL</x:v>
      </x:c>
      <x:c r="AC17" s="18" t="str">
        <x:v>Valid PONV result, but the postoperative observation window should be matched to the intended synthesis.</x:v>
      </x:c>
      <x:c r="AD17" s="18"/>
      <x:c r="AE17" s="18" t="str">
        <x:v>Binary effect measure (RR preferred per protocol)</x:v>
      </x:c>
      <x:c r="AF17" s="18" t="str">
        <x:v>High</x:v>
      </x:c>
      <x:c r="AG17" s="18" t="str">
        <x:v>No — selected RoB matches this result</x:v>
      </x:c>
      <x:c r="AH17" s="18" t="str">
        <x:v>Wang 2024</x:v>
      </x:c>
      <x:c r="AI17" s="18" t="str">
        <x:v>Risk-stratum randomized contrast</x:v>
      </x:c>
      <x:c r="AJ17" s="18" t="str">
        <x:v>SNVP and MNVP are separate randomized strata; do not pool across strata as one undifferentiated treatment contrast without a stratum-aware method.</x:v>
      </x:c>
      <x:c r="AK17" s="18" t="str">
        <x:v>Two post-randomization ODT exclusions; marked surgical-procedure imbalance (radical mastectomy + axillary dissection 36.4% vs 71.4%)</x:v>
      </x:c>
      <x:c r="AL17" s="18" t="str">
        <x:v>https://drive.google.com/file/d/1U8tkq6mKFO0IkA2glfgLjN4Krwku3FZn/view?usp=drivesdk</x:v>
      </x:c>
    </x:row>
    <x:row r="18">
      <x:c r="A18" s="18" t="str">
        <x:v>Wang 2024</x:v>
      </x:c>
      <x:c r="B18" s="18" t="str">
        <x:v>WANG24_SNVP_ODT_vs_OD_TOTALPONV</x:v>
      </x:c>
      <x:c r="C18" s="18" t="str">
        <x:v>SNVP: ondansetron+dexamethasone+TEAS</x:v>
      </x:c>
      <x:c r="D18" s="18" t="str">
        <x:v>SNVP: ondansetron+dexamethasone</x:v>
      </x:c>
      <x:c r="E18" s="18" t="str">
        <x:v>Any PONV over reported follow-up</x:v>
      </x:c>
      <x:c r="F18" s="18" t="str">
        <x:v>0-36 h</x:v>
      </x:c>
      <x:c r="G18" s="18" t="str">
        <x:v>Events/total</x:v>
      </x:c>
      <x:c r="H18" s="18" t="n">
        <x:v>35</x:v>
      </x:c>
      <x:c r="I18" s="18" t="n">
        <x:v>35</x:v>
      </x:c>
      <x:c r="J18" s="18" t="n">
        <x:v>33</x:v>
      </x:c>
      <x:c r="K18" s="18" t="n">
        <x:v>35</x:v>
      </x:c>
      <x:c r="L18" s="18"/>
      <x:c r="M18" s="18"/>
      <x:c r="N18" s="18"/>
      <x:c r="O18" s="18"/>
      <x:c r="P18" s="18"/>
      <x:c r="Q18" s="18" t="n">
        <x:v>14</x:v>
      </x:c>
      <x:c r="R18" s="18"/>
      <x:c r="S18" s="18"/>
      <x:c r="T18" s="18"/>
      <x:c r="U18" s="18"/>
      <x:c r="V18" s="18"/>
      <x:c r="W18" s="18" t="n">
        <x:v>20</x:v>
      </x:c>
      <x:c r="X18" s="18" t="str">
        <x:v>participants</x:v>
      </x:c>
      <x:c r="Y18" s="18" t="str">
        <x:v>0.225</x:v>
      </x:c>
      <x:c r="Z18" s="18" t="str">
        <x:v>RR</x:v>
      </x:c>
      <x:c r="AA18" s="18" t="n">
        <x:v>0.7424242424242424</x:v>
      </x:c>
      <x:c r="AB18" s="18" t="str">
        <x:v>CONDITIONAL</x:v>
      </x:c>
      <x:c r="AC18" s="18" t="str">
        <x:v>Valid PONV result, but the postoperative observation window should be matched to the intended synthesis.</x:v>
      </x:c>
      <x:c r="AD18" s="18"/>
      <x:c r="AE18" s="18" t="str">
        <x:v>Binary effect measure (RR preferred per protocol)</x:v>
      </x:c>
      <x:c r="AF18" s="18" t="str">
        <x:v>High</x:v>
      </x:c>
      <x:c r="AG18" s="18" t="str">
        <x:v>Yes — selected RoB is for a different result/timepoint</x:v>
      </x:c>
      <x:c r="AH18" s="18" t="str">
        <x:v>Wang 2024</x:v>
      </x:c>
      <x:c r="AI18" s="18" t="str">
        <x:v>Risk-stratum randomized contrast</x:v>
      </x:c>
      <x:c r="AJ18" s="18" t="str">
        <x:v>SNVP and MNVP are separate randomized strata; do not pool across strata as one undifferentiated treatment contrast without a stratum-aware method.</x:v>
      </x:c>
      <x:c r="AK18" s="18" t="str">
        <x:v>No significant overall treatment effect despite time-specific benefits</x:v>
      </x:c>
      <x:c r="AL18" s="18" t="str">
        <x:v>https://drive.google.com/file/d/1U8tkq6mKFO0IkA2glfgLjN4Krwku3FZn/view?usp=drivesdk</x:v>
      </x:c>
    </x:row>
    <x:row r="19">
      <x:c r="A19" s="18" t="str">
        <x:v>Wang 2024</x:v>
      </x:c>
      <x:c r="B19" s="18" t="str">
        <x:v>WANG24_MNVP_ODT_vs_OD_PONV0_2</x:v>
      </x:c>
      <x:c r="C19" s="18" t="str">
        <x:v>MNVP: ondansetron+dexamethasone+TEAS</x:v>
      </x:c>
      <x:c r="D19" s="18" t="str">
        <x:v>MNVP: ondansetron+dexamethasone</x:v>
      </x:c>
      <x:c r="E19" s="18" t="str">
        <x:v>PONV incidence</x:v>
      </x:c>
      <x:c r="F19" s="18" t="str">
        <x:v>0-2 h</x:v>
      </x:c>
      <x:c r="G19" s="18" t="str">
        <x:v>Events/total</x:v>
      </x:c>
      <x:c r="H19" s="18" t="n">
        <x:v>35</x:v>
      </x:c>
      <x:c r="I19" s="18" t="n">
        <x:v>35</x:v>
      </x:c>
      <x:c r="J19" s="18" t="n">
        <x:v>35</x:v>
      </x:c>
      <x:c r="K19" s="18" t="n">
        <x:v>35</x:v>
      </x:c>
      <x:c r="L19" s="18"/>
      <x:c r="M19" s="18"/>
      <x:c r="N19" s="18"/>
      <x:c r="O19" s="18"/>
      <x:c r="P19" s="18"/>
      <x:c r="Q19" s="18" t="n">
        <x:v>2</x:v>
      </x:c>
      <x:c r="R19" s="18"/>
      <x:c r="S19" s="18"/>
      <x:c r="T19" s="18"/>
      <x:c r="U19" s="18"/>
      <x:c r="V19" s="18"/>
      <x:c r="W19" s="18" t="n">
        <x:v>9</x:v>
      </x:c>
      <x:c r="X19" s="18" t="str">
        <x:v>participants</x:v>
      </x:c>
      <x:c r="Y19" s="18" t="str">
        <x:v>0.022</x:v>
      </x:c>
      <x:c r="Z19" s="18" t="str">
        <x:v>RR</x:v>
      </x:c>
      <x:c r="AA19" s="18" t="n">
        <x:v>0.22222222222222224</x:v>
      </x:c>
      <x:c r="AB19" s="18" t="str">
        <x:v>CONDITIONAL</x:v>
      </x:c>
      <x:c r="AC19" s="18" t="str">
        <x:v>Valid PONV result, but the postoperative observation window should be matched to the intended synthesis.</x:v>
      </x:c>
      <x:c r="AD19" s="18"/>
      <x:c r="AE19" s="18" t="str">
        <x:v>Binary effect measure (RR preferred per protocol)</x:v>
      </x:c>
      <x:c r="AF19" s="18" t="str">
        <x:v>High</x:v>
      </x:c>
      <x:c r="AG19" s="18" t="str">
        <x:v>No — selected RoB matches this result</x:v>
      </x:c>
      <x:c r="AH19" s="18" t="str">
        <x:v>Wang 2024</x:v>
      </x:c>
      <x:c r="AI19" s="18" t="str">
        <x:v>Risk-stratum randomized contrast</x:v>
      </x:c>
      <x:c r="AJ19" s="18" t="str">
        <x:v>SNVP and MNVP are separate randomized strata; do not pool across strata as one undifferentiated treatment contrast without a stratum-aware method.</x:v>
      </x:c>
      <x:c r="AK19" s="18" t="str">
        <x:v>Keep separate from SNVP; MNVP-ODT had more segmental mastectomy + axillary dissection (20.0% vs 2.9%)</x:v>
      </x:c>
      <x:c r="AL19" s="18" t="str">
        <x:v>https://drive.google.com/file/d/1U8tkq6mKFO0IkA2glfgLjN4Krwku3FZn/view?usp=drivesdk</x:v>
      </x:c>
    </x:row>
    <x:row r="20">
      <x:c r="A20" s="18" t="str">
        <x:v>Wang 2024</x:v>
      </x:c>
      <x:c r="B20" s="18" t="str">
        <x:v>WANG24_MNVP_ODT_vs_OD_PONV2_6</x:v>
      </x:c>
      <x:c r="C20" s="18" t="str">
        <x:v>MNVP: ondansetron+dexamethasone+TEAS</x:v>
      </x:c>
      <x:c r="D20" s="18" t="str">
        <x:v>MNVP: ondansetron+dexamethasone</x:v>
      </x:c>
      <x:c r="E20" s="18" t="str">
        <x:v>PONV incidence</x:v>
      </x:c>
      <x:c r="F20" s="18" t="str">
        <x:v>2-6 h</x:v>
      </x:c>
      <x:c r="G20" s="18" t="str">
        <x:v>Events/total</x:v>
      </x:c>
      <x:c r="H20" s="18" t="n">
        <x:v>35</x:v>
      </x:c>
      <x:c r="I20" s="18" t="n">
        <x:v>35</x:v>
      </x:c>
      <x:c r="J20" s="18" t="n">
        <x:v>35</x:v>
      </x:c>
      <x:c r="K20" s="18" t="n">
        <x:v>35</x:v>
      </x:c>
      <x:c r="L20" s="18"/>
      <x:c r="M20" s="18"/>
      <x:c r="N20" s="18"/>
      <x:c r="O20" s="18"/>
      <x:c r="P20" s="18"/>
      <x:c r="Q20" s="18" t="n">
        <x:v>2</x:v>
      </x:c>
      <x:c r="R20" s="18"/>
      <x:c r="S20" s="18"/>
      <x:c r="T20" s="18"/>
      <x:c r="U20" s="18"/>
      <x:c r="V20" s="18"/>
      <x:c r="W20" s="18" t="n">
        <x:v>8</x:v>
      </x:c>
      <x:c r="X20" s="18" t="str">
        <x:v>participants</x:v>
      </x:c>
      <x:c r="Y20" s="18" t="str">
        <x:v>0.040</x:v>
      </x:c>
      <x:c r="Z20" s="18" t="str">
        <x:v>RR</x:v>
      </x:c>
      <x:c r="AA20" s="18" t="n">
        <x:v>0.25</x:v>
      </x:c>
      <x:c r="AB20" s="18" t="str">
        <x:v>CONDITIONAL</x:v>
      </x:c>
      <x:c r="AC20" s="18" t="str">
        <x:v>Valid PONV result, but the postoperative observation window should be matched to the intended synthesis.</x:v>
      </x:c>
      <x:c r="AD20" s="18"/>
      <x:c r="AE20" s="18" t="str">
        <x:v>Binary effect measure (RR preferred per protocol)</x:v>
      </x:c>
      <x:c r="AF20" s="18" t="str">
        <x:v>High</x:v>
      </x:c>
      <x:c r="AG20" s="18" t="str">
        <x:v>No — selected RoB matches this result</x:v>
      </x:c>
      <x:c r="AH20" s="18" t="str">
        <x:v>Wang 2024</x:v>
      </x:c>
      <x:c r="AI20" s="18" t="str">
        <x:v>Risk-stratum randomized contrast</x:v>
      </x:c>
      <x:c r="AJ20" s="18" t="str">
        <x:v>SNVP and MNVP are separate randomized strata; do not pool across strata as one undifferentiated treatment contrast without a stratum-aware method.</x:v>
      </x:c>
      <x:c r="AK20" s="18" t="str">
        <x:v>Keep separate from SNVP risk stratum</x:v>
      </x:c>
      <x:c r="AL20" s="18" t="str">
        <x:v>https://drive.google.com/file/d/1U8tkq6mKFO0IkA2glfgLjN4Krwku3FZn/view?usp=drivesdk</x:v>
      </x:c>
    </x:row>
    <x:row r="21">
      <x:c r="A21" s="18" t="str">
        <x:v>Wang 2024</x:v>
      </x:c>
      <x:c r="B21" s="18" t="str">
        <x:v>WANG24_MNVP_ODT_vs_OD_TOTALPONV</x:v>
      </x:c>
      <x:c r="C21" s="18" t="str">
        <x:v>MNVP: ondansetron+dexamethasone+TEAS</x:v>
      </x:c>
      <x:c r="D21" s="18" t="str">
        <x:v>MNVP: ondansetron+dexamethasone</x:v>
      </x:c>
      <x:c r="E21" s="18" t="str">
        <x:v>Any PONV over reported follow-up</x:v>
      </x:c>
      <x:c r="F21" s="18" t="str">
        <x:v>0-36 h</x:v>
      </x:c>
      <x:c r="G21" s="18" t="str">
        <x:v>Events/total</x:v>
      </x:c>
      <x:c r="H21" s="18" t="n">
        <x:v>35</x:v>
      </x:c>
      <x:c r="I21" s="18" t="n">
        <x:v>35</x:v>
      </x:c>
      <x:c r="J21" s="18" t="n">
        <x:v>35</x:v>
      </x:c>
      <x:c r="K21" s="18" t="n">
        <x:v>35</x:v>
      </x:c>
      <x:c r="L21" s="18"/>
      <x:c r="M21" s="18"/>
      <x:c r="N21" s="18"/>
      <x:c r="O21" s="18"/>
      <x:c r="P21" s="18"/>
      <x:c r="Q21" s="18" t="n">
        <x:v>5</x:v>
      </x:c>
      <x:c r="R21" s="18"/>
      <x:c r="S21" s="18"/>
      <x:c r="T21" s="18"/>
      <x:c r="U21" s="18"/>
      <x:c r="V21" s="18"/>
      <x:c r="W21" s="18" t="n">
        <x:v>10</x:v>
      </x:c>
      <x:c r="X21" s="18" t="str">
        <x:v>participants</x:v>
      </x:c>
      <x:c r="Y21" s="18" t="str">
        <x:v>0.145</x:v>
      </x:c>
      <x:c r="Z21" s="18" t="str">
        <x:v>RR</x:v>
      </x:c>
      <x:c r="AA21" s="18" t="n">
        <x:v>0.5</x:v>
      </x:c>
      <x:c r="AB21" s="18" t="str">
        <x:v>CONDITIONAL</x:v>
      </x:c>
      <x:c r="AC21" s="18" t="str">
        <x:v>Valid PONV result, but the postoperative observation window should be matched to the intended synthesis.</x:v>
      </x:c>
      <x:c r="AD21" s="18"/>
      <x:c r="AE21" s="18" t="str">
        <x:v>Binary effect measure (RR preferred per protocol)</x:v>
      </x:c>
      <x:c r="AF21" s="18" t="str">
        <x:v>High</x:v>
      </x:c>
      <x:c r="AG21" s="18" t="str">
        <x:v>Yes — selected RoB is for a different result/timepoint</x:v>
      </x:c>
      <x:c r="AH21" s="18" t="str">
        <x:v>Wang 2024</x:v>
      </x:c>
      <x:c r="AI21" s="18" t="str">
        <x:v>Risk-stratum randomized contrast</x:v>
      </x:c>
      <x:c r="AJ21" s="18" t="str">
        <x:v>SNVP and MNVP are separate randomized strata; do not pool across strata as one undifferentiated treatment contrast without a stratum-aware method.</x:v>
      </x:c>
      <x:c r="AK21" s="18" t="str">
        <x:v>No significant overall treatment effect despite early time-specific benefit</x:v>
      </x:c>
      <x:c r="AL21" s="18" t="str">
        <x:v>https://drive.google.com/file/d/1U8tkq6mKFO0IkA2glfgLjN4Krwku3FZn/view?usp=drivesdk</x:v>
      </x:c>
    </x:row>
    <x:row r="22">
      <x:c r="A22" s="18" t="str">
        <x:v>Ma 2026</x:v>
      </x:c>
      <x:c r="B22" s="18" t="str">
        <x:v>MA26_T_vs_S_NAUSEA24</x:v>
      </x:c>
      <x:c r="C22" s="18" t="str">
        <x:v>Group T: sleep disturbance + preop TEAS</x:v>
      </x:c>
      <x:c r="D22" s="18" t="str">
        <x:v>Group S: sleep disturbance, no TEAS</x:v>
      </x:c>
      <x:c r="E22" s="18" t="str">
        <x:v>Nausea</x:v>
      </x:c>
      <x:c r="F22" s="18" t="str">
        <x:v>24 h</x:v>
      </x:c>
      <x:c r="G22" s="18" t="str">
        <x:v>Events/total</x:v>
      </x:c>
      <x:c r="H22" s="18" t="n">
        <x:v>18</x:v>
      </x:c>
      <x:c r="I22" s="18" t="n">
        <x:v>17</x:v>
      </x:c>
      <x:c r="J22" s="18" t="n">
        <x:v>17</x:v>
      </x:c>
      <x:c r="K22" s="18" t="n">
        <x:v>16</x:v>
      </x:c>
      <x:c r="L22" s="18"/>
      <x:c r="M22" s="18"/>
      <x:c r="N22" s="18"/>
      <x:c r="O22" s="18"/>
      <x:c r="P22" s="18"/>
      <x:c r="Q22" s="18" t="n">
        <x:v>6</x:v>
      </x:c>
      <x:c r="R22" s="18"/>
      <x:c r="S22" s="18"/>
      <x:c r="T22" s="18"/>
      <x:c r="U22" s="18"/>
      <x:c r="V22" s="18"/>
      <x:c r="W22" s="18" t="n">
        <x:v>8</x:v>
      </x:c>
      <x:c r="X22" s="18" t="str">
        <x:v>participants</x:v>
      </x:c>
      <x:c r="Y22" s="18" t="str">
        <x:v>Overall 3-group P=0.590; randomized T-vs-S pairwise NR</x:v>
      </x:c>
      <x:c r="Z22" s="18" t="str">
        <x:v>RR</x:v>
      </x:c>
      <x:c r="AA22" s="18" t="n">
        <x:v>0.7058823529411765</x:v>
      </x:c>
      <x:c r="AB22" s="18" t="str">
        <x:v>INCLUDE</x:v>
      </x:c>
      <x:c r="AC22" s="18" t="str">
        <x:v>Explicit 24-h PONV endpoint.</x:v>
      </x:c>
      <x:c r="AD22" s="18"/>
      <x:c r="AE22" s="18" t="str">
        <x:v>Binary effect measure (RR preferred per protocol)</x:v>
      </x:c>
      <x:c r="AF22" s="18" t="str">
        <x:v>High</x:v>
      </x:c>
      <x:c r="AG22" s="18" t="str">
        <x:v>Yes — selected RoB is for a different result/timepoint</x:v>
      </x:c>
      <x:c r="AH22" s="18" t="str">
        <x:v>Ma 2026</x:v>
      </x:c>
      <x:c r="AI22" s="18" t="str">
        <x:v>Primary eligible contrast</x:v>
      </x:c>
      <x:c r="AJ22" s="18" t="str">
        <x:v>Count this study once per synthesis unless a valid multi-arm method is used.</x:v>
      </x:c>
      <x:c r="AK22" s="18" t="str">
        <x:v>Overall P-value includes non-randomized Group C; do not treat it as the randomized pairwise P-value</x:v>
      </x:c>
      <x:c r="AL22" s="18" t="str">
        <x:v>https://drive.google.com/file/d/1tMEOwvRWIMeEmBmKfeHEt7YF10yxslUe/view?usp=drivesdk</x:v>
      </x:c>
    </x:row>
    <x:row r="23">
      <x:c r="A23" s="18" t="str">
        <x:v>Ma 2026</x:v>
      </x:c>
      <x:c r="B23" s="18" t="str">
        <x:v>MA26_T_vs_S_VOMIT24</x:v>
      </x:c>
      <x:c r="C23" s="18" t="str">
        <x:v>Group T: sleep disturbance + preop TEAS</x:v>
      </x:c>
      <x:c r="D23" s="18" t="str">
        <x:v>Group S: sleep disturbance, no TEAS</x:v>
      </x:c>
      <x:c r="E23" s="18" t="str">
        <x:v>Vomiting</x:v>
      </x:c>
      <x:c r="F23" s="18" t="str">
        <x:v>24 h</x:v>
      </x:c>
      <x:c r="G23" s="18" t="str">
        <x:v>Events/total</x:v>
      </x:c>
      <x:c r="H23" s="18" t="n">
        <x:v>18</x:v>
      </x:c>
      <x:c r="I23" s="18" t="n">
        <x:v>17</x:v>
      </x:c>
      <x:c r="J23" s="18" t="n">
        <x:v>17</x:v>
      </x:c>
      <x:c r="K23" s="18" t="n">
        <x:v>16</x:v>
      </x:c>
      <x:c r="L23" s="18"/>
      <x:c r="M23" s="18"/>
      <x:c r="N23" s="18"/>
      <x:c r="O23" s="18"/>
      <x:c r="P23" s="18"/>
      <x:c r="Q23" s="18" t="n">
        <x:v>6</x:v>
      </x:c>
      <x:c r="R23" s="18"/>
      <x:c r="S23" s="18"/>
      <x:c r="T23" s="18"/>
      <x:c r="U23" s="18"/>
      <x:c r="V23" s="18"/>
      <x:c r="W23" s="18" t="n">
        <x:v>7</x:v>
      </x:c>
      <x:c r="X23" s="18" t="str">
        <x:v>participants</x:v>
      </x:c>
      <x:c r="Y23" s="18" t="str">
        <x:v>Overall 3-group P=0.863; randomized T-vs-S pairwise NR</x:v>
      </x:c>
      <x:c r="Z23" s="18" t="str">
        <x:v>RR</x:v>
      </x:c>
      <x:c r="AA23" s="18" t="n">
        <x:v>0.8067226890756303</x:v>
      </x:c>
      <x:c r="AB23" s="18" t="str">
        <x:v>INCLUDE</x:v>
      </x:c>
      <x:c r="AC23" s="18" t="str">
        <x:v>Explicit 24-h PONV endpoint.</x:v>
      </x:c>
      <x:c r="AD23" s="18"/>
      <x:c r="AE23" s="18" t="str">
        <x:v>Binary effect measure (RR preferred per protocol)</x:v>
      </x:c>
      <x:c r="AF23" s="18" t="str">
        <x:v>High</x:v>
      </x:c>
      <x:c r="AG23" s="18" t="str">
        <x:v>Yes — selected RoB is for a different result/timepoint</x:v>
      </x:c>
      <x:c r="AH23" s="18" t="str">
        <x:v>Ma 2026</x:v>
      </x:c>
      <x:c r="AI23" s="18" t="str">
        <x:v>Primary eligible contrast</x:v>
      </x:c>
      <x:c r="AJ23" s="18" t="str">
        <x:v>Count this study once per synthesis unless a valid multi-arm method is used.</x:v>
      </x:c>
      <x:c r="AK23" s="18" t="str">
        <x:v>Overall P-value includes non-randomized Group C</x:v>
      </x:c>
      <x:c r="AL23" s="18" t="str">
        <x:v>https://drive.google.com/file/d/1tMEOwvRWIMeEmBmKfeHEt7YF10yxslUe/view?usp=drivesdk</x:v>
      </x:c>
    </x:row>
    <x:row r="24">
      <x:c r="A24" s="18" t="str">
        <x:v>Lu 2021</x:v>
      </x:c>
      <x:c r="B24" s="18" t="str">
        <x:v>LU21_COMB_vs_SHAM_PONV24</x:v>
      </x:c>
      <x:c r="C24" s="18" t="str">
        <x:v>Combined PC6+CV17 TEAS</x:v>
      </x:c>
      <x:c r="D24" s="18" t="str">
        <x:v>Sham/no current</x:v>
      </x:c>
      <x:c r="E24" s="18" t="str">
        <x:v>Any PONV</x:v>
      </x:c>
      <x:c r="F24" s="18" t="str">
        <x:v>24 h</x:v>
      </x:c>
      <x:c r="G24" s="18" t="str">
        <x:v>Events/total</x:v>
      </x:c>
      <x:c r="H24" s="18" t="n">
        <x:v>190</x:v>
      </x:c>
      <x:c r="I24" s="18" t="n">
        <x:v>188</x:v>
      </x:c>
      <x:c r="J24" s="18" t="n">
        <x:v>190</x:v>
      </x:c>
      <x:c r="K24" s="18" t="n">
        <x:v>188</x:v>
      </x:c>
      <x:c r="L24" s="18"/>
      <x:c r="M24" s="18"/>
      <x:c r="N24" s="18"/>
      <x:c r="O24" s="18"/>
      <x:c r="P24" s="18"/>
      <x:c r="Q24" s="18" t="n">
        <x:v>35</x:v>
      </x:c>
      <x:c r="R24" s="18"/>
      <x:c r="S24" s="18"/>
      <x:c r="T24" s="18"/>
      <x:c r="U24" s="18"/>
      <x:c r="V24" s="18"/>
      <x:c r="W24" s="18" t="n">
        <x:v>68</x:v>
      </x:c>
      <x:c r="X24" s="18" t="str">
        <x:v>participants</x:v>
      </x:c>
      <x:c r="Y24" s="18" t="str">
        <x:v>Overall P=0.0001</x:v>
      </x:c>
      <x:c r="Z24" s="18" t="str">
        <x:v>RR</x:v>
      </x:c>
      <x:c r="AA24" s="18" t="n">
        <x:v>0.5092879256965943</x:v>
      </x:c>
      <x:c r="AB24" s="18" t="str">
        <x:v>INCLUDE</x:v>
      </x:c>
      <x:c r="AC24" s="18" t="str">
        <x:v>Explicit 24-h PONV endpoint.</x:v>
      </x:c>
      <x:c r="AD24" s="18"/>
      <x:c r="AE24" s="18" t="str">
        <x:v>Binary effect measure (RR preferred per protocol)</x:v>
      </x:c>
      <x:c r="AF24" s="18" t="str">
        <x:v>High</x:v>
      </x:c>
      <x:c r="AG24" s="18" t="str">
        <x:v>Yes — selected RoB is for a different result/timepoint</x:v>
      </x:c>
      <x:c r="AH24" s="18" t="str">
        <x:v>Lu 2021</x:v>
      </x:c>
      <x:c r="AI24" s="18" t="str">
        <x:v>Acupoint-combination arm contrast</x:v>
      </x:c>
      <x:c r="AJ24" s="18" t="str">
        <x:v>Three-arm trial with shared sham; combined and single-point arms are not independent studies.</x:v>
      </x:c>
      <x:c r="AK24" s="18" t="str">
        <x:v>Use raw event counts; three-arm shared sham comparator</x:v>
      </x:c>
      <x:c r="AL24" s="18" t="str">
        <x:v>https://drive.google.com/file/d/1MgD_OucfiyNEDdDe3osh8W01U1yYZs08/view?usp=drivesdk</x:v>
      </x:c>
    </x:row>
    <x:row r="25">
      <x:c r="A25" s="18" t="str">
        <x:v>Lu 2021</x:v>
      </x:c>
      <x:c r="B25" s="18" t="str">
        <x:v>LU21_SINGLE_vs_SHAM_PONV24</x:v>
      </x:c>
      <x:c r="C25" s="18" t="str">
        <x:v>Single PC6 TEAS</x:v>
      </x:c>
      <x:c r="D25" s="18" t="str">
        <x:v>Sham/no current</x:v>
      </x:c>
      <x:c r="E25" s="18" t="str">
        <x:v>Any PONV</x:v>
      </x:c>
      <x:c r="F25" s="18" t="str">
        <x:v>24 h</x:v>
      </x:c>
      <x:c r="G25" s="18" t="str">
        <x:v>Events/total</x:v>
      </x:c>
      <x:c r="H25" s="18" t="n">
        <x:v>198</x:v>
      </x:c>
      <x:c r="I25" s="18" t="n">
        <x:v>188</x:v>
      </x:c>
      <x:c r="J25" s="18" t="n">
        <x:v>198</x:v>
      </x:c>
      <x:c r="K25" s="18" t="n">
        <x:v>188</x:v>
      </x:c>
      <x:c r="L25" s="18"/>
      <x:c r="M25" s="18"/>
      <x:c r="N25" s="18"/>
      <x:c r="O25" s="18"/>
      <x:c r="P25" s="18"/>
      <x:c r="Q25" s="18" t="n">
        <x:v>59</x:v>
      </x:c>
      <x:c r="R25" s="18"/>
      <x:c r="S25" s="18"/>
      <x:c r="T25" s="18"/>
      <x:c r="U25" s="18"/>
      <x:c r="V25" s="18"/>
      <x:c r="W25" s="18" t="n">
        <x:v>68</x:v>
      </x:c>
      <x:c r="X25" s="18" t="str">
        <x:v>participants</x:v>
      </x:c>
      <x:c r="Y25" s="18" t="str">
        <x:v>Overall P=0.0001</x:v>
      </x:c>
      <x:c r="Z25" s="18" t="str">
        <x:v>RR</x:v>
      </x:c>
      <x:c r="AA25" s="18" t="n">
        <x:v>0.8238265002970884</x:v>
      </x:c>
      <x:c r="AB25" s="18" t="str">
        <x:v>INCLUDE</x:v>
      </x:c>
      <x:c r="AC25" s="18" t="str">
        <x:v>Explicit 24-h PONV endpoint.</x:v>
      </x:c>
      <x:c r="AD25" s="18"/>
      <x:c r="AE25" s="18" t="str">
        <x:v>Binary effect measure (RR preferred per protocol)</x:v>
      </x:c>
      <x:c r="AF25" s="18" t="str">
        <x:v>High</x:v>
      </x:c>
      <x:c r="AG25" s="18" t="str">
        <x:v>Yes — selected RoB is for a different result/timepoint</x:v>
      </x:c>
      <x:c r="AH25" s="18" t="str">
        <x:v>Lu 2021</x:v>
      </x:c>
      <x:c r="AI25" s="18" t="str">
        <x:v>Acupoint-combination arm contrast</x:v>
      </x:c>
      <x:c r="AJ25" s="18" t="str">
        <x:v>Three-arm trial with shared sham; combined and single-point arms are not independent studies.</x:v>
      </x:c>
      <x:c r="AK25" s="18" t="str">
        <x:v>Overall P is three-group; pairwise significance should not be inferred unless directly reported</x:v>
      </x:c>
      <x:c r="AL25" s="18" t="str">
        <x:v>https://drive.google.com/file/d/1MgD_OucfiyNEDdDe3osh8W01U1yYZs08/view?usp=drivesdk</x:v>
      </x:c>
    </x:row>
    <x:row r="26">
      <x:c r="A26" s="18" t="str">
        <x:v>Luo 2026</x:v>
      </x:c>
      <x:c r="B26" s="18" t="str">
        <x:v>LUO26_TEAS_vs_SHAM_NAUSEA48</x:v>
      </x:c>
      <x:c r="C26" s="18" t="str">
        <x:v>Intraoperative PC6 TEAS + standard antiemetics</x:v>
      </x:c>
      <x:c r="D26" s="18" t="str">
        <x:v>Sham/no current + standard antiemetics</x:v>
      </x:c>
      <x:c r="E26" s="18" t="str">
        <x:v>Cumulative postoperative nausea</x:v>
      </x:c>
      <x:c r="F26" s="18" t="str">
        <x:v>0-48 h</x:v>
      </x:c>
      <x:c r="G26" s="18" t="str">
        <x:v>Events/total</x:v>
      </x:c>
      <x:c r="H26" s="18" t="n">
        <x:v>138</x:v>
      </x:c>
      <x:c r="I26" s="18" t="n">
        <x:v>139</x:v>
      </x:c>
      <x:c r="J26" s="18" t="n">
        <x:v>138</x:v>
      </x:c>
      <x:c r="K26" s="18" t="n">
        <x:v>139</x:v>
      </x:c>
      <x:c r="L26" s="18"/>
      <x:c r="M26" s="18"/>
      <x:c r="N26" s="18"/>
      <x:c r="O26" s="18"/>
      <x:c r="P26" s="18"/>
      <x:c r="Q26" s="18" t="n">
        <x:v>24</x:v>
      </x:c>
      <x:c r="R26" s="18"/>
      <x:c r="S26" s="18"/>
      <x:c r="T26" s="18"/>
      <x:c r="U26" s="18"/>
      <x:c r="V26" s="18"/>
      <x:c r="W26" s="18" t="n">
        <x:v>53</x:v>
      </x:c>
      <x:c r="X26" s="18" t="str">
        <x:v>participants</x:v>
      </x:c>
      <x:c r="Y26" s="18" t="str">
        <x:v>&lt;0.01</x:v>
      </x:c>
      <x:c r="Z26" s="18" t="str">
        <x:v>RR</x:v>
      </x:c>
      <x:c r="AA26" s="18" t="n">
        <x:v>0.45611156685808035</x:v>
      </x:c>
      <x:c r="AB26" s="18" t="str">
        <x:v>INCLUDE — SEPARATE TIME WINDOW</x:v>
      </x:c>
      <x:c r="AC26" s="18" t="str">
        <x:v>Valid 48 h PONV endpoint; analyze separately from 24-h PONV.</x:v>
      </x:c>
      <x:c r="AD26" s="18"/>
      <x:c r="AE26" s="18" t="str">
        <x:v>Binary effect measure (RR preferred per protocol)</x:v>
      </x:c>
      <x:c r="AF26" s="18" t="str">
        <x:v>Some concerns</x:v>
      </x:c>
      <x:c r="AG26" s="18" t="str">
        <x:v>No — selected RoB matches this result</x:v>
      </x:c>
      <x:c r="AH26" s="18" t="str">
        <x:v>Luo 2026</x:v>
      </x:c>
      <x:c r="AI26" s="18" t="str">
        <x:v>Primary eligible contrast</x:v>
      </x:c>
      <x:c r="AJ26" s="18" t="str">
        <x:v>Count this study once per synthesis unless a valid multi-arm method is used.</x:v>
      </x:c>
      <x:c r="AK26" s="18" t="str">
        <x:v>Participant blinding was empirically poor: 77.5% of TEAS and 66.2% of sham participants correctly guessed allocation</x:v>
      </x:c>
      <x:c r="AL26" s="18" t="str">
        <x:v>https://drive.google.com/file/d/1xxZle6mPpcnmHLblJbsy1kA4CyQHpvm2/view?usp=drivesdk</x:v>
      </x:c>
    </x:row>
    <x:row r="27">
      <x:c r="A27" s="18" t="str">
        <x:v>Luo 2026</x:v>
      </x:c>
      <x:c r="B27" s="18" t="str">
        <x:v>LUO26_TEAS_vs_SHAM_VOMIT48</x:v>
      </x:c>
      <x:c r="C27" s="18" t="str">
        <x:v>Intraoperative PC6 TEAS + standard antiemetics</x:v>
      </x:c>
      <x:c r="D27" s="18" t="str">
        <x:v>Sham/no current + standard antiemetics</x:v>
      </x:c>
      <x:c r="E27" s="18" t="str">
        <x:v>Cumulative postoperative vomiting</x:v>
      </x:c>
      <x:c r="F27" s="18" t="str">
        <x:v>0-48 h</x:v>
      </x:c>
      <x:c r="G27" s="18" t="str">
        <x:v>Events/total</x:v>
      </x:c>
      <x:c r="H27" s="18" t="n">
        <x:v>138</x:v>
      </x:c>
      <x:c r="I27" s="18" t="n">
        <x:v>139</x:v>
      </x:c>
      <x:c r="J27" s="18" t="n">
        <x:v>138</x:v>
      </x:c>
      <x:c r="K27" s="18" t="n">
        <x:v>139</x:v>
      </x:c>
      <x:c r="L27" s="18"/>
      <x:c r="M27" s="18"/>
      <x:c r="N27" s="18"/>
      <x:c r="O27" s="18"/>
      <x:c r="P27" s="18"/>
      <x:c r="Q27" s="18" t="n">
        <x:v>9</x:v>
      </x:c>
      <x:c r="R27" s="18"/>
      <x:c r="S27" s="18"/>
      <x:c r="T27" s="18"/>
      <x:c r="U27" s="18"/>
      <x:c r="V27" s="18"/>
      <x:c r="W27" s="18" t="n">
        <x:v>27</x:v>
      </x:c>
      <x:c r="X27" s="18" t="str">
        <x:v>participants</x:v>
      </x:c>
      <x:c r="Y27" s="18" t="str">
        <x:v>&lt;0.01</x:v>
      </x:c>
      <x:c r="Z27" s="18" t="str">
        <x:v>RR</x:v>
      </x:c>
      <x:c r="AA27" s="18" t="n">
        <x:v>0.3357487922705314</x:v>
      </x:c>
      <x:c r="AB27" s="18" t="str">
        <x:v>INCLUDE — SEPARATE TIME WINDOW</x:v>
      </x:c>
      <x:c r="AC27" s="18" t="str">
        <x:v>Valid 48 h PONV endpoint; analyze separately from 24-h PONV.</x:v>
      </x:c>
      <x:c r="AD27" s="18"/>
      <x:c r="AE27" s="18" t="str">
        <x:v>Binary effect measure (RR preferred per protocol)</x:v>
      </x:c>
      <x:c r="AF27" s="18" t="str">
        <x:v>Some concerns</x:v>
      </x:c>
      <x:c r="AG27" s="18" t="str">
        <x:v>Yes — selected RoB is for a different result/timepoint</x:v>
      </x:c>
      <x:c r="AH27" s="18" t="str">
        <x:v>Luo 2026</x:v>
      </x:c>
      <x:c r="AI27" s="18" t="str">
        <x:v>Primary eligible contrast</x:v>
      </x:c>
      <x:c r="AJ27" s="18" t="str">
        <x:v>Count this study once per synthesis unless a valid multi-arm method is used.</x:v>
      </x:c>
      <x:c r="AK27" s="18" t="str">
        <x:v>Vomiting is more objective than nausea, but participant masking was incomplete</x:v>
      </x:c>
      <x:c r="AL27" s="18" t="str">
        <x:v>https://drive.google.com/file/d/1xxZle6mPpcnmHLblJbsy1kA4CyQHpvm2/view?usp=drivesdk</x:v>
      </x:c>
    </x:row>
    <x:row r="28">
      <x:c r="A28" s="18" t="str">
        <x:v>Luo 2026</x:v>
      </x:c>
      <x:c r="B28" s="18" t="str">
        <x:v>LUO26_TEAS_vs_SHAM_COMPLETE48</x:v>
      </x:c>
      <x:c r="C28" s="18" t="str">
        <x:v>Intraoperative PC6 TEAS + standard antiemetics</x:v>
      </x:c>
      <x:c r="D28" s="18" t="str">
        <x:v>Sham/no current + standard antiemetics</x:v>
      </x:c>
      <x:c r="E28" s="18" t="str">
        <x:v>Complete response: no vomiting and no rescue antiemetic</x:v>
      </x:c>
      <x:c r="F28" s="18" t="str">
        <x:v>0-48 h</x:v>
      </x:c>
      <x:c r="G28" s="18" t="str">
        <x:v>Events/total</x:v>
      </x:c>
      <x:c r="H28" s="18" t="n">
        <x:v>138</x:v>
      </x:c>
      <x:c r="I28" s="18" t="n">
        <x:v>139</x:v>
      </x:c>
      <x:c r="J28" s="18" t="n">
        <x:v>138</x:v>
      </x:c>
      <x:c r="K28" s="18" t="n">
        <x:v>139</x:v>
      </x:c>
      <x:c r="L28" s="18"/>
      <x:c r="M28" s="18"/>
      <x:c r="N28" s="18"/>
      <x:c r="O28" s="18"/>
      <x:c r="P28" s="18"/>
      <x:c r="Q28" s="18" t="n">
        <x:v>112</x:v>
      </x:c>
      <x:c r="R28" s="18"/>
      <x:c r="S28" s="18"/>
      <x:c r="T28" s="18"/>
      <x:c r="U28" s="18"/>
      <x:c r="V28" s="18"/>
      <x:c r="W28" s="18" t="n">
        <x:v>83</x:v>
      </x:c>
      <x:c r="X28" s="18" t="str">
        <x:v>participants</x:v>
      </x:c>
      <x:c r="Y28" s="18" t="str">
        <x:v>&lt;0.01</x:v>
      </x:c>
      <x:c r="Z28" s="18" t="str">
        <x:v>RR</x:v>
      </x:c>
      <x:c r="AA28" s="18" t="n">
        <x:v>1.3591758337698623</x:v>
      </x:c>
      <x:c r="AB28" s="18" t="str">
        <x:v>INCLUDE — SEPARATE TIME WINDOW</x:v>
      </x:c>
      <x:c r="AC28" s="18" t="str">
        <x:v>Valid 48 h PONV endpoint; analyze separately from 24-h PONV.</x:v>
      </x:c>
      <x:c r="AD28" s="18"/>
      <x:c r="AE28" s="18" t="str">
        <x:v>Binary effect measure (RR preferred per protocol)</x:v>
      </x:c>
      <x:c r="AF28" s="18" t="str">
        <x:v>Some concerns</x:v>
      </x:c>
      <x:c r="AG28" s="18" t="str">
        <x:v>Yes — selected RoB is for a different result/timepoint</x:v>
      </x:c>
      <x:c r="AH28" s="18" t="str">
        <x:v>Luo 2026</x:v>
      </x:c>
      <x:c r="AI28" s="18" t="str">
        <x:v>Primary eligible contrast</x:v>
      </x:c>
      <x:c r="AJ28" s="18" t="str">
        <x:v>Count this study once per synthesis unless a valid multi-arm method is used.</x:v>
      </x:c>
      <x:c r="AK28" s="18" t="str">
        <x:v>Abstract percentage differs slightly from table-derived 112/138; use raw counts</x:v>
      </x:c>
      <x:c r="AL28" s="18" t="str">
        <x:v>https://drive.google.com/file/d/1xxZle6mPpcnmHLblJbsy1kA4CyQHpvm2/view?usp=drivesdk</x:v>
      </x:c>
    </x:row>
    <x:row r="29">
      <x:c r="A29" s="18" t="str">
        <x:v>Long 2025</x:v>
      </x:c>
      <x:c r="B29" s="18" t="str">
        <x:v>LONG25_TEAS_vs_CTRL_PONV</x:v>
      </x:c>
      <x:c r="C29" s="18" t="str">
        <x:v>Perioperative electrical acupoint stimulation</x:v>
      </x:c>
      <x:c r="D29" s="18" t="str">
        <x:v>Electrodes/no current</x:v>
      </x:c>
      <x:c r="E29" s="18" t="str">
        <x:v>PONV incidence</x:v>
      </x:c>
      <x:c r="F29" s="18" t="str">
        <x:v>Postoperative</x:v>
      </x:c>
      <x:c r="G29" s="18" t="str">
        <x:v>Events/total</x:v>
      </x:c>
      <x:c r="H29" s="18" t="n">
        <x:v>30</x:v>
      </x:c>
      <x:c r="I29" s="18" t="n">
        <x:v>30</x:v>
      </x:c>
      <x:c r="J29" s="18" t="n">
        <x:v>27</x:v>
      </x:c>
      <x:c r="K29" s="18" t="n">
        <x:v>26</x:v>
      </x:c>
      <x:c r="L29" s="18"/>
      <x:c r="M29" s="18"/>
      <x:c r="N29" s="18"/>
      <x:c r="O29" s="18"/>
      <x:c r="P29" s="18"/>
      <x:c r="Q29" s="18" t="n">
        <x:v>1</x:v>
      </x:c>
      <x:c r="R29" s="18"/>
      <x:c r="S29" s="18"/>
      <x:c r="T29" s="18"/>
      <x:c r="U29" s="18"/>
      <x:c r="V29" s="18"/>
      <x:c r="W29" s="18" t="n">
        <x:v>8</x:v>
      </x:c>
      <x:c r="X29" s="18" t="str">
        <x:v>participants</x:v>
      </x:c>
      <x:c r="Y29" s="18" t="str">
        <x:v>NR</x:v>
      </x:c>
      <x:c r="Z29" s="18" t="str">
        <x:v>RR</x:v>
      </x:c>
      <x:c r="AA29" s="18" t="n">
        <x:v>0.12037037037037036</x:v>
      </x:c>
      <x:c r="AB29" s="18" t="str">
        <x:v>CONDITIONAL</x:v>
      </x:c>
      <x:c r="AC29" s="18" t="str">
        <x:v>Valid PONV result, but the postoperative observation window should be matched to the intended synthesis.</x:v>
      </x:c>
      <x:c r="AD29" s="18"/>
      <x:c r="AE29" s="18" t="str">
        <x:v>Binary effect measure (RR preferred per protocol)</x:v>
      </x:c>
      <x:c r="AF29" s="18" t="str">
        <x:v>High</x:v>
      </x:c>
      <x:c r="AG29" s="18" t="str">
        <x:v>Yes — selected RoB is for a different result/timepoint</x:v>
      </x:c>
      <x:c r="AH29" s="18" t="str">
        <x:v>Long 2025</x:v>
      </x:c>
      <x:c r="AI29" s="18" t="str">
        <x:v>Primary eligible contrast</x:v>
      </x:c>
      <x:c r="AJ29" s="18" t="str">
        <x:v>Count this study once per synthesis unless a valid multi-arm method is used.</x:v>
      </x:c>
      <x:c r="AK29" s="18" t="str">
        <x:v>Adverse-event percentages elsewhere are internally inconsistent; raw 1/27 vs 8/26 is retained</x:v>
      </x:c>
      <x:c r="AL29" s="18" t="str">
        <x:v>https://drive.google.com/file/d/1LDqtQLq9-kZLP0Vv_G3iiK8QKjy4pRXP/view?usp=drivesdk</x:v>
      </x:c>
    </x:row>
    <x:row r="30">
      <x:c r="A30" s="18" t="str">
        <x:v>Liu 2026 (ESD)</x:v>
      </x:c>
      <x:c r="B30" s="18" t="str">
        <x:v>LIU26ESD_TEAS_vs_SHAM_PONV</x:v>
      </x:c>
      <x:c r="C30" s="18" t="str">
        <x:v>Perioperative TEAS</x:v>
      </x:c>
      <x:c r="D30" s="18" t="str">
        <x:v>Sham-point/no current</x:v>
      </x:c>
      <x:c r="E30" s="18" t="str">
        <x:v>PONV incidence</x:v>
      </x:c>
      <x:c r="F30" s="18" t="str">
        <x:v>Postoperative follow-up</x:v>
      </x:c>
      <x:c r="G30" s="18" t="str">
        <x:v>Events/total</x:v>
      </x:c>
      <x:c r="H30" s="18" t="n">
        <x:v>64</x:v>
      </x:c>
      <x:c r="I30" s="18" t="n">
        <x:v>65</x:v>
      </x:c>
      <x:c r="J30" s="18" t="n">
        <x:v>58</x:v>
      </x:c>
      <x:c r="K30" s="18" t="n">
        <x:v>62</x:v>
      </x:c>
      <x:c r="L30" s="18"/>
      <x:c r="M30" s="18"/>
      <x:c r="N30" s="18"/>
      <x:c r="O30" s="18"/>
      <x:c r="P30" s="18"/>
      <x:c r="Q30" s="18" t="n">
        <x:v>4</x:v>
      </x:c>
      <x:c r="R30" s="18"/>
      <x:c r="S30" s="18"/>
      <x:c r="T30" s="18"/>
      <x:c r="U30" s="18"/>
      <x:c r="V30" s="18"/>
      <x:c r="W30" s="18" t="n">
        <x:v>14</x:v>
      </x:c>
      <x:c r="X30" s="18" t="str">
        <x:v>participants</x:v>
      </x:c>
      <x:c r="Y30" s="18" t="str">
        <x:v>Published P/RR internally inconsistent</x:v>
      </x:c>
      <x:c r="Z30" s="18" t="str">
        <x:v>RR</x:v>
      </x:c>
      <x:c r="AA30" s="18" t="n">
        <x:v>0.3054187192118227</x:v>
      </x:c>
      <x:c r="AB30" s="18" t="str">
        <x:v>CONDITIONAL</x:v>
      </x:c>
      <x:c r="AC30" s="18" t="str">
        <x:v>Valid PONV result, but the postoperative observation window should be matched to the intended synthesis.</x:v>
      </x:c>
      <x:c r="AD30" s="18"/>
      <x:c r="AE30" s="18" t="str">
        <x:v>Binary effect measure (RR preferred per protocol)</x:v>
      </x:c>
      <x:c r="AF30" s="18" t="str">
        <x:v>High</x:v>
      </x:c>
      <x:c r="AG30" s="18" t="str">
        <x:v>Yes — selected RoB is for a different result/timepoint</x:v>
      </x:c>
      <x:c r="AH30" s="18" t="str">
        <x:v>Liu 2026 (ESD)</x:v>
      </x:c>
      <x:c r="AI30" s="18" t="str">
        <x:v>Primary eligible contrast</x:v>
      </x:c>
      <x:c r="AJ30" s="18" t="str">
        <x:v>Count this study once per synthesis unless a valid multi-arm method is used.</x:v>
      </x:c>
      <x:c r="AK30" s="18" t="str">
        <x:v>Published RR/P-value for PONV are internally inconsistent; use raw 4/58 vs 14/62</x:v>
      </x:c>
      <x:c r="AL30" s="18" t="str">
        <x:v>https://drive.google.com/file/d/1Hp7pCBP8iXkGGYVhlFY0BHTeaaM7bhdY/view?usp=drivesdk</x:v>
      </x:c>
    </x:row>
    <x:row r="31">
      <x:c r="A31" s="18" t="str">
        <x:v>Liu 2026 (burn)</x:v>
      </x:c>
      <x:c r="B31" s="18" t="str">
        <x:v>LIU26BURN_TEAS_vs_SHAM_PONV24</x:v>
      </x:c>
      <x:c r="C31" s="18" t="str">
        <x:v>Pre-induction TEAS</x:v>
      </x:c>
      <x:c r="D31" s="18" t="str">
        <x:v>Placebo/sham TEAS</x:v>
      </x:c>
      <x:c r="E31" s="18" t="str">
        <x:v>Nausea-vomiting</x:v>
      </x:c>
      <x:c r="F31" s="18" t="str">
        <x:v>Through POD1 / approximately 24 h</x:v>
      </x:c>
      <x:c r="G31" s="18" t="str">
        <x:v>Events/total</x:v>
      </x:c>
      <x:c r="H31" s="18" t="n">
        <x:v>44</x:v>
      </x:c>
      <x:c r="I31" s="18" t="n">
        <x:v>44</x:v>
      </x:c>
      <x:c r="J31" s="18" t="n">
        <x:v>43</x:v>
      </x:c>
      <x:c r="K31" s="18" t="n">
        <x:v>43</x:v>
      </x:c>
      <x:c r="L31" s="18"/>
      <x:c r="M31" s="18"/>
      <x:c r="N31" s="18"/>
      <x:c r="O31" s="18"/>
      <x:c r="P31" s="18"/>
      <x:c r="Q31" s="18" t="n">
        <x:v>7</x:v>
      </x:c>
      <x:c r="R31" s="18"/>
      <x:c r="S31" s="18"/>
      <x:c r="T31" s="18"/>
      <x:c r="U31" s="18"/>
      <x:c r="V31" s="18"/>
      <x:c r="W31" s="18" t="n">
        <x:v>16</x:v>
      </x:c>
      <x:c r="X31" s="18" t="str">
        <x:v>participants</x:v>
      </x:c>
      <x:c r="Y31" s="18" t="str">
        <x:v>Published P=0.011 vs 0.028 conflict</x:v>
      </x:c>
      <x:c r="Z31" s="18" t="str">
        <x:v>RR</x:v>
      </x:c>
      <x:c r="AA31" s="18" t="n">
        <x:v>0.43750000000000006</x:v>
      </x:c>
      <x:c r="AB31" s="18" t="str">
        <x:v>CONDITIONAL</x:v>
      </x:c>
      <x:c r="AC31" s="18" t="str">
        <x:v>Valid PONV result, but the postoperative observation window should be matched to the intended synthesis.</x:v>
      </x:c>
      <x:c r="AD31" s="18"/>
      <x:c r="AE31" s="18" t="str">
        <x:v>Binary effect measure (RR preferred per protocol)</x:v>
      </x:c>
      <x:c r="AF31" s="18" t="str">
        <x:v>Some concerns</x:v>
      </x:c>
      <x:c r="AG31" s="18" t="str">
        <x:v>Yes — selected RoB is for a different result/timepoint</x:v>
      </x:c>
      <x:c r="AH31" s="18" t="str">
        <x:v>Liu 2026 (burn)</x:v>
      </x:c>
      <x:c r="AI31" s="18" t="str">
        <x:v>Primary eligible contrast</x:v>
      </x:c>
      <x:c r="AJ31" s="18" t="str">
        <x:v>Count this study once per synthesis unless a valid multi-arm method is used.</x:v>
      </x:c>
      <x:c r="AK31" s="18" t="str">
        <x:v>Two different P-values are printed for the same result</x:v>
      </x:c>
      <x:c r="AL31" s="18" t="str">
        <x:v>https://drive.google.com/file/d/1mvekGtHD2JAKCRbIXrvLw1Nz7hbQ1dZ3/view?usp=drivesdk</x:v>
      </x:c>
    </x:row>
    <x:row r="32">
      <x:c r="A32" s="18" t="str">
        <x:v>Jiang 2026</x:v>
      </x:c>
      <x:c r="B32" s="18" t="str">
        <x:v>JIANG26_TEAS_vs_SHAM_PONV24</x:v>
      </x:c>
      <x:c r="C32" s="18" t="str">
        <x:v>Perioperative TEAS</x:v>
      </x:c>
      <x:c r="D32" s="18" t="str">
        <x:v>Sham/no current</x:v>
      </x:c>
      <x:c r="E32" s="18" t="str">
        <x:v>PONV incidence</x:v>
      </x:c>
      <x:c r="F32" s="18" t="str">
        <x:v>Within 24 h</x:v>
      </x:c>
      <x:c r="G32" s="18" t="str">
        <x:v>Events/total</x:v>
      </x:c>
      <x:c r="H32" s="18" t="n">
        <x:v>308</x:v>
      </x:c>
      <x:c r="I32" s="18" t="n">
        <x:v>306</x:v>
      </x:c>
      <x:c r="J32" s="18" t="n">
        <x:v>294</x:v>
      </x:c>
      <x:c r="K32" s="18" t="n">
        <x:v>293</x:v>
      </x:c>
      <x:c r="L32" s="18"/>
      <x:c r="M32" s="18"/>
      <x:c r="N32" s="18"/>
      <x:c r="O32" s="18"/>
      <x:c r="P32" s="18"/>
      <x:c r="Q32" s="18" t="n">
        <x:v>44</x:v>
      </x:c>
      <x:c r="R32" s="18"/>
      <x:c r="S32" s="18"/>
      <x:c r="T32" s="18"/>
      <x:c r="U32" s="18"/>
      <x:c r="V32" s="18"/>
      <x:c r="W32" s="18" t="n">
        <x:v>67</x:v>
      </x:c>
      <x:c r="X32" s="18" t="str">
        <x:v>participants</x:v>
      </x:c>
      <x:c r="Y32" s="18" t="str">
        <x:v>0.015</x:v>
      </x:c>
      <x:c r="Z32" s="18" t="str">
        <x:v>RR</x:v>
      </x:c>
      <x:c r="AA32" s="18" t="n">
        <x:v>0.6544826885978272</x:v>
      </x:c>
      <x:c r="AB32" s="18" t="str">
        <x:v>CONDITIONAL</x:v>
      </x:c>
      <x:c r="AC32" s="18" t="str">
        <x:v>Valid PONV result, but the postoperative observation window should be matched to the intended synthesis.</x:v>
      </x:c>
      <x:c r="AD32" s="18"/>
      <x:c r="AE32" s="18" t="str">
        <x:v>Binary effect measure (RR preferred per protocol)</x:v>
      </x:c>
      <x:c r="AF32" s="18" t="str">
        <x:v>Some concerns</x:v>
      </x:c>
      <x:c r="AG32" s="18" t="str">
        <x:v>Yes — selected RoB is for a different result/timepoint</x:v>
      </x:c>
      <x:c r="AH32" s="18" t="str">
        <x:v>Jiang 2026</x:v>
      </x:c>
      <x:c r="AI32" s="18" t="str">
        <x:v>Primary eligible contrast</x:v>
      </x:c>
      <x:c r="AJ32" s="18" t="str">
        <x:v>Count this study once per synthesis unless a valid multi-arm method is used.</x:v>
      </x:c>
      <x:c r="AK32" s="18" t="str">
        <x:v>Use 44/294 vs 67/293; do not relabel 587 as randomized/ITT</x:v>
      </x:c>
      <x:c r="AL32" s="18" t="str">
        <x:v>https://drive.google.com/file/d/1nujlP9A_IMWUfd3HdCD2rOxTc9-I8v92/view?usp=drivesdk</x:v>
      </x:c>
    </x:row>
    <x:row r="33">
      <x:c r="A33" s="18" t="str">
        <x:v>Hou 2023</x:v>
      </x:c>
      <x:c r="B33" s="18" t="str">
        <x:v>HOU23_TEAS_vs_SHAM_PONV</x:v>
      </x:c>
      <x:c r="C33" s="18" t="str">
        <x:v>Perioperative TEAS</x:v>
      </x:c>
      <x:c r="D33" s="18" t="str">
        <x:v>Sham/no-current TEAS</x:v>
      </x:c>
      <x:c r="E33" s="18" t="str">
        <x:v>PONV incidence</x:v>
      </x:c>
      <x:c r="F33" s="18" t="str">
        <x:v>Postoperative / reported review window</x:v>
      </x:c>
      <x:c r="G33" s="18" t="str">
        <x:v>Events/total</x:v>
      </x:c>
      <x:c r="H33" s="18" t="n">
        <x:v>37</x:v>
      </x:c>
      <x:c r="I33" s="18" t="n">
        <x:v>37</x:v>
      </x:c>
      <x:c r="J33" s="18" t="n">
        <x:v>36</x:v>
      </x:c>
      <x:c r="K33" s="18" t="n">
        <x:v>36</x:v>
      </x:c>
      <x:c r="L33" s="18"/>
      <x:c r="M33" s="18"/>
      <x:c r="N33" s="18"/>
      <x:c r="O33" s="18"/>
      <x:c r="P33" s="18"/>
      <x:c r="Q33" s="18" t="n">
        <x:v>4</x:v>
      </x:c>
      <x:c r="R33" s="18"/>
      <x:c r="S33" s="18"/>
      <x:c r="T33" s="18"/>
      <x:c r="U33" s="18"/>
      <x:c r="V33" s="18"/>
      <x:c r="W33" s="18" t="n">
        <x:v>12</x:v>
      </x:c>
      <x:c r="X33" s="18" t="str">
        <x:v>participants</x:v>
      </x:c>
      <x:c r="Y33" s="18" t="str">
        <x:v>0.023</x:v>
      </x:c>
      <x:c r="Z33" s="18" t="str">
        <x:v>RR</x:v>
      </x:c>
      <x:c r="AA33" s="18" t="n">
        <x:v>0.3333333333333333</x:v>
      </x:c>
      <x:c r="AB33" s="18" t="str">
        <x:v>CONDITIONAL</x:v>
      </x:c>
      <x:c r="AC33" s="18" t="str">
        <x:v>Valid PONV result, but the postoperative observation window should be matched to the intended synthesis.</x:v>
      </x:c>
      <x:c r="AD33" s="18"/>
      <x:c r="AE33" s="18" t="str">
        <x:v>Binary effect measure (RR preferred per protocol)</x:v>
      </x:c>
      <x:c r="AF33" s="18" t="str">
        <x:v>Some concerns</x:v>
      </x:c>
      <x:c r="AG33" s="18" t="str">
        <x:v>No — selected RoB matches this result</x:v>
      </x:c>
      <x:c r="AH33" s="18" t="str">
        <x:v>Hou 2023</x:v>
      </x:c>
      <x:c r="AI33" s="18" t="str">
        <x:v>Primary eligible contrast</x:v>
      </x:c>
      <x:c r="AJ33" s="18" t="str">
        <x:v>Count this study once per synthesis unless a valid multi-arm method is used.</x:v>
      </x:c>
      <x:c r="AK33" s="18" t="str">
        <x:v>Two withdrawals (one/group) for personal reasons; no blinding-success test despite active 6-15 mA vibration vs no current</x:v>
      </x:c>
      <x:c r="AL33" s="18" t="str">
        <x:v>https://drive.google.com/file/d/161WdTRehgwvDHvQ8OkRf8U9TbUmVQgaR/view?usp=drivesdk</x:v>
      </x:c>
    </x:row>
    <x:row r="34">
      <x:c r="A34" s="18" t="str">
        <x:v>He 2026 (hepatectomy/JIS)</x:v>
      </x:c>
      <x:c r="B34" s="18" t="str">
        <x:v>HEJIS26_TEAS_vs_CTRL_PONV24</x:v>
      </x:c>
      <x:c r="C34" s="18" t="str">
        <x:v>Intraoperative PC6 TEAS</x:v>
      </x:c>
      <x:c r="D34" s="18" t="str">
        <x:v>No-current PC6 control</x:v>
      </x:c>
      <x:c r="E34" s="18" t="str">
        <x:v>PONV incidence</x:v>
      </x:c>
      <x:c r="F34" s="18" t="str">
        <x:v>0-24 h</x:v>
      </x:c>
      <x:c r="G34" s="18" t="str">
        <x:v>Events/total</x:v>
      </x:c>
      <x:c r="H34" s="18" t="n">
        <x:v>81</x:v>
      </x:c>
      <x:c r="I34" s="18" t="n">
        <x:v>80</x:v>
      </x:c>
      <x:c r="J34" s="18" t="n">
        <x:v>80</x:v>
      </x:c>
      <x:c r="K34" s="18" t="n">
        <x:v>79</x:v>
      </x:c>
      <x:c r="L34" s="18"/>
      <x:c r="M34" s="18"/>
      <x:c r="N34" s="18"/>
      <x:c r="O34" s="18"/>
      <x:c r="P34" s="18"/>
      <x:c r="Q34" s="18" t="n">
        <x:v>19</x:v>
      </x:c>
      <x:c r="R34" s="18"/>
      <x:c r="S34" s="18"/>
      <x:c r="T34" s="18"/>
      <x:c r="U34" s="18"/>
      <x:c r="V34" s="18"/>
      <x:c r="W34" s="18" t="n">
        <x:v>21</x:v>
      </x:c>
      <x:c r="X34" s="18" t="str">
        <x:v>participants</x:v>
      </x:c>
      <x:c r="Y34" s="18" t="str">
        <x:v>0.68</x:v>
      </x:c>
      <x:c r="Z34" s="18" t="str">
        <x:v>RR</x:v>
      </x:c>
      <x:c r="AA34" s="18" t="n">
        <x:v>0.893452380952381</x:v>
      </x:c>
      <x:c r="AB34" s="18" t="str">
        <x:v>INCLUDE</x:v>
      </x:c>
      <x:c r="AC34" s="18" t="str">
        <x:v>Explicit 24-h PONV endpoint.</x:v>
      </x:c>
      <x:c r="AD34" s="18"/>
      <x:c r="AE34" s="18" t="str">
        <x:v>Binary effect measure (RR preferred per protocol)</x:v>
      </x:c>
      <x:c r="AF34" s="18" t="str">
        <x:v>Some concerns</x:v>
      </x:c>
      <x:c r="AG34" s="18" t="str">
        <x:v>Yes — selected RoB is for a different result/timepoint</x:v>
      </x:c>
      <x:c r="AH34" s="18" t="str">
        <x:v>He 2026 (hepatectomy/JIS)</x:v>
      </x:c>
      <x:c r="AI34" s="18" t="str">
        <x:v>Primary eligible contrast</x:v>
      </x:c>
      <x:c r="AJ34" s="18" t="str">
        <x:v>Count this study once per synthesis unless a valid multi-arm method is used.</x:v>
      </x:c>
      <x:c r="AK34" s="18" t="str">
        <x:v>Primary trial outcome; no meaningful between-group difference</x:v>
      </x:c>
      <x:c r="AL34" s="18" t="str">
        <x:v>https://drive.google.com/file/d/1VgOxIOrGe7ZVevkKEVP7G-0V1DXPU0Gf/view?usp=drivesdk</x:v>
      </x:c>
    </x:row>
    <x:row r="35">
      <x:c r="A35" s="18" t="str">
        <x:v>Chen 2015</x:v>
      </x:c>
      <x:c r="B35" s="18" t="str">
        <x:v>CHEN15Q_TEAS_vs_CTRL_PONV24</x:v>
      </x:c>
      <x:c r="C35" s="18" t="str">
        <x:v>Preoperative TEAS</x:v>
      </x:c>
      <x:c r="D35" s="18" t="str">
        <x:v>Electrodes/device with no stimulation</x:v>
      </x:c>
      <x:c r="E35" s="18" t="str">
        <x:v>PONV incidence</x:v>
      </x:c>
      <x:c r="F35" s="18" t="str">
        <x:v>0-24 h</x:v>
      </x:c>
      <x:c r="G35" s="18" t="str">
        <x:v>Events/total</x:v>
      </x:c>
      <x:c r="H35" s="18" t="n">
        <x:v>42</x:v>
      </x:c>
      <x:c r="I35" s="18" t="n">
        <x:v>42</x:v>
      </x:c>
      <x:c r="J35" s="18" t="n">
        <x:v>41</x:v>
      </x:c>
      <x:c r="K35" s="18" t="n">
        <x:v>42</x:v>
      </x:c>
      <x:c r="L35" s="18"/>
      <x:c r="M35" s="18"/>
      <x:c r="N35" s="18"/>
      <x:c r="O35" s="18"/>
      <x:c r="P35" s="18"/>
      <x:c r="Q35" s="18" t="n">
        <x:v>10</x:v>
      </x:c>
      <x:c r="R35" s="18"/>
      <x:c r="S35" s="18"/>
      <x:c r="T35" s="18"/>
      <x:c r="U35" s="18"/>
      <x:c r="V35" s="18"/>
      <x:c r="W35" s="18" t="n">
        <x:v>26</x:v>
      </x:c>
      <x:c r="X35" s="18" t="str">
        <x:v>participants</x:v>
      </x:c>
      <x:c r="Y35" s="18" t="str">
        <x:v>0.001</x:v>
      </x:c>
      <x:c r="Z35" s="18" t="str">
        <x:v>RR</x:v>
      </x:c>
      <x:c r="AA35" s="18" t="n">
        <x:v>0.3939962476547842</x:v>
      </x:c>
      <x:c r="AB35" s="18" t="str">
        <x:v>INCLUDE</x:v>
      </x:c>
      <x:c r="AC35" s="18" t="str">
        <x:v>Explicit 24-h PONV endpoint.</x:v>
      </x:c>
      <x:c r="AD35" s="18"/>
      <x:c r="AE35" s="18" t="str">
        <x:v>Binary effect measure (RR preferred per protocol)</x:v>
      </x:c>
      <x:c r="AF35" s="18" t="str">
        <x:v>High</x:v>
      </x:c>
      <x:c r="AG35" s="18" t="str">
        <x:v>Yes — selected RoB is for a different result/timepoint</x:v>
      </x:c>
      <x:c r="AH35" s="18" t="str">
        <x:v>Chen 2015</x:v>
      </x:c>
      <x:c r="AI35" s="18" t="str">
        <x:v>Primary eligible contrast</x:v>
      </x:c>
      <x:c r="AJ35" s="18" t="str">
        <x:v>Count this study once per synthesis unless a valid multi-arm method is used.</x:v>
      </x:c>
      <x:c r="AK35" s="18" t="str">
        <x:v>Use analyzed denominators 41 and 42.</x:v>
      </x:c>
      <x:c r="AL35" s="18" t="str">
        <x:v>https://drive.google.com/file/d/1ZtE8GImDcpDJH1tOvzqazoh_S4Gd67oH/view?usp=drivesdk</x:v>
      </x:c>
    </x:row>
    <x:row r="36">
      <x:c r="A36" s="18" t="str">
        <x:v>Chen 2015 (Hyperalgesia)</x:v>
      </x:c>
      <x:c r="B36" s="18" t="str">
        <x:v>CHEN15H_TEAS_vs_SHAM_PONV24</x:v>
      </x:c>
      <x:c r="C36" s="18" t="str">
        <x:v>Preoperative TEAS</x:v>
      </x:c>
      <x:c r="D36" s="18" t="str">
        <x:v>Electrodes/no-current sham</x:v>
      </x:c>
      <x:c r="E36" s="18" t="str">
        <x:v>PONV incidence</x:v>
      </x:c>
      <x:c r="F36" s="18" t="str">
        <x:v>0-24 h</x:v>
      </x:c>
      <x:c r="G36" s="18" t="str">
        <x:v>Events/total</x:v>
      </x:c>
      <x:c r="H36" s="18" t="n">
        <x:v>30</x:v>
      </x:c>
      <x:c r="I36" s="18" t="n">
        <x:v>30</x:v>
      </x:c>
      <x:c r="J36" s="18" t="n">
        <x:v>29</x:v>
      </x:c>
      <x:c r="K36" s="18" t="n">
        <x:v>30</x:v>
      </x:c>
      <x:c r="L36" s="18"/>
      <x:c r="M36" s="18"/>
      <x:c r="N36" s="18"/>
      <x:c r="O36" s="18"/>
      <x:c r="P36" s="18"/>
      <x:c r="Q36" s="18" t="n">
        <x:v>5</x:v>
      </x:c>
      <x:c r="R36" s="18"/>
      <x:c r="S36" s="18"/>
      <x:c r="T36" s="18"/>
      <x:c r="U36" s="18"/>
      <x:c r="V36" s="18"/>
      <x:c r="W36" s="18" t="n">
        <x:v>13</x:v>
      </x:c>
      <x:c r="X36" s="18" t="str">
        <x:v>participants</x:v>
      </x:c>
      <x:c r="Y36" s="18" t="str">
        <x:v>0.03</x:v>
      </x:c>
      <x:c r="Z36" s="18" t="str">
        <x:v>RR</x:v>
      </x:c>
      <x:c r="AA36" s="18" t="n">
        <x:v>0.3978779840848807</x:v>
      </x:c>
      <x:c r="AB36" s="18" t="str">
        <x:v>INCLUDE</x:v>
      </x:c>
      <x:c r="AC36" s="18" t="str">
        <x:v>Explicit 24-h PONV endpoint.</x:v>
      </x:c>
      <x:c r="AD36" s="18"/>
      <x:c r="AE36" s="18" t="str">
        <x:v>Binary effect measure (RR preferred per protocol)</x:v>
      </x:c>
      <x:c r="AF36" s="18" t="str">
        <x:v>Some concerns</x:v>
      </x:c>
      <x:c r="AG36" s="18" t="str">
        <x:v>Yes — selected RoB is for a different result/timepoint</x:v>
      </x:c>
      <x:c r="AH36" s="18" t="str">
        <x:v>Chen 2015 (Hyperalgesia)</x:v>
      </x:c>
      <x:c r="AI36" s="18" t="str">
        <x:v>Primary eligible contrast</x:v>
      </x:c>
      <x:c r="AJ36" s="18" t="str">
        <x:v>Count this study once per synthesis unless a valid multi-arm method is used.</x:v>
      </x:c>
      <x:c r="AK36" s="18" t="str">
        <x:v>Use 29 analyzed TEAS and 30 control; one TEAS protocol-breach exclusion.</x:v>
      </x:c>
      <x:c r="AL36" s="18" t="str">
        <x:v>https://drive.google.com/file/d/13YKAZZsc2VQEPqkw1Ye40BYDZSRpI6N3/view?usp=drivesdk</x:v>
      </x:c>
    </x:row>
  </x:sheetData>
  <x:conditionalFormatting sqref="AB2:AB36">
    <x:cfRule type="expression" dxfId="54" priority="1">
      <x:formula>LEFT(AB2,7)="INCLUDE"</x:formula>
    </x:cfRule>
    <x:cfRule type="expression" dxfId="55" priority="2">
      <x:formula>LEFT(AB2,11)="CONDITIONAL"</x:formula>
    </x:cfRule>
    <x:cfRule type="expression" dxfId="56" priority="3">
      <x:formula>LEFT(AB2,7)="EXCLUDE"</x:formula>
    </x:cfRule>
    <x:cfRule type="expression" dxfId="57" priority="4">
      <x:formula>AB2="DUPLICATE HOLD"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24" max="24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</x:cols>
  <x:sheetData>
    <x:row r="1">
      <x:c r="A1" s="67" t="str">
        <x:v>Canonical study</x:v>
      </x:c>
      <x:c r="B1" s="67" t="str">
        <x:v>Comparison ID</x:v>
      </x:c>
      <x:c r="C1" s="67" t="str">
        <x:v>Intervention arm</x:v>
      </x:c>
      <x:c r="D1" s="67" t="str">
        <x:v>Comparator arm</x:v>
      </x:c>
      <x:c r="E1" s="67" t="str">
        <x:v>Outcome/result</x:v>
      </x:c>
      <x:c r="F1" s="67" t="str">
        <x:v>Timepoint/window</x:v>
      </x:c>
      <x:c r="G1" s="67" t="str">
        <x:v>Data type</x:v>
      </x:c>
      <x:c r="H1" s="67" t="str">
        <x:v>Randomized n intervention</x:v>
      </x:c>
      <x:c r="I1" s="67" t="str">
        <x:v>Randomized n comparator</x:v>
      </x:c>
      <x:c r="J1" s="67" t="str">
        <x:v>Analyzed n intervention</x:v>
      </x:c>
      <x:c r="K1" s="67" t="str">
        <x:v>Analyzed n comparator</x:v>
      </x:c>
      <x:c r="L1" s="67" t="str">
        <x:v>Mean intervention</x:v>
      </x:c>
      <x:c r="M1" s="67" t="str">
        <x:v>SD intervention</x:v>
      </x:c>
      <x:c r="N1" s="67" t="str">
        <x:v>Median intervention</x:v>
      </x:c>
      <x:c r="O1" s="67" t="str">
        <x:v>Q1 intervention</x:v>
      </x:c>
      <x:c r="P1" s="67" t="str">
        <x:v>Q3 intervention</x:v>
      </x:c>
      <x:c r="Q1" s="67" t="str">
        <x:v>Events intervention</x:v>
      </x:c>
      <x:c r="R1" s="67" t="str">
        <x:v>Mean comparator</x:v>
      </x:c>
      <x:c r="S1" s="67" t="str">
        <x:v>SD comparator</x:v>
      </x:c>
      <x:c r="T1" s="67" t="str">
        <x:v>Median comparator</x:v>
      </x:c>
      <x:c r="U1" s="67" t="str">
        <x:v>Q1 comparator</x:v>
      </x:c>
      <x:c r="V1" s="67" t="str">
        <x:v>Q3 comparator</x:v>
      </x:c>
      <x:c r="W1" s="67" t="str">
        <x:v>Events comparator</x:v>
      </x:c>
      <x:c r="X1" s="67" t="str">
        <x:v>Unit/scale</x:v>
      </x:c>
      <x:c r="Y1" s="67" t="str">
        <x:v>Reported P</x:v>
      </x:c>
      <x:c r="Z1" s="67" t="str">
        <x:v>Derived effect measure</x:v>
      </x:c>
      <x:c r="AA1" s="67" t="str">
        <x:v>Derived effect</x:v>
      </x:c>
      <x:c r="AB1" s="67" t="str">
        <x:v>Analysis readiness</x:v>
      </x:c>
      <x:c r="AC1" s="67" t="str">
        <x:v>Readiness reason</x:v>
      </x:c>
      <x:c r="AD1" s="67" t="str">
        <x:v>Duplicate/overlap cluster</x:v>
      </x:c>
      <x:c r="AE1" s="67" t="str">
        <x:v>Conversion/handling needed</x:v>
      </x:c>
      <x:c r="AF1" s="67" t="str">
        <x:v>Selected RoB2 overall judgment</x:v>
      </x:c>
      <x:c r="AG1" s="67" t="str">
        <x:v>Additional outcome-specific RoB needed?</x:v>
      </x:c>
      <x:c r="AH1" s="67" t="str">
        <x:v>Independent randomized-study unit</x:v>
      </x:c>
      <x:c r="AI1" s="67" t="str">
        <x:v>Recommended comparison role</x:v>
      </x:c>
      <x:c r="AJ1" s="67" t="str">
        <x:v>Independent-study counting note</x:v>
      </x:c>
      <x:c r="AK1" s="67" t="str">
        <x:v>Source-QC issue</x:v>
      </x:c>
      <x:c r="AL1" s="67" t="str">
        <x:v>Source PDF URL</x:v>
      </x:c>
    </x:row>
    <x:row r="2">
      <x:c r="A2" s="18" t="str">
        <x:v>Yao 2015</x:v>
      </x:c>
      <x:c r="B2" s="18" t="str">
        <x:v>YAO15_TEAS_vs_CONTROL</x:v>
      </x:c>
      <x:c r="C2" s="18" t="str">
        <x:v>Preoperative TEAS</x:v>
      </x:c>
      <x:c r="D2" s="18" t="str">
        <x:v>Control/no current</x:v>
      </x:c>
      <x:c r="E2" s="18" t="str">
        <x:v>Global QoR-40</x:v>
      </x:c>
      <x:c r="F2" s="18" t="str">
        <x:v>24 h postoperatively</x:v>
      </x:c>
      <x:c r="G2" s="18" t="str">
        <x:v>Mean/SD</x:v>
      </x:c>
      <x:c r="H2" s="18" t="n">
        <x:v>37</x:v>
      </x:c>
      <x:c r="I2" s="18" t="n">
        <x:v>37</x:v>
      </x:c>
      <x:c r="J2" s="18" t="n">
        <x:v>35</x:v>
      </x:c>
      <x:c r="K2" s="18" t="n">
        <x:v>36</x:v>
      </x:c>
      <x:c r="L2" s="18" t="n">
        <x:v>176.5</x:v>
      </x:c>
      <x:c r="M2" s="18" t="n">
        <x:v>10.2</x:v>
      </x:c>
      <x:c r="N2" s="18"/>
      <x:c r="O2" s="18"/>
      <x:c r="P2" s="18"/>
      <x:c r="Q2" s="18"/>
      <x:c r="R2" s="18" t="n">
        <x:v>164.8</x:v>
      </x:c>
      <x:c r="S2" s="18" t="n">
        <x:v>14.7</x:v>
      </x:c>
      <x:c r="T2" s="18"/>
      <x:c r="U2" s="18"/>
      <x:c r="V2" s="18"/>
      <x:c r="W2" s="18"/>
      <x:c r="X2" s="18" t="str">
        <x:v>QoR-40 points</x:v>
      </x:c>
      <x:c r="Y2" s="18" t="str">
        <x:v>&lt;0.001</x:v>
      </x:c>
      <x:c r="Z2" s="18" t="str">
        <x:v>MD</x:v>
      </x:c>
      <x:c r="AA2" s="18" t="n">
        <x:v>11.699999999999989</x:v>
      </x:c>
      <x:c r="AB2" s="18" t="str">
        <x:v>INCLUDE — OTHER TIMEPOINT</x:v>
      </x:c>
      <x:c r="AC2" s="18" t="str">
        <x:v>Source-valid QoR endpoint outside the primary 24-h timepoint.</x:v>
      </x:c>
      <x:c r="AD2" s="18"/>
      <x:c r="AE2" s="18" t="str">
        <x:v>None</x:v>
      </x:c>
      <x:c r="AF2" s="18" t="str">
        <x:v>High</x:v>
      </x:c>
      <x:c r="AG2" s="18" t="str">
        <x:v>No — selected RoB matches this result</x:v>
      </x:c>
      <x:c r="AH2" s="18" t="str">
        <x:v>Yao 2015</x:v>
      </x:c>
      <x:c r="AI2" s="18" t="str">
        <x:v>Primary eligible contrast</x:v>
      </x:c>
      <x:c r="AJ2" s="18" t="str">
        <x:v>Count this study once per synthesis unless a valid multi-arm method is used.</x:v>
      </x:c>
      <x:c r="AK2" s="18" t="str">
        <x:v>3 post-randomization exclusions; active sensory stimulation vs zero-current control</x:v>
      </x:c>
      <x:c r="AL2" s="18" t="str">
        <x:v>https://drive.google.com/file/d/1OhcqPgP7chnaiBaZBPBAy4PQlSFMelfh/view?usp=drivesdk</x:v>
      </x:c>
    </x:row>
    <x:row r="3">
      <x:c r="A3" s="18" t="str">
        <x:v>Yu 2020</x:v>
      </x:c>
      <x:c r="B3" s="18" t="str">
        <x:v>YU20_TEAS_vs_CONTROL</x:v>
      </x:c>
      <x:c r="C3" s="18" t="str">
        <x:v>Preoperative TEAS</x:v>
      </x:c>
      <x:c r="D3" s="18" t="str">
        <x:v>Control/no current</x:v>
      </x:c>
      <x:c r="E3" s="18" t="str">
        <x:v>Global QoR-40</x:v>
      </x:c>
      <x:c r="F3" s="18" t="str">
        <x:v>Postoperative day 1 (~24 h)</x:v>
      </x:c>
      <x:c r="G3" s="18" t="str">
        <x:v>Mean/SD</x:v>
      </x:c>
      <x:c r="H3" s="18" t="n">
        <x:v>30</x:v>
      </x:c>
      <x:c r="I3" s="18" t="n">
        <x:v>30</x:v>
      </x:c>
      <x:c r="J3" s="18" t="n">
        <x:v>30</x:v>
      </x:c>
      <x:c r="K3" s="18" t="n">
        <x:v>30</x:v>
      </x:c>
      <x:c r="L3" s="18" t="n">
        <x:v>175.33</x:v>
      </x:c>
      <x:c r="M3" s="18" t="n">
        <x:v>9.66</x:v>
      </x:c>
      <x:c r="N3" s="18"/>
      <x:c r="O3" s="18"/>
      <x:c r="P3" s="18"/>
      <x:c r="Q3" s="18"/>
      <x:c r="R3" s="18" t="n">
        <x:v>166.07</x:v>
      </x:c>
      <x:c r="S3" s="18" t="n">
        <x:v>8.44</x:v>
      </x:c>
      <x:c r="T3" s="18"/>
      <x:c r="U3" s="18"/>
      <x:c r="V3" s="18"/>
      <x:c r="W3" s="18"/>
      <x:c r="X3" s="18" t="str">
        <x:v>QoR-40 points</x:v>
      </x:c>
      <x:c r="Y3" s="18" t="str">
        <x:v>0.040</x:v>
      </x:c>
      <x:c r="Z3" s="18" t="str">
        <x:v>MD</x:v>
      </x:c>
      <x:c r="AA3" s="18" t="n">
        <x:v>9.26000000000002</x:v>
      </x:c>
      <x:c r="AB3" s="18" t="str">
        <x:v>CONDITIONAL — POD1</x:v>
      </x:c>
      <x:c r="AC3" s="18" t="str">
        <x:v>POD1 is approximately 24 h; pool only if allowed by protocol.</x:v>
      </x:c>
      <x:c r="AD3" s="18"/>
      <x:c r="AE3" s="18" t="str">
        <x:v>None</x:v>
      </x:c>
      <x:c r="AF3" s="18" t="str">
        <x:v>High</x:v>
      </x:c>
      <x:c r="AG3" s="18" t="str">
        <x:v>No — selected RoB matches this result</x:v>
      </x:c>
      <x:c r="AH3" s="18" t="str">
        <x:v>Yu 2020</x:v>
      </x:c>
      <x:c r="AI3" s="18" t="str">
        <x:v>Primary eligible contrast</x:v>
      </x:c>
      <x:c r="AJ3" s="18" t="str">
        <x:v>Count this study once per synthesis unless a valid multi-arm method is used.</x:v>
      </x:c>
      <x:c r="AK3" s="18" t="str">
        <x:v>Retrospective registration; article has internal intervention-parameter discrepancy</x:v>
      </x:c>
      <x:c r="AL3" s="18" t="str">
        <x:v>https://drive.google.com/file/d/1fXpHc9FzhpPCkXto8c5lfcLoA3ROdOEz/view?usp=drivesdk</x:v>
      </x:c>
    </x:row>
    <x:row r="4">
      <x:c r="A4" s="18" t="str">
        <x:v>Zhou 2025</x:v>
      </x:c>
      <x:c r="B4" s="18" t="str">
        <x:v>ZHOU25_TEAS_vs_SHAM_QOR15</x:v>
      </x:c>
      <x:c r="C4" s="18" t="str">
        <x:v>PACU TEAS</x:v>
      </x:c>
      <x:c r="D4" s="18" t="str">
        <x:v>Sham/no current</x:v>
      </x:c>
      <x:c r="E4" s="18" t="str">
        <x:v>Global QoR-15</x:v>
      </x:c>
      <x:c r="F4" s="18" t="str">
        <x:v>POD1</x:v>
      </x:c>
      <x:c r="G4" s="18" t="str">
        <x:v>Mean/SD</x:v>
      </x:c>
      <x:c r="H4" s="18" t="n">
        <x:v>50</x:v>
      </x:c>
      <x:c r="I4" s="18" t="n">
        <x:v>50</x:v>
      </x:c>
      <x:c r="J4" s="18" t="n">
        <x:v>48</x:v>
      </x:c>
      <x:c r="K4" s="18" t="n">
        <x:v>49</x:v>
      </x:c>
      <x:c r="L4" s="18" t="n">
        <x:v>112</x:v>
      </x:c>
      <x:c r="M4" s="18" t="n">
        <x:v>10.67</x:v>
      </x:c>
      <x:c r="N4" s="18"/>
      <x:c r="O4" s="18"/>
      <x:c r="P4" s="18"/>
      <x:c r="Q4" s="18"/>
      <x:c r="R4" s="18" t="n">
        <x:v>107.62</x:v>
      </x:c>
      <x:c r="S4" s="18" t="n">
        <x:v>10.27</x:v>
      </x:c>
      <x:c r="T4" s="18"/>
      <x:c r="U4" s="18"/>
      <x:c r="V4" s="18"/>
      <x:c r="W4" s="18"/>
      <x:c r="X4" s="18" t="str">
        <x:v>QoR-15 points</x:v>
      </x:c>
      <x:c r="Y4" s="18" t="str">
        <x:v>0.042</x:v>
      </x:c>
      <x:c r="Z4" s="18" t="str">
        <x:v>MD</x:v>
      </x:c>
      <x:c r="AA4" s="18" t="n">
        <x:v>4.3799999999999955</x:v>
      </x:c>
      <x:c r="AB4" s="18" t="str">
        <x:v>CONDITIONAL — POD1</x:v>
      </x:c>
      <x:c r="AC4" s="18" t="str">
        <x:v>POD1 is approximately 24 h; pool only if allowed by protocol.</x:v>
      </x:c>
      <x:c r="AD4" s="18"/>
      <x:c r="AE4" s="18" t="str">
        <x:v>None</x:v>
      </x:c>
      <x:c r="AF4" s="18" t="str">
        <x:v>High</x:v>
      </x:c>
      <x:c r="AG4" s="18" t="str">
        <x:v>No — selected RoB matches this result</x:v>
      </x:c>
      <x:c r="AH4" s="18" t="str">
        <x:v>Zhou 2025</x:v>
      </x:c>
      <x:c r="AI4" s="18" t="str">
        <x:v>Primary eligible contrast</x:v>
      </x:c>
      <x:c r="AJ4" s="18" t="str">
        <x:v>Count this study once per synthesis unless a valid multi-arm method is used.</x:v>
      </x:c>
      <x:c r="AK4" s="18" t="str">
        <x:v>3 post-randomization withdrawals; sensory blinding uncertain because active 10-15 mA/De Qi vs no current</x:v>
      </x:c>
      <x:c r="AL4" s="18" t="str">
        <x:v>https://drive.google.com/file/d/1gpNBuoukUttXKWiAAeZSqdIaaHSMOwDU/view?usp=drivesdk</x:v>
      </x:c>
    </x:row>
    <x:row r="5">
      <x:c r="A5" s="18" t="str">
        <x:v>Chen 2015</x:v>
      </x:c>
      <x:c r="B5" s="18" t="str">
        <x:v>CHEN15Q_TEAS_vs_CTRL_QOR40</x:v>
      </x:c>
      <x:c r="C5" s="18" t="str">
        <x:v>Preoperative TEAS</x:v>
      </x:c>
      <x:c r="D5" s="18" t="str">
        <x:v>Electrodes/device with no stimulation</x:v>
      </x:c>
      <x:c r="E5" s="18" t="str">
        <x:v>Global QoR-40</x:v>
      </x:c>
      <x:c r="F5" s="18" t="str">
        <x:v>24 h</x:v>
      </x:c>
      <x:c r="G5" s="18" t="str">
        <x:v>Median/IQR</x:v>
      </x:c>
      <x:c r="H5" s="18" t="n">
        <x:v>42</x:v>
      </x:c>
      <x:c r="I5" s="18" t="n">
        <x:v>42</x:v>
      </x:c>
      <x:c r="J5" s="18" t="n">
        <x:v>41</x:v>
      </x:c>
      <x:c r="K5" s="18" t="n">
        <x:v>42</x:v>
      </x:c>
      <x:c r="L5" s="18"/>
      <x:c r="M5" s="18"/>
      <x:c r="N5" s="18" t="n">
        <x:v>183</x:v>
      </x:c>
      <x:c r="O5" s="18" t="n">
        <x:v>172</x:v>
      </x:c>
      <x:c r="P5" s="18" t="n">
        <x:v>190</x:v>
      </x:c>
      <x:c r="Q5" s="18"/>
      <x:c r="R5" s="18"/>
      <x:c r="S5" s="18"/>
      <x:c r="T5" s="18" t="n">
        <x:v>168</x:v>
      </x:c>
      <x:c r="U5" s="18" t="n">
        <x:v>154</x:v>
      </x:c>
      <x:c r="V5" s="18" t="n">
        <x:v>183</x:v>
      </x:c>
      <x:c r="W5" s="18"/>
      <x:c r="X5" s="18" t="str">
        <x:v>QoR-40 points</x:v>
      </x:c>
      <x:c r="Y5" s="18" t="str">
        <x:v>&lt;0.001</x:v>
      </x:c>
      <x:c r="Z5" s="18"/>
      <x:c r="AA5" s="18"/>
      <x:c r="AB5" s="18" t="str">
        <x:v>INCLUDE</x:v>
      </x:c>
      <x:c r="AC5" s="18" t="str">
        <x:v>Valid QoR endpoint at the target recovery time.</x:v>
      </x:c>
      <x:c r="AD5" s="18"/>
      <x:c r="AE5" s="18" t="str">
        <x:v>Use median/IQR-compatible meta-analysis method; do not relabel as mean/SD</x:v>
      </x:c>
      <x:c r="AF5" s="18" t="str">
        <x:v>High</x:v>
      </x:c>
      <x:c r="AG5" s="18" t="str">
        <x:v>No — selected RoB matches this result</x:v>
      </x:c>
      <x:c r="AH5" s="18" t="str">
        <x:v>Chen 2015</x:v>
      </x:c>
      <x:c r="AI5" s="18" t="str">
        <x:v>Primary eligible contrast</x:v>
      </x:c>
      <x:c r="AJ5" s="18" t="str">
        <x:v>Count this study once per synthesis unless a valid multi-arm method is used.</x:v>
      </x:c>
      <x:c r="AK5" s="18" t="str">
        <x:v>One TEAS participant excluded for protocol breach; active 6-9 mA stimulation vs no-current control may compromise patient blinding for a patient-reported primary outcome.</x:v>
      </x:c>
      <x:c r="AL5" s="18" t="str">
        <x:v>https://drive.google.com/file/d/1ZtE8GImDcpDJH1tOvzqazoh_S4Gd67oH/view?usp=drivesdk</x:v>
      </x:c>
    </x:row>
  </x:sheetData>
  <x:conditionalFormatting sqref="AB2:AB5">
    <x:cfRule type="expression" dxfId="58" priority="1">
      <x:formula>LEFT(AB2,7)="INCLUDE"</x:formula>
    </x:cfRule>
    <x:cfRule type="expression" dxfId="59" priority="2">
      <x:formula>LEFT(AB2,11)="CONDITIONAL"</x:formula>
    </x:cfRule>
    <x:cfRule type="expression" dxfId="60" priority="3">
      <x:formula>LEFT(AB2,7)="EXCLUDE"</x:formula>
    </x:cfRule>
    <x:cfRule type="expression" dxfId="61" priority="4">
      <x:formula>AB2="DUPLICATE HOLD"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24" max="24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</x:cols>
  <x:sheetData>
    <x:row r="1">
      <x:c r="A1" s="67" t="str">
        <x:v>Canonical study</x:v>
      </x:c>
      <x:c r="B1" s="67" t="str">
        <x:v>Comparison ID</x:v>
      </x:c>
      <x:c r="C1" s="67" t="str">
        <x:v>Intervention arm</x:v>
      </x:c>
      <x:c r="D1" s="67" t="str">
        <x:v>Comparator arm</x:v>
      </x:c>
      <x:c r="E1" s="67" t="str">
        <x:v>Outcome/result</x:v>
      </x:c>
      <x:c r="F1" s="67" t="str">
        <x:v>Timepoint/window</x:v>
      </x:c>
      <x:c r="G1" s="67" t="str">
        <x:v>Data type</x:v>
      </x:c>
      <x:c r="H1" s="67" t="str">
        <x:v>Randomized n intervention</x:v>
      </x:c>
      <x:c r="I1" s="67" t="str">
        <x:v>Randomized n comparator</x:v>
      </x:c>
      <x:c r="J1" s="67" t="str">
        <x:v>Analyzed n intervention</x:v>
      </x:c>
      <x:c r="K1" s="67" t="str">
        <x:v>Analyzed n comparator</x:v>
      </x:c>
      <x:c r="L1" s="67" t="str">
        <x:v>Mean intervention</x:v>
      </x:c>
      <x:c r="M1" s="67" t="str">
        <x:v>SD intervention</x:v>
      </x:c>
      <x:c r="N1" s="67" t="str">
        <x:v>Median intervention</x:v>
      </x:c>
      <x:c r="O1" s="67" t="str">
        <x:v>Q1 intervention</x:v>
      </x:c>
      <x:c r="P1" s="67" t="str">
        <x:v>Q3 intervention</x:v>
      </x:c>
      <x:c r="Q1" s="67" t="str">
        <x:v>Events intervention</x:v>
      </x:c>
      <x:c r="R1" s="67" t="str">
        <x:v>Mean comparator</x:v>
      </x:c>
      <x:c r="S1" s="67" t="str">
        <x:v>SD comparator</x:v>
      </x:c>
      <x:c r="T1" s="67" t="str">
        <x:v>Median comparator</x:v>
      </x:c>
      <x:c r="U1" s="67" t="str">
        <x:v>Q1 comparator</x:v>
      </x:c>
      <x:c r="V1" s="67" t="str">
        <x:v>Q3 comparator</x:v>
      </x:c>
      <x:c r="W1" s="67" t="str">
        <x:v>Events comparator</x:v>
      </x:c>
      <x:c r="X1" s="67" t="str">
        <x:v>Unit/scale</x:v>
      </x:c>
      <x:c r="Y1" s="67" t="str">
        <x:v>Reported P</x:v>
      </x:c>
      <x:c r="Z1" s="67" t="str">
        <x:v>Derived effect measure</x:v>
      </x:c>
      <x:c r="AA1" s="67" t="str">
        <x:v>Derived effect</x:v>
      </x:c>
      <x:c r="AB1" s="67" t="str">
        <x:v>Analysis readiness</x:v>
      </x:c>
      <x:c r="AC1" s="67" t="str">
        <x:v>Readiness reason</x:v>
      </x:c>
      <x:c r="AD1" s="67" t="str">
        <x:v>Duplicate/overlap cluster</x:v>
      </x:c>
      <x:c r="AE1" s="67" t="str">
        <x:v>Conversion/handling needed</x:v>
      </x:c>
      <x:c r="AF1" s="67" t="str">
        <x:v>Selected RoB2 overall judgment</x:v>
      </x:c>
      <x:c r="AG1" s="67" t="str">
        <x:v>Additional outcome-specific RoB needed?</x:v>
      </x:c>
      <x:c r="AH1" s="67" t="str">
        <x:v>Independent randomized-study unit</x:v>
      </x:c>
      <x:c r="AI1" s="67" t="str">
        <x:v>Recommended comparison role</x:v>
      </x:c>
      <x:c r="AJ1" s="67" t="str">
        <x:v>Independent-study counting note</x:v>
      </x:c>
      <x:c r="AK1" s="67" t="str">
        <x:v>Source-QC issue</x:v>
      </x:c>
      <x:c r="AL1" s="67" t="str">
        <x:v>Source PDF URL</x:v>
      </x:c>
    </x:row>
    <x:row r="2">
      <x:c r="A2" s="18" t="str">
        <x:v>Yang 2020</x:v>
      </x:c>
      <x:c r="B2" s="18" t="str">
        <x:v>YANG20_EA_vs_UC</x:v>
      </x:c>
      <x:c r="C2" s="18" t="str">
        <x:v>EA + usual care</x:v>
      </x:c>
      <x:c r="D2" s="18" t="str">
        <x:v>Usual care</x:v>
      </x:c>
      <x:c r="E2" s="18" t="str">
        <x:v>Time to first postoperative flatus</x:v>
      </x:c>
      <x:c r="F2" s="18" t="str">
        <x:v>From surgery to first flatus</x:v>
      </x:c>
      <x:c r="G2" s="18" t="str">
        <x:v>Mean/SD</x:v>
      </x:c>
      <x:c r="H2" s="18" t="n">
        <x:v>30</x:v>
      </x:c>
      <x:c r="I2" s="18" t="n">
        <x:v>29</x:v>
      </x:c>
      <x:c r="J2" s="18" t="n">
        <x:v>29</x:v>
      </x:c>
      <x:c r="K2" s="18" t="n">
        <x:v>28</x:v>
      </x:c>
      <x:c r="L2" s="18" t="n">
        <x:v>20.8</x:v>
      </x:c>
      <x:c r="M2" s="18" t="n">
        <x:v>4.6</x:v>
      </x:c>
      <x:c r="N2" s="18"/>
      <x:c r="O2" s="18"/>
      <x:c r="P2" s="18"/>
      <x:c r="Q2" s="18"/>
      <x:c r="R2" s="18" t="n">
        <x:v>24.1</x:v>
      </x:c>
      <x:c r="S2" s="18" t="n">
        <x:v>6.2</x:v>
      </x:c>
      <x:c r="T2" s="18"/>
      <x:c r="U2" s="18"/>
      <x:c r="V2" s="18"/>
      <x:c r="W2" s="18"/>
      <x:c r="X2" s="18" t="str">
        <x:v>hours</x:v>
      </x:c>
      <x:c r="Y2" s="18" t="str">
        <x:v>0.026</x:v>
      </x:c>
      <x:c r="Z2" s="18" t="str">
        <x:v>MD</x:v>
      </x:c>
      <x:c r="AA2" s="18" t="n">
        <x:v>-3.3000000000000007</x:v>
      </x:c>
      <x:c r="AB2" s="18" t="str">
        <x:v>INCLUDE</x:v>
      </x:c>
      <x:c r="AC2" s="18" t="str">
        <x:v>Source-valid first-flatus/ileus endpoint; retain reported distribution (mean/SD, median/IQR, or events).</x:v>
      </x:c>
      <x:c r="AD2" s="18"/>
      <x:c r="AE2" s="18" t="str">
        <x:v>None</x:v>
      </x:c>
      <x:c r="AF2" s="18" t="str">
        <x:v>Some concerns</x:v>
      </x:c>
      <x:c r="AG2" s="18" t="str">
        <x:v>No — selected RoB matches this result</x:v>
      </x:c>
      <x:c r="AH2" s="18" t="str">
        <x:v>Yang 2020</x:v>
      </x:c>
      <x:c r="AI2" s="18" t="str">
        <x:v>Primary eligible contrast</x:v>
      </x:c>
      <x:c r="AJ2" s="18" t="str">
        <x:v>Count this study once per synthesis unless a valid multi-arm method is used.</x:v>
      </x:c>
      <x:c r="AK2" s="18" t="str">
        <x:v>Open-label; 2/59 excluded after randomization; participant-report contribution unclear</x:v>
      </x:c>
      <x:c r="AL2" s="18" t="str">
        <x:v>https://drive.google.com/file/d/1hsQR_K6W-5QNP4rqkVxHQaopRp4f1XF0/view?usp=drivesdk</x:v>
      </x:c>
    </x:row>
    <x:row r="3">
      <x:c r="A3" s="18" t="str">
        <x:v>Pan 2023</x:v>
      </x:c>
      <x:c r="B3" s="18" t="str">
        <x:v>PAN23_TEAS_vs_CONTROL</x:v>
      </x:c>
      <x:c r="C3" s="18" t="str">
        <x:v>TEAS</x:v>
      </x:c>
      <x:c r="D3" s="18" t="str">
        <x:v>Control/usual care</x:v>
      </x:c>
      <x:c r="E3" s="18" t="str">
        <x:v>Time to first postoperative flatus</x:v>
      </x:c>
      <x:c r="F3" s="18" t="str">
        <x:v>Postoperative recovery endpoint</x:v>
      </x:c>
      <x:c r="G3" s="18" t="str">
        <x:v>Median/IQR</x:v>
      </x:c>
      <x:c r="H3" s="18" t="n">
        <x:v>60</x:v>
      </x:c>
      <x:c r="I3" s="18" t="n">
        <x:v>60</x:v>
      </x:c>
      <x:c r="J3" s="18" t="n">
        <x:v>52</x:v>
      </x:c>
      <x:c r="K3" s="18" t="n">
        <x:v>53</x:v>
      </x:c>
      <x:c r="L3" s="18"/>
      <x:c r="M3" s="18"/>
      <x:c r="N3" s="18" t="n">
        <x:v>1020</x:v>
      </x:c>
      <x:c r="O3" s="18" t="n">
        <x:v>675.8</x:v>
      </x:c>
      <x:c r="P3" s="18" t="n">
        <x:v>1278</x:v>
      </x:c>
      <x:c r="Q3" s="18"/>
      <x:c r="R3" s="18"/>
      <x:c r="S3" s="18"/>
      <x:c r="T3" s="18" t="n">
        <x:v>1210</x:v>
      </x:c>
      <x:c r="U3" s="18" t="n">
        <x:v>896.5</x:v>
      </x:c>
      <x:c r="V3" s="18" t="n">
        <x:v>1427</x:v>
      </x:c>
      <x:c r="W3" s="18"/>
      <x:c r="X3" s="18" t="str">
        <x:v>minutes</x:v>
      </x:c>
      <x:c r="Y3" s="18" t="str">
        <x:v>0.01</x:v>
      </x:c>
      <x:c r="Z3" s="18"/>
      <x:c r="AA3" s="18"/>
      <x:c r="AB3" s="18" t="str">
        <x:v>INCLUDE</x:v>
      </x:c>
      <x:c r="AC3" s="18" t="str">
        <x:v>Source-valid first-flatus/ileus endpoint; retain reported distribution (mean/SD, median/IQR, or events).</x:v>
      </x:c>
      <x:c r="AD3" s="18"/>
      <x:c r="AE3" s="18" t="str">
        <x:v>Use median/IQR-compatible meta-analysis method; do not relabel as mean/SD</x:v>
      </x:c>
      <x:c r="AF3" s="18" t="str">
        <x:v>High</x:v>
      </x:c>
      <x:c r="AG3" s="18" t="str">
        <x:v>No — selected RoB matches this result</x:v>
      </x:c>
      <x:c r="AH3" s="18" t="str">
        <x:v>Pan 2023</x:v>
      </x:c>
      <x:c r="AI3" s="18" t="str">
        <x:v>Primary eligible contrast</x:v>
      </x:c>
      <x:c r="AJ3" s="18" t="str">
        <x:v>Count this study once per synthesis unless a valid multi-arm method is used.</x:v>
      </x:c>
      <x:c r="AK3" s="18" t="str">
        <x:v>15/120 excluded after randomization; do not relabel median/IQR as mean/SD</x:v>
      </x:c>
      <x:c r="AL3" s="18" t="str">
        <x:v>https://drive.google.com/file/d/19IZpaoI-iTQOr_XOTw-a17WTw_haz8q6/view?usp=drivesdk</x:v>
      </x:c>
    </x:row>
    <x:row r="4">
      <x:c r="A4" s="18" t="str">
        <x:v>Zhou 2025</x:v>
      </x:c>
      <x:c r="B4" s="18" t="str">
        <x:v>ZHOU25_TEAS_vs_SHAM_FLATUS</x:v>
      </x:c>
      <x:c r="C4" s="18" t="str">
        <x:v>PACU TEAS</x:v>
      </x:c>
      <x:c r="D4" s="18" t="str">
        <x:v>Sham/no current</x:v>
      </x:c>
      <x:c r="E4" s="18" t="str">
        <x:v>Time to first flatus</x:v>
      </x:c>
      <x:c r="F4" s="18" t="str">
        <x:v>Postoperative</x:v>
      </x:c>
      <x:c r="G4" s="18" t="str">
        <x:v>Mean/SD</x:v>
      </x:c>
      <x:c r="H4" s="18" t="n">
        <x:v>50</x:v>
      </x:c>
      <x:c r="I4" s="18" t="n">
        <x:v>50</x:v>
      </x:c>
      <x:c r="J4" s="18" t="n">
        <x:v>48</x:v>
      </x:c>
      <x:c r="K4" s="18" t="n">
        <x:v>49</x:v>
      </x:c>
      <x:c r="L4" s="18" t="n">
        <x:v>14.1</x:v>
      </x:c>
      <x:c r="M4" s="18" t="n">
        <x:v>3.19</x:v>
      </x:c>
      <x:c r="N4" s="18"/>
      <x:c r="O4" s="18"/>
      <x:c r="P4" s="18"/>
      <x:c r="Q4" s="18"/>
      <x:c r="R4" s="18" t="n">
        <x:v>15.88</x:v>
      </x:c>
      <x:c r="S4" s="18" t="n">
        <x:v>3.78</x:v>
      </x:c>
      <x:c r="T4" s="18"/>
      <x:c r="U4" s="18"/>
      <x:c r="V4" s="18"/>
      <x:c r="W4" s="18"/>
      <x:c r="X4" s="18" t="str">
        <x:v>hours</x:v>
      </x:c>
      <x:c r="Y4" s="18" t="str">
        <x:v>0.014</x:v>
      </x:c>
      <x:c r="Z4" s="18" t="str">
        <x:v>MD</x:v>
      </x:c>
      <x:c r="AA4" s="18" t="n">
        <x:v>-1.7800000000000011</x:v>
      </x:c>
      <x:c r="AB4" s="18" t="str">
        <x:v>INCLUDE</x:v>
      </x:c>
      <x:c r="AC4" s="18" t="str">
        <x:v>Source-valid first-flatus/ileus endpoint; retain reported distribution (mean/SD, median/IQR, or events).</x:v>
      </x:c>
      <x:c r="AD4" s="18"/>
      <x:c r="AE4" s="18" t="str">
        <x:v>None</x:v>
      </x:c>
      <x:c r="AF4" s="18" t="str">
        <x:v>High</x:v>
      </x:c>
      <x:c r="AG4" s="18" t="str">
        <x:v>Yes — selected RoB is for a different result/timepoint</x:v>
      </x:c>
      <x:c r="AH4" s="18" t="str">
        <x:v>Zhou 2025</x:v>
      </x:c>
      <x:c r="AI4" s="18" t="str">
        <x:v>Primary eligible contrast</x:v>
      </x:c>
      <x:c r="AJ4" s="18" t="str">
        <x:v>Count this study once per synthesis unless a valid multi-arm method is used.</x:v>
      </x:c>
      <x:c r="AK4" s="18" t="str">
        <x:v>Ascertainment mechanism should be considered in RoB because participant sensory blinding may be imperfect</x:v>
      </x:c>
      <x:c r="AL4" s="18" t="str">
        <x:v>https://drive.google.com/file/d/1gpNBuoukUttXKWiAAeZSqdIaaHSMOwDU/view?usp=drivesdk</x:v>
      </x:c>
    </x:row>
    <x:row r="5">
      <x:c r="A5" s="18" t="str">
        <x:v>Yang 2024</x:v>
      </x:c>
      <x:c r="B5" s="18" t="str">
        <x:v>YANG24_EA_vs_UC_FLATUS</x:v>
      </x:c>
      <x:c r="C5" s="18" t="str">
        <x:v>Perioperative EA + usual care</x:v>
      </x:c>
      <x:c r="D5" s="18" t="str">
        <x:v>Usual care</x:v>
      </x:c>
      <x:c r="E5" s="18" t="str">
        <x:v>Time to first flatus</x:v>
      </x:c>
      <x:c r="F5" s="18" t="str">
        <x:v>Postoperative</x:v>
      </x:c>
      <x:c r="G5" s="18" t="str">
        <x:v>Mean/SD</x:v>
      </x:c>
      <x:c r="H5" s="18" t="n">
        <x:v>90</x:v>
      </x:c>
      <x:c r="I5" s="18" t="n">
        <x:v>90</x:v>
      </x:c>
      <x:c r="J5" s="18" t="n">
        <x:v>90</x:v>
      </x:c>
      <x:c r="K5" s="18" t="n">
        <x:v>90</x:v>
      </x:c>
      <x:c r="L5" s="18" t="n">
        <x:v>15.4</x:v>
      </x:c>
      <x:c r="M5" s="18" t="n">
        <x:v>3.2</x:v>
      </x:c>
      <x:c r="N5" s="18"/>
      <x:c r="O5" s="18"/>
      <x:c r="P5" s="18"/>
      <x:c r="Q5" s="18"/>
      <x:c r="R5" s="18" t="n">
        <x:v>17</x:v>
      </x:c>
      <x:c r="S5" s="18" t="n">
        <x:v>3.7</x:v>
      </x:c>
      <x:c r="T5" s="18"/>
      <x:c r="U5" s="18"/>
      <x:c r="V5" s="18"/>
      <x:c r="W5" s="18"/>
      <x:c r="X5" s="18" t="str">
        <x:v>hours</x:v>
      </x:c>
      <x:c r="Y5" s="18" t="str">
        <x:v>0.004</x:v>
      </x:c>
      <x:c r="Z5" s="18" t="str">
        <x:v>MD</x:v>
      </x:c>
      <x:c r="AA5" s="18" t="n">
        <x:v>-1.5999999999999996</x:v>
      </x:c>
      <x:c r="AB5" s="18" t="str">
        <x:v>INCLUDE</x:v>
      </x:c>
      <x:c r="AC5" s="18" t="str">
        <x:v>Source-valid first-flatus/ileus endpoint; retain reported distribution (mean/SD, median/IQR, or events).</x:v>
      </x:c>
      <x:c r="AD5" s="18"/>
      <x:c r="AE5" s="18" t="str">
        <x:v>None</x:v>
      </x:c>
      <x:c r="AF5" s="18" t="str">
        <x:v>Some concerns</x:v>
      </x:c>
      <x:c r="AG5" s="18" t="str">
        <x:v>Yes — selected RoB is for a different result/timepoint</x:v>
      </x:c>
      <x:c r="AH5" s="18" t="str">
        <x:v>Yang 2024</x:v>
      </x:c>
      <x:c r="AI5" s="18" t="str">
        <x:v>Primary eligible contrast</x:v>
      </x:c>
      <x:c r="AJ5" s="18" t="str">
        <x:v>Count this study once per synthesis unless a valid multi-arm method is used.</x:v>
      </x:c>
      <x:c r="AK5" s="18" t="str">
        <x:v>Open-label participants; outcome assessor blinded</x:v>
      </x:c>
      <x:c r="AL5" s="18" t="str">
        <x:v>https://drive.google.com/file/d/160N3psd5tLEphwXHJzUEZ3uJfaIXcs5V/view?usp=drivesdk</x:v>
      </x:c>
    </x:row>
    <x:row r="6">
      <x:c r="A6" s="18" t="str">
        <x:v>Yang 2024</x:v>
      </x:c>
      <x:c r="B6" s="18" t="str">
        <x:v>YANG24_EA_vs_UC_DEFEC</x:v>
      </x:c>
      <x:c r="C6" s="18" t="str">
        <x:v>Perioperative EA + usual care</x:v>
      </x:c>
      <x:c r="D6" s="18" t="str">
        <x:v>Usual care</x:v>
      </x:c>
      <x:c r="E6" s="18" t="str">
        <x:v>Time to first defecation</x:v>
      </x:c>
      <x:c r="F6" s="18" t="str">
        <x:v>Postoperative</x:v>
      </x:c>
      <x:c r="G6" s="18" t="str">
        <x:v>Mean/SD</x:v>
      </x:c>
      <x:c r="H6" s="18" t="n">
        <x:v>90</x:v>
      </x:c>
      <x:c r="I6" s="18" t="n">
        <x:v>90</x:v>
      </x:c>
      <x:c r="J6" s="18" t="n">
        <x:v>90</x:v>
      </x:c>
      <x:c r="K6" s="18" t="n">
        <x:v>90</x:v>
      </x:c>
      <x:c r="L6" s="18" t="n">
        <x:v>75.9</x:v>
      </x:c>
      <x:c r="M6" s="18" t="n">
        <x:v>7.9</x:v>
      </x:c>
      <x:c r="N6" s="18"/>
      <x:c r="O6" s="18"/>
      <x:c r="P6" s="18"/>
      <x:c r="Q6" s="18"/>
      <x:c r="R6" s="18" t="n">
        <x:v>79.7</x:v>
      </x:c>
      <x:c r="S6" s="18" t="n">
        <x:v>8.1</x:v>
      </x:c>
      <x:c r="T6" s="18"/>
      <x:c r="U6" s="18"/>
      <x:c r="V6" s="18"/>
      <x:c r="W6" s="18"/>
      <x:c r="X6" s="18" t="str">
        <x:v>hours</x:v>
      </x:c>
      <x:c r="Y6" s="18" t="str">
        <x:v>0.002</x:v>
      </x:c>
      <x:c r="Z6" s="18" t="str">
        <x:v>MD</x:v>
      </x:c>
      <x:c r="AA6" s="18" t="n">
        <x:v>-3.799999999999997</x:v>
      </x:c>
      <x:c r="AB6" s="18" t="str">
        <x:v>INCLUDE — SECONDARY GI</x:v>
      </x:c>
      <x:c r="AC6" s="18" t="str">
        <x:v>Source-valid GI recovery outcome; analyze separately by outcome definition.</x:v>
      </x:c>
      <x:c r="AD6" s="18"/>
      <x:c r="AE6" s="18" t="str">
        <x:v>None</x:v>
      </x:c>
      <x:c r="AF6" s="18" t="str">
        <x:v>Some concerns</x:v>
      </x:c>
      <x:c r="AG6" s="18" t="str">
        <x:v>Yes — selected RoB is for a different result/timepoint</x:v>
      </x:c>
      <x:c r="AH6" s="18" t="str">
        <x:v>Yang 2024</x:v>
      </x:c>
      <x:c r="AI6" s="18" t="str">
        <x:v>Primary eligible contrast</x:v>
      </x:c>
      <x:c r="AJ6" s="18" t="str">
        <x:v>Count this study once per synthesis unless a valid multi-arm method is used.</x:v>
      </x:c>
      <x:c r="AK6" s="18" t="str">
        <x:v>Open-label participants; outcome assessor blinded</x:v>
      </x:c>
      <x:c r="AL6" s="18" t="str">
        <x:v>https://drive.google.com/file/d/160N3psd5tLEphwXHJzUEZ3uJfaIXcs5V/view?usp=drivesdk</x:v>
      </x:c>
    </x:row>
    <x:row r="7">
      <x:c r="A7" s="18" t="str">
        <x:v>Xing 2022</x:v>
      </x:c>
      <x:c r="B7" s="18" t="str">
        <x:v>XING22_NTG_vs_NG_FLATUS</x:v>
      </x:c>
      <x:c r="C7" s="18" t="str">
        <x:v>TEAS + active TAPB</x:v>
      </x:c>
      <x:c r="D7" s="18" t="str">
        <x:v>Sham TEAS + active TAPB</x:v>
      </x:c>
      <x:c r="E7" s="18" t="str">
        <x:v>Time to first flatus</x:v>
      </x:c>
      <x:c r="F7" s="18" t="str">
        <x:v>Postoperative</x:v>
      </x:c>
      <x:c r="G7" s="18" t="str">
        <x:v>Mean/SD</x:v>
      </x:c>
      <x:c r="H7" s="18" t="n">
        <x:v>30</x:v>
      </x:c>
      <x:c r="I7" s="18" t="n">
        <x:v>30</x:v>
      </x:c>
      <x:c r="J7" s="18" t="n">
        <x:v>29</x:v>
      </x:c>
      <x:c r="K7" s="18" t="n">
        <x:v>29</x:v>
      </x:c>
      <x:c r="L7" s="18" t="n">
        <x:v>32.57</x:v>
      </x:c>
      <x:c r="M7" s="18" t="n">
        <x:v>6.94</x:v>
      </x:c>
      <x:c r="N7" s="18"/>
      <x:c r="O7" s="18"/>
      <x:c r="P7" s="18"/>
      <x:c r="Q7" s="18"/>
      <x:c r="R7" s="18" t="n">
        <x:v>36.83</x:v>
      </x:c>
      <x:c r="S7" s="18" t="n">
        <x:v>6.19</x:v>
      </x:c>
      <x:c r="T7" s="18"/>
      <x:c r="U7" s="18"/>
      <x:c r="V7" s="18"/>
      <x:c r="W7" s="18"/>
      <x:c r="X7" s="18" t="str">
        <x:v>hours</x:v>
      </x:c>
      <x:c r="Y7" s="18" t="str">
        <x:v>&lt;0.05 pairwise</x:v>
      </x:c>
      <x:c r="Z7" s="18" t="str">
        <x:v>MD</x:v>
      </x:c>
      <x:c r="AA7" s="18" t="n">
        <x:v>-4.259999999999998</x:v>
      </x:c>
      <x:c r="AB7" s="18" t="str">
        <x:v>INCLUDE</x:v>
      </x:c>
      <x:c r="AC7" s="18" t="str">
        <x:v>Source-valid first-flatus/ileus endpoint; retain reported distribution (mean/SD, median/IQR, or events).</x:v>
      </x:c>
      <x:c r="AD7" s="18"/>
      <x:c r="AE7" s="18" t="str">
        <x:v>None</x:v>
      </x:c>
      <x:c r="AF7" s="18" t="str">
        <x:v>Some concerns</x:v>
      </x:c>
      <x:c r="AG7" s="18" t="str">
        <x:v>Yes — selected RoB is for a different result/timepoint</x:v>
      </x:c>
      <x:c r="AH7" s="18" t="str">
        <x:v>Xing 2022</x:v>
      </x:c>
      <x:c r="AI7" s="18" t="str">
        <x:v>Shared-control / multi-arm contrast</x:v>
      </x:c>
      <x:c r="AJ7" s="18" t="str">
        <x:v>Shared comparator present; avoid double-counting controls.</x:v>
      </x:c>
      <x:c r="AK7" s="18" t="str">
        <x:v>Three-arm study; use NTG vs NG for incremental TEAS effect</x:v>
      </x:c>
      <x:c r="AL7" s="18" t="str">
        <x:v>https://drive.google.com/file/d/1h3IGpQ56nSh7H16xBEVyTzCBkWOXRSxK/view?usp=drivesdk</x:v>
      </x:c>
    </x:row>
    <x:row r="8">
      <x:c r="A8" s="18" t="str">
        <x:v>Wang 2023</x:v>
      </x:c>
      <x:c r="B8" s="18" t="str">
        <x:v>WANG23_TEAS_vs_SHAM_FLATUS</x:v>
      </x:c>
      <x:c r="C8" s="18" t="str">
        <x:v>Nighttime TEAS</x:v>
      </x:c>
      <x:c r="D8" s="18" t="str">
        <x:v>Sham/no current</x:v>
      </x:c>
      <x:c r="E8" s="18" t="str">
        <x:v>Time to first flatus</x:v>
      </x:c>
      <x:c r="F8" s="18" t="str">
        <x:v>Postoperative</x:v>
      </x:c>
      <x:c r="G8" s="18" t="str">
        <x:v>Mean/SD</x:v>
      </x:c>
      <x:c r="H8" s="18" t="n">
        <x:v>43</x:v>
      </x:c>
      <x:c r="I8" s="18" t="n">
        <x:v>45</x:v>
      </x:c>
      <x:c r="J8" s="18" t="n">
        <x:v>40</x:v>
      </x:c>
      <x:c r="K8" s="18" t="n">
        <x:v>43</x:v>
      </x:c>
      <x:c r="L8" s="18" t="n">
        <x:v>54.57</x:v>
      </x:c>
      <x:c r="M8" s="18" t="n">
        <x:v>16.62</x:v>
      </x:c>
      <x:c r="N8" s="18"/>
      <x:c r="O8" s="18"/>
      <x:c r="P8" s="18"/>
      <x:c r="Q8" s="18"/>
      <x:c r="R8" s="18" t="n">
        <x:v>60.7</x:v>
      </x:c>
      <x:c r="S8" s="18" t="n">
        <x:v>19.1</x:v>
      </x:c>
      <x:c r="T8" s="18"/>
      <x:c r="U8" s="18"/>
      <x:c r="V8" s="18"/>
      <x:c r="W8" s="18"/>
      <x:c r="X8" s="18" t="str">
        <x:v>hours</x:v>
      </x:c>
      <x:c r="Y8" s="18" t="str">
        <x:v>0.124</x:v>
      </x:c>
      <x:c r="Z8" s="18" t="str">
        <x:v>MD</x:v>
      </x:c>
      <x:c r="AA8" s="18" t="n">
        <x:v>-6.130000000000003</x:v>
      </x:c>
      <x:c r="AB8" s="18" t="str">
        <x:v>INCLUDE</x:v>
      </x:c>
      <x:c r="AC8" s="18" t="str">
        <x:v>Source-valid first-flatus/ileus endpoint; retain reported distribution (mean/SD, median/IQR, or events).</x:v>
      </x:c>
      <x:c r="AD8" s="18"/>
      <x:c r="AE8" s="18" t="str">
        <x:v>None</x:v>
      </x:c>
      <x:c r="AF8" s="18" t="str">
        <x:v>High</x:v>
      </x:c>
      <x:c r="AG8" s="18" t="str">
        <x:v>Yes — selected RoB is for a different result/timepoint</x:v>
      </x:c>
      <x:c r="AH8" s="18" t="str">
        <x:v>Wang 2023</x:v>
      </x:c>
      <x:c r="AI8" s="18" t="str">
        <x:v>Primary eligible contrast</x:v>
      </x:c>
      <x:c r="AJ8" s="18" t="str">
        <x:v>Count this study once per synthesis unless a valid multi-arm method is used.</x:v>
      </x:c>
      <x:c r="AK8" s="18" t="str">
        <x:v>5/88 randomized participants excluded for protocol breaches; no full ITT</x:v>
      </x:c>
      <x:c r="AL8" s="18" t="str">
        <x:v>https://drive.google.com/file/d/177A4aH42GD90DhsvvtD-VOBSChBBpIWL/view?usp=drivesdk</x:v>
      </x:c>
    </x:row>
    <x:row r="9">
      <x:c r="A9" s="18" t="str">
        <x:v>Ng 2013</x:v>
      </x:c>
      <x:c r="B9" s="18" t="str">
        <x:v>NG13_EA_vs_SHAM_BOWEL</x:v>
      </x:c>
      <x:c r="C9" s="18" t="str">
        <x:v>Electroacupuncture</x:v>
      </x:c>
      <x:c r="D9" s="18" t="str">
        <x:v>Sham acupuncture</x:v>
      </x:c>
      <x:c r="E9" s="18" t="str">
        <x:v>Time to first bowel motion / defecation</x:v>
      </x:c>
      <x:c r="F9" s="18" t="str">
        <x:v>Postoperative</x:v>
      </x:c>
      <x:c r="G9" s="18" t="str">
        <x:v>Mean/SD</x:v>
      </x:c>
      <x:c r="H9" s="18" t="n">
        <x:v>55</x:v>
      </x:c>
      <x:c r="I9" s="18" t="n">
        <x:v>55</x:v>
      </x:c>
      <x:c r="J9" s="18" t="n">
        <x:v>55</x:v>
      </x:c>
      <x:c r="K9" s="18" t="n">
        <x:v>55</x:v>
      </x:c>
      <x:c r="L9" s="18" t="n">
        <x:v>85.9</x:v>
      </x:c>
      <x:c r="M9" s="18" t="n">
        <x:v>36.1</x:v>
      </x:c>
      <x:c r="N9" s="18"/>
      <x:c r="O9" s="18"/>
      <x:c r="P9" s="18"/>
      <x:c r="Q9" s="18"/>
      <x:c r="R9" s="18" t="n">
        <x:v>107.5</x:v>
      </x:c>
      <x:c r="S9" s="18" t="n">
        <x:v>46.2</x:v>
      </x:c>
      <x:c r="T9" s="18"/>
      <x:c r="U9" s="18"/>
      <x:c r="V9" s="18"/>
      <x:c r="W9" s="18"/>
      <x:c r="X9" s="18" t="str">
        <x:v>hours</x:v>
      </x:c>
      <x:c r="Y9" s="18" t="str">
        <x:v>0.007</x:v>
      </x:c>
      <x:c r="Z9" s="18" t="str">
        <x:v>MD</x:v>
      </x:c>
      <x:c r="AA9" s="18" t="n">
        <x:v>-21.599999999999994</x:v>
      </x:c>
      <x:c r="AB9" s="18" t="str">
        <x:v>INCLUDE — SECONDARY GI</x:v>
      </x:c>
      <x:c r="AC9" s="18" t="str">
        <x:v>Source-valid GI recovery outcome; analyze separately by outcome definition.</x:v>
      </x:c>
      <x:c r="AD9" s="18"/>
      <x:c r="AE9" s="18" t="str">
        <x:v>None</x:v>
      </x:c>
      <x:c r="AF9" s="18" t="str">
        <x:v>Some concerns</x:v>
      </x:c>
      <x:c r="AG9" s="18" t="str">
        <x:v>Yes — selected RoB is for a different result/timepoint</x:v>
      </x:c>
      <x:c r="AH9" s="18" t="str">
        <x:v>Ng 2013</x:v>
      </x:c>
      <x:c r="AI9" s="18" t="str">
        <x:v>Shared-control / multi-arm contrast</x:v>
      </x:c>
      <x:c r="AJ9" s="18" t="str">
        <x:v>Shared comparator present; avoid double-counting controls.</x:v>
      </x:c>
      <x:c r="AK9" s="18" t="str">
        <x:v>Allocation used sealed nonopaque envelopes; EA-vs-sham participants and outcome assessors were blinded</x:v>
      </x:c>
      <x:c r="AL9" s="18" t="str">
        <x:v>https://drive.google.com/file/d/1R1zCiyfWvuSp99Hi2U_K1__8kgdi90gd/view?usp=drivesdk</x:v>
      </x:c>
    </x:row>
    <x:row r="10">
      <x:c r="A10" s="18" t="str">
        <x:v>Ng 2013</x:v>
      </x:c>
      <x:c r="B10" s="18" t="str">
        <x:v>NG13_EA_vs_NOACU_BOWEL</x:v>
      </x:c>
      <x:c r="C10" s="18" t="str">
        <x:v>Electroacupuncture</x:v>
      </x:c>
      <x:c r="D10" s="18" t="str">
        <x:v>No acupuncture</x:v>
      </x:c>
      <x:c r="E10" s="18" t="str">
        <x:v>Time to first bowel motion / defecation</x:v>
      </x:c>
      <x:c r="F10" s="18" t="str">
        <x:v>Postoperative</x:v>
      </x:c>
      <x:c r="G10" s="18" t="str">
        <x:v>Mean/SD</x:v>
      </x:c>
      <x:c r="H10" s="18" t="n">
        <x:v>55</x:v>
      </x:c>
      <x:c r="I10" s="18" t="n">
        <x:v>55</x:v>
      </x:c>
      <x:c r="J10" s="18" t="n">
        <x:v>55</x:v>
      </x:c>
      <x:c r="K10" s="18" t="n">
        <x:v>55</x:v>
      </x:c>
      <x:c r="L10" s="18" t="n">
        <x:v>85.9</x:v>
      </x:c>
      <x:c r="M10" s="18" t="n">
        <x:v>36.1</x:v>
      </x:c>
      <x:c r="N10" s="18"/>
      <x:c r="O10" s="18"/>
      <x:c r="P10" s="18"/>
      <x:c r="Q10" s="18"/>
      <x:c r="R10" s="18" t="n">
        <x:v>122.1</x:v>
      </x:c>
      <x:c r="S10" s="18" t="n">
        <x:v>53.5</x:v>
      </x:c>
      <x:c r="T10" s="18"/>
      <x:c r="U10" s="18"/>
      <x:c r="V10" s="18"/>
      <x:c r="W10" s="18"/>
      <x:c r="X10" s="18" t="str">
        <x:v>hours</x:v>
      </x:c>
      <x:c r="Y10" s="18" t="str">
        <x:v>&lt;0.001</x:v>
      </x:c>
      <x:c r="Z10" s="18" t="str">
        <x:v>MD</x:v>
      </x:c>
      <x:c r="AA10" s="18" t="n">
        <x:v>-36.19999999999999</x:v>
      </x:c>
      <x:c r="AB10" s="18" t="str">
        <x:v>INCLUDE — SECONDARY GI</x:v>
      </x:c>
      <x:c r="AC10" s="18" t="str">
        <x:v>Source-valid GI recovery outcome; analyze separately by outcome definition.</x:v>
      </x:c>
      <x:c r="AD10" s="18"/>
      <x:c r="AE10" s="18" t="str">
        <x:v>None</x:v>
      </x:c>
      <x:c r="AF10" s="18" t="str">
        <x:v>Some concerns</x:v>
      </x:c>
      <x:c r="AG10" s="18" t="str">
        <x:v>Yes — selected RoB is for a different result/timepoint</x:v>
      </x:c>
      <x:c r="AH10" s="18" t="str">
        <x:v>Ng 2013</x:v>
      </x:c>
      <x:c r="AI10" s="18" t="str">
        <x:v>Shared-control / multi-arm contrast</x:v>
      </x:c>
      <x:c r="AJ10" s="18" t="str">
        <x:v>Shared comparator present; avoid double-counting controls.</x:v>
      </x:c>
      <x:c r="AK10" s="18" t="str">
        <x:v>No-acupuncture group could not be participant blinded</x:v>
      </x:c>
      <x:c r="AL10" s="18" t="str">
        <x:v>https://drive.google.com/file/d/1R1zCiyfWvuSp99Hi2U_K1__8kgdi90gd/view?usp=drivesdk</x:v>
      </x:c>
    </x:row>
    <x:row r="11">
      <x:c r="A11" s="18" t="str">
        <x:v>Ng 2013</x:v>
      </x:c>
      <x:c r="B11" s="18" t="str">
        <x:v>NG13_EA_vs_SHAM_FLATUS</x:v>
      </x:c>
      <x:c r="C11" s="18" t="str">
        <x:v>Electroacupuncture</x:v>
      </x:c>
      <x:c r="D11" s="18" t="str">
        <x:v>Sham acupuncture</x:v>
      </x:c>
      <x:c r="E11" s="18" t="str">
        <x:v>Time to first flatus</x:v>
      </x:c>
      <x:c r="F11" s="18" t="str">
        <x:v>Postoperative</x:v>
      </x:c>
      <x:c r="G11" s="18" t="str">
        <x:v>Mean/SD</x:v>
      </x:c>
      <x:c r="H11" s="18" t="n">
        <x:v>55</x:v>
      </x:c>
      <x:c r="I11" s="18" t="n">
        <x:v>55</x:v>
      </x:c>
      <x:c r="J11" s="18" t="n">
        <x:v>55</x:v>
      </x:c>
      <x:c r="K11" s="18" t="n">
        <x:v>55</x:v>
      </x:c>
      <x:c r="L11" s="18" t="n">
        <x:v>2</x:v>
      </x:c>
      <x:c r="M11" s="18" t="n">
        <x:v>0.9</x:v>
      </x:c>
      <x:c r="N11" s="18"/>
      <x:c r="O11" s="18"/>
      <x:c r="P11" s="18"/>
      <x:c r="Q11" s="18"/>
      <x:c r="R11" s="18" t="n">
        <x:v>2.3</x:v>
      </x:c>
      <x:c r="S11" s="18" t="n">
        <x:v>1.1</x:v>
      </x:c>
      <x:c r="T11" s="18"/>
      <x:c r="U11" s="18"/>
      <x:c r="V11" s="18"/>
      <x:c r="W11" s="18"/>
      <x:c r="X11" s="18" t="str">
        <x:v>days</x:v>
      </x:c>
      <x:c r="Y11" s="18" t="str">
        <x:v>0.095</x:v>
      </x:c>
      <x:c r="Z11" s="18" t="str">
        <x:v>MD</x:v>
      </x:c>
      <x:c r="AA11" s="18" t="n">
        <x:v>-0.2999999999999998</x:v>
      </x:c>
      <x:c r="AB11" s="18" t="str">
        <x:v>INCLUDE</x:v>
      </x:c>
      <x:c r="AC11" s="18" t="str">
        <x:v>Source-valid first-flatus/ileus endpoint; retain reported distribution (mean/SD, median/IQR, or events).</x:v>
      </x:c>
      <x:c r="AD11" s="18"/>
      <x:c r="AE11" s="18" t="str">
        <x:v>None</x:v>
      </x:c>
      <x:c r="AF11" s="18" t="str">
        <x:v>Some concerns</x:v>
      </x:c>
      <x:c r="AG11" s="18" t="str">
        <x:v>Yes — selected RoB is for a different result/timepoint</x:v>
      </x:c>
      <x:c r="AH11" s="18" t="str">
        <x:v>Ng 2013</x:v>
      </x:c>
      <x:c r="AI11" s="18" t="str">
        <x:v>Shared-control / multi-arm contrast</x:v>
      </x:c>
      <x:c r="AJ11" s="18" t="str">
        <x:v>Shared comparator present; avoid double-counting controls.</x:v>
      </x:c>
      <x:c r="AK11" s="18" t="str">
        <x:v>No statistically significant EA-vs-sham difference</x:v>
      </x:c>
      <x:c r="AL11" s="18" t="str">
        <x:v>https://drive.google.com/file/d/1R1zCiyfWvuSp99Hi2U_K1__8kgdi90gd/view?usp=drivesdk</x:v>
      </x:c>
    </x:row>
    <x:row r="12">
      <x:c r="A12" s="18" t="str">
        <x:v>Lu 2022</x:v>
      </x:c>
      <x:c r="B12" s="18" t="str">
        <x:v>LU22_TEAS_vs_CTRL_FLATUS</x:v>
      </x:c>
      <x:c r="C12" s="18" t="str">
        <x:v>TEAS + ERAS</x:v>
      </x:c>
      <x:c r="D12" s="18" t="str">
        <x:v>No-current control + ERAS</x:v>
      </x:c>
      <x:c r="E12" s="18" t="str">
        <x:v>Time to first flatus</x:v>
      </x:c>
      <x:c r="F12" s="18" t="str">
        <x:v>Postoperative</x:v>
      </x:c>
      <x:c r="G12" s="18" t="str">
        <x:v>Mean/SD</x:v>
      </x:c>
      <x:c r="H12" s="18" t="n">
        <x:v>50</x:v>
      </x:c>
      <x:c r="I12" s="18" t="n">
        <x:v>50</x:v>
      </x:c>
      <x:c r="J12" s="18" t="n">
        <x:v>47</x:v>
      </x:c>
      <x:c r="K12" s="18" t="n">
        <x:v>47</x:v>
      </x:c>
      <x:c r="L12" s="18" t="n">
        <x:v>34.5</x:v>
      </x:c>
      <x:c r="M12" s="18" t="n">
        <x:v>16.7</x:v>
      </x:c>
      <x:c r="N12" s="18"/>
      <x:c r="O12" s="18"/>
      <x:c r="P12" s="18"/>
      <x:c r="Q12" s="18"/>
      <x:c r="R12" s="18" t="n">
        <x:v>42.4</x:v>
      </x:c>
      <x:c r="S12" s="18" t="n">
        <x:v>22.9</x:v>
      </x:c>
      <x:c r="T12" s="18"/>
      <x:c r="U12" s="18"/>
      <x:c r="V12" s="18"/>
      <x:c r="W12" s="18"/>
      <x:c r="X12" s="18" t="str">
        <x:v>hours</x:v>
      </x:c>
      <x:c r="Y12" s="18" t="str">
        <x:v>0.03</x:v>
      </x:c>
      <x:c r="Z12" s="18" t="str">
        <x:v>MD</x:v>
      </x:c>
      <x:c r="AA12" s="18" t="n">
        <x:v>-7.899999999999999</x:v>
      </x:c>
      <x:c r="AB12" s="18" t="str">
        <x:v>INCLUDE</x:v>
      </x:c>
      <x:c r="AC12" s="18" t="str">
        <x:v>Source-valid first-flatus/ileus endpoint; retain reported distribution (mean/SD, median/IQR, or events).</x:v>
      </x:c>
      <x:c r="AD12" s="18"/>
      <x:c r="AE12" s="18" t="str">
        <x:v>None</x:v>
      </x:c>
      <x:c r="AF12" s="18" t="str">
        <x:v>High</x:v>
      </x:c>
      <x:c r="AG12" s="18" t="str">
        <x:v>Yes — selected RoB is for a different result/timepoint</x:v>
      </x:c>
      <x:c r="AH12" s="18" t="str">
        <x:v>Lu 2022</x:v>
      </x:c>
      <x:c r="AI12" s="18" t="str">
        <x:v>Primary eligible contrast</x:v>
      </x:c>
      <x:c r="AJ12" s="18" t="str">
        <x:v>Count this study once per synthesis unless a valid multi-arm method is used.</x:v>
      </x:c>
      <x:c r="AK12" s="18" t="str">
        <x:v>Same 6 post-randomization exclusions apply</x:v>
      </x:c>
      <x:c r="AL12" s="18" t="str">
        <x:v>https://drive.google.com/file/d/12Y86huNMuLC8cPH-L2vwlEd7r1X1Qela/view?usp=drivesdk</x:v>
      </x:c>
    </x:row>
    <x:row r="13">
      <x:c r="A13" s="18" t="str">
        <x:v>Lu 2022</x:v>
      </x:c>
      <x:c r="B13" s="18" t="str">
        <x:v>LU22_TEAS_vs_CTRL_DEFEC</x:v>
      </x:c>
      <x:c r="C13" s="18" t="str">
        <x:v>TEAS + ERAS</x:v>
      </x:c>
      <x:c r="D13" s="18" t="str">
        <x:v>No-current control + ERAS</x:v>
      </x:c>
      <x:c r="E13" s="18" t="str">
        <x:v>Time to first defecation</x:v>
      </x:c>
      <x:c r="F13" s="18" t="str">
        <x:v>Postoperative</x:v>
      </x:c>
      <x:c r="G13" s="18" t="str">
        <x:v>Mean/SD</x:v>
      </x:c>
      <x:c r="H13" s="18" t="n">
        <x:v>50</x:v>
      </x:c>
      <x:c r="I13" s="18" t="n">
        <x:v>50</x:v>
      </x:c>
      <x:c r="J13" s="18" t="n">
        <x:v>47</x:v>
      </x:c>
      <x:c r="K13" s="18" t="n">
        <x:v>47</x:v>
      </x:c>
      <x:c r="L13" s="18" t="n">
        <x:v>42</x:v>
      </x:c>
      <x:c r="M13" s="18" t="n">
        <x:v>25</x:v>
      </x:c>
      <x:c r="N13" s="18"/>
      <x:c r="O13" s="18"/>
      <x:c r="P13" s="18"/>
      <x:c r="Q13" s="18"/>
      <x:c r="R13" s="18" t="n">
        <x:v>55.4</x:v>
      </x:c>
      <x:c r="S13" s="18" t="n">
        <x:v>29.7</x:v>
      </x:c>
      <x:c r="T13" s="18"/>
      <x:c r="U13" s="18"/>
      <x:c r="V13" s="18"/>
      <x:c r="W13" s="18"/>
      <x:c r="X13" s="18" t="str">
        <x:v>hours</x:v>
      </x:c>
      <x:c r="Y13" s="18" t="str">
        <x:v>0.03</x:v>
      </x:c>
      <x:c r="Z13" s="18" t="str">
        <x:v>MD</x:v>
      </x:c>
      <x:c r="AA13" s="18" t="n">
        <x:v>-13.399999999999999</x:v>
      </x:c>
      <x:c r="AB13" s="18" t="str">
        <x:v>INCLUDE — SECONDARY GI</x:v>
      </x:c>
      <x:c r="AC13" s="18" t="str">
        <x:v>Source-valid GI recovery outcome; analyze separately by outcome definition.</x:v>
      </x:c>
      <x:c r="AD13" s="18"/>
      <x:c r="AE13" s="18" t="str">
        <x:v>None</x:v>
      </x:c>
      <x:c r="AF13" s="18" t="str">
        <x:v>High</x:v>
      </x:c>
      <x:c r="AG13" s="18" t="str">
        <x:v>Yes — selected RoB is for a different result/timepoint</x:v>
      </x:c>
      <x:c r="AH13" s="18" t="str">
        <x:v>Lu 2022</x:v>
      </x:c>
      <x:c r="AI13" s="18" t="str">
        <x:v>Primary eligible contrast</x:v>
      </x:c>
      <x:c r="AJ13" s="18" t="str">
        <x:v>Count this study once per synthesis unless a valid multi-arm method is used.</x:v>
      </x:c>
      <x:c r="AK13" s="18" t="str">
        <x:v>Same 6 post-randomization exclusions apply</x:v>
      </x:c>
      <x:c r="AL13" s="18" t="str">
        <x:v>https://drive.google.com/file/d/12Y86huNMuLC8cPH-L2vwlEd7r1X1Qela/view?usp=drivesdk</x:v>
      </x:c>
    </x:row>
    <x:row r="14">
      <x:c r="A14" s="18" t="str">
        <x:v>Li 2021</x:v>
      </x:c>
      <x:c r="B14" s="18" t="str">
        <x:v>LI21_TEAS_vs_SHAM_BOWEL</x:v>
      </x:c>
      <x:c r="C14" s="18" t="str">
        <x:v>Perioperative TEAS</x:v>
      </x:c>
      <x:c r="D14" s="18" t="str">
        <x:v>Sham-point/no current</x:v>
      </x:c>
      <x:c r="E14" s="18" t="str">
        <x:v>Time to first bowel motion by auscultation</x:v>
      </x:c>
      <x:c r="F14" s="18" t="str">
        <x:v>Postoperative</x:v>
      </x:c>
      <x:c r="G14" s="18" t="str">
        <x:v>Median/IQR</x:v>
      </x:c>
      <x:c r="H14" s="18" t="n">
        <x:v>154</x:v>
      </x:c>
      <x:c r="I14" s="18" t="n">
        <x:v>152</x:v>
      </x:c>
      <x:c r="J14" s="18" t="n">
        <x:v>140</x:v>
      </x:c>
      <x:c r="K14" s="18" t="n">
        <x:v>140</x:v>
      </x:c>
      <x:c r="L14" s="18"/>
      <x:c r="M14" s="18"/>
      <x:c r="N14" s="18" t="n">
        <x:v>31</x:v>
      </x:c>
      <x:c r="O14" s="18" t="n">
        <x:v>18.8</x:v>
      </x:c>
      <x:c r="P14" s="18" t="n">
        <x:v>45.3</x:v>
      </x:c>
      <x:c r="Q14" s="18"/>
      <x:c r="R14" s="18"/>
      <x:c r="S14" s="18"/>
      <x:c r="T14" s="18" t="n">
        <x:v>42</x:v>
      </x:c>
      <x:c r="U14" s="18" t="n">
        <x:v>22.1</x:v>
      </x:c>
      <x:c r="V14" s="18" t="n">
        <x:v>52.4</x:v>
      </x:c>
      <x:c r="W14" s="18"/>
      <x:c r="X14" s="18" t="str">
        <x:v>hours</x:v>
      </x:c>
      <x:c r="Y14" s="18" t="str">
        <x:v>&lt;0.01</x:v>
      </x:c>
      <x:c r="Z14" s="18"/>
      <x:c r="AA14" s="18"/>
      <x:c r="AB14" s="18" t="str">
        <x:v>INCLUDE — SECONDARY GI</x:v>
      </x:c>
      <x:c r="AC14" s="18" t="str">
        <x:v>Source-valid GI recovery outcome; analyze separately by outcome definition.</x:v>
      </x:c>
      <x:c r="AD14" s="18"/>
      <x:c r="AE14" s="18" t="str">
        <x:v>Use median/IQR-compatible meta-analysis method; do not relabel as mean/SD</x:v>
      </x:c>
      <x:c r="AF14" s="18" t="str">
        <x:v>High</x:v>
      </x:c>
      <x:c r="AG14" s="18" t="str">
        <x:v>No — selected RoB matches this result</x:v>
      </x:c>
      <x:c r="AH14" s="18" t="str">
        <x:v>Li 2021</x:v>
      </x:c>
      <x:c r="AI14" s="18" t="str">
        <x:v>Primary eligible contrast</x:v>
      </x:c>
      <x:c r="AJ14" s="18" t="str">
        <x:v>Count this study once per synthesis unless a valid multi-arm method is used.</x:v>
      </x:c>
      <x:c r="AK14" s="18" t="str">
        <x:v>26/306 randomized patients excluded in per-protocol analysis; exclusions include ICU transfer and operation cancellation</x:v>
      </x:c>
      <x:c r="AL14" s="18" t="str">
        <x:v>https://drive.google.com/file/d/1NvcLlsb17N6EMhtHs_L_WBnf40wsrtRz/view?usp=drivesdk</x:v>
      </x:c>
    </x:row>
    <x:row r="15">
      <x:c r="A15" s="18" t="str">
        <x:v>Li 2021</x:v>
      </x:c>
      <x:c r="B15" s="18" t="str">
        <x:v>LI21_TEAS_vs_SHAM_FLATUS</x:v>
      </x:c>
      <x:c r="C15" s="18" t="str">
        <x:v>Perioperative TEAS</x:v>
      </x:c>
      <x:c r="D15" s="18" t="str">
        <x:v>Sham-point/no current</x:v>
      </x:c>
      <x:c r="E15" s="18" t="str">
        <x:v>Time to first flatus</x:v>
      </x:c>
      <x:c r="F15" s="18" t="str">
        <x:v>Postoperative</x:v>
      </x:c>
      <x:c r="G15" s="18" t="str">
        <x:v>Median/IQR</x:v>
      </x:c>
      <x:c r="H15" s="18" t="n">
        <x:v>154</x:v>
      </x:c>
      <x:c r="I15" s="18" t="n">
        <x:v>152</x:v>
      </x:c>
      <x:c r="J15" s="18" t="n">
        <x:v>140</x:v>
      </x:c>
      <x:c r="K15" s="18" t="n">
        <x:v>140</x:v>
      </x:c>
      <x:c r="L15" s="18"/>
      <x:c r="M15" s="18"/>
      <x:c r="N15" s="18" t="n">
        <x:v>44</x:v>
      </x:c>
      <x:c r="O15" s="18" t="n">
        <x:v>26.5</x:v>
      </x:c>
      <x:c r="P15" s="18" t="n">
        <x:v>63.9</x:v>
      </x:c>
      <x:c r="Q15" s="18"/>
      <x:c r="R15" s="18"/>
      <x:c r="S15" s="18"/>
      <x:c r="T15" s="18" t="n">
        <x:v>64</x:v>
      </x:c>
      <x:c r="U15" s="18" t="n">
        <x:v>30</x:v>
      </x:c>
      <x:c r="V15" s="18" t="n">
        <x:v>70.6</x:v>
      </x:c>
      <x:c r="W15" s="18"/>
      <x:c r="X15" s="18" t="str">
        <x:v>hours</x:v>
      </x:c>
      <x:c r="Y15" s="18" t="str">
        <x:v>&lt;0.01</x:v>
      </x:c>
      <x:c r="Z15" s="18"/>
      <x:c r="AA15" s="18"/>
      <x:c r="AB15" s="18" t="str">
        <x:v>INCLUDE</x:v>
      </x:c>
      <x:c r="AC15" s="18" t="str">
        <x:v>Source-valid first-flatus/ileus endpoint; retain reported distribution (mean/SD, median/IQR, or events).</x:v>
      </x:c>
      <x:c r="AD15" s="18"/>
      <x:c r="AE15" s="18" t="str">
        <x:v>Use median/IQR-compatible meta-analysis method; do not relabel as mean/SD</x:v>
      </x:c>
      <x:c r="AF15" s="18" t="str">
        <x:v>High</x:v>
      </x:c>
      <x:c r="AG15" s="18" t="str">
        <x:v>Yes — selected RoB is for a different result/timepoint</x:v>
      </x:c>
      <x:c r="AH15" s="18" t="str">
        <x:v>Li 2021</x:v>
      </x:c>
      <x:c r="AI15" s="18" t="str">
        <x:v>Primary eligible contrast</x:v>
      </x:c>
      <x:c r="AJ15" s="18" t="str">
        <x:v>Count this study once per synthesis unless a valid multi-arm method is used.</x:v>
      </x:c>
      <x:c r="AK15" s="18" t="str">
        <x:v>Use PP analyzed denominators explicitly; do not fabricate mean/SD</x:v>
      </x:c>
      <x:c r="AL15" s="18" t="str">
        <x:v>https://drive.google.com/file/d/1NvcLlsb17N6EMhtHs_L_WBnf40wsrtRz/view?usp=drivesdk</x:v>
      </x:c>
    </x:row>
    <x:row r="16">
      <x:c r="A16" s="18" t="str">
        <x:v>Li 2021</x:v>
      </x:c>
      <x:c r="B16" s="18" t="str">
        <x:v>LI21_TEAS_vs_SHAM_PGD</x:v>
      </x:c>
      <x:c r="C16" s="18" t="str">
        <x:v>Perioperative TEAS</x:v>
      </x:c>
      <x:c r="D16" s="18" t="str">
        <x:v>Sham-point/no current</x:v>
      </x:c>
      <x:c r="E16" s="18" t="str">
        <x:v>Postoperative gastrointestinal dysfunction: no bowel sounds &gt;48 h</x:v>
      </x:c>
      <x:c r="F16" s="18" t="str">
        <x:v>Postoperative</x:v>
      </x:c>
      <x:c r="G16" s="18" t="str">
        <x:v>Events/total</x:v>
      </x:c>
      <x:c r="H16" s="18" t="n">
        <x:v>154</x:v>
      </x:c>
      <x:c r="I16" s="18" t="n">
        <x:v>152</x:v>
      </x:c>
      <x:c r="J16" s="18" t="n">
        <x:v>140</x:v>
      </x:c>
      <x:c r="K16" s="18" t="n">
        <x:v>140</x:v>
      </x:c>
      <x:c r="L16" s="18"/>
      <x:c r="M16" s="18"/>
      <x:c r="N16" s="18"/>
      <x:c r="O16" s="18"/>
      <x:c r="P16" s="18"/>
      <x:c r="Q16" s="18" t="n">
        <x:v>26</x:v>
      </x:c>
      <x:c r="R16" s="18"/>
      <x:c r="S16" s="18"/>
      <x:c r="T16" s="18"/>
      <x:c r="U16" s="18"/>
      <x:c r="V16" s="18"/>
      <x:c r="W16" s="18" t="n">
        <x:v>44</x:v>
      </x:c>
      <x:c r="X16" s="18" t="str">
        <x:v>participants</x:v>
      </x:c>
      <x:c r="Y16" s="18" t="str">
        <x:v>NR</x:v>
      </x:c>
      <x:c r="Z16" s="18" t="str">
        <x:v>RR</x:v>
      </x:c>
      <x:c r="AA16" s="18" t="n">
        <x:v>0.5909090909090909</x:v>
      </x:c>
      <x:c r="AB16" s="18" t="str">
        <x:v>INCLUDE — SECONDARY GI</x:v>
      </x:c>
      <x:c r="AC16" s="18" t="str">
        <x:v>Source-valid GI recovery outcome; analyze separately by outcome definition.</x:v>
      </x:c>
      <x:c r="AD16" s="18"/>
      <x:c r="AE16" s="18" t="str">
        <x:v>Binary effect measure (RR preferred per protocol)</x:v>
      </x:c>
      <x:c r="AF16" s="18" t="str">
        <x:v>High</x:v>
      </x:c>
      <x:c r="AG16" s="18" t="str">
        <x:v>Yes — selected RoB is for a different result/timepoint</x:v>
      </x:c>
      <x:c r="AH16" s="18" t="str">
        <x:v>Li 2021</x:v>
      </x:c>
      <x:c r="AI16" s="18" t="str">
        <x:v>Primary eligible contrast</x:v>
      </x:c>
      <x:c r="AJ16" s="18" t="str">
        <x:v>Count this study once per synthesis unless a valid multi-arm method is used.</x:v>
      </x:c>
      <x:c r="AK16" s="18" t="str">
        <x:v>Study-specific PGD definition; majority of events were in colorectal stratum</x:v>
      </x:c>
      <x:c r="AL16" s="18" t="str">
        <x:v>https://drive.google.com/file/d/1NvcLlsb17N6EMhtHs_L_WBnf40wsrtRz/view?usp=drivesdk</x:v>
      </x:c>
    </x:row>
    <x:row r="17">
      <x:c r="A17" s="18" t="str">
        <x:v>Jiang 2026</x:v>
      </x:c>
      <x:c r="B17" s="18" t="str">
        <x:v>JIANG26_TEAS_vs_SHAM_FLATUS_PP</x:v>
      </x:c>
      <x:c r="C17" s="18" t="str">
        <x:v>Perioperative TEAS</x:v>
      </x:c>
      <x:c r="D17" s="18" t="str">
        <x:v>Sham/no current</x:v>
      </x:c>
      <x:c r="E17" s="18" t="str">
        <x:v>Time to first flatus</x:v>
      </x:c>
      <x:c r="F17" s="18" t="str">
        <x:v>Postoperative</x:v>
      </x:c>
      <x:c r="G17" s="18" t="str">
        <x:v>Median/IQR</x:v>
      </x:c>
      <x:c r="H17" s="18" t="n">
        <x:v>308</x:v>
      </x:c>
      <x:c r="I17" s="18" t="n">
        <x:v>306</x:v>
      </x:c>
      <x:c r="J17" s="18" t="n">
        <x:v>294</x:v>
      </x:c>
      <x:c r="K17" s="18" t="n">
        <x:v>293</x:v>
      </x:c>
      <x:c r="L17" s="18"/>
      <x:c r="M17" s="18"/>
      <x:c r="N17" s="18" t="n">
        <x:v>21.5</x:v>
      </x:c>
      <x:c r="O17" s="18" t="n">
        <x:v>19</x:v>
      </x:c>
      <x:c r="P17" s="18" t="n">
        <x:v>23.5</x:v>
      </x:c>
      <x:c r="Q17" s="18"/>
      <x:c r="R17" s="18"/>
      <x:c r="S17" s="18"/>
      <x:c r="T17" s="18" t="n">
        <x:v>23.5</x:v>
      </x:c>
      <x:c r="U17" s="18" t="n">
        <x:v>21</x:v>
      </x:c>
      <x:c r="V17" s="18" t="n">
        <x:v>26</x:v>
      </x:c>
      <x:c r="W17" s="18"/>
      <x:c r="X17" s="18" t="str">
        <x:v>hours</x:v>
      </x:c>
      <x:c r="Y17" s="18" t="str">
        <x:v>&lt;0.001</x:v>
      </x:c>
      <x:c r="Z17" s="18"/>
      <x:c r="AA17" s="18"/>
      <x:c r="AB17" s="18" t="str">
        <x:v>INCLUDE</x:v>
      </x:c>
      <x:c r="AC17" s="18" t="str">
        <x:v>Source-valid first-flatus/ileus endpoint; retain reported distribution (mean/SD, median/IQR, or events).</x:v>
      </x:c>
      <x:c r="AD17" s="18"/>
      <x:c r="AE17" s="18" t="str">
        <x:v>Use median/IQR-compatible meta-analysis method; do not relabel as mean/SD</x:v>
      </x:c>
      <x:c r="AF17" s="18" t="str">
        <x:v>Some concerns</x:v>
      </x:c>
      <x:c r="AG17" s="18" t="str">
        <x:v>No — selected RoB matches this result</x:v>
      </x:c>
      <x:c r="AH17" s="18" t="str">
        <x:v>Jiang 2026</x:v>
      </x:c>
      <x:c r="AI17" s="18" t="str">
        <x:v>Primary eligible contrast</x:v>
      </x:c>
      <x:c r="AJ17" s="18" t="str">
        <x:v>Count this study once per synthesis unless a valid multi-arm method is used.</x:v>
      </x:c>
      <x:c r="AK17" s="18" t="str">
        <x:v>614 randomized but only 587 in PP. Sex/ASA baseline counts contain internal denominator errors</x:v>
      </x:c>
      <x:c r="AL17" s="18" t="str">
        <x:v>https://drive.google.com/file/d/1nujlP9A_IMWUfd3HdCD2rOxTc9-I8v92/view?usp=drivesdk</x:v>
      </x:c>
    </x:row>
    <x:row r="18">
      <x:c r="A18" s="18" t="str">
        <x:v>Jiang 2026</x:v>
      </x:c>
      <x:c r="B18" s="18" t="str">
        <x:v>JIANG26_TEAS_vs_SHAM_FLATUS_MITT</x:v>
      </x:c>
      <x:c r="C18" s="18" t="str">
        <x:v>Perioperative TEAS</x:v>
      </x:c>
      <x:c r="D18" s="18" t="str">
        <x:v>Sham/no current</x:v>
      </x:c>
      <x:c r="E18" s="18" t="str">
        <x:v>Time to first flatus</x:v>
      </x:c>
      <x:c r="F18" s="18" t="str">
        <x:v>Modified-ITT-type analysis among intervention recipients</x:v>
      </x:c>
      <x:c r="G18" s="18" t="str">
        <x:v>Median/IQR</x:v>
      </x:c>
      <x:c r="H18" s="18" t="n">
        <x:v>308</x:v>
      </x:c>
      <x:c r="I18" s="18" t="n">
        <x:v>306</x:v>
      </x:c>
      <x:c r="J18" s="18" t="n">
        <x:v>296</x:v>
      </x:c>
      <x:c r="K18" s="18" t="n">
        <x:v>297</x:v>
      </x:c>
      <x:c r="L18" s="18"/>
      <x:c r="M18" s="18"/>
      <x:c r="N18" s="18" t="n">
        <x:v>21.3</x:v>
      </x:c>
      <x:c r="O18" s="18" t="n">
        <x:v>19</x:v>
      </x:c>
      <x:c r="P18" s="18" t="n">
        <x:v>23.5</x:v>
      </x:c>
      <x:c r="Q18" s="18"/>
      <x:c r="R18" s="18"/>
      <x:c r="S18" s="18"/>
      <x:c r="T18" s="18" t="n">
        <x:v>23.4</x:v>
      </x:c>
      <x:c r="U18" s="18" t="n">
        <x:v>21</x:v>
      </x:c>
      <x:c r="V18" s="18" t="n">
        <x:v>26</x:v>
      </x:c>
      <x:c r="W18" s="18"/>
      <x:c r="X18" s="18" t="str">
        <x:v>hours</x:v>
      </x:c>
      <x:c r="Y18" s="18" t="str">
        <x:v>&lt;0.001</x:v>
      </x:c>
      <x:c r="Z18" s="18"/>
      <x:c r="AA18" s="18"/>
      <x:c r="AB18" s="18" t="str">
        <x:v>INCLUDE</x:v>
      </x:c>
      <x:c r="AC18" s="18" t="str">
        <x:v>Source-valid first-flatus/ileus endpoint; retain reported distribution (mean/SD, median/IQR, or events).</x:v>
      </x:c>
      <x:c r="AD18" s="18"/>
      <x:c r="AE18" s="18" t="str">
        <x:v>Use median/IQR-compatible meta-analysis method; do not relabel as mean/SD</x:v>
      </x:c>
      <x:c r="AF18" s="18" t="str">
        <x:v>Some concerns</x:v>
      </x:c>
      <x:c r="AG18" s="18" t="str">
        <x:v>No — selected RoB matches this result</x:v>
      </x:c>
      <x:c r="AH18" s="18" t="str">
        <x:v>Jiang 2026</x:v>
      </x:c>
      <x:c r="AI18" s="18" t="str">
        <x:v>Primary eligible contrast</x:v>
      </x:c>
      <x:c r="AJ18" s="18" t="str">
        <x:v>Count this study once per synthesis unless a valid multi-arm method is used.</x:v>
      </x:c>
      <x:c r="AK18" s="18" t="str">
        <x:v>Authors call this ITT, but it includes 593 who received allocated intervention, not all 614 randomized; 6 post-treatment missing values were conservatively imputed</x:v>
      </x:c>
      <x:c r="AL18" s="18" t="str">
        <x:v>https://drive.google.com/file/d/1nujlP9A_IMWUfd3HdCD2rOxTc9-I8v92/view?usp=drivesdk</x:v>
      </x:c>
    </x:row>
    <x:row r="19">
      <x:c r="A19" s="18" t="str">
        <x:v>Huang 2025</x:v>
      </x:c>
      <x:c r="B19" s="18" t="str">
        <x:v>HUANG25_EA_vs_UC_FLATUS</x:v>
      </x:c>
      <x:c r="C19" s="18" t="str">
        <x:v>Postoperative EA + ERAS</x:v>
      </x:c>
      <x:c r="D19" s="18" t="str">
        <x:v>ERAS/standard care</x:v>
      </x:c>
      <x:c r="E19" s="18" t="str">
        <x:v>Time to first flatus</x:v>
      </x:c>
      <x:c r="F19" s="18" t="str">
        <x:v>Postoperative</x:v>
      </x:c>
      <x:c r="G19" s="18" t="str">
        <x:v>Mean/SD</x:v>
      </x:c>
      <x:c r="H19" s="18" t="n">
        <x:v>51</x:v>
      </x:c>
      <x:c r="I19" s="18" t="n">
        <x:v>50</x:v>
      </x:c>
      <x:c r="J19" s="18" t="n">
        <x:v>43</x:v>
      </x:c>
      <x:c r="K19" s="18" t="n">
        <x:v>45</x:v>
      </x:c>
      <x:c r="L19" s="18" t="n">
        <x:v>36.4</x:v>
      </x:c>
      <x:c r="M19" s="18" t="n">
        <x:v>8</x:v>
      </x:c>
      <x:c r="N19" s="18"/>
      <x:c r="O19" s="18"/>
      <x:c r="P19" s="18"/>
      <x:c r="Q19" s="18"/>
      <x:c r="R19" s="18" t="n">
        <x:v>42.2</x:v>
      </x:c>
      <x:c r="S19" s="18" t="n">
        <x:v>8.5</x:v>
      </x:c>
      <x:c r="T19" s="18"/>
      <x:c r="U19" s="18"/>
      <x:c r="V19" s="18"/>
      <x:c r="W19" s="18"/>
      <x:c r="X19" s="18" t="str">
        <x:v>hours</x:v>
      </x:c>
      <x:c r="Y19" s="18" t="str">
        <x:v>&lt;0.001</x:v>
      </x:c>
      <x:c r="Z19" s="18" t="str">
        <x:v>MD</x:v>
      </x:c>
      <x:c r="AA19" s="18" t="n">
        <x:v>-5.800000000000004</x:v>
      </x:c>
      <x:c r="AB19" s="18" t="str">
        <x:v>INCLUDE</x:v>
      </x:c>
      <x:c r="AC19" s="18" t="str">
        <x:v>Source-valid first-flatus/ileus endpoint; retain reported distribution (mean/SD, median/IQR, or events).</x:v>
      </x:c>
      <x:c r="AD19" s="18"/>
      <x:c r="AE19" s="18" t="str">
        <x:v>None</x:v>
      </x:c>
      <x:c r="AF19" s="18" t="str">
        <x:v>High</x:v>
      </x:c>
      <x:c r="AG19" s="18" t="str">
        <x:v>No — selected RoB matches this result</x:v>
      </x:c>
      <x:c r="AH19" s="18" t="str">
        <x:v>Huang 2025</x:v>
      </x:c>
      <x:c r="AI19" s="18" t="str">
        <x:v>Primary eligible contrast</x:v>
      </x:c>
      <x:c r="AJ19" s="18" t="str">
        <x:v>Count this study once per synthesis unless a valid multi-arm method is used.</x:v>
      </x:c>
      <x:c r="AK19" s="18" t="str">
        <x:v>13/101 randomized participants excluded after randomization; no sham procedure and patient blinding is not credible for penetrating postoperative EA</x:v>
      </x:c>
      <x:c r="AL19" s="18" t="str">
        <x:v>https://drive.google.com/file/d/1VnJCbIPz8Uy1kXYCTKk7l9Zqj-rTECrY/view?usp=drivesdk</x:v>
      </x:c>
    </x:row>
    <x:row r="20">
      <x:c r="A20" s="18" t="str">
        <x:v>Huang 2025</x:v>
      </x:c>
      <x:c r="B20" s="18" t="str">
        <x:v>HUANG25_EA_vs_UC_DEFEC</x:v>
      </x:c>
      <x:c r="C20" s="18" t="str">
        <x:v>Postoperative EA + ERAS</x:v>
      </x:c>
      <x:c r="D20" s="18" t="str">
        <x:v>ERAS/standard care</x:v>
      </x:c>
      <x:c r="E20" s="18" t="str">
        <x:v>Time to first defecation</x:v>
      </x:c>
      <x:c r="F20" s="18" t="str">
        <x:v>Postoperative</x:v>
      </x:c>
      <x:c r="G20" s="18" t="str">
        <x:v>Mean/SD</x:v>
      </x:c>
      <x:c r="H20" s="18" t="n">
        <x:v>51</x:v>
      </x:c>
      <x:c r="I20" s="18" t="n">
        <x:v>50</x:v>
      </x:c>
      <x:c r="J20" s="18" t="n">
        <x:v>43</x:v>
      </x:c>
      <x:c r="K20" s="18" t="n">
        <x:v>45</x:v>
      </x:c>
      <x:c r="L20" s="18" t="n">
        <x:v>46</x:v>
      </x:c>
      <x:c r="M20" s="18" t="n">
        <x:v>8</x:v>
      </x:c>
      <x:c r="N20" s="18"/>
      <x:c r="O20" s="18"/>
      <x:c r="P20" s="18"/>
      <x:c r="Q20" s="18"/>
      <x:c r="R20" s="18" t="n">
        <x:v>51.3</x:v>
      </x:c>
      <x:c r="S20" s="18" t="n">
        <x:v>9.4</x:v>
      </x:c>
      <x:c r="T20" s="18"/>
      <x:c r="U20" s="18"/>
      <x:c r="V20" s="18"/>
      <x:c r="W20" s="18"/>
      <x:c r="X20" s="18" t="str">
        <x:v>hours</x:v>
      </x:c>
      <x:c r="Y20" s="18" t="str">
        <x:v>0.010</x:v>
      </x:c>
      <x:c r="Z20" s="18" t="str">
        <x:v>MD</x:v>
      </x:c>
      <x:c r="AA20" s="18" t="n">
        <x:v>-5.299999999999997</x:v>
      </x:c>
      <x:c r="AB20" s="18" t="str">
        <x:v>INCLUDE — SECONDARY GI</x:v>
      </x:c>
      <x:c r="AC20" s="18" t="str">
        <x:v>Source-valid GI recovery outcome; analyze separately by outcome definition.</x:v>
      </x:c>
      <x:c r="AD20" s="18"/>
      <x:c r="AE20" s="18" t="str">
        <x:v>None</x:v>
      </x:c>
      <x:c r="AF20" s="18" t="str">
        <x:v>High</x:v>
      </x:c>
      <x:c r="AG20" s="18" t="str">
        <x:v>Yes — selected RoB is for a different result/timepoint</x:v>
      </x:c>
      <x:c r="AH20" s="18" t="str">
        <x:v>Huang 2025</x:v>
      </x:c>
      <x:c r="AI20" s="18" t="str">
        <x:v>Primary eligible contrast</x:v>
      </x:c>
      <x:c r="AJ20" s="18" t="str">
        <x:v>Count this study once per synthesis unless a valid multi-arm method is used.</x:v>
      </x:c>
      <x:c r="AK20" s="18" t="str">
        <x:v>Same post-randomization exclusion and no-sham concerns apply</x:v>
      </x:c>
      <x:c r="AL20" s="18" t="str">
        <x:v>https://drive.google.com/file/d/1VnJCbIPz8Uy1kXYCTKk7l9Zqj-rTECrY/view?usp=drivesdk</x:v>
      </x:c>
    </x:row>
    <x:row r="21">
      <x:c r="A21" s="18" t="str">
        <x:v>Gu 2019</x:v>
      </x:c>
      <x:c r="B21" s="18" t="str">
        <x:v>GU19_LTEAS_vs_CTEAS_BOWEL</x:v>
      </x:c>
      <x:c r="C21" s="18" t="str">
        <x:v>Long-duration TEAS</x:v>
      </x:c>
      <x:c r="D21" s="18" t="str">
        <x:v>Sham/no-current TEAS</x:v>
      </x:c>
      <x:c r="E21" s="18" t="str">
        <x:v>Time to first bowel sounds</x:v>
      </x:c>
      <x:c r="F21" s="18" t="str">
        <x:v>Postoperative</x:v>
      </x:c>
      <x:c r="G21" s="18" t="str">
        <x:v>Mean/SD</x:v>
      </x:c>
      <x:c r="H21" s="18" t="n">
        <x:v>60</x:v>
      </x:c>
      <x:c r="I21" s="18" t="n">
        <x:v>60</x:v>
      </x:c>
      <x:c r="J21" s="18" t="n">
        <x:v>58</x:v>
      </x:c>
      <x:c r="K21" s="18" t="n">
        <x:v>59</x:v>
      </x:c>
      <x:c r="L21" s="18" t="n">
        <x:v>19.69</x:v>
      </x:c>
      <x:c r="M21" s="18" t="n">
        <x:v>7.61</x:v>
      </x:c>
      <x:c r="N21" s="18"/>
      <x:c r="O21" s="18"/>
      <x:c r="P21" s="18"/>
      <x:c r="Q21" s="18"/>
      <x:c r="R21" s="18" t="n">
        <x:v>26.58</x:v>
      </x:c>
      <x:c r="S21" s="18" t="n">
        <x:v>7.43</x:v>
      </x:c>
      <x:c r="T21" s="18"/>
      <x:c r="U21" s="18"/>
      <x:c r="V21" s="18"/>
      <x:c r="W21" s="18"/>
      <x:c r="X21" s="18" t="str">
        <x:v>hours</x:v>
      </x:c>
      <x:c r="Y21" s="18" t="str">
        <x:v>0.01</x:v>
      </x:c>
      <x:c r="Z21" s="18" t="str">
        <x:v>MD</x:v>
      </x:c>
      <x:c r="AA21" s="18" t="n">
        <x:v>-6.889999999999997</x:v>
      </x:c>
      <x:c r="AB21" s="18" t="str">
        <x:v>INCLUDE — SECONDARY GI</x:v>
      </x:c>
      <x:c r="AC21" s="18" t="str">
        <x:v>Source-valid GI recovery outcome; analyze separately by outcome definition.</x:v>
      </x:c>
      <x:c r="AD21" s="18"/>
      <x:c r="AE21" s="18" t="str">
        <x:v>None</x:v>
      </x:c>
      <x:c r="AF21" s="18" t="str">
        <x:v>Some concerns</x:v>
      </x:c>
      <x:c r="AG21" s="18" t="str">
        <x:v>Yes — selected RoB is for a different result/timepoint</x:v>
      </x:c>
      <x:c r="AH21" s="18" t="str">
        <x:v>Gu 2019</x:v>
      </x:c>
      <x:c r="AI21" s="18" t="str">
        <x:v>Primary eligible contrast</x:v>
      </x:c>
      <x:c r="AJ21" s="18" t="str">
        <x:v>Count this study once per synthesis unless a valid multi-arm method is used.</x:v>
      </x:c>
      <x:c r="AK21" s="18" t="str">
        <x:v>First flatus/defecation were patient self-recorded; bowel sounds were nurse-assessed</x:v>
      </x:c>
      <x:c r="AL21" s="18" t="str">
        <x:v>https://drive.google.com/file/d/1ipQFXfERgAVmgNKMpLkvaaecYJVSTDiw/view?usp=drivesdk</x:v>
      </x:c>
    </x:row>
    <x:row r="22">
      <x:c r="A22" s="18" t="str">
        <x:v>Gu 2019</x:v>
      </x:c>
      <x:c r="B22" s="18" t="str">
        <x:v>GU19_LTEAS_vs_CTEAS_FLATUS</x:v>
      </x:c>
      <x:c r="C22" s="18" t="str">
        <x:v>Long-duration TEAS</x:v>
      </x:c>
      <x:c r="D22" s="18" t="str">
        <x:v>Sham/no-current TEAS</x:v>
      </x:c>
      <x:c r="E22" s="18" t="str">
        <x:v>Time to first flatus</x:v>
      </x:c>
      <x:c r="F22" s="18" t="str">
        <x:v>Postoperative</x:v>
      </x:c>
      <x:c r="G22" s="18" t="str">
        <x:v>Mean/SD</x:v>
      </x:c>
      <x:c r="H22" s="18" t="n">
        <x:v>60</x:v>
      </x:c>
      <x:c r="I22" s="18" t="n">
        <x:v>60</x:v>
      </x:c>
      <x:c r="J22" s="18" t="n">
        <x:v>58</x:v>
      </x:c>
      <x:c r="K22" s="18" t="n">
        <x:v>59</x:v>
      </x:c>
      <x:c r="L22" s="18" t="n">
        <x:v>36.58</x:v>
      </x:c>
      <x:c r="M22" s="18" t="n">
        <x:v>10.75</x:v>
      </x:c>
      <x:c r="N22" s="18"/>
      <x:c r="O22" s="18"/>
      <x:c r="P22" s="18"/>
      <x:c r="Q22" s="18"/>
      <x:c r="R22" s="18" t="n">
        <x:v>43.56</x:v>
      </x:c>
      <x:c r="S22" s="18" t="n">
        <x:v>9.57</x:v>
      </x:c>
      <x:c r="T22" s="18"/>
      <x:c r="U22" s="18"/>
      <x:c r="V22" s="18"/>
      <x:c r="W22" s="18"/>
      <x:c r="X22" s="18" t="str">
        <x:v>hours</x:v>
      </x:c>
      <x:c r="Y22" s="18" t="str">
        <x:v>0.03</x:v>
      </x:c>
      <x:c r="Z22" s="18" t="str">
        <x:v>MD</x:v>
      </x:c>
      <x:c r="AA22" s="18" t="n">
        <x:v>-6.980000000000004</x:v>
      </x:c>
      <x:c r="AB22" s="18" t="str">
        <x:v>INCLUDE</x:v>
      </x:c>
      <x:c r="AC22" s="18" t="str">
        <x:v>Source-valid first-flatus/ileus endpoint; retain reported distribution (mean/SD, median/IQR, or events).</x:v>
      </x:c>
      <x:c r="AD22" s="18"/>
      <x:c r="AE22" s="18" t="str">
        <x:v>None</x:v>
      </x:c>
      <x:c r="AF22" s="18" t="str">
        <x:v>Some concerns</x:v>
      </x:c>
      <x:c r="AG22" s="18" t="str">
        <x:v>No — selected RoB matches this result</x:v>
      </x:c>
      <x:c r="AH22" s="18" t="str">
        <x:v>Gu 2019</x:v>
      </x:c>
      <x:c r="AI22" s="18" t="str">
        <x:v>Primary eligible contrast</x:v>
      </x:c>
      <x:c r="AJ22" s="18" t="str">
        <x:v>Count this study once per synthesis unless a valid multi-arm method is used.</x:v>
      </x:c>
      <x:c r="AK22" s="18" t="str">
        <x:v>First flatus/defecation were patient self-recorded; bowel sounds were nurse-assessed</x:v>
      </x:c>
      <x:c r="AL22" s="18" t="str">
        <x:v>https://drive.google.com/file/d/1ipQFXfERgAVmgNKMpLkvaaecYJVSTDiw/view?usp=drivesdk</x:v>
      </x:c>
    </x:row>
    <x:row r="23">
      <x:c r="A23" s="18" t="str">
        <x:v>Gu 2019</x:v>
      </x:c>
      <x:c r="B23" s="18" t="str">
        <x:v>GU19_LTEAS_vs_CTEAS_DEFEC</x:v>
      </x:c>
      <x:c r="C23" s="18" t="str">
        <x:v>Long-duration TEAS</x:v>
      </x:c>
      <x:c r="D23" s="18" t="str">
        <x:v>Sham/no-current TEAS</x:v>
      </x:c>
      <x:c r="E23" s="18" t="str">
        <x:v>Time to first defecation</x:v>
      </x:c>
      <x:c r="F23" s="18" t="str">
        <x:v>Postoperative</x:v>
      </x:c>
      <x:c r="G23" s="18" t="str">
        <x:v>Mean/SD</x:v>
      </x:c>
      <x:c r="H23" s="18" t="n">
        <x:v>60</x:v>
      </x:c>
      <x:c r="I23" s="18" t="n">
        <x:v>60</x:v>
      </x:c>
      <x:c r="J23" s="18" t="n">
        <x:v>58</x:v>
      </x:c>
      <x:c r="K23" s="18" t="n">
        <x:v>59</x:v>
      </x:c>
      <x:c r="L23" s="18" t="n">
        <x:v>71.48</x:v>
      </x:c>
      <x:c r="M23" s="18" t="n">
        <x:v>20.62</x:v>
      </x:c>
      <x:c r="N23" s="18"/>
      <x:c r="O23" s="18"/>
      <x:c r="P23" s="18"/>
      <x:c r="Q23" s="18"/>
      <x:c r="R23" s="18" t="n">
        <x:v>77.27</x:v>
      </x:c>
      <x:c r="S23" s="18" t="n">
        <x:v>22.67</x:v>
      </x:c>
      <x:c r="T23" s="18"/>
      <x:c r="U23" s="18"/>
      <x:c r="V23" s="18"/>
      <x:c r="W23" s="18"/>
      <x:c r="X23" s="18" t="str">
        <x:v>hours</x:v>
      </x:c>
      <x:c r="Y23" s="18" t="str">
        <x:v>0.04</x:v>
      </x:c>
      <x:c r="Z23" s="18" t="str">
        <x:v>MD</x:v>
      </x:c>
      <x:c r="AA23" s="18" t="n">
        <x:v>-5.789999999999992</x:v>
      </x:c>
      <x:c r="AB23" s="18" t="str">
        <x:v>INCLUDE — SECONDARY GI</x:v>
      </x:c>
      <x:c r="AC23" s="18" t="str">
        <x:v>Source-valid GI recovery outcome; analyze separately by outcome definition.</x:v>
      </x:c>
      <x:c r="AD23" s="18"/>
      <x:c r="AE23" s="18" t="str">
        <x:v>None</x:v>
      </x:c>
      <x:c r="AF23" s="18" t="str">
        <x:v>Some concerns</x:v>
      </x:c>
      <x:c r="AG23" s="18" t="str">
        <x:v>Yes — selected RoB is for a different result/timepoint</x:v>
      </x:c>
      <x:c r="AH23" s="18" t="str">
        <x:v>Gu 2019</x:v>
      </x:c>
      <x:c r="AI23" s="18" t="str">
        <x:v>Primary eligible contrast</x:v>
      </x:c>
      <x:c r="AJ23" s="18" t="str">
        <x:v>Count this study once per synthesis unless a valid multi-arm method is used.</x:v>
      </x:c>
      <x:c r="AK23" s="18" t="str">
        <x:v>First flatus/defecation were patient self-recorded; bowel sounds were nurse-assessed</x:v>
      </x:c>
      <x:c r="AL23" s="18" t="str">
        <x:v>https://drive.google.com/file/d/1ipQFXfERgAVmgNKMpLkvaaecYJVSTDiw/view?usp=drivesdk</x:v>
      </x:c>
    </x:row>
    <x:row r="24">
      <x:c r="A24" s="18" t="str">
        <x:v>Gao 2021</x:v>
      </x:c>
      <x:c r="B24" s="18" t="str">
        <x:v>GAO21_TEAS_vs_SHAM_POI</x:v>
      </x:c>
      <x:c r="C24" s="18" t="str">
        <x:v>Postoperative TEAS</x:v>
      </x:c>
      <x:c r="D24" s="18" t="str">
        <x:v>Sham/no-current TEAS</x:v>
      </x:c>
      <x:c r="E24" s="18" t="str">
        <x:v>Postoperative paralytic ileus: no flatus &gt;72 h</x:v>
      </x:c>
      <x:c r="F24" s="18" t="str">
        <x:v>Postoperative</x:v>
      </x:c>
      <x:c r="G24" s="18" t="str">
        <x:v>Events/total</x:v>
      </x:c>
      <x:c r="H24" s="18" t="n">
        <x:v>303</x:v>
      </x:c>
      <x:c r="I24" s="18" t="n">
        <x:v>307</x:v>
      </x:c>
      <x:c r="J24" s="18" t="n">
        <x:v>303</x:v>
      </x:c>
      <x:c r="K24" s="18" t="n">
        <x:v>307</x:v>
      </x:c>
      <x:c r="L24" s="18"/>
      <x:c r="M24" s="18"/>
      <x:c r="N24" s="18"/>
      <x:c r="O24" s="18"/>
      <x:c r="P24" s="18"/>
      <x:c r="Q24" s="18" t="n">
        <x:v>98</x:v>
      </x:c>
      <x:c r="R24" s="18"/>
      <x:c r="S24" s="18"/>
      <x:c r="T24" s="18"/>
      <x:c r="U24" s="18"/>
      <x:c r="V24" s="18"/>
      <x:c r="W24" s="18" t="n">
        <x:v>126</x:v>
      </x:c>
      <x:c r="X24" s="18" t="str">
        <x:v>participants</x:v>
      </x:c>
      <x:c r="Y24" s="18" t="str">
        <x:v>0.026</x:v>
      </x:c>
      <x:c r="Z24" s="18" t="str">
        <x:v>RR</x:v>
      </x:c>
      <x:c r="AA24" s="18" t="n">
        <x:v>0.788045471213788</x:v>
      </x:c>
      <x:c r="AB24" s="18" t="str">
        <x:v>INCLUDE</x:v>
      </x:c>
      <x:c r="AC24" s="18" t="str">
        <x:v>Source-valid first-flatus/ileus endpoint; retain reported distribution (mean/SD, median/IQR, or events).</x:v>
      </x:c>
      <x:c r="AD24" s="18"/>
      <x:c r="AE24" s="18" t="str">
        <x:v>Binary effect measure (RR preferred per protocol)</x:v>
      </x:c>
      <x:c r="AF24" s="18" t="str">
        <x:v>Some concerns</x:v>
      </x:c>
      <x:c r="AG24" s="18" t="str">
        <x:v>Yes — selected RoB is for a different result/timepoint</x:v>
      </x:c>
      <x:c r="AH24" s="18" t="str">
        <x:v>Gao 2021</x:v>
      </x:c>
      <x:c r="AI24" s="18" t="str">
        <x:v>Primary eligible contrast</x:v>
      </x:c>
      <x:c r="AJ24" s="18" t="str">
        <x:v>Count this study once per synthesis unless a valid multi-arm method is used.</x:v>
      </x:c>
      <x:c r="AK24" s="18" t="str">
        <x:v>Full ITT of all 610 randomized; participant sensory masking limited because active TEAS was perceptible</x:v>
      </x:c>
      <x:c r="AL24" s="18" t="str">
        <x:v>https://drive.google.com/file/d/1QbM6CNi8KfBXmMTqG1ASm3hK05cz_hKQ/view?usp=drivesdk</x:v>
      </x:c>
    </x:row>
    <x:row r="25">
      <x:c r="A25" s="18" t="str">
        <x:v>Gao 2021</x:v>
      </x:c>
      <x:c r="B25" s="18" t="str">
        <x:v>GAO21_TEAS_vs_SHAM_FLATUS</x:v>
      </x:c>
      <x:c r="C25" s="18" t="str">
        <x:v>Postoperative TEAS</x:v>
      </x:c>
      <x:c r="D25" s="18" t="str">
        <x:v>Sham/no-current TEAS</x:v>
      </x:c>
      <x:c r="E25" s="18" t="str">
        <x:v>Time to first flatus</x:v>
      </x:c>
      <x:c r="F25" s="18" t="str">
        <x:v>Postoperative</x:v>
      </x:c>
      <x:c r="G25" s="18" t="str">
        <x:v>Mean/SD</x:v>
      </x:c>
      <x:c r="H25" s="18" t="n">
        <x:v>303</x:v>
      </x:c>
      <x:c r="I25" s="18" t="n">
        <x:v>307</x:v>
      </x:c>
      <x:c r="J25" s="18" t="n">
        <x:v>303</x:v>
      </x:c>
      <x:c r="K25" s="18" t="n">
        <x:v>307</x:v>
      </x:c>
      <x:c r="L25" s="18" t="n">
        <x:v>63.4</x:v>
      </x:c>
      <x:c r="M25" s="18" t="n">
        <x:v>29</x:v>
      </x:c>
      <x:c r="N25" s="18"/>
      <x:c r="O25" s="18"/>
      <x:c r="P25" s="18"/>
      <x:c r="Q25" s="18"/>
      <x:c r="R25" s="18" t="n">
        <x:v>76.3</x:v>
      </x:c>
      <x:c r="S25" s="18" t="n">
        <x:v>37.9</x:v>
      </x:c>
      <x:c r="T25" s="18"/>
      <x:c r="U25" s="18"/>
      <x:c r="V25" s="18"/>
      <x:c r="W25" s="18"/>
      <x:c r="X25" s="18" t="str">
        <x:v>hours</x:v>
      </x:c>
      <x:c r="Y25" s="18" t="str">
        <x:v>0.001</x:v>
      </x:c>
      <x:c r="Z25" s="18" t="str">
        <x:v>MD</x:v>
      </x:c>
      <x:c r="AA25" s="18" t="n">
        <x:v>-12.899999999999999</x:v>
      </x:c>
      <x:c r="AB25" s="18" t="str">
        <x:v>INCLUDE</x:v>
      </x:c>
      <x:c r="AC25" s="18" t="str">
        <x:v>Source-valid first-flatus/ileus endpoint; retain reported distribution (mean/SD, median/IQR, or events).</x:v>
      </x:c>
      <x:c r="AD25" s="18"/>
      <x:c r="AE25" s="18" t="str">
        <x:v>None</x:v>
      </x:c>
      <x:c r="AF25" s="18" t="str">
        <x:v>Some concerns</x:v>
      </x:c>
      <x:c r="AG25" s="18" t="str">
        <x:v>Yes — selected RoB is for a different result/timepoint</x:v>
      </x:c>
      <x:c r="AH25" s="18" t="str">
        <x:v>Gao 2021</x:v>
      </x:c>
      <x:c r="AI25" s="18" t="str">
        <x:v>Primary eligible contrast</x:v>
      </x:c>
      <x:c r="AJ25" s="18" t="str">
        <x:v>Count this study once per synthesis unless a valid multi-arm method is used.</x:v>
      </x:c>
      <x:c r="AK25" s="18" t="str">
        <x:v>Full randomized sample retained; participant awareness may influence self-reported GI milestones</x:v>
      </x:c>
      <x:c r="AL25" s="18" t="str">
        <x:v>https://drive.google.com/file/d/1QbM6CNi8KfBXmMTqG1ASm3hK05cz_hKQ/view?usp=drivesdk</x:v>
      </x:c>
    </x:row>
    <x:row r="26">
      <x:c r="A26" s="18" t="str">
        <x:v>Gao 2021</x:v>
      </x:c>
      <x:c r="B26" s="18" t="str">
        <x:v>GAO21_TEAS_vs_SHAM_DEFEC</x:v>
      </x:c>
      <x:c r="C26" s="18" t="str">
        <x:v>Postoperative TEAS</x:v>
      </x:c>
      <x:c r="D26" s="18" t="str">
        <x:v>Sham/no-current TEAS</x:v>
      </x:c>
      <x:c r="E26" s="18" t="str">
        <x:v>Time to first defecation</x:v>
      </x:c>
      <x:c r="F26" s="18" t="str">
        <x:v>Postoperative</x:v>
      </x:c>
      <x:c r="G26" s="18" t="str">
        <x:v>Mean/SD</x:v>
      </x:c>
      <x:c r="H26" s="18" t="n">
        <x:v>303</x:v>
      </x:c>
      <x:c r="I26" s="18" t="n">
        <x:v>307</x:v>
      </x:c>
      <x:c r="J26" s="18" t="n">
        <x:v>303</x:v>
      </x:c>
      <x:c r="K26" s="18" t="n">
        <x:v>307</x:v>
      </x:c>
      <x:c r="L26" s="18" t="n">
        <x:v>106.7</x:v>
      </x:c>
      <x:c r="M26" s="18" t="n">
        <x:v>65.6</x:v>
      </x:c>
      <x:c r="N26" s="18"/>
      <x:c r="O26" s="18"/>
      <x:c r="P26" s="18"/>
      <x:c r="Q26" s="18"/>
      <x:c r="R26" s="18" t="n">
        <x:v>121.5</x:v>
      </x:c>
      <x:c r="S26" s="18" t="n">
        <x:v>65.6</x:v>
      </x:c>
      <x:c r="T26" s="18"/>
      <x:c r="U26" s="18"/>
      <x:c r="V26" s="18"/>
      <x:c r="W26" s="18"/>
      <x:c r="X26" s="18" t="str">
        <x:v>hours</x:v>
      </x:c>
      <x:c r="Y26" s="18" t="str">
        <x:v>0.005</x:v>
      </x:c>
      <x:c r="Z26" s="18" t="str">
        <x:v>MD</x:v>
      </x:c>
      <x:c r="AA26" s="18" t="n">
        <x:v>-14.799999999999997</x:v>
      </x:c>
      <x:c r="AB26" s="18" t="str">
        <x:v>INCLUDE — SECONDARY GI</x:v>
      </x:c>
      <x:c r="AC26" s="18" t="str">
        <x:v>Source-valid GI recovery outcome; analyze separately by outcome definition.</x:v>
      </x:c>
      <x:c r="AD26" s="18"/>
      <x:c r="AE26" s="18" t="str">
        <x:v>None</x:v>
      </x:c>
      <x:c r="AF26" s="18" t="str">
        <x:v>Some concerns</x:v>
      </x:c>
      <x:c r="AG26" s="18" t="str">
        <x:v>Yes — selected RoB is for a different result/timepoint</x:v>
      </x:c>
      <x:c r="AH26" s="18" t="str">
        <x:v>Gao 2021</x:v>
      </x:c>
      <x:c r="AI26" s="18" t="str">
        <x:v>Primary eligible contrast</x:v>
      </x:c>
      <x:c r="AJ26" s="18" t="str">
        <x:v>Count this study once per synthesis unless a valid multi-arm method is used.</x:v>
      </x:c>
      <x:c r="AK26" s="18" t="str">
        <x:v>Full randomized sample retained; participant awareness may influence self-reported GI milestones</x:v>
      </x:c>
      <x:c r="AL26" s="18" t="str">
        <x:v>https://drive.google.com/file/d/1QbM6CNi8KfBXmMTqG1ASm3hK05cz_hKQ/view?usp=drivesdk</x:v>
      </x:c>
    </x:row>
    <x:row r="27">
      <x:c r="A27" s="18" t="str">
        <x:v>Gao 2021</x:v>
      </x:c>
      <x:c r="B27" s="18" t="str">
        <x:v>GAO21_TEAS_vs_SHAM_DIET</x:v>
      </x:c>
      <x:c r="C27" s="18" t="str">
        <x:v>Postoperative TEAS</x:v>
      </x:c>
      <x:c r="D27" s="18" t="str">
        <x:v>Sham/no-current TEAS</x:v>
      </x:c>
      <x:c r="E27" s="18" t="str">
        <x:v>Time to resume normal diet</x:v>
      </x:c>
      <x:c r="F27" s="18" t="str">
        <x:v>Postoperative</x:v>
      </x:c>
      <x:c r="G27" s="18" t="str">
        <x:v>Mean/SD</x:v>
      </x:c>
      <x:c r="H27" s="18" t="n">
        <x:v>303</x:v>
      </x:c>
      <x:c r="I27" s="18" t="n">
        <x:v>307</x:v>
      </x:c>
      <x:c r="J27" s="18" t="n">
        <x:v>303</x:v>
      </x:c>
      <x:c r="K27" s="18" t="n">
        <x:v>307</x:v>
      </x:c>
      <x:c r="L27" s="18" t="n">
        <x:v>373.9</x:v>
      </x:c>
      <x:c r="M27" s="18" t="n">
        <x:v>224.9</x:v>
      </x:c>
      <x:c r="N27" s="18"/>
      <x:c r="O27" s="18"/>
      <x:c r="P27" s="18"/>
      <x:c r="Q27" s="18"/>
      <x:c r="R27" s="18" t="n">
        <x:v>425.5</x:v>
      </x:c>
      <x:c r="S27" s="18" t="n">
        <x:v>235.6</x:v>
      </x:c>
      <x:c r="T27" s="18"/>
      <x:c r="U27" s="18"/>
      <x:c r="V27" s="18"/>
      <x:c r="W27" s="18"/>
      <x:c r="X27" s="18" t="str">
        <x:v>hours</x:v>
      </x:c>
      <x:c r="Y27" s="18" t="str">
        <x:v>0.006</x:v>
      </x:c>
      <x:c r="Z27" s="18" t="str">
        <x:v>MD</x:v>
      </x:c>
      <x:c r="AA27" s="18" t="n">
        <x:v>-51.60000000000002</x:v>
      </x:c>
      <x:c r="AB27" s="18" t="str">
        <x:v>CONDITIONAL</x:v>
      </x:c>
      <x:c r="AC27" s="18" t="str">
        <x:v>GI recovery result is source-valid but requires outcome-definition matching.</x:v>
      </x:c>
      <x:c r="AD27" s="18"/>
      <x:c r="AE27" s="18" t="str">
        <x:v>None</x:v>
      </x:c>
      <x:c r="AF27" s="18" t="str">
        <x:v>Some concerns</x:v>
      </x:c>
      <x:c r="AG27" s="18" t="str">
        <x:v>Yes — selected RoB is for a different result/timepoint</x:v>
      </x:c>
      <x:c r="AH27" s="18" t="str">
        <x:v>Gao 2021</x:v>
      </x:c>
      <x:c r="AI27" s="18" t="str">
        <x:v>Primary eligible contrast</x:v>
      </x:c>
      <x:c r="AJ27" s="18" t="str">
        <x:v>Count this study once per synthesis unless a valid multi-arm method is used.</x:v>
      </x:c>
      <x:c r="AK27" s="18" t="str">
        <x:v>Full randomized sample retained; participant awareness may influence self-reported GI milestones</x:v>
      </x:c>
      <x:c r="AL27" s="18" t="str">
        <x:v>https://drive.google.com/file/d/1QbM6CNi8KfBXmMTqG1ASm3hK05cz_hKQ/view?usp=drivesdk</x:v>
      </x:c>
    </x:row>
  </x:sheetData>
  <x:conditionalFormatting sqref="AB2:AB27">
    <x:cfRule type="expression" dxfId="62" priority="1">
      <x:formula>LEFT(AB2,7)="INCLUDE"</x:formula>
    </x:cfRule>
    <x:cfRule type="expression" dxfId="63" priority="2">
      <x:formula>LEFT(AB2,11)="CONDITIONAL"</x:formula>
    </x:cfRule>
    <x:cfRule type="expression" dxfId="64" priority="3">
      <x:formula>LEFT(AB2,7)="EXCLUDE"</x:formula>
    </x:cfRule>
    <x:cfRule type="expression" dxfId="65" priority="4">
      <x:formula>AB2="DUPLICATE HOLD"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70" hidden="0" customWidth="1"/>
  </x:cols>
  <x:sheetData>
    <x:row r="1">
      <x:c r="A1" s="66" t="str">
        <x:v>Synthesis family</x:v>
      </x:c>
      <x:c r="B1" s="66" t="str">
        <x:v>Candidate rows</x:v>
      </x:c>
      <x:c r="C1" s="66" t="str">
        <x:v>Unique study units</x:v>
      </x:c>
      <x:c r="D1" s="66" t="str">
        <x:v>Include-ready rows</x:v>
      </x:c>
      <x:c r="E1" s="66" t="str">
        <x:v>Conditional/QC rows</x:v>
      </x:c>
      <x:c r="F1" s="66" t="str">
        <x:v>Duplicate-hold rows</x:v>
      </x:c>
      <x:c r="G1" s="66" t="str">
        <x:v>Interpretation</x:v>
      </x:c>
    </x:row>
    <x:row r="2">
      <x:c r="A2" s="18" t="str">
        <x:v>Postoperative opioid consumption</x:v>
      </x:c>
      <x:c r="B2" s="18" t="n">
        <x:v>81</x:v>
      </x:c>
      <x:c r="C2" s="18" t="n">
        <x:v>55</x:v>
      </x:c>
      <x:c r="D2" s="18" t="n">
        <x:v>8</x:v>
      </x:c>
      <x:c r="E2" s="18" t="n">
        <x:v>16</x:v>
      </x:c>
      <x:c r="F2" s="18" t="n">
        <x:v>4</x:v>
      </x:c>
      <x:c r="G2" s="18" t="str">
        <x:v>Rows exceed independent studies because of multi-arm trials and alternate time/unit formulations; count study units, not rows.</x:v>
      </x:c>
    </x:row>
    <x:row r="3">
      <x:c r="A3" s="18" t="str">
        <x:v>Pain</x:v>
      </x:c>
      <x:c r="B3" s="18" t="n">
        <x:v>40</x:v>
      </x:c>
      <x:c r="C3" s="18" t="n">
        <x:v>30</x:v>
      </x:c>
      <x:c r="D3" s="18" t="n">
        <x:v>20</x:v>
      </x:c>
      <x:c r="E3" s="18" t="n">
        <x:v>19</x:v>
      </x:c>
      <x:c r="F3" s="18" t="n">
        <x:v>0</x:v>
      </x:c>
      <x:c r="G3" s="18" t="str">
        <x:v>Separate rest vs movement pain and exact 24 h vs POD1 before pooling.</x:v>
      </x:c>
    </x:row>
    <x:row r="4">
      <x:c r="A4" s="18" t="str">
        <x:v>PONV</x:v>
      </x:c>
      <x:c r="B4" s="18" t="n">
        <x:v>37</x:v>
      </x:c>
      <x:c r="C4" s="18" t="n">
        <x:v>20</x:v>
      </x:c>
      <x:c r="D4" s="18" t="n">
        <x:v>13</x:v>
      </x:c>
      <x:c r="E4" s="18" t="n">
        <x:v>22</x:v>
      </x:c>
      <x:c r="F4" s="18" t="n">
        <x:v>0</x:v>
      </x:c>
      <x:c r="G4" s="18" t="str">
        <x:v>Separate nausea, vomiting, composite PONV, and complete response; match time windows.</x:v>
      </x:c>
    </x:row>
    <x:row r="5">
      <x:c r="A5" s="18" t="str">
        <x:v>Quality of recovery</x:v>
      </x:c>
      <x:c r="B5" s="18" t="n">
        <x:v>4</x:v>
      </x:c>
      <x:c r="C5" s="18" t="n">
        <x:v>4</x:v>
      </x:c>
      <x:c r="D5" s="18" t="n">
        <x:v>2</x:v>
      </x:c>
      <x:c r="E5" s="18" t="n">
        <x:v>2</x:v>
      </x:c>
      <x:c r="F5" s="18" t="n">
        <x:v>0</x:v>
      </x:c>
      <x:c r="G5" s="18" t="str">
        <x:v>QoR-15 and QoR-40 require SMD or separate scale-specific synthesis.</x:v>
      </x:c>
    </x:row>
    <x:row r="6">
      <x:c r="A6" s="18" t="str">
        <x:v>GI recovery</x:v>
      </x:c>
      <x:c r="B6" s="18" t="n">
        <x:v>26</x:v>
      </x:c>
      <x:c r="C6" s="18" t="n">
        <x:v>13</x:v>
      </x:c>
      <x:c r="D6" s="18" t="n">
        <x:v>25</x:v>
      </x:c>
      <x:c r="E6" s="18" t="n">
        <x:v>1</x:v>
      </x:c>
      <x:c r="F6" s="18" t="n">
        <x:v>0</x:v>
      </x:c>
      <x:c r="G6" s="18" t="str">
        <x:v>First flatus should be primary common endpoint; defecation/bowel motion/POI are different constructs.</x:v>
      </x:c>
    </x:row>
    <x:row r="7">
      <x:c r="A7" s="18" t="str">
        <x:v>Intraoperative opioid</x:v>
      </x:c>
      <x:c r="B7" s="18" t="n">
        <x:v>20</x:v>
      </x:c>
      <x:c r="C7" s="18" t="n">
        <x:v>14</x:v>
      </x:c>
      <x:c r="D7" s="18" t="n">
        <x:v>20</x:v>
      </x:c>
      <x:c r="E7" s="18" t="n">
        <x:v>0</x:v>
      </x:c>
      <x:c r="F7" s="18" t="n">
        <x:v>0</x:v>
      </x:c>
      <x:c r="G7" s="18" t="str"/>
    </x:row>
    <x:row r="8">
      <x:c r="A8" s="18" t="str">
        <x:v>Rescue opioid use</x:v>
      </x:c>
      <x:c r="B8" s="18" t="n">
        <x:v>4</x:v>
      </x:c>
      <x:c r="C8" s="18" t="n">
        <x:v>4</x:v>
      </x:c>
      <x:c r="D8" s="18" t="n">
        <x:v>2</x:v>
      </x:c>
      <x:c r="E8" s="18" t="n">
        <x:v>0</x:v>
      </x:c>
      <x:c r="F8" s="18" t="n">
        <x:v>0</x:v>
      </x:c>
      <x:c r="G8" s="18" t="str"/>
    </x:row>
    <x:row r="9">
      <x:c r="A9" s="18" t="str">
        <x:v>PCA demand/proxy</x:v>
      </x:c>
      <x:c r="B9" s="18" t="n">
        <x:v>22</x:v>
      </x:c>
      <x:c r="C9" s="18" t="n">
        <x:v>14</x:v>
      </x:c>
      <x:c r="D9" s="18" t="n">
        <x:v>0</x:v>
      </x:c>
      <x:c r="E9" s="18" t="n">
        <x:v>22</x:v>
      </x:c>
      <x:c r="F9" s="18" t="n">
        <x:v>0</x:v>
      </x:c>
      <x:c r="G9" s="18" t="str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</x:cols>
  <x:sheetData>
    <x:row r="1">
      <x:c r="A1" s="76" t="str">
        <x:v>Study unit</x:v>
      </x:c>
      <x:c r="B1" s="76" t="str">
        <x:v>Selected comparison ID</x:v>
      </x:c>
      <x:c r="C1" s="76" t="str">
        <x:v>Intervention</x:v>
      </x:c>
      <x:c r="D1" s="76" t="str">
        <x:v>Comparator</x:v>
      </x:c>
      <x:c r="E1" s="76" t="str">
        <x:v>Outcome</x:v>
      </x:c>
      <x:c r="F1" s="76" t="str">
        <x:v>Timepoint</x:v>
      </x:c>
      <x:c r="G1" s="76" t="str">
        <x:v>Data type</x:v>
      </x:c>
      <x:c r="H1" s="76" t="str">
        <x:v>Analyzed n I</x:v>
      </x:c>
      <x:c r="I1" s="76" t="str">
        <x:v>Analyzed n C</x:v>
      </x:c>
      <x:c r="J1" s="76" t="str">
        <x:v>Intervention value</x:v>
      </x:c>
      <x:c r="K1" s="76" t="str">
        <x:v>Comparator value</x:v>
      </x:c>
      <x:c r="L1" s="76" t="str">
        <x:v>Unit</x:v>
      </x:c>
      <x:c r="M1" s="76" t="str">
        <x:v>Study-level role</x:v>
      </x:c>
      <x:c r="N1" s="76" t="str">
        <x:v>Primary continuous 24-h opioid decision</x:v>
      </x:c>
      <x:c r="O1" s="76" t="str">
        <x:v>Reason</x:v>
      </x:c>
      <x:c r="P1" s="76" t="str">
        <x:v>Conversion/standardization needed</x:v>
      </x:c>
      <x:c r="Q1" s="76" t="str">
        <x:v>RoB 2 overall</x:v>
      </x:c>
      <x:c r="R1" s="76" t="str">
        <x:v>Sensitivity flag</x:v>
      </x:c>
      <x:c r="S1" s="76" t="str">
        <x:v>Duplicate/multi-arm handling</x:v>
      </x:c>
      <x:c r="T1" s="76" t="str">
        <x:v>Source-QC issue</x:v>
      </x:c>
      <x:c r="U1" s="76" t="str">
        <x:v>Source URL</x:v>
      </x:c>
    </x:row>
    <x:row r="2">
      <x:c r="A2" s="18" t="str">
        <x:v>Seevaunnamtum 2016</x:v>
      </x:c>
      <x:c r="B2" s="18" t="str">
        <x:v>SEEVA16_EA_vs_UC</x:v>
      </x:c>
      <x:c r="C2" s="18" t="str">
        <x:v>Intraoperative EA</x:v>
      </x:c>
      <x:c r="D2" s="18" t="str">
        <x:v>Standard care</x:v>
      </x:c>
      <x:c r="E2" s="18" t="str">
        <x:v>Cumulative IV PCA morphine requirement</x:v>
      </x:c>
      <x:c r="F2" s="18" t="str">
        <x:v>First 24 h postoperatively</x:v>
      </x:c>
      <x:c r="G2" s="18" t="str">
        <x:v>Mean/SD</x:v>
      </x:c>
      <x:c r="H2" s="18" t="n">
        <x:v>32</x:v>
      </x:c>
      <x:c r="I2" s="18" t="n">
        <x:v>32</x:v>
      </x:c>
      <x:c r="J2" s="18" t="str">
        <x:v>21.38 ± 14.38</x:v>
      </x:c>
      <x:c r="K2" s="18" t="str">
        <x:v>33.94 ± 20.24</x:v>
      </x:c>
      <x:c r="L2" s="18" t="str">
        <x:v>mg morphine</x:v>
      </x:c>
      <x:c r="M2" s="18" t="str">
        <x:v>Main direct</x:v>
      </x:c>
      <x:c r="N2" s="18" t="str">
        <x:v>INCLUDE IN PRIMARY</x:v>
      </x:c>
      <x:c r="O2" s="18" t="str">
        <x:v>Direct mean/SD first-24-h IV morphine endpoint.</x:v>
      </x:c>
      <x:c r="P2" s="18" t="str">
        <x:v>None</x:v>
      </x:c>
      <x:c r="Q2" s="18" t="str">
        <x:v>Some concerns</x:v>
      </x:c>
      <x:c r="R2" s="18" t="str"/>
      <x:c r="S2" s="18" t="str">
        <x:v>Count this study once per synthesis unless a valid multi-arm method is used.</x:v>
      </x:c>
      <x:c r="T2" s="18" t="str">
        <x:v>No allocation-concealment method reported</x:v>
      </x:c>
      <x:c r="U2" s="18" t="str">
        <x:v>https://drive.google.com/file/d/1OhuqhDUCEmOij7fZFhHHCJNwfQ9xpMzd/view?usp=drivesdk</x:v>
      </x:c>
    </x:row>
    <x:row r="3">
      <x:c r="A3" s="18" t="str">
        <x:v>Chen 1998</x:v>
      </x:c>
      <x:c r="B3" s="18" t="str">
        <x:v>CHEN98_ACU_vs_SHAM</x:v>
      </x:c>
      <x:c r="C3" s="18" t="str">
        <x:v>Active ST36 acupoint TENS</x:v>
      </x:c>
      <x:c r="D3" s="18" t="str">
        <x:v>Sham ST36 TENS (0 mA)</x:v>
      </x:c>
      <x:c r="E3" s="18" t="str">
        <x:v>Cumulative IV PCA hydromorphone</x:v>
      </x:c>
      <x:c r="F3" s="18" t="str">
        <x:v>First 24 h postoperatively</x:v>
      </x:c>
      <x:c r="G3" s="18" t="str">
        <x:v>Mean/SD</x:v>
      </x:c>
      <x:c r="H3" s="18" t="n">
        <x:v>25</x:v>
      </x:c>
      <x:c r="I3" s="18" t="n">
        <x:v>25</x:v>
      </x:c>
      <x:c r="J3" s="18" t="str">
        <x:v>6.5 ± 3.5</x:v>
      </x:c>
      <x:c r="K3" s="18" t="str">
        <x:v>10.7 ± 5</x:v>
      </x:c>
      <x:c r="L3" s="18" t="str">
        <x:v>mg hydromorphone</x:v>
      </x:c>
      <x:c r="M3" s="18" t="str">
        <x:v>Main direct</x:v>
      </x:c>
      <x:c r="N3" s="18" t="str">
        <x:v>INCLUDE IN PRIMARY</x:v>
      </x:c>
      <x:c r="O3" s="18" t="str">
        <x:v>Use the true-acupoint ST36 vs sham ST36 contrast as the study's primary acupoint-specific estimate.</x:v>
      </x:c>
      <x:c r="P3" s="18" t="str">
        <x:v>Opioid/MME conversion required using prespecified review conversion</x:v>
      </x:c>
      <x:c r="Q3" s="18" t="str">
        <x:v>Some concerns</x:v>
      </x:c>
      <x:c r="R3" s="18" t="str">
        <x:v>Four-arm study; alternative active-site contrasts belong in sensitivity/mechanistic analyses.</x:v>
      </x:c>
      <x:c r="S3" s="18" t="str">
        <x:v>Use one Chen 1998 contrast in a simple pairwise meta-analysis, or use a valid multi-arm method.</x:v>
      </x:c>
      <x:c r="T3" s="18" t="str">
        <x:v>Four-arm RCT; shared sham control must be handled correctly</x:v>
      </x:c>
      <x:c r="U3" s="18" t="str">
        <x:v>https://drive.google.com/file/d/1lUyYj9aN1CL9RpY86ZY0970To83Kb17s/view?usp=drivesdk</x:v>
      </x:c>
    </x:row>
    <x:row r="4">
      <x:c r="A4" s="18" t="str">
        <x:v>Chen 2020</x:v>
      </x:c>
      <x:c r="B4" s="18" t="str">
        <x:v>CHEN20_TEAS_vs_SHAM</x:v>
      </x:c>
      <x:c r="C4" s="18" t="str">
        <x:v>Perioperative TEAS</x:v>
      </x:c>
      <x:c r="D4" s="18" t="str">
        <x:v>Sham low/zero-current protocol</x:v>
      </x:c>
      <x:c r="E4" s="18" t="str">
        <x:v>Cumulative sufentanil</x:v>
      </x:c>
      <x:c r="F4" s="18" t="str">
        <x:v>24 h postoperatively</x:v>
      </x:c>
      <x:c r="G4" s="18" t="str">
        <x:v>Mean/SD</x:v>
      </x:c>
      <x:c r="H4" s="18" t="n">
        <x:v>40</x:v>
      </x:c>
      <x:c r="I4" s="18" t="n">
        <x:v>40</x:v>
      </x:c>
      <x:c r="J4" s="18" t="str">
        <x:v>72.43 ± 4.78</x:v>
      </x:c>
      <x:c r="K4" s="18" t="str">
        <x:v>100.62 ± 10.2</x:v>
      </x:c>
      <x:c r="L4" s="18" t="str">
        <x:v>µg sufentanil</x:v>
      </x:c>
      <x:c r="M4" s="18" t="str">
        <x:v>Main direct</x:v>
      </x:c>
      <x:c r="N4" s="18" t="str">
        <x:v>INCLUDE IN PRIMARY</x:v>
      </x:c>
      <x:c r="O4" s="18" t="str">
        <x:v>Direct 24-h sufentanil mean/SD endpoint.</x:v>
      </x:c>
      <x:c r="P4" s="18" t="str">
        <x:v>Opioid/MME conversion required using prespecified review conversion</x:v>
      </x:c>
      <x:c r="Q4" s="18" t="str">
        <x:v>Some concerns</x:v>
      </x:c>
      <x:c r="R4" s="18" t="str"/>
      <x:c r="S4" s="18" t="str">
        <x:v>Count this study once per synthesis unless a valid multi-arm method is used.</x:v>
      </x:c>
      <x:c r="T4" s="18" t="str">
        <x:v>Sham was 4 mA pre/postoperatively but 0 mA intraoperatively; preserve this nuance</x:v>
      </x:c>
      <x:c r="U4" s="18" t="str">
        <x:v>https://drive.google.com/file/d/1y0_cC1NCl5g2vYxDMOtYmxVA_YEE-rsR/view?usp=drivesdk</x:v>
      </x:c>
    </x:row>
    <x:row r="5">
      <x:c r="A5" s="18" t="str">
        <x:v>Yang 2024</x:v>
      </x:c>
      <x:c r="B5" s="18" t="str">
        <x:v>YANG24_EA_vs_UC_MORPH24</x:v>
      </x:c>
      <x:c r="C5" s="18" t="str">
        <x:v>Perioperative EA + usual care</x:v>
      </x:c>
      <x:c r="D5" s="18" t="str">
        <x:v>Usual care</x:v>
      </x:c>
      <x:c r="E5" s="18" t="str">
        <x:v>Morphine use via IV PCA</x:v>
      </x:c>
      <x:c r="F5" s="18" t="str">
        <x:v>First 24 h / POD1</x:v>
      </x:c>
      <x:c r="G5" s="18" t="str">
        <x:v>Mean/SD</x:v>
      </x:c>
      <x:c r="H5" s="18" t="n">
        <x:v>90</x:v>
      </x:c>
      <x:c r="I5" s="18" t="n">
        <x:v>90</x:v>
      </x:c>
      <x:c r="J5" s="18" t="str">
        <x:v>43.7 ± 4.7</x:v>
      </x:c>
      <x:c r="K5" s="18" t="str">
        <x:v>44 ± 4.9</x:v>
      </x:c>
      <x:c r="L5" s="18" t="str">
        <x:v>mg morphine</x:v>
      </x:c>
      <x:c r="M5" s="18" t="str">
        <x:v>Main direct</x:v>
      </x:c>
      <x:c r="N5" s="18" t="str">
        <x:v>INCLUDE IN PRIMARY</x:v>
      </x:c>
      <x:c r="O5" s="18" t="str">
        <x:v>Direct first-24-h IV PCA morphine mean/SD endpoint.</x:v>
      </x:c>
      <x:c r="P5" s="18" t="str">
        <x:v>None</x:v>
      </x:c>
      <x:c r="Q5" s="18" t="str">
        <x:v>Some concerns</x:v>
      </x:c>
      <x:c r="R5" s="18" t="str"/>
      <x:c r="S5" s="18" t="str">
        <x:v>Count this study once per synthesis unless a valid multi-arm method is used.</x:v>
      </x:c>
      <x:c r="T5" s="18" t="str">
        <x:v>All 180 randomized participants retained in ITT; open-label patients but objective PCA drug-use record</x:v>
      </x:c>
      <x:c r="U5" s="18" t="str">
        <x:v>https://drive.google.com/file/d/160N3psd5tLEphwXHJzUEZ3uJfaIXcs5V/view?usp=drivesdk</x:v>
      </x:c>
    </x:row>
    <x:row r="6">
      <x:c r="A6" s="18" t="str">
        <x:v>He 2026 (hepatectomy/JIS)</x:v>
      </x:c>
      <x:c r="B6" s="18" t="str">
        <x:v>HEJIS26_TEAS_vs_CTRL_MME24</x:v>
      </x:c>
      <x:c r="C6" s="18" t="str">
        <x:v>Intraoperative PC6 TEAS</x:v>
      </x:c>
      <x:c r="D6" s="18" t="str">
        <x:v>No-current PC6 control</x:v>
      </x:c>
      <x:c r="E6" s="18" t="str">
        <x:v>Total postoperative opioid consumption in morphine equivalents</x:v>
      </x:c>
      <x:c r="F6" s="18" t="str">
        <x:v>0-24 h</x:v>
      </x:c>
      <x:c r="G6" s="18" t="str">
        <x:v>Mean/SD</x:v>
      </x:c>
      <x:c r="H6" s="18" t="n">
        <x:v>80</x:v>
      </x:c>
      <x:c r="I6" s="18" t="n">
        <x:v>79</x:v>
      </x:c>
      <x:c r="J6" s="18" t="str">
        <x:v>20 ± 2.5</x:v>
      </x:c>
      <x:c r="K6" s="18" t="str">
        <x:v>20.6 ± 4.5</x:v>
      </x:c>
      <x:c r="L6" s="18" t="str">
        <x:v>mg MME</x:v>
      </x:c>
      <x:c r="M6" s="18" t="str">
        <x:v>Main direct</x:v>
      </x:c>
      <x:c r="N6" s="18" t="str">
        <x:v>INCLUDE IN PRIMARY</x:v>
      </x:c>
      <x:c r="O6" s="18" t="str">
        <x:v>Direct supplemental 0-24-h postoperative MME endpoint.</x:v>
      </x:c>
      <x:c r="P6" s="18" t="str">
        <x:v>None</x:v>
      </x:c>
      <x:c r="Q6" s="18" t="str">
        <x:v>Some concerns</x:v>
      </x:c>
      <x:c r="R6" s="18" t="str"/>
      <x:c r="S6" s="18" t="str">
        <x:v>Count this study once per synthesis unless a valid multi-arm method is used.</x:v>
      </x:c>
      <x:c r="T6" s="18" t="str">
        <x:v>Supplemental eTable 1 directly reports MME; mITT excludes one canceled surgery and one consent withdrawal after randomization</x:v>
      </x:c>
      <x:c r="U6" s="18" t="str">
        <x:v>https://drive.google.com/file/d/1VgOxIOrGe7ZVevkKEVP7G-0V1DXPU0Gf/view?usp=drivesdk</x:v>
      </x:c>
    </x:row>
    <x:row r="7">
      <x:c r="A7" s="18" t="str">
        <x:v>El-Rakshy 2009</x:v>
      </x:c>
      <x:c r="B7" s="18" t="str">
        <x:v>ELR09_EA_vs_CTRL_MORPH24</x:v>
      </x:c>
      <x:c r="C7" s="18" t="str">
        <x:v>Intraoperative EA + PCA</x:v>
      </x:c>
      <x:c r="D7" s="18" t="str">
        <x:v>PCA alone/no acupuncture</x:v>
      </x:c>
      <x:c r="E7" s="18" t="str">
        <x:v>Total IV morphine analgesia</x:v>
      </x:c>
      <x:c r="F7" s="18" t="str">
        <x:v>First 24 h</x:v>
      </x:c>
      <x:c r="G7" s="18" t="str">
        <x:v>Mean/SD</x:v>
      </x:c>
      <x:c r="H7" s="18" t="n">
        <x:v>42</x:v>
      </x:c>
      <x:c r="I7" s="18" t="n">
        <x:v>53</x:v>
      </x:c>
      <x:c r="J7" s="18" t="str">
        <x:v>35.3 ± 18</x:v>
      </x:c>
      <x:c r="K7" s="18" t="str">
        <x:v>36.9 ± 18</x:v>
      </x:c>
      <x:c r="L7" s="18" t="str">
        <x:v>mg IV morphine</x:v>
      </x:c>
      <x:c r="M7" s="18" t="str">
        <x:v>Main direct — high RoB</x:v>
      </x:c>
      <x:c r="N7" s="18" t="str">
        <x:v>INCLUDE IN PRIMARY WITH SENSITIVITY EXCLUSION</x:v>
      </x:c>
      <x:c r="O7" s="18" t="str">
        <x:v>Direct first-24-h IV morphine endpoint is extractable using outcome-specific denominators, despite severe publication-level denominator inconsistencies.</x:v>
      </x:c>
      <x:c r="P7" s="18" t="str">
        <x:v>Use native IV morphine; convert to review-standard MME only per prespecified rule</x:v>
      </x:c>
      <x:c r="Q7" s="18" t="str">
        <x:v>High</x:v>
      </x:c>
      <x:c r="R7" s="18" t="str">
        <x:v>High RoB / denominator inconsistency: rerun meta-analysis excluding this study.</x:v>
      </x:c>
      <x:c r="S7" s="18" t="str">
        <x:v>Count this study once per synthesis unless a valid multi-arm method is used.</x:v>
      </x:c>
      <x:c r="T7" s="18" t="str">
        <x:v>Publication has irreconcilable allocation/analyzed group labels. Use Table 2 n=42 EA and n=53 control for this result; do not substitute overall study denominators.</x:v>
      </x:c>
      <x:c r="U7" s="18" t="str">
        <x:v>https://drive.google.com/file/d/12AfIox-MgnMU15U-mdvZgaTKnukXKvAR/view?usp=drivesdk</x:v>
      </x:c>
    </x:row>
    <x:row r="8">
      <x:c r="A8" s="18" t="str">
        <x:v>Coura 2011</x:v>
      </x:c>
      <x:c r="B8" s="18" t="str">
        <x:v>COURA11_EA_vs_SHAM</x:v>
      </x:c>
      <x:c r="C8" s="18" t="str">
        <x:v>Preoperative EA</x:v>
      </x:c>
      <x:c r="D8" s="18" t="str">
        <x:v>Sham stimulation</x:v>
      </x:c>
      <x:c r="E8" s="18" t="str">
        <x:v>Cumulative fentanyl</x:v>
      </x:c>
      <x:c r="F8" s="18" t="str">
        <x:v>First 24 h postoperatively</x:v>
      </x:c>
      <x:c r="G8" s="18" t="str">
        <x:v>Mean/SD</x:v>
      </x:c>
      <x:c r="H8" s="18" t="n">
        <x:v>13</x:v>
      </x:c>
      <x:c r="I8" s="18" t="n">
        <x:v>9</x:v>
      </x:c>
      <x:c r="J8" s="18" t="str">
        <x:v>13.1 ± 2.2</x:v>
      </x:c>
      <x:c r="K8" s="18" t="str">
        <x:v>16.3 ± 1.6</x:v>
      </x:c>
      <x:c r="L8" s="18" t="str">
        <x:v>µg/kg fentanyl</x:v>
      </x:c>
      <x:c r="M8" s="18" t="str">
        <x:v>Conditional</x:v>
      </x:c>
      <x:c r="N8" s="18" t="str">
        <x:v>CONDITIONAL — CONVERSION/ATTRITION</x:v>
      </x:c>
      <x:c r="O8" s="18" t="str">
        <x:v>Direct 24-h fentanyl endpoint is weight-normalized (µg/kg) and has major post-randomization exclusions.</x:v>
      </x:c>
      <x:c r="P8" s="18" t="str">
        <x:v>Opioid/MME conversion required using prespecified review conversion</x:v>
      </x:c>
      <x:c r="Q8" s="18" t="str">
        <x:v>High</x:v>
      </x:c>
      <x:c r="R8" s="18" t="str">
        <x:v>High RoB; include only if the protocol prespecifies handling of weight-normalized opioid doses.</x:v>
      </x:c>
      <x:c r="S8" s="18" t="str">
        <x:v>Count this study once per synthesis unless a valid multi-arm method is used.</x:v>
      </x:c>
      <x:c r="T8" s="18" t="str">
        <x:v>10/32 post-randomization exclusions; supplemental morphine/fentanyl inclusion unclear</x:v>
      </x:c>
      <x:c r="U8" s="18" t="str">
        <x:v>https://drive.google.com/file/d/120NJxCmxsdiyqWTXzjmaUWAaVa1i8iZz/view?usp=drivesdk</x:v>
      </x:c>
    </x:row>
    <x:row r="9">
      <x:c r="A9" s="18" t="str">
        <x:v>Zhang 2025</x:v>
      </x:c>
      <x:c r="B9" s="18" t="str">
        <x:v>ZHANG25_TEAS_vs_SHAM_SUFPOD1</x:v>
      </x:c>
      <x:c r="C9" s="18" t="str">
        <x:v>Perioperative TEAS</x:v>
      </x:c>
      <x:c r="D9" s="18" t="str">
        <x:v>Sub-sensory sham</x:v>
      </x:c>
      <x:c r="E9" s="18" t="str">
        <x:v>Total sufentanil consumption</x:v>
      </x:c>
      <x:c r="F9" s="18" t="str">
        <x:v>POD1; approximately 24 h but exact clock window not explicit</x:v>
      </x:c>
      <x:c r="G9" s="18" t="str">
        <x:v>Mean/SD</x:v>
      </x:c>
      <x:c r="H9" s="18" t="n">
        <x:v>45</x:v>
      </x:c>
      <x:c r="I9" s="18" t="n">
        <x:v>48</x:v>
      </x:c>
      <x:c r="J9" s="18" t="str">
        <x:v>50.53 ± 4.46</x:v>
      </x:c>
      <x:c r="K9" s="18" t="str">
        <x:v>53.79 ± 5.14</x:v>
      </x:c>
      <x:c r="L9" s="18" t="str">
        <x:v>µg sufentanil</x:v>
      </x:c>
      <x:c r="M9" s="18" t="str">
        <x:v>Conditional</x:v>
      </x:c>
      <x:c r="N9" s="18" t="str">
        <x:v>CONDITIONAL — POD1 ≠ STRICT CLOCK 24H</x:v>
      </x:c>
      <x:c r="O9" s="18" t="str">
        <x:v>Direct sufentanil result is POD1 rather than explicitly defined 0-24 h.</x:v>
      </x:c>
      <x:c r="P9" s="18" t="str">
        <x:v>Opioid/MME conversion required using prespecified review conversion</x:v>
      </x:c>
      <x:c r="Q9" s="18" t="str">
        <x:v>High</x:v>
      </x:c>
      <x:c r="R9" s="18" t="str">
        <x:v>High RoB from post-randomization exclusions; use only if POD1 is accepted as the 24-h window.</x:v>
      </x:c>
      <x:c r="S9" s="18" t="str">
        <x:v>Count this study once per synthesis unless a valid multi-arm method is used.</x:v>
      </x:c>
      <x:c r="T9" s="18" t="str">
        <x:v>Endpoint is directly reported as POD1, not explicitly clock-defined 0-24 h; 15/108 excluded after randomization</x:v>
      </x:c>
      <x:c r="U9" s="18" t="str">
        <x:v>https://drive.google.com/file/d/1eHx6Hk16vmIfMgoiZ5eNae4zmCR5ktwJ/view?usp=drivesdk</x:v>
      </x:c>
    </x:row>
    <x:row r="10">
      <x:c r="A10" s="18" t="str">
        <x:v>Sim 2002</x:v>
      </x:c>
      <x:c r="B10" s="18" t="str">
        <x:v>SIM02_PREOP_vs_PLACEBO_MORPH24</x:v>
      </x:c>
      <x:c r="C10" s="18" t="str">
        <x:v>Preoperative EA</x:v>
      </x:c>
      <x:c r="D10" s="18" t="str">
        <x:v>Placebo EA</x:v>
      </x:c>
      <x:c r="E10" s="18" t="str">
        <x:v>Cumulative postoperative IV PCA morphine</x:v>
      </x:c>
      <x:c r="F10" s="18" t="str">
        <x:v>0-24 h</x:v>
      </x:c>
      <x:c r="G10" s="18" t="str">
        <x:v>Mean/SD</x:v>
      </x:c>
      <x:c r="H10" s="18" t="n">
        <x:v>30</x:v>
      </x:c>
      <x:c r="I10" s="18" t="n">
        <x:v>30</x:v>
      </x:c>
      <x:c r="J10" s="18" t="str">
        <x:v>0.52 ± 0.19</x:v>
      </x:c>
      <x:c r="K10" s="18" t="str">
        <x:v>0.68 ± 0.38</x:v>
      </x:c>
      <x:c r="L10" s="18" t="str">
        <x:v>mg/kg morphine</x:v>
      </x:c>
      <x:c r="M10" s="18" t="str">
        <x:v>Conditional multi-arm</x:v>
      </x:c>
      <x:c r="N10" s="18" t="str">
        <x:v>CONDITIONAL — WEIGHT-NORMALIZED + MULTI-ARM</x:v>
      </x:c>
      <x:c r="O10" s="18" t="str">
        <x:v>Direct 0-24-h morphine is reported as mg/kg. The study also contains a postoperative-EA arm sharing the placebo comparator.</x:v>
      </x:c>
      <x:c r="P10" s="18" t="str">
        <x:v>Weight-normalized endpoint; do not reconstruct absolute dose from group mean weight</x:v>
      </x:c>
      <x:c r="Q10" s="18" t="str">
        <x:v>Some concerns</x:v>
      </x:c>
      <x:c r="R10" s="18" t="str">
        <x:v>Do not reconstruct absolute mg from mean body weight.</x:v>
      </x:c>
      <x:c r="S10" s="18" t="str">
        <x:v>Choose a prespecified timing arm or apply a multi-arm model; do not count both active timing arms as separate studies.</x:v>
      </x:c>
      <x:c r="T10" s="18" t="str">
        <x:v>Do not convert mg/kg to absolute mg using group mean body weight; aggregate means cannot reconstruct individual absolute dose</x:v>
      </x:c>
      <x:c r="U10" s="18" t="str">
        <x:v>https://drive.google.com/file/d/1YsNHL-J3Kgfu8mCanRrNu_bHk_roj0w6/view?usp=drivesdk</x:v>
      </x:c>
    </x:row>
    <x:row r="11">
      <x:c r="A11" s="18" t="str">
        <x:v>Chen 2015</x:v>
      </x:c>
      <x:c r="B11" s="18" t="str">
        <x:v>CHEN15Q_TEAS_vs_CTRL_RESCUEMORPH24</x:v>
      </x:c>
      <x:c r="C11" s="18" t="str">
        <x:v>Preoperative TEAS</x:v>
      </x:c>
      <x:c r="D11" s="18" t="str">
        <x:v>Electrodes/device with no stimulation</x:v>
      </x:c>
      <x:c r="E11" s="18" t="str">
        <x:v>Cumulative rescue IV morphine dose derived from fixed 2-mg rescue administrations</x:v>
      </x:c>
      <x:c r="F11" s="18" t="str">
        <x:v>0-24 h</x:v>
      </x:c>
      <x:c r="G11" s="18" t="str">
        <x:v>Median/IQR</x:v>
      </x:c>
      <x:c r="H11" s="18" t="n">
        <x:v>41</x:v>
      </x:c>
      <x:c r="I11" s="18" t="n">
        <x:v>42</x:v>
      </x:c>
      <x:c r="J11" s="18" t="str">
        <x:v>2 (2–6)</x:v>
      </x:c>
      <x:c r="K11" s="18" t="str">
        <x:v>7 (4–14)</x:v>
      </x:c>
      <x:c r="L11" s="18" t="str">
        <x:v>mg IV morphine</x:v>
      </x:c>
      <x:c r="M11" s="18" t="str">
        <x:v>Conditional derived</x:v>
      </x:c>
      <x:c r="N11" s="18" t="str">
        <x:v>CONDITIONAL — DERIVED MEDIAN/IQR</x:v>
      </x:c>
      <x:c r="O11" s="18" t="str">
        <x:v>24-h morphine dose is exactly derived from fixed 2-mg rescue administrations; the article reports rescue counts rather than dose.</x:v>
      </x:c>
      <x:c r="P11" s="18" t="str">
        <x:v>Use native IV morphine; convert to review-standard MME only per prespecified rule</x:v>
      </x:c>
      <x:c r="Q11" s="18" t="str">
        <x:v>High</x:v>
      </x:c>
      <x:c r="R11" s="18" t="str">
        <x:v>Use only if derived dose endpoints are permitted and median/IQR synthesis is prespecified.</x:v>
      </x:c>
      <x:c r="S11" s="18" t="str">
        <x:v>Count this study once per synthesis unless a valid multi-arm method is used.</x:v>
      </x:c>
      <x:c r="T11" s="18" t="str">
        <x:v>Source reports rescue-administration count 1 (1-3) vs 3.5 (2-7); each rescue administration was fixed at morphine 2 mg. Linear conversion to mg is exact, but the source itself reports counts rather than dose.</x:v>
      </x:c>
      <x:c r="U11" s="18" t="str">
        <x:v>https://drive.google.com/file/d/1ZtE8GImDcpDJH1tOvzqazoh_S4Gd67oH/view?usp=drivesdk</x:v>
      </x:c>
    </x:row>
    <x:row r="12">
      <x:c r="A12" s="18" t="str">
        <x:v>Chen 2015 (Hyperalgesia)</x:v>
      </x:c>
      <x:c r="B12" s="18" t="str">
        <x:v>CHEN15H_TEAS_vs_SHAM_SUFKG24</x:v>
      </x:c>
      <x:c r="C12" s="18" t="str">
        <x:v>Preoperative TEAS</x:v>
      </x:c>
      <x:c r="D12" s="18" t="str">
        <x:v>Electrodes/no-current sham</x:v>
      </x:c>
      <x:c r="E12" s="18" t="str">
        <x:v>Derived cumulative sufentanil dose from fixed 0.05 µg/kg bolus</x:v>
      </x:c>
      <x:c r="F12" s="18" t="str">
        <x:v>0-24 h</x:v>
      </x:c>
      <x:c r="G12" s="18" t="str">
        <x:v>Median/IQR</x:v>
      </x:c>
      <x:c r="H12" s="18" t="n">
        <x:v>29</x:v>
      </x:c>
      <x:c r="I12" s="18" t="n">
        <x:v>30</x:v>
      </x:c>
      <x:c r="J12" s="18" t="str">
        <x:v>0.15 (0.1–0.2)</x:v>
      </x:c>
      <x:c r="K12" s="18" t="str">
        <x:v>0.35 (0.3–0.4)</x:v>
      </x:c>
      <x:c r="L12" s="18" t="str">
        <x:v>µg/kg sufentanil</x:v>
      </x:c>
      <x:c r="M12" s="18" t="str">
        <x:v>Conditional derived</x:v>
      </x:c>
      <x:c r="N12" s="18" t="str">
        <x:v>CONDITIONAL — WEIGHT-NORMALIZED DERIVED</x:v>
      </x:c>
      <x:c r="O12" s="18" t="str">
        <x:v>Exact linear conversion from fixed 0.05 µg/kg sufentanil bolus × reported bolus count.</x:v>
      </x:c>
      <x:c r="P12" s="18" t="str">
        <x:v>Opioid/MME conversion required using prespecified review conversion</x:v>
      </x:c>
      <x:c r="Q12" s="18" t="str">
        <x:v>Some concerns</x:v>
      </x:c>
      <x:c r="R12" s="18" t="str">
        <x:v>Do not convert to absolute µg/MME using group-average weight.</x:v>
      </x:c>
      <x:c r="S12" s="18" t="str">
        <x:v>Count this study once per synthesis unless a valid multi-arm method is used.</x:v>
      </x:c>
      <x:c r="T12" s="18" t="str">
        <x:v>Exact linear conversion from 0.05 µg/kg per bolus × reported bolus count. Do not convert to absolute µg or MME without individual body weights.</x:v>
      </x:c>
      <x:c r="U12" s="18" t="str">
        <x:v>https://drive.google.com/file/d/13YKAZZsc2VQEPqkw1Ye40BYDZSRpI6N3/view?usp=drivesdk</x:v>
      </x:c>
    </x:row>
    <x:row r="13">
      <x:c r="A13" s="18" t="str">
        <x:v>Zhou 2021</x:v>
      </x:c>
      <x:c r="B13" s="18" t="str">
        <x:v>ZHOU21_TEAS_vs_UC_OPIOIDUSE</x:v>
      </x:c>
      <x:c r="C13" s="18" t="str">
        <x:v>Postoperative TEAS + ERAS</x:v>
      </x:c>
      <x:c r="D13" s="18" t="str">
        <x:v>ERAS/usual care</x:v>
      </x:c>
      <x:c r="E13" s="18" t="str">
        <x:v>Any postoperative opioid use</x:v>
      </x:c>
      <x:c r="F13" s="18" t="str">
        <x:v>Postoperative window not clearly defined as 0-24 h</x:v>
      </x:c>
      <x:c r="G13" s="18" t="str">
        <x:v>Events/total</x:v>
      </x:c>
      <x:c r="H13" s="18" t="n">
        <x:v>41</x:v>
      </x:c>
      <x:c r="I13" s="18" t="n">
        <x:v>40</x:v>
      </x:c>
      <x:c r="J13" s="18" t="str">
        <x:v>18/41</x:v>
      </x:c>
      <x:c r="K13" s="18" t="str">
        <x:v>30/40</x:v>
      </x:c>
      <x:c r="L13" s="18" t="str">
        <x:v>participants</x:v>
      </x:c>
      <x:c r="M13" s="18" t="str">
        <x:v>Secondary binary</x:v>
      </x:c>
      <x:c r="N13" s="18" t="str">
        <x:v>EXCLUDE FROM CONTINUOUS DOSE; USE SEPARATE BINARY ANALYSIS</x:v>
      </x:c>
      <x:c r="O13" s="18" t="str">
        <x:v>Outcome is any postoperative opioid use and its time window is not clearly 0-24 h.</x:v>
      </x:c>
      <x:c r="P13" s="18" t="str">
        <x:v>None</x:v>
      </x:c>
      <x:c r="Q13" s="18" t="str">
        <x:v>High</x:v>
      </x:c>
      <x:c r="R13" s="18" t="str">
        <x:v>Can be analyzed separately as binary opioid-use incidence.</x:v>
      </x:c>
      <x:c r="S13" s="18" t="str">
        <x:v>Count this study once per synthesis unless a valid multi-arm method is used.</x:v>
      </x:c>
      <x:c r="T13" s="18" t="str">
        <x:v>Exact postoperative time window is not clearly stated</x:v>
      </x:c>
      <x:c r="U13" s="18" t="str">
        <x:v>https://drive.google.com/file/d/1PxYyULBv_ZjWeqAm_bNYkDn_j2_lNYLq/view?usp=drivesdk</x:v>
      </x:c>
    </x:row>
    <x:row r="14">
      <x:c r="A14" s="18" t="str">
        <x:v>Luo 2026</x:v>
      </x:c>
      <x:c r="B14" s="18" t="str">
        <x:v>LUO26_TEAS_vs_SHAM_OPIOIDEQUIV</x:v>
      </x:c>
      <x:c r="C14" s="18" t="str">
        <x:v>Intraoperative PC6 TEAS + standard antiemetics</x:v>
      </x:c>
      <x:c r="D14" s="18" t="str">
        <x:v>Sham/no current + standard antiemetics</x:v>
      </x:c>
      <x:c r="E14" s="18" t="str">
        <x:v>Published 'sufentanil equivalents' metric</x:v>
      </x:c>
      <x:c r="F14" s="18" t="str">
        <x:v>Perioperative</x:v>
      </x:c>
      <x:c r="G14" s="18" t="str">
        <x:v>Mean/SD</x:v>
      </x:c>
      <x:c r="H14" s="18" t="n">
        <x:v>138</x:v>
      </x:c>
      <x:c r="I14" s="18" t="n">
        <x:v>139</x:v>
      </x:c>
      <x:c r="J14" s="18" t="str">
        <x:v>15.86 ± 5.11</x:v>
      </x:c>
      <x:c r="K14" s="18" t="str">
        <x:v>15.18 ± 4.95</x:v>
      </x:c>
      <x:c r="L14" s="18" t="str">
        <x:v>published as mg; definition/unit unresolved</x:v>
      </x:c>
      <x:c r="M14" s="18" t="str">
        <x:v>QC hold</x:v>
      </x:c>
      <x:c r="N14" s="18" t="str">
        <x:v>EXCLUDE UNTIL UNIT/DEFINITION RESOLVED</x:v>
      </x:c>
      <x:c r="O14" s="18" t="str">
        <x:v>Published 'sufentanil equivalents' unit/definition is unresolved and the window is perioperative rather than 0-24 h.</x:v>
      </x:c>
      <x:c r="P14" s="18" t="str">
        <x:v>None</x:v>
      </x:c>
      <x:c r="Q14" s="18" t="str">
        <x:v>Some concerns</x:v>
      </x:c>
      <x:c r="R14" s="18" t="str"/>
      <x:c r="S14" s="18" t="str">
        <x:v>Count this study once per synthesis unless a valid multi-arm method is used.</x:v>
      </x:c>
      <x:c r="T14" s="18" t="str">
        <x:v>Source labels approximately 15-16 as 'sufentanil equivalents (mg)' without explaining conversion; preserve verbatim</x:v>
      </x:c>
      <x:c r="U14" s="18" t="str">
        <x:v>https://drive.google.com/file/d/1xxZle6mPpcnmHLblJbsy1kA4CyQHpvm2/view?usp=drivesdk</x:v>
      </x:c>
    </x:row>
    <x:row r="15">
      <x:c r="A15" s="18" t="str">
        <x:v>Jin 2023</x:v>
      </x:c>
      <x:c r="B15" s="18" t="str">
        <x:v>JIN23_2HZ_vs_SHAM_VOL24</x:v>
      </x:c>
      <x:c r="C15" s="18" t="str">
        <x:v>2-Hz postoperative EA</x:v>
      </x:c>
      <x:c r="D15" s="18" t="str">
        <x:v>Sham nonpenetrating EA/no current</x:v>
      </x:c>
      <x:c r="E15" s="18" t="str">
        <x:v>Published 'fentanyl consumption' / PCIA solution volume</x:v>
      </x:c>
      <x:c r="F15" s="18" t="str">
        <x:v>24 h</x:v>
      </x:c>
      <x:c r="G15" s="18" t="str">
        <x:v>Mean/SD</x:v>
      </x:c>
      <x:c r="H15" s="18" t="n">
        <x:v>53</x:v>
      </x:c>
      <x:c r="I15" s="18" t="n">
        <x:v>52</x:v>
      </x:c>
      <x:c r="J15" s="18" t="str">
        <x:v>39.31 ± 15.58</x:v>
      </x:c>
      <x:c r="K15" s="18" t="str">
        <x:v>56.54 ± 12.5</x:v>
      </x:c>
      <x:c r="L15" s="18" t="str">
        <x:v>mL PCIA solution</x:v>
      </x:c>
      <x:c r="M15" s="18" t="str">
        <x:v>Proxy/multi-arm</x:v>
      </x:c>
      <x:c r="N15" s="18" t="str">
        <x:v>EXCLUDE FROM DOSE; PCA VOLUME PROXY ONLY</x:v>
      </x:c>
      <x:c r="O15" s="18" t="str">
        <x:v>24-h result is mL PCIA solution, not fentanyl mass; concentration is unavailable.</x:v>
      </x:c>
      <x:c r="P15" s="18" t="str">
        <x:v>Do not convert unless concentration and delivered dose are fully known</x:v>
      </x:c>
      <x:c r="Q15" s="18" t="str">
        <x:v>High</x:v>
      </x:c>
      <x:c r="R15" s="18" t="str"/>
      <x:c r="S15" s="18" t="str">
        <x:v>Three-arm frequency trial with shared sham; if used as a proxy, apply multi-arm handling.</x:v>
      </x:c>
      <x:c r="T15" s="18" t="str">
        <x:v>Main article does not report fentanyl concentration. Do not convert mL to µg/mg/MME. 2-Hz vs 20/100-Hz inferential statistics conflict between table and prose</x:v>
      </x:c>
      <x:c r="U15" s="18" t="str">
        <x:v>https://drive.google.com/file/d/1fkNAFra0gZ9jkWkzp_S0TWy-5zVrXCtj/view?usp=drivesdk</x:v>
      </x:c>
    </x:row>
    <x:row r="16">
      <x:c r="A16" s="18" t="str">
        <x:v>Yeh lumbar-spine publication family — ONE study unit pending overlap adjudication</x:v>
      </x:c>
      <x:c r="B16" s="18" t="str">
        <x:v>YEH11_AES_vs_SHAM_MORPH24</x:v>
      </x:c>
      <x:c r="C16" s="18" t="str">
        <x:v>True-acupoint AES</x:v>
      </x:c>
      <x:c r="D16" s="18" t="str">
        <x:v>Electrical sham/nonacupoint AES</x:v>
      </x:c>
      <x:c r="E16" s="18" t="str">
        <x:v>24-h IV morphine PCA dose</x:v>
      </x:c>
      <x:c r="F16" s="18" t="str">
        <x:v>First 24 postoperative hours</x:v>
      </x:c>
      <x:c r="G16" s="18" t="str">
        <x:v>Mean/SD</x:v>
      </x:c>
      <x:c r="H16" s="18" t="n">
        <x:v>30</x:v>
      </x:c>
      <x:c r="I16" s="18" t="n">
        <x:v>30</x:v>
      </x:c>
      <x:c r="J16" s="18" t="str">
        <x:v>19.3 ± 9.7</x:v>
      </x:c>
      <x:c r="K16" s="18" t="str">
        <x:v>21.6 ± 13.1</x:v>
      </x:c>
      <x:c r="L16" s="18" t="str">
        <x:v>mg IV morphine</x:v>
      </x:c>
      <x:c r="M16" s="18" t="str">
        <x:v>Duplicate family</x:v>
      </x:c>
      <x:c r="N16" s="18" t="str">
        <x:v>HOLD — OVERLAPPING PUBLICATIONS</x:v>
      </x:c>
      <x:c r="O16" s="18" t="str">
        <x:v>Yeh 2010 and Yeh 2011 appear to describe overlapping lumbar-spine cohorts with near-identical 24-h opioid data.</x:v>
      </x:c>
      <x:c r="P16" s="18" t="str">
        <x:v>Use native IV morphine; convert to review-standard MME only per prespecified rule</x:v>
      </x:c>
      <x:c r="Q16" s="18" t="str">
        <x:v>Some concerns</x:v>
      </x:c>
      <x:c r="R16" s="18" t="str">
        <x:v>Do not include either report until the publication/cohort linkage is adjudicated.</x:v>
      </x:c>
      <x:c r="S16" s="18" t="str">
        <x:v>Treat Yeh 2010 + Yeh 2011 as one unresolved study unit, not two independent RCTs.</x:v>
      </x:c>
      <x:c r="T16" s="18" t="str">
        <x:v>Highly similar to Yeh 2010 in population, acupoints, comparator and 24-h opioid values; do not count independently until cohort/publication linkage is adjudicated.</x:v>
      </x:c>
      <x:c r="U16" s="18" t="str">
        <x:v>https://drive.google.com/file/d/1ZJ60ZvJ5Q7sRu1iptK_tLLfBXxZZ_Hwl/view?usp=drivesdk</x:v>
      </x:c>
    </x:row>
  </x:sheetData>
  <x:conditionalFormatting sqref="N2:N16">
    <x:cfRule type="expression" dxfId="66" priority="1">
      <x:formula>LEFT(N2,18)="INCLUDE IN PRIMARY"</x:formula>
    </x:cfRule>
    <x:cfRule type="expression" dxfId="67" priority="2">
      <x:formula>LEFT(N2,11)="CONDITIONAL"</x:formula>
    </x:cfRule>
    <x:cfRule type="expression" dxfId="68" priority="3">
      <x:formula>LEFT(N2,7)="EXCLUDE"</x:formula>
    </x:cfRule>
    <x:cfRule type="expression" dxfId="69" priority="4">
      <x:formula>LEFT(N2,4)="HOLD"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5" hidden="0" customWidth="1"/>
  </x:cols>
  <x:sheetData>
    <x:row r="1">
      <x:c r="A1" s="74" t="str">
        <x:v>24-h continuous opioid study-level set</x:v>
      </x:c>
      <x:c r="B1" s="74" t="str">
        <x:v>Count</x:v>
      </x:c>
    </x:row>
    <x:row r="2">
      <x:c r="A2" s="18" t="str">
        <x:v>Primary study units</x:v>
      </x:c>
      <x:c r="B2" s="18" t="n">
        <x:v>6</x:v>
      </x:c>
    </x:row>
    <x:row r="3">
      <x:c r="A3" s="18" t="str">
        <x:v>Conditional study units</x:v>
      </x:c>
      <x:c r="B3" s="18" t="n">
        <x:v>5</x:v>
      </x:c>
    </x:row>
    <x:row r="4">
      <x:c r="A4" s="18" t="str">
        <x:v>Excluded/separate-endpoint study units</x:v>
      </x:c>
      <x:c r="B4" s="18" t="n">
        <x:v>3</x:v>
      </x:c>
    </x:row>
    <x:row r="5">
      <x:c r="A5" s="18" t="str">
        <x:v>Duplicate/overlap study units on hold</x:v>
      </x:c>
      <x:c r="B5" s="18" t="n">
        <x:v>1</x:v>
      </x:c>
    </x:row>
    <x:row r="6">
      <x:c r="A6" s="18" t="str">
        <x:v>Primary direct set before sensitivity exclusions</x:v>
      </x:c>
      <x:c r="B6" s="18" t="n">
        <x:v>6</x:v>
      </x:c>
    </x:row>
    <x:row r="7">
      <x:c r="A7" s="18" t="str">
        <x:v>Primary direct set excluding El-Rakshy high-RoB sensitivity case</x:v>
      </x:c>
      <x:c r="B7" s="18" t="n">
        <x:v>5</x:v>
      </x:c>
    </x:row>
  </x:sheetData>
  <x:pageMargins left="0.7" right="0.7" top="0.75" bottom="0.75" header="0.3" footer="0.3"/>
</x:worksheet>
</file>