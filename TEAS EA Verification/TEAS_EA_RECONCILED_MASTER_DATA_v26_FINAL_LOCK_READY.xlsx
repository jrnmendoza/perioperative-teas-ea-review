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6.xml" ContentType="application/vnd.openxmlformats-officedocument.spreadsheetml.table+xml"/>
  <Override PartName="/xl/worksheets/sheet20.xml" ContentType="application/vnd.openxmlformats-officedocument.spreadsheetml.worksheet+xml"/>
  <Override PartName="/xl/tables/table7.xml" ContentType="application/vnd.openxmlformats-officedocument.spreadsheetml.table+xml"/>
  <Override PartName="/xl/worksheets/sheet21.xml" ContentType="application/vnd.openxmlformats-officedocument.spreadsheetml.worksheet+xml"/>
  <Override PartName="/xl/tables/table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tables/table13.xml" ContentType="application/vnd.openxmlformats-officedocument.spreadsheetml.table+xml"/>
  <Override PartName="/xl/worksheets/sheet28.xml" ContentType="application/vnd.openxmlformats-officedocument.spreadsheetml.worksheet+xml"/>
  <Override PartName="/xl/tables/table14.xml" ContentType="application/vnd.openxmlformats-officedocument.spreadsheetml.table+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441611af974b52" /></Relationships>
</file>

<file path=xl/workbook.xml><?xml version="1.0" encoding="utf-8"?>
<x:workbook xmlns:x="http://schemas.openxmlformats.org/spreadsheetml/2006/main">
  <x:sheets>
    <x:sheet xmlns:r="http://schemas.openxmlformats.org/officeDocument/2006/relationships" name="README" sheetId="1" r:id="R0c41465225844c2d"/>
    <x:sheet xmlns:r="http://schemas.openxmlformats.org/officeDocument/2006/relationships" name="Study_Master" sheetId="2" r:id="R0382605619f64db8"/>
    <x:sheet xmlns:r="http://schemas.openxmlformats.org/officeDocument/2006/relationships" name="Corrected_RoB2" sheetId="3" r:id="R1f5695580b9245dd"/>
    <x:sheet xmlns:r="http://schemas.openxmlformats.org/officeDocument/2006/relationships" name="Audit_Issues" sheetId="4" r:id="Re1d3f7d12b704718"/>
    <x:sheet xmlns:r="http://schemas.openxmlformats.org/officeDocument/2006/relationships" name="AG_Candidate_Data" sheetId="5" r:id="R0b42a75d33844491"/>
    <x:sheet xmlns:r="http://schemas.openxmlformats.org/officeDocument/2006/relationships" name="Summary" sheetId="6" r:id="Rdc63770dd1dd4c83"/>
    <x:sheet xmlns:r="http://schemas.openxmlformats.org/officeDocument/2006/relationships" name="Outcome_Data" sheetId="7" r:id="R7fb86ebd64844102"/>
    <x:sheet xmlns:r="http://schemas.openxmlformats.org/officeDocument/2006/relationships" name="Analysis_Readiness" sheetId="8" r:id="Rb759956647b04907"/>
    <x:sheet xmlns:r="http://schemas.openxmlformats.org/officeDocument/2006/relationships" name="Analysis_Summary" sheetId="9" r:id="R64184435c1274e54"/>
    <x:sheet xmlns:r="http://schemas.openxmlformats.org/officeDocument/2006/relationships" name="Opioid_24h_Candidates" sheetId="10" r:id="Ra731b4ceb497449e"/>
    <x:sheet xmlns:r="http://schemas.openxmlformats.org/officeDocument/2006/relationships" name="Set_Opioid_24h" sheetId="11" r:id="R3923904c1a4b4f13"/>
    <x:sheet xmlns:r="http://schemas.openxmlformats.org/officeDocument/2006/relationships" name="Set_Pain_24h" sheetId="12" r:id="R9fce99d4b6234383"/>
    <x:sheet xmlns:r="http://schemas.openxmlformats.org/officeDocument/2006/relationships" name="Set_PONV" sheetId="13" r:id="Rf3bc410792364959"/>
    <x:sheet xmlns:r="http://schemas.openxmlformats.org/officeDocument/2006/relationships" name="Set_QoR" sheetId="14" r:id="R8c040599a8f84dc5"/>
    <x:sheet xmlns:r="http://schemas.openxmlformats.org/officeDocument/2006/relationships" name="Set_GI_Recovery" sheetId="15" r:id="R3309fb84473b40ad"/>
    <x:sheet xmlns:r="http://schemas.openxmlformats.org/officeDocument/2006/relationships" name="Study_Level_Synthesis" sheetId="16" r:id="Rf284d8dbd49647bf"/>
    <x:sheet xmlns:r="http://schemas.openxmlformats.org/officeDocument/2006/relationships" name="Opioid_Primary_StudyLevel" sheetId="17" r:id="R18a81a12785e4f39"/>
    <x:sheet xmlns:r="http://schemas.openxmlformats.org/officeDocument/2006/relationships" name="Opioid_Primary_Summary" sheetId="18" r:id="R5fef1d4e1b6b496e"/>
    <x:sheet xmlns:r="http://schemas.openxmlformats.org/officeDocument/2006/relationships" name="AF_Result_Lock" sheetId="19" r:id="R4cabb144ad1b4d1e"/>
    <x:sheet xmlns:r="http://schemas.openxmlformats.org/officeDocument/2006/relationships" name="AF_Unresolved" sheetId="20" r:id="R3fec3e155f2e4d06"/>
    <x:sheet xmlns:r="http://schemas.openxmlformats.org/officeDocument/2006/relationships" name="Outcome_Data_AF_LOCK" sheetId="21" r:id="R465a91eb82eb4520"/>
    <x:sheet xmlns:r="http://schemas.openxmlformats.org/officeDocument/2006/relationships" name="AF_Lock_Summary" sheetId="22" r:id="R750935fb61f44d95"/>
    <x:sheet xmlns:r="http://schemas.openxmlformats.org/officeDocument/2006/relationships" name="AF_Normalization_Log" sheetId="23" r:id="R2fdee9057f6440ff"/>
    <x:sheet xmlns:r="http://schemas.openxmlformats.org/officeDocument/2006/relationships" name="AF_P1_Disposition" sheetId="24" r:id="Rd1a9500bc6174b1f"/>
    <x:sheet xmlns:r="http://schemas.openxmlformats.org/officeDocument/2006/relationships" name="Stata_AF_Long" sheetId="25" r:id="R019fb117aeff4473"/>
    <x:sheet xmlns:r="http://schemas.openxmlformats.org/officeDocument/2006/relationships" name="Stata_Opioid24_Primary" sheetId="26" r:id="R2968b6718aa74836"/>
    <x:sheet xmlns:r="http://schemas.openxmlformats.org/officeDocument/2006/relationships" name="Stata_Manifest" sheetId="27" r:id="Rab2853d0a5554da7"/>
    <x:sheet xmlns:r="http://schemas.openxmlformats.org/officeDocument/2006/relationships" name="AF_Priority_QA" sheetId="28" r:id="Ra5418c00d41a4514"/>
    <x:sheet xmlns:r="http://schemas.openxmlformats.org/officeDocument/2006/relationships" name="Scope_Exclusion_Audit" sheetId="29" r:id="R6b211dd18c3b4c5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FFFFFF"/>
      <x:name val="Carlito"/>
    </x:font>
    <x:font>
      <x:b/>
      <x:sz val="11"/>
      <x:color rgb="FF17365D"/>
      <x:name val="Carlito"/>
    </x:font>
    <x:font>
      <x:b/>
      <x:sz val="11"/>
      <x:color rgb="FFFFFFFF"/>
      <x:name val="Carlito"/>
    </x:font>
    <x:font>
      <x:b/>
      <x:sz val="11"/>
      <x:name val="Carlito"/>
    </x:font>
    <x:font>
      <x:b/>
      <x:sz val="14"/>
      <x:color rgb="FFFFFFFF"/>
      <x:name val="Carlito"/>
    </x:font>
    <x:font>
      <x:b/>
      <x:sz val="11"/>
      <x:color rgb="FF0F3D4C"/>
      <x:name val="Carlito"/>
    </x:font>
  </x:fonts>
  <x:fills count="1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55E75"/>
      </x:patternFill>
    </x:fill>
    <x:fill>
      <x:patternFill patternType="solid">
        <x:fgColor rgb="FF0F4C5C"/>
      </x:patternFill>
    </x:fill>
    <x:fill>
      <x:patternFill patternType="solid">
        <x:fgColor rgb="FFD9EAF0"/>
      </x:patternFill>
    </x:fill>
    <x:fill>
      <x:patternFill patternType="solid">
        <x:fgColor rgb="FF155E75"/>
      </x:patternFill>
    </x:fill>
  </x:fills>
  <x:borders count="2">
    <x:border/>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vertic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vertical="center"/>
    </x:xf>
    <x:xf numFmtId="0"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5" borderId="0"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3" fillId="9" borderId="0" xfId="0" applyNumberFormat="1" applyFont="1" applyFill="1" applyBorder="1" applyAlignment="1">
      <x:alignment horizontal="center"/>
    </x:xf>
    <x:xf numFmtId="0" fontId="0" fillId="10" borderId="0" xfId="0" applyNumberFormat="1" applyFont="1" applyFill="1" applyBorder="1"/>
    <x:xf numFmtId="0" fontId="4" fillId="10" borderId="0" xfId="0" applyNumberFormat="1" applyFont="1" applyFill="1" applyBorder="1"/>
    <x:xf numFmtId="0" fontId="3" fillId="4" borderId="0" xfId="0" applyNumberFormat="1" applyFont="1" applyFill="1" applyBorder="1" applyAlignment="1">
      <x:alignment horizontal="center"/>
    </x:xf>
    <x:xf numFmtId="0" fontId="4" fillId="5"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horizontal="left"/>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wrapText="1"/>
    </x:xf>
    <x:xf numFmtId="0" fontId="5" fillId="15" borderId="0" xfId="0" applyNumberFormat="1" applyFont="1" applyFill="1" applyBorder="1" applyAlignment="1">
      <x:alignment horizontal="left" wrapText="1"/>
    </x:xf>
    <x:xf numFmtId="0" fontId="0" fillId="14" borderId="0" xfId="0" applyNumberFormat="1" applyFont="1" applyFill="1" applyBorder="1" applyAlignment="1">
      <x:alignment wrapText="1"/>
    </x:xf>
    <x:xf numFmtId="0" fontId="3" fillId="15" borderId="0" xfId="0" applyNumberFormat="1" applyFont="1" applyFill="1" applyBorder="1"/>
    <x:xf numFmtId="0" fontId="3" fillId="15"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center" wrapText="1"/>
    </x:xf>
    <x:xf numFmtId="0" fontId="3" fillId="17" borderId="0" xfId="0" applyNumberFormat="1" applyFont="1" applyFill="1" applyBorder="1" applyAlignment="1">
      <x:alignment horizontal="center" vertical="center" wrapText="1"/>
    </x:xf>
  </x:cellXfs>
  <x:cellStyles count="1">
    <x:cellStyle name="Normal" xfId="0"/>
  </x:cellStyles>
  <x:dxfs count="83">
    <x:dxf>
      <x:font>
        <x:b/>
      </x:font>
      <x:fill>
        <x:patternFill>
          <x:bgColor rgb="FFF4CCCC"/>
        </x:patternFill>
      </x:fill>
    </x:dxf>
    <x:dxf>
      <x:font>
        <x:b/>
      </x:font>
      <x:fill>
        <x:patternFill>
          <x:bgColor rgb="FFFFF2CC"/>
        </x:patternFill>
      </x:fill>
    </x:dxf>
    <x:dxf>
      <x:fill>
        <x:patternFill>
          <x:bgColor rgb="FFD9EAF7"/>
        </x:patternFill>
      </x:fill>
    </x:dxf>
    <x:dxf>
      <x:fill>
        <x:patternFill>
          <x:bgColor rgb="FFE7E6E6"/>
        </x:patternFill>
      </x:fill>
    </x:dxf>
    <x:dxf>
      <x:font>
        <x:b/>
      </x:font>
      <x:fill>
        <x:patternFill>
          <x:bgColor rgb="FFF4CCCC"/>
        </x:patternFill>
      </x:fill>
    </x:dxf>
    <x:dxf>
      <x:font>
        <x:b/>
      </x:font>
      <x:fill>
        <x:patternFill>
          <x:bgColor rgb="FFF4CCCC"/>
        </x:patternFill>
      </x:fill>
    </x:dxf>
    <x:dxf>
      <x:font>
        <x:b/>
      </x:font>
      <x:fill>
        <x:patternFill>
          <x:bgColor rgb="FFFFF2CC"/>
        </x:patternFill>
      </x:fill>
    </x:dxf>
    <x:dxf>
      <x:font>
        <x:b/>
      </x:font>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ont>
        <x:b/>
      </x:font>
      <x:fill>
        <x:patternFill>
          <x:bgColor rgb="FFFFF2CC"/>
        </x:patternFill>
      </x:fill>
    </x:dxf>
    <x:dxf>
      <x:font>
        <x:b/>
      </x:font>
      <x:fill>
        <x:patternFill>
          <x:bgColor rgb="FFD9EAD3"/>
        </x:patternFill>
      </x:fill>
    </x:dxf>
    <x:dxf>
      <x:font>
        <x:b/>
      </x:font>
      <x:fill>
        <x:patternFill>
          <x:bgColor rgb="FFF4CCCC"/>
        </x:patternFill>
      </x:fill>
    </x:dxf>
    <x:dxf>
      <x:font>
        <x:b/>
      </x:font>
      <x:fill>
        <x:patternFill>
          <x:bgColor rgb="FFD9EAD3"/>
        </x:patternFill>
      </x:fill>
    </x:dxf>
    <x:dxf>
      <x:fill>
        <x:patternFill>
          <x:bgColor rgb="FFFFF2CC"/>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ill>
        <x:patternFill>
          <x:bgColor rgb="FFFFF2CC"/>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EDE9FE"/>
        </x:patternFill>
      </x:fill>
    </x:dxf>
    <x:dxf>
      <x:fill>
        <x:patternFill>
          <x:bgColor rgb="FFFDE68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ont>
        <x:b/>
        <x:color rgb="FF991B1B"/>
      </x:font>
      <x:fill>
        <x:patternFill>
          <x:bgColor rgb="FFFECACA"/>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CACA"/>
        </x:patternFill>
      </x:fill>
    </x:dxf>
    <x:dxf>
      <x:font>
        <x:b/>
        <x:color rgb="FF991B1B"/>
      </x:font>
      <x:fill>
        <x:patternFill>
          <x:bgColor rgb="FFFECACA"/>
        </x:patternFill>
      </x:fill>
    </x:dxf>
    <x:dxf>
      <x:font>
        <x:color rgb="FF92400E"/>
      </x:font>
      <x:fill>
        <x:patternFill>
          <x:bgColor rgb="FFFEF3C7"/>
        </x:patternFill>
      </x:fill>
    </x:dxf>
    <x:dxf>
      <x:font>
        <x:b/>
        <x:color rgb="FF991B1B"/>
      </x:font>
      <x:fill>
        <x:patternFill>
          <x:bgColor rgb="FFFECACA"/>
        </x:patternFill>
      </x:fill>
    </x:dxf>
    <x:dxf>
      <x:font>
        <x:color rgb="FF166534"/>
      </x:font>
      <x:fill>
        <x:patternFill>
          <x:bgColor rgb="FFDCFCE7"/>
        </x:patternFill>
      </x:fill>
    </x:dxf>
    <x:dxf>
      <x:font>
        <x:b/>
        <x:color rgb="FF166534"/>
      </x:font>
      <x:fill>
        <x:patternFill>
          <x:bgColor rgb="FFDCFCE7"/>
        </x:patternFill>
      </x:fill>
    </x:dxf>
    <x:dxf>
      <x:font>
        <x:color rgb="FF92400E"/>
      </x:font>
      <x:fill>
        <x:patternFill>
          <x:bgColor rgb="FFFEF3C7"/>
        </x:patternFill>
      </x:fill>
    </x:dxf>
    <x:dxf>
      <x:font>
        <x:color rgb="FF991B1B"/>
      </x:font>
      <x:fill>
        <x:patternFill>
          <x:bgColor rgb="FFFECACA"/>
        </x:patternFill>
      </x:fill>
    </x:dxf>
    <x:dxf>
      <x:font>
        <x:b/>
        <x:color rgb="FF166534"/>
      </x:font>
      <x:fill>
        <x:patternFill>
          <x:bgColor rgb="FFDCFCE7"/>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de2274db624a6a" /><Relationship Type="http://schemas.openxmlformats.org/officeDocument/2006/relationships/theme" Target="/xl/theme/theme1.xml" Id="Rad603755acd641ff" /><Relationship Type="http://schemas.openxmlformats.org/officeDocument/2006/relationships/sharedStrings" Target="/xl/sharedStrings.xml" Id="R91a9a2d1b6834276" /><Relationship Type="http://schemas.openxmlformats.org/officeDocument/2006/relationships/worksheet" Target="/xl/worksheets/sheet1.xml" Id="R0c41465225844c2d" /><Relationship Type="http://schemas.openxmlformats.org/officeDocument/2006/relationships/worksheet" Target="/xl/worksheets/sheet2.xml" Id="R0382605619f64db8" /><Relationship Type="http://schemas.openxmlformats.org/officeDocument/2006/relationships/worksheet" Target="/xl/worksheets/sheet3.xml" Id="R1f5695580b9245dd" /><Relationship Type="http://schemas.openxmlformats.org/officeDocument/2006/relationships/worksheet" Target="/xl/worksheets/sheet4.xml" Id="Re1d3f7d12b704718" /><Relationship Type="http://schemas.openxmlformats.org/officeDocument/2006/relationships/worksheet" Target="/xl/worksheets/sheet5.xml" Id="R0b42a75d33844491" /><Relationship Type="http://schemas.openxmlformats.org/officeDocument/2006/relationships/worksheet" Target="/xl/worksheets/sheet6.xml" Id="Rdc63770dd1dd4c83" /><Relationship Type="http://schemas.openxmlformats.org/officeDocument/2006/relationships/worksheet" Target="/xl/worksheets/sheet7.xml" Id="R7fb86ebd64844102" /><Relationship Type="http://schemas.openxmlformats.org/officeDocument/2006/relationships/worksheet" Target="/xl/worksheets/sheet8.xml" Id="Rb759956647b04907" /><Relationship Type="http://schemas.openxmlformats.org/officeDocument/2006/relationships/worksheet" Target="/xl/worksheets/sheet9.xml" Id="R64184435c1274e54" /><Relationship Type="http://schemas.openxmlformats.org/officeDocument/2006/relationships/worksheet" Target="/xl/worksheets/sheet10.xml" Id="Ra731b4ceb497449e" /><Relationship Type="http://schemas.openxmlformats.org/officeDocument/2006/relationships/worksheet" Target="/xl/worksheets/sheet11.xml" Id="R3923904c1a4b4f13" /><Relationship Type="http://schemas.openxmlformats.org/officeDocument/2006/relationships/worksheet" Target="/xl/worksheets/sheet12.xml" Id="R9fce99d4b6234383" /><Relationship Type="http://schemas.openxmlformats.org/officeDocument/2006/relationships/worksheet" Target="/xl/worksheets/sheet13.xml" Id="Rf3bc410792364959" /><Relationship Type="http://schemas.openxmlformats.org/officeDocument/2006/relationships/worksheet" Target="/xl/worksheets/sheet14.xml" Id="R8c040599a8f84dc5" /><Relationship Type="http://schemas.openxmlformats.org/officeDocument/2006/relationships/worksheet" Target="/xl/worksheets/sheet15.xml" Id="R3309fb84473b40ad" /><Relationship Type="http://schemas.openxmlformats.org/officeDocument/2006/relationships/worksheet" Target="/xl/worksheets/sheet16.xml" Id="Rf284d8dbd49647bf" /><Relationship Type="http://schemas.openxmlformats.org/officeDocument/2006/relationships/worksheet" Target="/xl/worksheets/sheet17.xml" Id="R18a81a12785e4f39" /><Relationship Type="http://schemas.openxmlformats.org/officeDocument/2006/relationships/worksheet" Target="/xl/worksheets/sheet18.xml" Id="R5fef1d4e1b6b496e" /><Relationship Type="http://schemas.openxmlformats.org/officeDocument/2006/relationships/worksheet" Target="/xl/worksheets/sheet19.xml" Id="R4cabb144ad1b4d1e" /><Relationship Type="http://schemas.openxmlformats.org/officeDocument/2006/relationships/worksheet" Target="/xl/worksheets/sheet20.xml" Id="R3fec3e155f2e4d06" /><Relationship Type="http://schemas.openxmlformats.org/officeDocument/2006/relationships/worksheet" Target="/xl/worksheets/sheet21.xml" Id="R465a91eb82eb4520" /><Relationship Type="http://schemas.openxmlformats.org/officeDocument/2006/relationships/worksheet" Target="/xl/worksheets/sheet22.xml" Id="R750935fb61f44d95" /><Relationship Type="http://schemas.openxmlformats.org/officeDocument/2006/relationships/worksheet" Target="/xl/worksheets/sheet23.xml" Id="R2fdee9057f6440ff" /><Relationship Type="http://schemas.openxmlformats.org/officeDocument/2006/relationships/worksheet" Target="/xl/worksheets/sheet24.xml" Id="Rd1a9500bc6174b1f" /><Relationship Type="http://schemas.openxmlformats.org/officeDocument/2006/relationships/worksheet" Target="/xl/worksheets/sheet25.xml" Id="R019fb117aeff4473" /><Relationship Type="http://schemas.openxmlformats.org/officeDocument/2006/relationships/worksheet" Target="/xl/worksheets/sheet26.xml" Id="R2968b6718aa74836" /><Relationship Type="http://schemas.openxmlformats.org/officeDocument/2006/relationships/worksheet" Target="/xl/worksheets/sheet27.xml" Id="Rab2853d0a5554da7" /><Relationship Type="http://schemas.openxmlformats.org/officeDocument/2006/relationships/worksheet" Target="/xl/worksheets/sheet28.xml" Id="Ra5418c00d41a4514" /><Relationship Type="http://schemas.openxmlformats.org/officeDocument/2006/relationships/worksheet" Target="/xl/worksheets/sheet29.xml" Id="R6b211dd18c3b4c5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6090b86d814a88" /></Relationships>
</file>

<file path=xl/drawings/_rels/drawing2.xml.rels>&#65279;<?xml version="1.0" encoding="utf-8"?><Relationships xmlns="http://schemas.openxmlformats.org/package/2006/relationships"><Relationship Type="http://schemas.openxmlformats.org/officeDocument/2006/relationships/chart" Target="/xl/drawings/charts/chart2.xml" Id="R81e8e0d44e4c448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Study-level correction status</a:t>
            </a:r>
          </a:p>
        </c:rich>
      </c:tx>
    </c:title>
    <c:plotArea>
      <c:barChart>
        <c:barDir val="col"/>
        <c:varyColors val="0"/>
        <c:ser>
          <c:idx val="0"/>
          <c:order val="0"/>
          <c:tx>
            <c:v>Count</c:v>
          </c:tx>
          <c:cat>
            <c:strRef>
              <c:f>'Summary'!$D$4:$D$7</c:f>
              <c:strCache>
                <c:ptCount val="0"/>
              </c:strCache>
            </c:strRef>
          </c:cat>
          <c:val>
            <c:numRef>
              <c:f>'Summary'!$E$4:$E$7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A–F reconciliation actions</a:t>
            </a:r>
          </a:p>
        </c:rich>
      </c:tx>
    </c:title>
    <c:plotArea>
      <c:barChart>
        <c:barDir val="col"/>
        <c:varyColors val="0"/>
        <c:ser>
          <c:idx val="0"/>
          <c:order val="0"/>
          <c:tx>
            <c:v>Count</c:v>
          </c:tx>
          <c:cat>
            <c:strRef>
              <c:f>'AF_Lock_Summary'!$K$4:$K$10</c:f>
              <c:strCache>
                <c:ptCount val="0"/>
              </c:strCache>
            </c:strRef>
          </c:cat>
          <c:val>
            <c:numRef>
              <c:f>'AF_Lock_Summary'!$L$4:$L$10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11</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6090b86d814a88"/>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12</xdr:row>
      <xdr:rowOff>0</xdr:rowOff>
    </xdr:from>
    <xdr:to>
      <xdr:col>18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e8e0d44e4c448e"/>
        </a:graphicData>
      </a:graphic>
    </xdr:graphicFrame>
    <xdr:clientData/>
  </xdr:twoCellAnchor>
</xdr:wsDr>
</file>

<file path=xl/tables/table1.xml><?xml version="1.0" encoding="utf-8"?>
<x:table xmlns:x="http://schemas.openxmlformats.org/spreadsheetml/2006/main" id="1" name="StudyMasterTable" displayName="StudyMasterTable" ref="A1:U64" headerRowCount="1" totalsRowCount="0" totalsRowShown="0">
  <x:tableColumns count="21">
    <x:tableColumn id="1" name="Canonical study"/>
    <x:tableColumn id="2" name="Reconciliation batch"/>
    <x:tableColumn id="3" name="Sol reconciliation status"/>
    <x:tableColumn id="4" name="Sol/source correction note"/>
    <x:tableColumn id="5" name="Identity correction"/>
    <x:tableColumn id="6" name="Antigravity study label"/>
    <x:tableColumn id="7" name="Antigravity study key"/>
    <x:tableColumn id="8" name="Covidence internal ID"/>
    <x:tableColumn id="9" name="Candidate source-result summary"/>
    <x:tableColumn id="10" name="Known fabricated-payload signature"/>
    <x:tableColumn id="11" name="Antigravity author-contact flag"/>
    <x:tableColumn id="12" name="Corrected RoB 2 complete"/>
    <x:tableColumn id="13" name="Corrected selected RoB result"/>
    <x:tableColumn id="14" name="Corrected result timepoint"/>
    <x:tableColumn id="15" name="Corrected overall RoB 2"/>
    <x:tableColumn id="16" name="Analysis readiness"/>
    <x:tableColumn id="17" name="Master use rule"/>
    <x:tableColumn id="18" name="Source-summary status"/>
    <x:tableColumn id="19" name="Source hierarchy"/>
    <x:tableColumn id="20" name="Project source folder"/>
    <x:tableColumn id="21" name="Reconciliation index"/>
  </x:tableColumns>
  <x:tableStyleInfo name="TableStyleMedium2" showFirstColumn="0" showLastColumn="0" showRowStripes="1" showColumnStripes="0"/>
</x:table>
</file>

<file path=xl/tables/table2.xml><?xml version="1.0" encoding="utf-8"?>
<x:table xmlns:x="http://schemas.openxmlformats.org/spreadsheetml/2006/main" id="2" name="CorrectedRoBTable" displayName="CorrectedRoBTable" ref="A1:P7" headerRowCount="1" totalsRowCount="0" totalsRowShown="0">
  <x:tableColumns count="16">
    <x:tableColumn id="1" name="Canonical study"/>
    <x:tableColumn id="2" name="Selected result"/>
    <x:tableColumn id="3" name="Comparison"/>
    <x:tableColumn id="4" name="Timepoint/window"/>
    <x:tableColumn id="5" name="Randomized n"/>
    <x:tableColumn id="6" name="Analyzed n"/>
    <x:tableColumn id="7" name="Corrected source result"/>
    <x:tableColumn id="8" name="Domain 1"/>
    <x:tableColumn id="9" name="Domain 2"/>
    <x:tableColumn id="10" name="Domain 3"/>
    <x:tableColumn id="11" name="Domain 4"/>
    <x:tableColumn id="12" name="Domain 5"/>
    <x:tableColumn id="13" name="Overall RoB 2"/>
    <x:tableColumn id="14" name="Correction source"/>
    <x:tableColumn id="15" name="Source folder"/>
    <x:tableColumn id="16" name="Corrected RoB folder"/>
  </x:tableColumns>
  <x:tableStyleInfo name="TableStyleMedium2" showFirstColumn="0" showLastColumn="0" showRowStripes="1" showColumnStripes="0"/>
</x:table>
</file>

<file path=xl/tables/table3.xml><?xml version="1.0" encoding="utf-8"?>
<x:table xmlns:x="http://schemas.openxmlformats.org/spreadsheetml/2006/main" id="3" name="AuditIssuesTable" displayName="AuditIssuesTable" ref="A1:F11" headerRowCount="1" totalsRowCount="0" totalsRowShown="0">
  <x:tableColumns count="6">
    <x:tableColumn id="1" name="Study/record"/>
    <x:tableColumn id="2" name="Issue type"/>
    <x:tableColumn id="3" name="Problem identified"/>
    <x:tableColumn id="4" name="Master decision"/>
    <x:tableColumn id="5" name="Severity"/>
    <x:tableColumn id="6" name="Status"/>
  </x:tableColumns>
  <x:tableStyleInfo name="TableStyleMedium2" showFirstColumn="0" showLastColumn="0" showRowStripes="1" showColumnStripes="0"/>
</x:table>
</file>

<file path=xl/tables/table4.xml><?xml version="1.0" encoding="utf-8"?>
<x:table xmlns:x="http://schemas.openxmlformats.org/spreadsheetml/2006/main" id="4" name="AGCandidateTable" displayName="AGCandidateTable" ref="A1:F64" headerRowCount="1" totalsRowCount="0" totalsRowShown="0">
  <x:tableColumns count="6">
    <x:tableColumn id="1" name="Canonical study"/>
    <x:tableColumn id="2" name="Antigravity label"/>
    <x:tableColumn id="3" name="Candidate source summary"/>
    <x:tableColumn id="4" name="Gemini/payload field from Antigravity report"/>
    <x:tableColumn id="5" name="Antigravity classification"/>
    <x:tableColumn id="6" name="Status in this master"/>
  </x:tableColumns>
  <x:tableStyleInfo name="TableStyleMedium2" showFirstColumn="0" showLastColumn="0" showRowStripes="1" showColumnStripes="0"/>
</x:table>
</file>

<file path=xl/tables/table5.xml><?xml version="1.0" encoding="utf-8"?>
<x:table xmlns:x="http://schemas.openxmlformats.org/spreadsheetml/2006/main" id="5" name="OutcomeDataTable" displayName="OutcomeDataTable" ref="A1:AL35" headerRowCount="1" totalsRowCount="0" totalsRowShown="0">
  <x:tableColumns count="38">
    <x:tableColumn id="1" name="Canonical study"/>
    <x:tableColumn id="2" name="Comparison ID"/>
    <x:tableColumn id="3" name="Intervention arm"/>
    <x:tableColumn id="4" name="Comparator arm"/>
    <x:tableColumn id="5" name="Outcome family"/>
    <x:tableColumn id="6" name="Outcome/result"/>
    <x:tableColumn id="7" name="Timepoint/window"/>
    <x:tableColumn id="8" name="Data type"/>
    <x:tableColumn id="9" name="Randomized n intervention"/>
    <x:tableColumn id="10" name="Randomized n comparator"/>
    <x:tableColumn id="11" name="Analyzed n intervention"/>
    <x:tableColumn id="12" name="Analyzed n comparator"/>
    <x:tableColumn id="13" name="Mean intervention"/>
    <x:tableColumn id="14" name="SD intervention"/>
    <x:tableColumn id="15" name="Median intervention"/>
    <x:tableColumn id="16" name="Q1 intervention"/>
    <x:tableColumn id="17" name="Q3 intervention"/>
    <x:tableColumn id="18" name="Events intervention"/>
    <x:tableColumn id="19" name="Mean comparator"/>
    <x:tableColumn id="20" name="SD comparator"/>
    <x:tableColumn id="21" name="Median comparator"/>
    <x:tableColumn id="22" name="Q1 comparator"/>
    <x:tableColumn id="23" name="Q3 comparator"/>
    <x:tableColumn id="24" name="Events comparator"/>
    <x:tableColumn id="25" name="Unit/scale"/>
    <x:tableColumn id="26" name="Reported P"/>
    <x:tableColumn id="27" name="Directly reported?"/>
    <x:tableColumn id="28" name="Derived/converted?"/>
    <x:tableColumn id="29" name="Derived effect measure"/>
    <x:tableColumn id="30" name="Derived effect"/>
    <x:tableColumn id="31" name="Exact 0-24 h postoperative opioid?"/>
    <x:tableColumn id="32" name="Primary opioid meta-analysis eligible?"/>
    <x:tableColumn id="33" name="Other analysis eligibility"/>
    <x:tableColumn id="34" name="Shared-control / multi-arm issue"/>
    <x:tableColumn id="35" name="Source-QC issue"/>
    <x:tableColumn id="36" name="Source location"/>
    <x:tableColumn id="37" name="Source PDF URL"/>
    <x:tableColumn id="38" name="Record status"/>
  </x:tableColumns>
  <x:tableStyleInfo name="TableStyleMedium2" showFirstColumn="0" showLastColumn="0" showRowStripes="1" showColumnStripes="0"/>
</x:table>
</file>

<file path=xl/tables/table6.xml><?xml version="1.0" encoding="utf-8"?>
<x:table xmlns:x="http://schemas.openxmlformats.org/spreadsheetml/2006/main" id="6" name="AFResultLockV21" displayName="AFResultLockV21" ref="A1:AB109" headerRowCount="1" totalsRowCount="0" totalsRowShown="0">
  <x:tableColumns count="28">
    <x:tableColumn id="1" name="Lock ID"/>
    <x:tableColumn id="2" name="Target"/>
    <x:tableColumn id="3" name="Canonical master study"/>
    <x:tableColumn id="4" name="Source study label"/>
    <x:tableColumn id="5" name="Outcome / estimand"/>
    <x:tableColumn id="6" name="Window"/>
    <x:tableColumn id="7" name="Source-verified result"/>
    <x:tableColumn id="8" name="D1"/>
    <x:tableColumn id="9" name="D2"/>
    <x:tableColumn id="10" name="D3"/>
    <x:tableColumn id="11" name="D4"/>
    <x:tableColumn id="12" name="D5"/>
    <x:tableColumn id="13" name="Overall RoB"/>
    <x:tableColumn id="14" name="Endpoint stratum"/>
    <x:tableColumn id="15" name="Synthesis status"/>
    <x:tableColumn id="16" name="Include strict model"/>
    <x:tableColumn id="17" name="Include sensitivity model"/>
    <x:tableColumn id="18" name="Narrative/evidence map"/>
    <x:tableColumn id="19" name="Exclude / hold reason"/>
    <x:tableColumn id="20" name="Author-contact priority"/>
    <x:tableColumn id="21" name="Overlap family"/>
    <x:tableColumn id="22" name="v20 comparison IDs"/>
    <x:tableColumn id="23" name="v20 match count"/>
    <x:tableColumn id="24" name="Reconciliation action"/>
    <x:tableColumn id="25" name="Reconciliation note"/>
    <x:tableColumn id="26" name="Key QC note"/>
    <x:tableColumn id="27" name="Source RoB file"/>
    <x:tableColumn id="28" name="v20 source URL(s)"/>
  </x:tableColumns>
  <x:tableStyleInfo name="TableStyleMedium2" showFirstColumn="0" showLastColumn="0" showRowStripes="1" showColumnStripes="0"/>
</x:table>
</file>

<file path=xl/tables/table7.xml><?xml version="1.0" encoding="utf-8"?>
<x:table xmlns:x="http://schemas.openxmlformats.org/spreadsheetml/2006/main" id="7" name="AFUnresolvedV21" displayName="AFUnresolvedV21" ref="A1:F35" headerRowCount="1" totalsRowCount="0" totalsRowShown="0">
  <x:tableColumns count="6">
    <x:tableColumn id="1" name="Priority"/>
    <x:tableColumn id="2" name="Target"/>
    <x:tableColumn id="3" name="Study / result"/>
    <x:tableColumn id="4" name="Unresolved issue"/>
    <x:tableColumn id="5" name="Dataset action now"/>
    <x:tableColumn id="6" name="Resolution needed"/>
  </x:tableColumns>
  <x:tableStyleInfo name="TableStyleMedium2" showFirstColumn="0" showLastColumn="0" showRowStripes="1" showColumnStripes="0"/>
</x:table>
</file>

<file path=xl/tables/table8.xml><?xml version="1.0" encoding="utf-8"?>
<x:table xmlns:x="http://schemas.openxmlformats.org/spreadsheetml/2006/main" id="8" name="OutcomeDataAFLockV22" displayName="OutcomeDataAFLockV22" ref="A1:AV298" headerRowCount="1" totalsRowCount="0" totalsRowShown="0">
  <x:tableColumns count="48">
    <x:tableColumn id="1" name="Canonical study"/>
    <x:tableColumn id="2" name="Comparison ID"/>
    <x:tableColumn id="3" name="Intervention arm"/>
    <x:tableColumn id="4" name="Comparator arm"/>
    <x:tableColumn id="5" name="Outcome family"/>
    <x:tableColumn id="6" name="Outcome/result"/>
    <x:tableColumn id="7" name="Timepoint/window"/>
    <x:tableColumn id="8" name="Data type"/>
    <x:tableColumn id="9" name="Randomized n intervention"/>
    <x:tableColumn id="10" name="Randomized n comparator"/>
    <x:tableColumn id="11" name="Analyzed n intervention"/>
    <x:tableColumn id="12" name="Analyzed n comparator"/>
    <x:tableColumn id="13" name="Mean intervention"/>
    <x:tableColumn id="14" name="SD intervention"/>
    <x:tableColumn id="15" name="Median intervention"/>
    <x:tableColumn id="16" name="Q1 intervention"/>
    <x:tableColumn id="17" name="Q3 intervention"/>
    <x:tableColumn id="18" name="Events intervention"/>
    <x:tableColumn id="19" name="Mean comparator"/>
    <x:tableColumn id="20" name="SD comparator"/>
    <x:tableColumn id="21" name="Median comparator"/>
    <x:tableColumn id="22" name="Q1 comparator"/>
    <x:tableColumn id="23" name="Q3 comparator"/>
    <x:tableColumn id="24" name="Events comparator"/>
    <x:tableColumn id="25" name="Unit/scale"/>
    <x:tableColumn id="26" name="Reported P"/>
    <x:tableColumn id="27" name="Directly reported?"/>
    <x:tableColumn id="28" name="Derived/converted?"/>
    <x:tableColumn id="29" name="Derived effect measure"/>
    <x:tableColumn id="30" name="Derived effect"/>
    <x:tableColumn id="31" name="Exact 0-24 h postoperative opioid?"/>
    <x:tableColumn id="32" name="Primary opioid meta-analysis eligible?"/>
    <x:tableColumn id="33" name="Other analysis eligibility"/>
    <x:tableColumn id="34" name="Shared-control / multi-arm issue"/>
    <x:tableColumn id="35" name="Source-QC issue"/>
    <x:tableColumn id="36" name="Source location"/>
    <x:tableColumn id="37" name="Source PDF URL"/>
    <x:tableColumn id="38" name="Record status"/>
    <x:tableColumn id="39" name="AF lock IDs"/>
    <x:tableColumn id="40" name="AF target(s)"/>
    <x:tableColumn id="41" name="AF endpoint stratum(s)"/>
    <x:tableColumn id="42" name="AF reconciliation action(s)"/>
    <x:tableColumn id="43" name="AF include strict"/>
    <x:tableColumn id="44" name="AF include sensitivity"/>
    <x:tableColumn id="45" name="AF overall RoB"/>
    <x:tableColumn id="46" name="AF unresolved priority"/>
    <x:tableColumn id="47" name="AF hold/exclude note"/>
    <x:tableColumn id="48" name="AF source-truth result(s)"/>
  </x:tableColumns>
  <x:tableStyleInfo name="TableStyleMedium2" showFirstColumn="0" showLastColumn="0" showRowStripes="1" showColumnStripes="0"/>
</x:table>
</file>

<file path=xl/tables/table9.xml><?xml version="1.0" encoding="utf-8"?>
<x:table xmlns:x="http://schemas.openxmlformats.org/spreadsheetml/2006/main" id="9" name="AFNormalizationLogV22" displayName="AFNormalizationLogV22" ref="A1:H31" headerRowCount="1" totalsRowCount="0" totalsRowShown="0">
  <x:tableColumns count="8">
    <x:tableColumn id="1" name="Lock ID"/>
    <x:tableColumn id="2" name="Target"/>
    <x:tableColumn id="3" name="Study"/>
    <x:tableColumn id="4" name="Outcome / estimand"/>
    <x:tableColumn id="5" name="Old action"/>
    <x:tableColumn id="6" name="v22 action"/>
    <x:tableColumn id="7" name="Normalized comparison ID(s)"/>
    <x:tableColumn id="8" name="Normalization note"/>
  </x:tableColumns>
  <x:tableStyleInfo name="TableStyleMedium2" showFirstColumn="0" showLastColumn="0" showRowStripes="1" showColumnStripes="0"/>
</x:table>
</file>

<file path=xl/tables/table10.xml><?xml version="1.0" encoding="utf-8"?>
<x:table xmlns:x="http://schemas.openxmlformats.org/spreadsheetml/2006/main" id="10" name="AFP1DispositionV23" displayName="AFP1DispositionV23" ref="A1:L20" headerRowCount="1" totalsRowCount="0" totalsRowShown="0">
  <x:tableColumns count="12">
    <x:tableColumn id="1" name="Issue ID"/>
    <x:tableColumn id="2" name="Study / result"/>
    <x:tableColumn id="3" name="Original P1 issue"/>
    <x:tableColumn id="4" name="Disposition class"/>
    <x:tableColumn id="5" name="Quantitative action"/>
    <x:tableColumn id="6" name="Can Stata proceed?"/>
    <x:tableColumn id="7" name="Global final-lock blocker?"/>
    <x:tableColumn id="8" name="Remaining source/author need"/>
    <x:tableColumn id="9" name="Decision rule"/>
    <x:tableColumn id="10" name="Source URL(s)"/>
    <x:tableColumn id="11" name="Disposition status"/>
    <x:tableColumn id="12" name="Notes"/>
  </x:tableColumns>
  <x:tableStyleInfo name="TableStyleMedium2" showFirstColumn="0" showLastColumn="0" showRowStripes="1" showColumnStripes="0"/>
</x:table>
</file>

<file path=xl/tables/table11.xml><?xml version="1.0" encoding="utf-8"?>
<x:table xmlns:x="http://schemas.openxmlformats.org/spreadsheetml/2006/main" id="14" name="StataAFLongV25" displayName="StataAFLongV25" ref="A1:AO109" headerRowCount="1" totalsRowCount="0" totalsRowShown="0">
  <x:tableColumns count="41">
    <x:tableColumn id="1" name="lock_id"/>
    <x:tableColumn id="2" name="target"/>
    <x:tableColumn id="3" name="endpoint_stratum"/>
    <x:tableColumn id="4" name="study"/>
    <x:tableColumn id="5" name="comparison_id"/>
    <x:tableColumn id="6" name="intervention"/>
    <x:tableColumn id="7" name="comparator"/>
    <x:tableColumn id="8" name="outcome"/>
    <x:tableColumn id="9" name="time_window"/>
    <x:tableColumn id="10" name="data_type"/>
    <x:tableColumn id="11" name="n_i"/>
    <x:tableColumn id="12" name="n_c"/>
    <x:tableColumn id="13" name="mean_i"/>
    <x:tableColumn id="14" name="sd_i"/>
    <x:tableColumn id="15" name="median_i"/>
    <x:tableColumn id="16" name="q1_i"/>
    <x:tableColumn id="17" name="q3_i"/>
    <x:tableColumn id="18" name="events_i"/>
    <x:tableColumn id="19" name="mean_c"/>
    <x:tableColumn id="20" name="sd_c"/>
    <x:tableColumn id="21" name="median_c"/>
    <x:tableColumn id="22" name="q1_c"/>
    <x:tableColumn id="23" name="q3_c"/>
    <x:tableColumn id="24" name="events_c"/>
    <x:tableColumn id="25" name="unit"/>
    <x:tableColumn id="26" name="reported_p"/>
    <x:tableColumn id="27" name="derived_effect_measure"/>
    <x:tableColumn id="28" name="derived_effect"/>
    <x:tableColumn id="29" name="rob_overall"/>
    <x:tableColumn id="30" name="include_strict"/>
    <x:tableColumn id="31" name="include_sensitivity"/>
    <x:tableColumn id="32" name="narrative_only"/>
    <x:tableColumn id="33" name="author_priority"/>
    <x:tableColumn id="34" name="p1_disposition"/>
    <x:tableColumn id="35" name="analysis_action"/>
    <x:tableColumn id="36" name="overlap_family"/>
    <x:tableColumn id="37" name="hold_reason"/>
    <x:tableColumn id="38" name="shared_control_issue"/>
    <x:tableColumn id="39" name="source_qc"/>
    <x:tableColumn id="40" name="record_status"/>
    <x:tableColumn id="41" name="source_url"/>
  </x:tableColumns>
  <x:tableStyleInfo name="TableStyleMedium2" showFirstColumn="0" showLastColumn="0" showRowStripes="1" showColumnStripes="0"/>
</x:table>
</file>

<file path=xl/tables/table12.xml><?xml version="1.0" encoding="utf-8"?>
<x:table xmlns:x="http://schemas.openxmlformats.org/spreadsheetml/2006/main" id="12" name="StataOpioid24V24" displayName="StataOpioid24V24" ref="A1:AF16" headerRowCount="1" totalsRowCount="0" totalsRowShown="0">
  <x:tableColumns count="32">
    <x:tableColumn id="1" name="study_unit"/>
    <x:tableColumn id="2" name="comparison_id"/>
    <x:tableColumn id="3" name="intervention"/>
    <x:tableColumn id="4" name="comparator"/>
    <x:tableColumn id="5" name="outcome"/>
    <x:tableColumn id="6" name="time_window"/>
    <x:tableColumn id="7" name="data_type"/>
    <x:tableColumn id="8" name="n_i"/>
    <x:tableColumn id="9" name="n_c"/>
    <x:tableColumn id="10" name="mean_i"/>
    <x:tableColumn id="11" name="sd_i"/>
    <x:tableColumn id="12" name="median_i"/>
    <x:tableColumn id="13" name="q1_i"/>
    <x:tableColumn id="14" name="q3_i"/>
    <x:tableColumn id="15" name="events_i"/>
    <x:tableColumn id="16" name="mean_c"/>
    <x:tableColumn id="17" name="sd_c"/>
    <x:tableColumn id="18" name="median_c"/>
    <x:tableColumn id="19" name="q1_c"/>
    <x:tableColumn id="20" name="q3_c"/>
    <x:tableColumn id="21" name="events_c"/>
    <x:tableColumn id="22" name="unit"/>
    <x:tableColumn id="23" name="v20_primary_decision"/>
    <x:tableColumn id="24" name="provisional_primary_include"/>
    <x:tableColumn id="25" name="provisional_sensitivity_include"/>
    <x:tableColumn id="26" name="hard_hold"/>
    <x:tableColumn id="27" name="rob_overall"/>
    <x:tableColumn id="28" name="conversion_needed"/>
    <x:tableColumn id="29" name="sensitivity_flag"/>
    <x:tableColumn id="30" name="duplicate_multiarm_handling"/>
    <x:tableColumn id="31" name="source_qc"/>
    <x:tableColumn id="32" name="source_url"/>
  </x:tableColumns>
  <x:tableStyleInfo name="TableStyleMedium2" showFirstColumn="0" showLastColumn="0" showRowStripes="1" showColumnStripes="0"/>
</x:table>
</file>

<file path=xl/tables/table13.xml><?xml version="1.0" encoding="utf-8"?>
<x:table xmlns:x="http://schemas.openxmlformats.org/spreadsheetml/2006/main" id="13" name="StataManifestV24" displayName="StataManifestV24" ref="A1:J21" headerRowCount="1" totalsRowCount="0" totalsRowShown="0">
  <x:tableColumns count="10">
    <x:tableColumn id="1" name="analysis_id"/>
    <x:tableColumn id="2" name="analysis_group"/>
    <x:tableColumn id="3" name="endpoint_stratum"/>
    <x:tableColumn id="4" name="provisional_status"/>
    <x:tableColumn id="5" name="strict_k_lock_items"/>
    <x:tableColumn id="6" name="sensitivity_k_lock_items"/>
    <x:tableColumn id="7" name="effect_data_rule"/>
    <x:tableColumn id="8" name="pooling_rule"/>
    <x:tableColumn id="9" name="mandatory_sensitivity_or_hold"/>
    <x:tableColumn id="10" name="notes"/>
  </x:tableColumns>
  <x:tableStyleInfo name="TableStyleMedium2" showFirstColumn="0" showLastColumn="0" showRowStripes="1" showColumnStripes="0"/>
</x:table>
</file>

<file path=xl/tables/table14.xml><?xml version="1.0" encoding="utf-8"?>
<x:table xmlns:x="http://schemas.openxmlformats.org/spreadsheetml/2006/main" id="15" name="AFPriorityQAV25" displayName="AFPriorityQAV25" ref="A1:J109" headerRowCount="1" totalsRowCount="0" totalsRowShown="0">
  <x:tableColumns count="10">
    <x:tableColumn id="1" name="Lock ID"/>
    <x:tableColumn id="2" name="Target"/>
    <x:tableColumn id="3" name="Study"/>
    <x:tableColumn id="4" name="Outcome / estimand"/>
    <x:tableColumn id="5" name="Correct priority"/>
    <x:tableColumn id="6" name="P1 disposition"/>
    <x:tableColumn id="7" name="Include strict"/>
    <x:tableColumn id="8" name="Include sensitivity"/>
    <x:tableColumn id="9" name="Narrative"/>
    <x:tableColumn id="10" name="QA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88b380d48943d1" /></Relationships>
</file>

<file path=xl/worksheets/_rels/sheet3.xml.rels>&#65279;<?xml version="1.0" encoding="utf-8"?><Relationships xmlns="http://schemas.openxmlformats.org/package/2006/relationships"><Relationship Type="http://schemas.openxmlformats.org/officeDocument/2006/relationships/table" Target="/xl/tables/table2.xml" Id="Rd9ed3e4bf43549e1" /></Relationships>
</file>

<file path=xl/worksheets/_rels/sheet4.xml.rels>&#65279;<?xml version="1.0" encoding="utf-8"?><Relationships xmlns="http://schemas.openxmlformats.org/package/2006/relationships"><Relationship Type="http://schemas.openxmlformats.org/officeDocument/2006/relationships/table" Target="/xl/tables/table3.xml" Id="R2e1edab4a7aa462a" /></Relationships>
</file>

<file path=xl/worksheets/_rels/sheet5.xml.rels>&#65279;<?xml version="1.0" encoding="utf-8"?><Relationships xmlns="http://schemas.openxmlformats.org/package/2006/relationships"><Relationship Type="http://schemas.openxmlformats.org/officeDocument/2006/relationships/table" Target="/xl/tables/table4.xml" Id="Rd2621437b5bd4cf8" /></Relationships>
</file>

<file path=xl/worksheets/_rels/sheet6.xml.rels>&#65279;<?xml version="1.0" encoding="utf-8"?><Relationships xmlns="http://schemas.openxmlformats.org/package/2006/relationships"><Relationship Type="http://schemas.openxmlformats.org/officeDocument/2006/relationships/drawing" Target="/xl/drawings/drawing1.xml" Id="R84cc5d361c1f4ee3" /></Relationships>
</file>

<file path=xl/worksheets/_rels/sheet7.xml.rels>&#65279;<?xml version="1.0" encoding="utf-8"?><Relationships xmlns="http://schemas.openxmlformats.org/package/2006/relationships"><Relationship Type="http://schemas.openxmlformats.org/officeDocument/2006/relationships/table" Target="/xl/tables/table5.xml" Id="R699cd170af3d43c0" /></Relationships>
</file>

<file path=xl/worksheets/_rels/sheet19.xml.rels>&#65279;<?xml version="1.0" encoding="utf-8"?><Relationships xmlns="http://schemas.openxmlformats.org/package/2006/relationships"><Relationship Type="http://schemas.openxmlformats.org/officeDocument/2006/relationships/table" Target="/xl/tables/table6.xml" Id="R599343bbe2544d11" /></Relationships>
</file>

<file path=xl/worksheets/_rels/sheet20.xml.rels>&#65279;<?xml version="1.0" encoding="utf-8"?><Relationships xmlns="http://schemas.openxmlformats.org/package/2006/relationships"><Relationship Type="http://schemas.openxmlformats.org/officeDocument/2006/relationships/table" Target="/xl/tables/table7.xml" Id="R21c8e691a2394896" /></Relationships>
</file>

<file path=xl/worksheets/_rels/sheet21.xml.rels>&#65279;<?xml version="1.0" encoding="utf-8"?><Relationships xmlns="http://schemas.openxmlformats.org/package/2006/relationships"><Relationship Type="http://schemas.openxmlformats.org/officeDocument/2006/relationships/table" Target="/xl/tables/table8.xml" Id="R0c13ff7785804bf9" /></Relationships>
</file>

<file path=xl/worksheets/_rels/sheet22.xml.rels>&#65279;<?xml version="1.0" encoding="utf-8"?><Relationships xmlns="http://schemas.openxmlformats.org/package/2006/relationships"><Relationship Type="http://schemas.openxmlformats.org/officeDocument/2006/relationships/drawing" Target="/xl/drawings/drawing2.xml" Id="R4d21335d70a34b4f" /></Relationships>
</file>

<file path=xl/worksheets/_rels/sheet23.xml.rels>&#65279;<?xml version="1.0" encoding="utf-8"?><Relationships xmlns="http://schemas.openxmlformats.org/package/2006/relationships"><Relationship Type="http://schemas.openxmlformats.org/officeDocument/2006/relationships/table" Target="/xl/tables/table9.xml" Id="Rad2329eba77644ec" /></Relationships>
</file>

<file path=xl/worksheets/_rels/sheet24.xml.rels>&#65279;<?xml version="1.0" encoding="utf-8"?><Relationships xmlns="http://schemas.openxmlformats.org/package/2006/relationships"><Relationship Type="http://schemas.openxmlformats.org/officeDocument/2006/relationships/table" Target="/xl/tables/table10.xml" Id="R04f8f4ab128c4724" /></Relationships>
</file>

<file path=xl/worksheets/_rels/sheet25.xml.rels>&#65279;<?xml version="1.0" encoding="utf-8"?><Relationships xmlns="http://schemas.openxmlformats.org/package/2006/relationships"><Relationship Type="http://schemas.openxmlformats.org/officeDocument/2006/relationships/table" Target="/xl/tables/table11.xml" Id="R725afdfbb8864ca5" /></Relationships>
</file>

<file path=xl/worksheets/_rels/sheet26.xml.rels>&#65279;<?xml version="1.0" encoding="utf-8"?><Relationships xmlns="http://schemas.openxmlformats.org/package/2006/relationships"><Relationship Type="http://schemas.openxmlformats.org/officeDocument/2006/relationships/table" Target="/xl/tables/table12.xml" Id="R260676e41e0c46f9" /></Relationships>
</file>

<file path=xl/worksheets/_rels/sheet27.xml.rels>&#65279;<?xml version="1.0" encoding="utf-8"?><Relationships xmlns="http://schemas.openxmlformats.org/package/2006/relationships"><Relationship Type="http://schemas.openxmlformats.org/officeDocument/2006/relationships/table" Target="/xl/tables/table13.xml" Id="R6a76757b006946d7" /></Relationships>
</file>

<file path=xl/worksheets/_rels/sheet28.xml.rels>&#65279;<?xml version="1.0" encoding="utf-8"?><Relationships xmlns="http://schemas.openxmlformats.org/package/2006/relationships"><Relationship Type="http://schemas.openxmlformats.org/officeDocument/2006/relationships/table" Target="/xl/tables/table14.xml" Id="R5551cbd4b6a640cd" /></Relationships>
</file>

<file path=xl/worksheets/sheet1.xml><?xml version="1.0" encoding="utf-8"?>
<x:worksheet xmlns:x="http://schemas.openxmlformats.org/spreadsheetml/2006/main">
  <x:sheetFormatPr defaultRowHeight="15"/>
  <x:cols>
    <x:col min="1" max="1" width="22" hidden="0" customWidth="1"/>
    <x:col min="2" max="2" width="78" hidden="0" customWidth="1"/>
  </x:cols>
  <x:sheetData>
    <x:row r="1" ht="28" customHeight="1">
      <x:c r="A1" s="5" t="str">
        <x:v>TEAS/EA Systematic Review — Reconciled Master Data v26</x:v>
      </x:c>
      <x:c r="B1" s="5"/>
      <x:c r="C1" s="5"/>
      <x:c r="D1" s="5"/>
      <x:c r="E1" s="5"/>
      <x:c r="F1" s="5"/>
      <x:c r="G1" s="5"/>
      <x:c r="H1" s="5"/>
    </x:row>
    <x:row r="3">
      <x:c r="A3" s="13" t="str">
        <x:v>Version</x:v>
      </x:c>
      <x:c r="B3" s="18" t="str">
        <x:v>v26 reconciliation-complete / final-lock-ready — 2026-09-06</x:v>
      </x:c>
    </x:row>
    <x:row r="4">
      <x:c r="A4" s="13" t="str">
        <x:v>Purpose</x:v>
      </x:c>
      <x:c r="B4" s="18" t="str">
        <x:v>v26 preserves v20, the normalized A–F lock, result-specific RoB/P1 dispositions, and provisional Stata exports; the prior JAMA Surgery scope hold is resolved as a full-text exclusion for wrong outcomes.</x:v>
      </x:c>
    </x:row>
    <x:row r="5">
      <x:c r="A5" s="13" t="str">
        <x:v>Canonical inventory</x:v>
      </x:c>
      <x:c r="B5" s="18" t="str">
        <x:v>63 source studies/reports. The 61-PDF Sol master was supplemented with two distinct Chen 2015 trials. Antigravity's unsupported 'Gao 2018' row is excluded; Zhou 2025 is restored from its source-grounded extraction.</x:v>
      </x:c>
    </x:row>
    <x:row r="6">
      <x:c r="A6" s="13" t="str">
        <x:v>Source hierarchy</x:v>
      </x:c>
      <x:c r="B6" s="18" t="str">
        <x:v>Source PDF / supplement / protocol / registration &gt; reconciled source-grounded extraction &gt; derivative AI/model output &gt; Covidence shell/payload.</x:v>
      </x:c>
    </x:row>
    <x:row r="7">
      <x:c r="A7" s="13" t="str">
        <x:v>Critical rule</x:v>
      </x:c>
      <x:c r="B7" s="18" t="str">
        <x:v>No majority vote between models. Missing/unreported data remain missing. Graph-derived/calculated values must remain explicitly labelled as derived.</x:v>
      </x:c>
    </x:row>
    <x:row r="8">
      <x:c r="A8" s="13" t="str">
        <x:v>RoB 2</x:v>
      </x:c>
      <x:c r="B8" s="18" t="str">
        <x:v>RoB 2 is result-specific. The legacy v20 Corrected_RoB2/analysis sheets retain their v20 selected-result judgments; AF_Result_Lock now contains the newer source-verified A–F result-level D1–D5/overall judgments and should govern Targets A–F.</x:v>
      </x:c>
    </x:row>
    <x:row r="9">
      <x:c r="A9" s="13" t="str">
        <x:v>Antigravity use</x:v>
      </x:c>
      <x:c r="B9" s="18" t="str">
        <x:v>Antigravity's forensic audit is retained as a comparison source, but its study/file mappings and payload values are not accepted automatically. Candidate source summaries remain visibly labelled.</x:v>
      </x:c>
    </x:row>
    <x:row r="10">
      <x:c r="A10" s="13" t="str">
        <x:v>Analysis readiness</x:v>
      </x:c>
      <x:c r="B10" s="18" t="str">
        <x:v>Rows marked NOT READY/SOURCE-QC REQUIRED in v20, or P1/HOLD/EXCLUDE in the A–F lock, must not be used as final meta-analysis inputs until the stated issue is resolved or explicitly handled by the prespecified analysis plan.</x:v>
      </x:c>
    </x:row>
    <x:row r="11">
      <x:c r="A11" s="13" t="str">
        <x:v>Project Drive</x:v>
      </x:c>
      <x:c r="B11" s="18" t="str">
        <x:v>https://drive.google.com/drive/folders/1Hpaqqh2FjNKSIm4jRTJWNOfoi3YfyUNj</x:v>
      </x:c>
    </x:row>
    <x:row r="12">
      <x:c r="A12" s="13" t="str">
        <x:v>Reconciliation index</x:v>
      </x:c>
      <x:c r="B12" s="18" t="str">
        <x:v>https://docs.google.com/document/d/1hR0UuZSmPpwZi384Vzn3sZt5Y5_ZwYxW6b3u4nq2-40/edit</x:v>
      </x:c>
    </x:row>
    <x:row r="13">
      <x:c r="A13" t="str">
        <x:v>A–F reconciliation</x:v>
      </x:c>
      <x:c r="B13" t="str">
        <x:v>COMPLETE. No additional broad source-reconciliation pass is required.</x:v>
      </x:c>
    </x:row>
    <x:row r="14">
      <x:c r="A14" t="str">
        <x:v>JAMA Surgery colorectal EA</x:v>
      </x:c>
      <x:c r="B14" t="str">
        <x:v>Excluded at full text for wrong outcomes. It is not part of the 63-study included dataset and no Target-E row should be added.</x:v>
      </x:c>
    </x:row>
    <x:row r="15">
      <x:c r="A15" t="str">
        <x:v>Yeh publication family</x:v>
      </x:c>
      <x:c r="B15" t="str">
        <x:v>Potential overlap remains encoded as a non-independence hold; do not pool both independently.</x:v>
      </x:c>
    </x:row>
    <x:row r="16">
      <x:c r="A16" t="str">
        <x:v>Stata status</x:v>
      </x:c>
      <x:c r="B16" t="str">
        <x:v>READY. Use Stata_Opioid24_Primary, Stata_AF_Long, and Stata_Manifest for analysis/QC.</x:v>
      </x:c>
    </x:row>
    <x:row r="17">
      <x:c r="A17" t="str">
        <x:v>Final dataset status</x:v>
      </x:c>
      <x:c r="B17" t="str">
        <x:v>READY TO FREEZE after running the prespecified Stata verification and sensitivity analyses.</x:v>
      </x:c>
    </x:row>
    <x:row r="18">
      <x:c r="A18" t="str">
        <x:v>Data preservation</x:v>
      </x:c>
      <x:c r="B18" t="str">
        <x:v>Original v20 Outcome_Data and analysis sheets remain unchanged; reconciled analyses use Outcome_Data_AF_LOCK.</x:v>
      </x:c>
    </x:row>
    <x:row r="19">
      <x:c r="A19" t="str">
        <x:v>Safety rule</x:v>
      </x:c>
      <x:c r="B19" t="str">
        <x:v>Do not promote narrative/undefined/sensitivity-only outcomes into primary models without the encoded prespecified rule.</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6" hidden="0" customWidth="1"/>
    <x:col min="3" max="3" width="20" hidden="0" customWidth="1"/>
    <x:col min="4" max="4" width="48" hidden="0" customWidth="1"/>
    <x:col min="5" max="5" width="36" hidden="0" customWidth="1"/>
    <x:col min="6" max="6" width="24" hidden="0" customWidth="1"/>
    <x:col min="7" max="7" width="15" hidden="0" customWidth="1"/>
    <x:col min="8" max="8" width="20" hidden="0" customWidth="1"/>
    <x:col min="9" max="9" width="62" hidden="0" customWidth="1"/>
    <x:col min="10" max="10" width="18" hidden="0" customWidth="1"/>
    <x:col min="11" max="11" width="18" hidden="0" customWidth="1"/>
    <x:col min="12" max="12" width="18" hidden="0" customWidth="1"/>
    <x:col min="13" max="13" width="28" hidden="0" customWidth="1"/>
    <x:col min="14" max="14" width="18" hidden="0" customWidth="1"/>
    <x:col min="15" max="15" width="18" hidden="0" customWidth="1"/>
    <x:col min="16" max="16" width="34" hidden="0" customWidth="1"/>
    <x:col min="17" max="17" width="46" hidden="0" customWidth="1"/>
    <x:col min="18" max="18" width="38" hidden="0" customWidth="1"/>
    <x:col min="19" max="19" width="50" hidden="0" customWidth="1"/>
    <x:col min="20" max="20" width="44" hidden="0" customWidth="1"/>
    <x:col min="21" max="21" width="44" hidden="0" customWidth="1"/>
    <x:col min="22" max="22" width="18" hidden="0" customWidth="1"/>
  </x:cols>
  <x:sheetData>
    <x:row r="1">
      <x:c r="A1" s="24" t="str">
        <x:v>Canonical study</x:v>
      </x:c>
      <x:c r="B1" s="24" t="str">
        <x:v>Reconciliation batch</x:v>
      </x:c>
      <x:c r="C1" s="24" t="str">
        <x:v>Sol reconciliation status</x:v>
      </x:c>
      <x:c r="D1" s="24" t="str">
        <x:v>Sol/source correction note</x:v>
      </x:c>
      <x:c r="E1" s="24" t="str">
        <x:v>Identity correction</x:v>
      </x:c>
      <x:c r="F1" s="24" t="str">
        <x:v>Antigravity study label</x:v>
      </x:c>
      <x:c r="G1" s="24" t="str">
        <x:v>Antigravity study key</x:v>
      </x:c>
      <x:c r="H1" s="24" t="str">
        <x:v>Covidence internal ID</x:v>
      </x:c>
      <x:c r="I1" s="24" t="str">
        <x:v>Candidate source-result summary</x:v>
      </x:c>
      <x:c r="J1" s="24" t="str">
        <x:v>Known fabricated-payload signature</x:v>
      </x:c>
      <x:c r="K1" s="24" t="str">
        <x:v>Antigravity author-contact flag</x:v>
      </x:c>
      <x:c r="L1" s="24" t="str">
        <x:v>Corrected RoB 2 complete</x:v>
      </x:c>
      <x:c r="M1" s="24" t="str">
        <x:v>Corrected selected RoB result</x:v>
      </x:c>
      <x:c r="N1" s="24" t="str">
        <x:v>Corrected result timepoint</x:v>
      </x:c>
      <x:c r="O1" s="24" t="str">
        <x:v>Corrected overall RoB 2</x:v>
      </x:c>
      <x:c r="P1" s="24" t="str">
        <x:v>Analysis readiness</x:v>
      </x:c>
      <x:c r="Q1" s="24" t="str">
        <x:v>Master use rule</x:v>
      </x:c>
      <x:c r="R1" s="24" t="str">
        <x:v>Source-summary status</x:v>
      </x:c>
      <x:c r="S1" s="24" t="str">
        <x:v>Source hierarchy</x:v>
      </x:c>
      <x:c r="T1" s="24" t="str">
        <x:v>Project source folder</x:v>
      </x:c>
      <x:c r="U1" s="24" t="str">
        <x:v>Reconciliation index</x:v>
      </x:c>
      <x:c r="V1" s="52" t="str">
        <x:v>Source-normalized outcome rows</x:v>
      </x:c>
    </x:row>
    <x:row r="2">
      <x:c r="A2" s="18" t="str">
        <x:v>Zhu 2022</x:v>
      </x:c>
      <x:c r="B2" s="18" t="str">
        <x:v>Batch 19</x:v>
      </x:c>
      <x:c r="C2" s="18" t="str">
        <x:v>FULL REPLACEMENT</x:v>
      </x:c>
      <x:c r="D2" s="18" t="str">
        <x:v>Jin-labeled RoB is a different 103-patient morphine trial; true source is four-arm 413-randomized gynecologic EA/PONV study.</x:v>
      </x:c>
      <x:c r="E2" s="18" t="str"/>
      <x:c r="F2" s="18" t="str">
        <x:v>Zhu 2022</x:v>
      </x:c>
      <x:c r="G2" s="18" t="str">
        <x:v>381</x:v>
      </x:c>
      <x:c r="H2" s="18" t="str">
        <x:v>1879896528</x:v>
      </x:c>
      <x:c r="I2" s="18" t="str">
        <x:v>**Pain intensity during movement at 24h (NRS 0-10) (PRIMARY)**: Group Pre (n=101) 1.15 ± 1.02 vs Group 30 (n=98) 1.12 ± 1.03 vs Group Comb (n=100) 1.17 ± 1.1...</x:v>
      </x:c>
      <x:c r="J2" s="18" t="str">
        <x:v>Yes</x:v>
      </x:c>
      <x:c r="K2" s="18" t="str">
        <x:v>Yes</x:v>
      </x:c>
      <x:c r="L2" s="18" t="str">
        <x:v>Yes</x:v>
      </x:c>
      <x:c r="M2" s="18" t="str">
        <x:v>Postoperative vomiting</x:v>
      </x:c>
      <x:c r="N2" s="18" t="str">
        <x:v>6-24 h</x:v>
      </x:c>
      <x:c r="O2" s="18" t="str">
        <x:v>Some concerns</x:v>
      </x:c>
      <x:c r="P2" s="18" t="str">
        <x:v>PARTIAL — selected RoB corrected; multi-arm outcome rows added</x:v>
      </x:c>
      <x:c r="Q2" s="18" t="str">
        <x:v>Use arm-specific denominators; shared usual-care comparator requires multi-arm handling</x:v>
      </x:c>
      <x:c r="R2" s="18" t="str">
        <x:v>SOURCE-NORMALIZED OUTCOME ROWS ADDED</x:v>
      </x:c>
      <x:c r="S2" s="18" t="str">
        <x:v>Source PDF / supplement / protocol / registration &gt; reconciled source extraction &gt; derivative model output</x:v>
      </x:c>
      <x:c r="T2" s="18" t="str">
        <x:v>https://drive.google.com/drive/folders/1EWdZyTQjPSuoxt8n1nIr1t8D98PC-mso</x:v>
      </x:c>
      <x:c r="U2" s="18" t="str">
        <x:v>https://docs.google.com/document/d/1hR0UuZSmPpwZi384Vzn3sZt5Y5_ZwYxW6b3u4nq2-40/edit</x:v>
      </x:c>
      <x:c r="V2" t="n">
        <x:f>COUNTIF(Outcome_Data!$A:$A,A2)</x:f>
        <x:v>6</x:v>
      </x:c>
    </x:row>
    <x:row r="3">
      <x:c r="A3" s="18" t="str">
        <x:v>Zhou 2025</x:v>
      </x:c>
      <x:c r="B3" s="18" t="str">
        <x:v>Batch 16</x:v>
      </x:c>
      <x:c r="C3" s="18" t="str">
        <x:v>FULL REPLACEMENT</x:v>
      </x:c>
      <x:c r="D3" s="18" t="str">
        <x:v>Wrong analyzed n, acupoints/frequency, QoR-15 values and complete-data claim.</x:v>
      </x:c>
      <x:c r="E3" s="18" t="str">
        <x:v>Antigravity 'Gao 2018' row rejected; Zhou 2025 restored from source-grounded extraction</x:v>
      </x:c>
      <x:c r="F3" s="18" t="str">
        <x:v>(Antigravity matrix omitted/misidentified)</x:v>
      </x:c>
      <x:c r="G3" s="18" t="str"/>
      <x:c r="H3" s="18" t="str"/>
      <x:c r="I3" s="18" t="str">
        <x:v>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x:v>
      </x:c>
      <x:c r="J3" s="18" t="str">
        <x:v>No</x:v>
      </x:c>
      <x:c r="K3" s="18" t="str">
        <x:v>No</x:v>
      </x:c>
      <x:c r="L3" s="18" t="str">
        <x:v>Yes</x:v>
      </x:c>
      <x:c r="M3" s="18" t="str">
        <x:v>Global QoR-15</x:v>
      </x:c>
      <x:c r="N3" s="18" t="str">
        <x:v>POD1</x:v>
      </x:c>
      <x:c r="O3" s="18" t="str">
        <x:v>High</x:v>
      </x:c>
      <x:c r="P3" s="18" t="str">
        <x:v>PARTIAL — selected RoB corrected; source-normalized outcomes added</x:v>
      </x:c>
      <x:c r="Q3" s="18" t="str">
        <x:v>QoR-15 usable; exact 0-24 h opioid dose remains unreported</x:v>
      </x:c>
      <x:c r="R3" s="18" t="str">
        <x:v>SOURCE-NORMALIZED OUTCOME ROWS ADDED</x:v>
      </x:c>
      <x:c r="S3" s="18" t="str">
        <x:v>Source PDF / supplement / protocol / registration &gt; reconciled source extraction &gt; derivative model output</x:v>
      </x:c>
      <x:c r="T3" s="18" t="str">
        <x:v>https://drive.google.com/drive/folders/1EWdZyTQjPSuoxt8n1nIr1t8D98PC-mso</x:v>
      </x:c>
      <x:c r="U3" s="18" t="str">
        <x:v>https://docs.google.com/document/d/1hR0UuZSmPpwZi384Vzn3sZt5Y5_ZwYxW6b3u4nq2-40/edit</x:v>
      </x:c>
      <x:c r="V3" t="n">
        <x:f>COUNTIF(Outcome_Data!$A:$A,A3)</x:f>
        <x:v>6</x:v>
      </x:c>
    </x:row>
    <x:row r="4">
      <x:c r="A4" s="18" t="str">
        <x:v>Zhou 2021</x:v>
      </x:c>
      <x:c r="B4" s="18" t="str">
        <x:v>Batch 9</x:v>
      </x:c>
      <x:c r="C4" s="18" t="str">
        <x:v>FULL REPLACEMENT</x:v>
      </x:c>
      <x:c r="D4" s="18" t="str">
        <x:v>Stored RoB changes journal/design/sham, intervention and flatus result.</x:v>
      </x:c>
      <x:c r="E4" s="18" t="str"/>
      <x:c r="F4" s="18" t="str">
        <x:v>Zhou 2021</x:v>
      </x:c>
      <x:c r="G4" s="18" t="str">
        <x:v>433</x:v>
      </x:c>
      <x:c r="H4" s="18" t="str">
        <x:v>1879896611</x:v>
      </x:c>
      <x:c r="I4" s="18" t="str">
        <x:v>**Cumulative postoperative systemic opioid consumption (equivalent dose of morphine in mg / IV MME) (PRIMARY)**: TG (n=41) 8.94 ± 3.66 mg vs CG Usual care (n...</x:v>
      </x:c>
      <x:c r="J4" s="18" t="str">
        <x:v>Yes</x:v>
      </x:c>
      <x:c r="K4" s="18" t="str">
        <x:v>Yes</x:v>
      </x:c>
      <x:c r="L4" s="18" t="str">
        <x:v>Yes</x:v>
      </x:c>
      <x:c r="M4" s="18" t="str">
        <x:v>Time to first flatus</x:v>
      </x:c>
      <x:c r="N4" s="18" t="str">
        <x:v>Postoperative</x:v>
      </x:c>
      <x:c r="O4" s="18" t="str">
        <x:v>High</x:v>
      </x:c>
      <x:c r="P4" s="18" t="str">
        <x:v>PARTIAL — selected RoB corrected; source-normalized outcomes added</x:v>
      </x:c>
      <x:c r="Q4" s="18" t="str">
        <x:v>GI result usable with high RoB; opioid-equivalent result not strict 0-24 h</x:v>
      </x:c>
      <x:c r="R4" s="18" t="str">
        <x:v>SOURCE-NORMALIZED OUTCOME ROWS ADDED</x:v>
      </x:c>
      <x:c r="S4" s="18" t="str">
        <x:v>Source PDF / supplement / protocol / registration &gt; reconciled source extraction &gt; derivative model output</x:v>
      </x:c>
      <x:c r="T4" s="18" t="str">
        <x:v>https://drive.google.com/drive/folders/1EWdZyTQjPSuoxt8n1nIr1t8D98PC-mso</x:v>
      </x:c>
      <x:c r="U4" s="18" t="str">
        <x:v>https://docs.google.com/document/d/1hR0UuZSmPpwZi384Vzn3sZt5Y5_ZwYxW6b3u4nq2-40/edit</x:v>
      </x:c>
      <x:c r="V4" t="n">
        <x:f>COUNTIF(Outcome_Data!$A:$A,A4)</x:f>
        <x:v>2</x:v>
      </x:c>
    </x:row>
    <x:row r="5">
      <x:c r="A5" s="18" t="str">
        <x:v>Zheng 2025</x:v>
      </x:c>
      <x:c r="B5" s="18" t="str">
        <x:v>Batch 15</x:v>
      </x:c>
      <x:c r="C5" s="18" t="str">
        <x:v>FULL REPLACEMENT</x:v>
      </x:c>
      <x:c r="D5" s="18" t="str">
        <x:v>Invented 80/80 complete trial, postoperative session and PONV counts.</x:v>
      </x:c>
      <x:c r="E5" s="18" t="str"/>
      <x:c r="F5" s="18" t="str">
        <x:v>Zheng 2025</x:v>
      </x:c>
      <x:c r="G5" s="18" t="str">
        <x:v>72</x:v>
      </x:c>
      <x:c r="H5" s="18" t="str">
        <x:v>1879896014</x:v>
      </x:c>
      <x:c r="I5" s="18" t="str">
        <x:v>**Pain intensity at rest at 24h (NRS 0-10) (PRIMARY)**: TEAS (n=42) 1.70 ± 0.80 vs Sham TEAS (n=43) 2.20 ± 1.10 (P = 0.042*) [MD -0.50, 95% CI -0.91 to -0.09...</x:v>
      </x:c>
      <x:c r="J5" s="18" t="str">
        <x:v>Yes</x:v>
      </x:c>
      <x:c r="K5" s="18" t="str">
        <x:v>Yes</x:v>
      </x:c>
      <x:c r="L5" s="18" t="str">
        <x:v>Yes</x:v>
      </x:c>
      <x:c r="M5" s="18" t="str">
        <x:v>Any PONV</x:v>
      </x:c>
      <x:c r="N5" s="18" t="str">
        <x:v>Within 24 h</x:v>
      </x:c>
      <x:c r="O5" s="18" t="str">
        <x:v>Some concerns</x:v>
      </x:c>
      <x:c r="P5" s="18" t="str">
        <x:v>PARTIAL — selected RoB corrected; source-normalized outcomes added</x:v>
      </x:c>
      <x:c r="Q5" s="18" t="str">
        <x:v>Use reported percentages; 24-h postoperative sufentanil mass remains unavailable</x:v>
      </x:c>
      <x:c r="R5" s="18" t="str">
        <x:v>SOURCE-NORMALIZED OUTCOME ROWS ADDED</x:v>
      </x:c>
      <x:c r="S5" s="18" t="str">
        <x:v>Source PDF / supplement / protocol / registration &gt; reconciled source extraction &gt; derivative model output</x:v>
      </x:c>
      <x:c r="T5" s="18" t="str">
        <x:v>https://drive.google.com/drive/folders/1EWdZyTQjPSuoxt8n1nIr1t8D98PC-mso</x:v>
      </x:c>
      <x:c r="U5" s="18" t="str">
        <x:v>https://docs.google.com/document/d/1hR0UuZSmPpwZi384Vzn3sZt5Y5_ZwYxW6b3u4nq2-40/edit</x:v>
      </x:c>
      <x:c r="V5" t="n">
        <x:f>COUNTIF(Outcome_Data!$A:$A,A5)</x:f>
        <x:v>4</x:v>
      </x:c>
    </x:row>
    <x:row r="6">
      <x:c r="A6" s="18" t="str">
        <x:v>Zhan 2020</x:v>
      </x:c>
      <x:c r="B6" s="18" t="str">
        <x:v>Batch 6</x:v>
      </x:c>
      <x:c r="C6" s="18" t="str">
        <x:v>FULL REPLACEMENT</x:v>
      </x:c>
      <x:c r="D6" s="18" t="str">
        <x:v>Stored RoB invents sham structure and 24-h sufentanil endpoint not reported by source.</x:v>
      </x:c>
      <x:c r="E6" s="18" t="str"/>
      <x:c r="F6" s="18" t="str">
        <x:v>Zhan 2020</x:v>
      </x:c>
      <x:c r="G6" s="18" t="str">
        <x:v>1389</x:v>
      </x:c>
      <x:c r="H6" s="18" t="str">
        <x:v>1881841076</x:v>
      </x:c>
      <x:c r="I6" s="18" t="str">
        <x:v>**Pain intensity at rest at 24h (VAS 0-10) (PRIMARY)**: TAP+TEAS (n=30) 1.70 ± 2.20 vs TAP Control (n=30) 2.00 ± 3.00 (P = 0.03*) [MD -0.30, 95% CI -1.63 to ...</x:v>
      </x:c>
      <x:c r="J6" s="18" t="str">
        <x:v>Yes</x:v>
      </x:c>
      <x:c r="K6" s="18" t="str">
        <x:v>Yes</x:v>
      </x:c>
      <x:c r="L6" s="18" t="str">
        <x:v>Yes</x:v>
      </x:c>
      <x:c r="M6" s="18" t="str">
        <x:v>VAS pain intensity</x:v>
      </x:c>
      <x:c r="N6" s="18" t="str">
        <x:v>24 h</x:v>
      </x:c>
      <x:c r="O6" s="18" t="str">
        <x:v>High</x:v>
      </x:c>
      <x:c r="P6" s="18" t="str">
        <x:v>PARTIAL — selected RoB corrected; source-normalized QC rows added</x:v>
      </x:c>
      <x:c r="Q6" s="18" t="str">
        <x:v>Pain source format remains ambiguous; actual 24-h opioid consumption not reported</x:v>
      </x:c>
      <x:c r="R6" s="18" t="str">
        <x:v>SOURCE-NORMALIZED OUTCOME ROWS ADDED</x:v>
      </x:c>
      <x:c r="S6" s="18" t="str">
        <x:v>Source PDF / supplement / protocol / registration &gt; reconciled source extraction &gt; derivative model output</x:v>
      </x:c>
      <x:c r="T6" s="18" t="str">
        <x:v>https://drive.google.com/drive/folders/1EWdZyTQjPSuoxt8n1nIr1t8D98PC-mso</x:v>
      </x:c>
      <x:c r="U6" s="18" t="str">
        <x:v>https://docs.google.com/document/d/1hR0UuZSmPpwZi384Vzn3sZt5Y5_ZwYxW6b3u4nq2-40/edit</x:v>
      </x:c>
      <x:c r="V6" t="n">
        <x:f>COUNTIF(Outcome_Data!$A:$A,A6)</x:f>
        <x:v>2</x:v>
      </x:c>
    </x:row>
    <x:row r="7">
      <x:c r="A7" s="18" t="str">
        <x:v>Zhang 2025</x:v>
      </x:c>
      <x:c r="B7" s="18" t="str">
        <x:v>Batch 15</x:v>
      </x:c>
      <x:c r="C7" s="18" t="str">
        <x:v>FULL REPLACEMENT</x:v>
      </x:c>
      <x:c r="D7" s="18" t="str">
        <x:v>Changes surgery, sample, acupoints/schedule and pain/opioid results.</x:v>
      </x:c>
      <x:c r="E7" s="18" t="str"/>
      <x:c r="F7" s="18" t="str">
        <x:v>Zhang 2025</x:v>
      </x:c>
      <x:c r="G7" s="18" t="str">
        <x:v>71</x:v>
      </x:c>
      <x:c r="H7" s="18" t="str">
        <x:v>1879896013</x:v>
      </x:c>
      <x:c r="I7" s="18" t="str">
        <x:v>**Cumulative postoperative systemic opioid consumption at 24h (total sufentanil in IV MME) (PRIMARY)**: TEAS (n=45) 50.53 ± 4.46 mg vs Control Sham TEAS (n=4...</x:v>
      </x:c>
      <x:c r="J7" s="18" t="str">
        <x:v>Yes</x:v>
      </x:c>
      <x:c r="K7" s="18" t="str">
        <x:v>Yes</x:v>
      </x:c>
      <x:c r="L7" s="18" t="str">
        <x:v>Yes</x:v>
      </x:c>
      <x:c r="M7" s="18" t="str">
        <x:v>Total sufentanil consumption</x:v>
      </x:c>
      <x:c r="N7" s="18" t="str">
        <x:v>POD1 (~24 h)</x:v>
      </x:c>
      <x:c r="O7" s="18" t="str">
        <x:v>High</x:v>
      </x:c>
      <x:c r="P7" s="18" t="str">
        <x:v>PARTIAL — selected RoB corrected; source-normalized outcomes added</x:v>
      </x:c>
      <x:c r="Q7" s="18" t="str">
        <x:v>POD1 sufentanil is directly reported but strict 0-24-h clock window needs confirmation</x:v>
      </x:c>
      <x:c r="R7" s="18" t="str">
        <x:v>SOURCE-NORMALIZED OUTCOME ROWS ADDED</x:v>
      </x:c>
      <x:c r="S7" s="18" t="str">
        <x:v>Source PDF / supplement / protocol / registration &gt; reconciled source extraction &gt; derivative model output</x:v>
      </x:c>
      <x:c r="T7" s="18" t="str">
        <x:v>https://drive.google.com/drive/folders/1EWdZyTQjPSuoxt8n1nIr1t8D98PC-mso</x:v>
      </x:c>
      <x:c r="U7" s="18" t="str">
        <x:v>https://docs.google.com/document/d/1hR0UuZSmPpwZi384Vzn3sZt5Y5_ZwYxW6b3u4nq2-40/edit</x:v>
      </x:c>
      <x:c r="V7" t="n">
        <x:f>COUNTIF(Outcome_Data!$A:$A,A7)</x:f>
        <x:v>3</x:v>
      </x:c>
    </x:row>
    <x:row r="8">
      <x:c r="A8" s="18" t="str">
        <x:v>Zhang 2023</x:v>
      </x:c>
      <x:c r="B8" s="18" t="str">
        <x:v>Batch 12</x:v>
      </x:c>
      <x:c r="C8" s="18" t="str">
        <x:v>FULL REPLACEMENT</x:v>
      </x:c>
      <x:c r="D8" s="18" t="str">
        <x:v>Changes sample/analysis/intervention and fabricates first-voiding result.</x:v>
      </x:c>
      <x:c r="E8" s="18" t="str"/>
      <x:c r="F8" s="18" t="str">
        <x:v>Zhang 2023</x:v>
      </x:c>
      <x:c r="G8" s="18" t="str">
        <x:v>308</x:v>
      </x:c>
      <x:c r="H8" s="18" t="str">
        <x:v>1879896412</x:v>
      </x:c>
      <x:c r="I8" s="18" t="str">
        <x:v>**Cumulative postoperative systemic opioid consumption within 48h (IV MME)**: TEAS (n=922) median 110.0 mg (IQR 80.0-110.0) vs Sham TEAS (n=916) median 110.0...</x:v>
      </x:c>
      <x:c r="J8" s="18" t="str">
        <x:v>Yes</x:v>
      </x:c>
      <x:c r="K8" s="18" t="str">
        <x:v>Yes</x:v>
      </x:c>
      <x:c r="L8" s="18" t="str">
        <x:v>Yes</x:v>
      </x:c>
      <x:c r="M8" s="18" t="str">
        <x:v>Time to first spontaneous void</x:v>
      </x:c>
      <x:c r="N8" s="18" t="str">
        <x:v>Postoperative</x:v>
      </x:c>
      <x:c r="O8" s="18" t="str">
        <x:v>High</x:v>
      </x:c>
      <x:c r="P8" s="18" t="str">
        <x:v>PARTIAL — selected RoB corrected; source-normalized urinary/opioid rows added</x:v>
      </x:c>
      <x:c r="Q8" s="18" t="str">
        <x:v>Use Table 2 median 7.1 h for sham; 24-h opioid dose remains unavailable</x:v>
      </x:c>
      <x:c r="R8" s="18" t="str">
        <x:v>SOURCE-NORMALIZED OUTCOME ROWS ADDED</x:v>
      </x:c>
      <x:c r="S8" s="18" t="str">
        <x:v>Source PDF / supplement / protocol / registration &gt; reconciled source extraction &gt; derivative model output</x:v>
      </x:c>
      <x:c r="T8" s="18" t="str">
        <x:v>https://drive.google.com/drive/folders/1EWdZyTQjPSuoxt8n1nIr1t8D98PC-mso</x:v>
      </x:c>
      <x:c r="U8" s="18" t="str">
        <x:v>https://docs.google.com/document/d/1hR0UuZSmPpwZi384Vzn3sZt5Y5_ZwYxW6b3u4nq2-40/edit</x:v>
      </x:c>
      <x:c r="V8" t="n">
        <x:f>COUNTIF(Outcome_Data!$A:$A,A8)</x:f>
        <x:v>5</x:v>
      </x:c>
    </x:row>
    <x:row r="9">
      <x:c r="A9" s="18" t="str">
        <x:v>Zhang 2014</x:v>
      </x:c>
      <x:c r="B9" s="18" t="str">
        <x:v>Batch 4</x:v>
      </x:c>
      <x:c r="C9" s="18" t="str">
        <x:v>FULL REPLACEMENT</x:v>
      </x:c>
      <x:c r="D9" s="18" t="str">
        <x:v>RoB describes a different trial and QoR-40 endpoint.</x:v>
      </x:c>
      <x:c r="E9" s="18" t="str"/>
      <x:c r="F9" s="18" t="str">
        <x:v>Zhang 2014</x:v>
      </x:c>
      <x:c r="G9" s="18" t="str">
        <x:v>711</x:v>
      </x:c>
      <x:c r="H9" s="18" t="str">
        <x:v>1879897091</x:v>
      </x:c>
      <x:c r="I9" s="18" t="str">
        <x:v>**Intraoperative systemic remifentanil consumption rate (µg/kg/min)**: TEAS (n=33) 0.06 ± 0.02 vs Sham TEAS (n=32) 0.09 ± 0.03 (P = 0.01*) [MD -0.03, 95% CI ...</x:v>
      </x:c>
      <x:c r="J9" s="18" t="str">
        <x:v>Yes</x:v>
      </x:c>
      <x:c r="K9" s="18" t="str">
        <x:v>Yes</x:v>
      </x:c>
      <x:c r="L9" s="18" t="str">
        <x:v>Yes</x:v>
      </x:c>
      <x:c r="M9" s="18" t="str">
        <x:v>Recovery-room stay</x:v>
      </x:c>
      <x:c r="N9" s="18" t="str">
        <x:v>Recovery-room discharge</x:v>
      </x:c>
      <x:c r="O9" s="18" t="str">
        <x:v>Some concerns</x:v>
      </x:c>
      <x:c r="P9" s="18" t="str">
        <x:v>PARTIAL — selected RoB corrected; source-normalized recovery/intraop-opioid rows added</x:v>
      </x:c>
      <x:c r="Q9" s="18" t="str">
        <x:v>Use flowchart 65 randomized/analyzed; no exact postoperative 24-h opioid total</x:v>
      </x:c>
      <x:c r="R9" s="18" t="str">
        <x:v>SOURCE-NORMALIZED OUTCOME ROWS ADDED</x:v>
      </x:c>
      <x:c r="S9" s="18" t="str">
        <x:v>Source PDF / supplement / protocol / registration &gt; reconciled source extraction &gt; derivative model output</x:v>
      </x:c>
      <x:c r="T9" s="18" t="str">
        <x:v>https://drive.google.com/drive/folders/1EWdZyTQjPSuoxt8n1nIr1t8D98PC-mso</x:v>
      </x:c>
      <x:c r="U9" s="18" t="str">
        <x:v>https://docs.google.com/document/d/1hR0UuZSmPpwZi384Vzn3sZt5Y5_ZwYxW6b3u4nq2-40/edit</x:v>
      </x:c>
      <x:c r="V9" t="n">
        <x:f>COUNTIF(Outcome_Data!$A:$A,A9)</x:f>
        <x:v>5</x:v>
      </x:c>
    </x:row>
    <x:row r="10">
      <x:c r="A10" s="18" t="str">
        <x:v>Yu 2020</x:v>
      </x:c>
      <x:c r="B10" s="18" t="str">
        <x:v>Batch 6</x:v>
      </x:c>
      <x:c r="C10" s="18" t="str">
        <x:v>FULL REPLACEMENT</x:v>
      </x:c>
      <x:c r="D10" s="18" t="str">
        <x:v>Changes protocol/result and incorrectly treats retrospective registration as prospective.</x:v>
      </x:c>
      <x:c r="E10" s="18" t="str"/>
      <x:c r="F10" s="18" t="str">
        <x:v>Yu 2020</x:v>
      </x:c>
      <x:c r="G10" s="18" t="str">
        <x:v>483</x:v>
      </x:c>
      <x:c r="H10" s="18" t="str">
        <x:v>1879896692</x:v>
      </x:c>
      <x:c r="I10" s="18" t="str">
        <x:v>**Pain intensity at rest at 24h (VAS 0-10) (PRIMARY)**: TEAS (n=30) 3.70 ± 1.53 vs Con Sham TEAS (n=30) 4.73 ± 1.53 (P &lt; 0.05*) [MD -1.03, 95% CI -1.81 to -0...</x:v>
      </x:c>
      <x:c r="J10" s="18" t="str">
        <x:v>Yes</x:v>
      </x:c>
      <x:c r="K10" s="18" t="str">
        <x:v>Yes</x:v>
      </x:c>
      <x:c r="L10" s="18" t="str">
        <x:v>Yes</x:v>
      </x:c>
      <x:c r="M10" s="18" t="str">
        <x:v>Global QoR-40</x:v>
      </x:c>
      <x:c r="N10" s="18" t="str">
        <x:v>POD1 (~24 h)</x:v>
      </x:c>
      <x:c r="O10" s="18" t="str">
        <x:v>High</x:v>
      </x:c>
      <x:c r="P10" s="18" t="str">
        <x:v>PARTIALLY READY — corrected RoB available for one selected result; confirm outcome matches planned synthesis</x:v>
      </x:c>
      <x:c r="Q10" s="18" t="str">
        <x:v>Use source data; DO NOT use original stored RoB. Rebuild result-specific RoB.</x:v>
      </x:c>
      <x:c r="R10" s="18" t="str">
        <x:v>Candidate summary from Antigravity report; use only after source-level confirmation</x:v>
      </x:c>
      <x:c r="S10" s="18" t="str">
        <x:v>Source PDF / supplement / protocol / registration &gt; reconciled source extraction &gt; derivative model output</x:v>
      </x:c>
      <x:c r="T10" s="18" t="str">
        <x:v>https://drive.google.com/drive/folders/1EWdZyTQjPSuoxt8n1nIr1t8D98PC-mso</x:v>
      </x:c>
      <x:c r="U10" s="18" t="str">
        <x:v>https://docs.google.com/document/d/1hR0UuZSmPpwZi384Vzn3sZt5Y5_ZwYxW6b3u4nq2-40/edit</x:v>
      </x:c>
      <x:c r="V10" t="n">
        <x:f>COUNTIF(Outcome_Data!$A:$A,A10)</x:f>
        <x:v>1</x:v>
      </x:c>
    </x:row>
    <x:row r="11">
      <x:c r="A11" s="18" t="str">
        <x:v>Yeh 2010</x:v>
      </x:c>
      <x:c r="B11" s="18" t="str">
        <x:v>Batch 2</x:v>
      </x:c>
      <x:c r="C11" s="18" t="str">
        <x:v>SPECIAL / SOURCE-QC</x:v>
      </x:c>
      <x:c r="D11" s="18" t="str">
        <x:v>Probable/possible cohort overlap with Yeh 2011; epidural morphine route requires clarification before systemic MME use.</x:v>
      </x:c>
      <x:c r="E11" s="18" t="str"/>
      <x:c r="F11" s="18" t="str">
        <x:v>Yeh 2010</x:v>
      </x:c>
      <x:c r="G11" s="18" t="str">
        <x:v>828</x:v>
      </x:c>
      <x:c r="H11" s="18" t="str">
        <x:v>1879897280</x:v>
      </x:c>
      <x:c r="I11" s="18" t="str">
        <x:v>**Cumulative postoperative systemic opioid consumption at 24h (PRIMARY)**: AES (n=30) 19.3 ± 9.7 mg vs Sham AES (n=30) 21.6 ± 13.1 mg (P = 0.443) [MD -2.30 m...</x:v>
      </x:c>
      <x:c r="J11" s="18" t="str">
        <x:v>Yes</x:v>
      </x:c>
      <x:c r="K11" s="18" t="str">
        <x:v>Yes</x:v>
      </x:c>
      <x:c r="L11" s="18" t="str">
        <x:v>Yes</x:v>
      </x:c>
      <x:c r="M11" s="18" t="str">
        <x:v>24-h morphine PCA dose</x:v>
      </x:c>
      <x:c r="N11" s="18" t="str">
        <x:v>First 24 postoperative hours</x:v>
      </x:c>
      <x:c r="O11" s="18" t="str">
        <x:v>Some concerns</x:v>
      </x:c>
      <x:c r="P11" s="18" t="str">
        <x:v>SOURCE-NORMALIZED — DUPLICATE/OVERLAP HOLD</x:v>
      </x:c>
      <x:c r="Q11" s="18" t="str">
        <x:v>Do not count independently from Yeh 2011 until cohort overlap is resolved; PCA route is printed as epidural.</x:v>
      </x:c>
      <x:c r="R11" s="18" t="str">
        <x:v>SOURCE-NORMALIZED OUTCOME ROWS ADDED</x:v>
      </x:c>
      <x:c r="S11" s="18" t="str">
        <x:v>Source PDF / supplement / protocol / registration &gt; reconciled source extraction &gt; derivative model output</x:v>
      </x:c>
      <x:c r="T11" s="18" t="str">
        <x:v>https://drive.google.com/drive/folders/1EWdZyTQjPSuoxt8n1nIr1t8D98PC-mso</x:v>
      </x:c>
      <x:c r="U11" s="18" t="str">
        <x:v>https://docs.google.com/document/d/1hR0UuZSmPpwZi384Vzn3sZt5Y5_ZwYxW6b3u4nq2-40/edit</x:v>
      </x:c>
      <x:c r="V11" t="n">
        <x:f>COUNTIF(Outcome_Data!$A:$A,A11)</x:f>
        <x:v>2</x:v>
      </x:c>
    </x:row>
    <x:row r="12">
      <x:c r="A12" s="18" t="str">
        <x:v>Yeh 2011</x:v>
      </x:c>
      <x:c r="B12" s="18" t="str">
        <x:v>Batch 2</x:v>
      </x:c>
      <x:c r="C12" s="18" t="str">
        <x:v>SPECIAL / SOURCE-QC</x:v>
      </x:c>
      <x:c r="D12" s="18" t="str">
        <x:v>Possible cohort overlap with Yeh 2010; do not count both as independent until resolved.</x:v>
      </x:c>
      <x:c r="E12" s="18" t="str">
        <x:v>Yeh 2010 (ATHM) → Yeh 2011</x:v>
      </x:c>
      <x:c r="F12" s="18" t="str">
        <x:v>Yeh 2010 (ATHM)</x:v>
      </x:c>
      <x:c r="G12" s="18" t="str">
        <x:v>823</x:v>
      </x:c>
      <x:c r="H12" s="18" t="str">
        <x:v>1879897273</x:v>
      </x:c>
      <x:c r="I12" s="18" t="str">
        <x:v>**Cumulative postoperative systemic opioid consumption at 24h (PRIMARY)**: EG1 True AES (n=33) 18.6 ± 9.7 mg vs EG2 Sham AES (n=30) 21.6 ± 13.1 mg (P = 0.364...</x:v>
      </x:c>
      <x:c r="J12" s="18" t="str">
        <x:v>Yes</x:v>
      </x:c>
      <x:c r="K12" s="18" t="str">
        <x:v>Yes</x:v>
      </x:c>
      <x:c r="L12" s="18" t="str">
        <x:v>Yes</x:v>
      </x:c>
      <x:c r="M12" s="18" t="str">
        <x:v>24-h IV morphine PCA dose</x:v>
      </x:c>
      <x:c r="N12" s="18" t="str">
        <x:v>First 24 postoperative hours</x:v>
      </x:c>
      <x:c r="O12" s="18" t="str">
        <x:v>Some concerns</x:v>
      </x:c>
      <x:c r="P12" s="18" t="str">
        <x:v>SOURCE-NORMALIZED — DUPLICATE/OVERLAP HOLD</x:v>
      </x:c>
      <x:c r="Q12" s="18" t="str">
        <x:v>Do not count independently from Yeh 2010 until cohort overlap is resolved.</x:v>
      </x:c>
      <x:c r="R12" s="18" t="str">
        <x:v>SOURCE-NORMALIZED OUTCOME ROWS ADDED</x:v>
      </x:c>
      <x:c r="S12" s="18" t="str">
        <x:v>Source PDF / supplement / protocol / registration &gt; reconciled source extraction &gt; derivative model output</x:v>
      </x:c>
      <x:c r="T12" s="18" t="str">
        <x:v>https://drive.google.com/drive/folders/1EWdZyTQjPSuoxt8n1nIr1t8D98PC-mso</x:v>
      </x:c>
      <x:c r="U12" s="18" t="str">
        <x:v>https://docs.google.com/document/d/1hR0UuZSmPpwZi384Vzn3sZt5Y5_ZwYxW6b3u4nq2-40/edit</x:v>
      </x:c>
      <x:c r="V12" t="n">
        <x:f>COUNTIF(Outcome_Data!$A:$A,A12)</x:f>
        <x:v>2</x:v>
      </x:c>
    </x:row>
    <x:row r="13">
      <x:c r="A13" s="18" t="str">
        <x:v>Yao 2015</x:v>
      </x:c>
      <x:c r="B13" s="18" t="str">
        <x:v>Batch 4</x:v>
      </x:c>
      <x:c r="C13" s="18" t="str">
        <x:v>FULL REPLACEMENT</x:v>
      </x:c>
      <x:c r="D13" s="18" t="str">
        <x:v>RoB changes sample, intervention and QoR-40 values.</x:v>
      </x:c>
      <x:c r="E13" s="18" t="str"/>
      <x:c r="F13" s="18" t="str">
        <x:v>Yao 2015</x:v>
      </x:c>
      <x:c r="G13" s="18" t="str">
        <x:v>671</x:v>
      </x:c>
      <x:c r="H13" s="18" t="str">
        <x:v>1879897026</x:v>
      </x:c>
      <x:c r="I13" s="18" t="str">
        <x:v>**Quality of recovery (QoR-40 global score at 24h) (PRIMARY)**: TEAS (n=35) 176.5 ± 10.2 vs Sham TEAS (n=36) 164.8 ± 14.7 (P &lt; 0.001*) [MD 11.70, 95% CI 5.80...</x:v>
      </x:c>
      <x:c r="J13" s="18" t="str">
        <x:v>Yes</x:v>
      </x:c>
      <x:c r="K13" s="18" t="str">
        <x:v>Yes</x:v>
      </x:c>
      <x:c r="L13" s="18" t="str">
        <x:v>Yes</x:v>
      </x:c>
      <x:c r="M13" s="18" t="str">
        <x:v>Global QoR-40</x:v>
      </x:c>
      <x:c r="N13" s="18" t="str">
        <x:v>24 h</x:v>
      </x:c>
      <x:c r="O13" s="18" t="str">
        <x:v>High</x:v>
      </x:c>
      <x:c r="P13" s="18" t="str">
        <x:v>PARTIALLY READY — corrected RoB available for one selected result; confirm outcome matches planned synthesis</x:v>
      </x:c>
      <x:c r="Q13" s="18" t="str">
        <x:v>Use source data; DO NOT use original stored RoB. Rebuild result-specific RoB.</x:v>
      </x:c>
      <x:c r="R13" s="18" t="str">
        <x:v>Candidate summary from Antigravity report; use only after source-level confirmation</x:v>
      </x:c>
      <x:c r="S13" s="18" t="str">
        <x:v>Source PDF / supplement / protocol / registration &gt; reconciled source extraction &gt; derivative model output</x:v>
      </x:c>
      <x:c r="T13" s="18" t="str">
        <x:v>https://drive.google.com/drive/folders/1EWdZyTQjPSuoxt8n1nIr1t8D98PC-mso</x:v>
      </x:c>
      <x:c r="U13" s="18" t="str">
        <x:v>https://docs.google.com/document/d/1hR0UuZSmPpwZi384Vzn3sZt5Y5_ZwYxW6b3u4nq2-40/edit</x:v>
      </x:c>
      <x:c r="V13" t="n">
        <x:f>COUNTIF(Outcome_Data!$A:$A,A13)</x:f>
        <x:v>1</x:v>
      </x:c>
    </x:row>
    <x:row r="14">
      <x:c r="A14" s="18" t="str">
        <x:v>Yang 2020</x:v>
      </x:c>
      <x:c r="B14" s="18" t="str">
        <x:v>Batch 20</x:v>
      </x:c>
      <x:c r="C14" s="18" t="str">
        <x:v>FULL REPLACEMENT</x:v>
      </x:c>
      <x:c r="D14" s="18" t="str">
        <x:v>Wang-labeled RoB is a fabricated laparoscopic-cholecystectomy sham trial; true source is open-label VATS EA/usual-care study.</x:v>
      </x:c>
      <x:c r="E14" s="18" t="str"/>
      <x:c r="F14" s="18" t="str">
        <x:v>Yang 2020</x:v>
      </x:c>
      <x:c r="G14" s="18" t="str">
        <x:v>464</x:v>
      </x:c>
      <x:c r="H14" s="18" t="str">
        <x:v>1879896661</x:v>
      </x:c>
      <x:c r="I14" s="18" t="str">
        <x:v>**Postoperative nausea incidence 0-24h (PRIMARY)**: EA (n=29) 8/29 (27.59%) vs Usual care (n=28) 8/28 (28.57%) (P = 0.934) [RR 0.97, 95% CI 0.42 to 2.24]. **...</x:v>
      </x:c>
      <x:c r="J14" s="18" t="str">
        <x:v>Yes</x:v>
      </x:c>
      <x:c r="K14" s="18" t="str">
        <x:v>Yes</x:v>
      </x:c>
      <x:c r="L14" s="18" t="str">
        <x:v>Yes</x:v>
      </x:c>
      <x:c r="M14" s="18" t="str">
        <x:v>Time to first postoperative flatus</x:v>
      </x:c>
      <x:c r="N14" s="18" t="str">
        <x:v>Time to event</x:v>
      </x:c>
      <x:c r="O14" s="18" t="str">
        <x:v>Some concerns</x:v>
      </x:c>
      <x:c r="P14" s="18" t="str">
        <x:v>PARTIALLY READY — corrected RoB available for one selected result; confirm outcome matches planned synthesis</x:v>
      </x:c>
      <x:c r="Q14" s="18" t="str">
        <x:v>Use source data; DO NOT use original stored RoB. Rebuild result-specific RoB.</x:v>
      </x:c>
      <x:c r="R14" s="18" t="str">
        <x:v>Candidate summary from Antigravity report; use only after source-level confirmation</x:v>
      </x:c>
      <x:c r="S14" s="18" t="str">
        <x:v>Source PDF / supplement / protocol / registration &gt; reconciled source extraction &gt; derivative model output</x:v>
      </x:c>
      <x:c r="T14" s="18" t="str">
        <x:v>https://drive.google.com/drive/folders/1EWdZyTQjPSuoxt8n1nIr1t8D98PC-mso</x:v>
      </x:c>
      <x:c r="U14" s="18" t="str">
        <x:v>https://docs.google.com/document/d/1hR0UuZSmPpwZi384Vzn3sZt5Y5_ZwYxW6b3u4nq2-40/edit</x:v>
      </x:c>
      <x:c r="V14" t="n">
        <x:f>COUNTIF(Outcome_Data!$A:$A,A14)</x:f>
        <x:v>1</x:v>
      </x:c>
    </x:row>
    <x:row r="15">
      <x:c r="A15" s="18" t="str">
        <x:v>Yang 2024</x:v>
      </x:c>
      <x:c r="B15" s="18" t="str">
        <x:v>Batch 14</x:v>
      </x:c>
      <x:c r="C15" s="18" t="str">
        <x:v>FULL REPLACEMENT</x:v>
      </x:c>
      <x:c r="D15" s="18" t="str">
        <x:v>Zhang-labeled RoB changes study identity, surgery, comparator, blinding and PONV result.</x:v>
      </x:c>
      <x:c r="E15" s="18" t="str">
        <x:v>Yang 2023 → Yang 2024</x:v>
      </x:c>
      <x:c r="F15" s="18" t="str">
        <x:v>Yang 2023</x:v>
      </x:c>
      <x:c r="G15" s="18" t="str">
        <x:v>252</x:v>
      </x:c>
      <x:c r="H15" s="18" t="str">
        <x:v>1879896323</x:v>
      </x:c>
      <x:c r="I15" s="18" t="str">
        <x:v>**Cumulative postoperative systemic opioid consumption on POD 1 (24h) (PRIMARY)**: EA (n=90) 43.7 ± 4.7 mg vs Usual care (n=90) 44.0 ± 4.9 mg (P = 0.733) [MD...</x:v>
      </x:c>
      <x:c r="J15" s="18" t="str">
        <x:v>Yes</x:v>
      </x:c>
      <x:c r="K15" s="18" t="str">
        <x:v>Yes</x:v>
      </x:c>
      <x:c r="L15" s="18" t="str">
        <x:v>Yes</x:v>
      </x:c>
      <x:c r="M15" s="18" t="str">
        <x:v>Morphine use via IV PCA</x:v>
      </x:c>
      <x:c r="N15" s="18" t="str">
        <x:v>First 24 h / POD1</x:v>
      </x:c>
      <x:c r="O15" s="18" t="str">
        <x:v>Some concerns</x:v>
      </x:c>
      <x:c r="P15" s="18" t="str">
        <x:v>PARTIAL — selected RoB corrected; exact 24-h morphine row added</x:v>
      </x:c>
      <x:c r="Q15" s="18" t="str">
        <x:v>Exact 24-h morphine endpoint is directly usable; retain open-label design in interpretation</x:v>
      </x:c>
      <x:c r="R15" s="18" t="str">
        <x:v>SOURCE-NORMALIZED OUTCOME ROWS ADDED</x:v>
      </x:c>
      <x:c r="S15" s="18" t="str">
        <x:v>Source PDF / supplement / protocol / registration &gt; reconciled source extraction &gt; derivative model output</x:v>
      </x:c>
      <x:c r="T15" s="18" t="str">
        <x:v>https://drive.google.com/drive/folders/1EWdZyTQjPSuoxt8n1nIr1t8D98PC-mso</x:v>
      </x:c>
      <x:c r="U15" s="18" t="str">
        <x:v>https://docs.google.com/document/d/1hR0UuZSmPpwZi384Vzn3sZt5Y5_ZwYxW6b3u4nq2-40/edit</x:v>
      </x:c>
      <x:c r="V15" t="n">
        <x:f>COUNTIF(Outcome_Data!$A:$A,A15)</x:f>
        <x:v>4</x:v>
      </x:c>
    </x:row>
    <x:row r="16">
      <x:c r="A16" s="18" t="str">
        <x:v>Xiong 2021</x:v>
      </x:c>
      <x:c r="B16" s="18" t="str">
        <x:v>Batch 7</x:v>
      </x:c>
      <x:c r="C16" s="18" t="str">
        <x:v>RE-ADJUDICATE</x:v>
      </x:c>
      <x:c r="D16" s="18" t="str">
        <x:v>Correct study/result, but cointervention doses, caregiver awareness, baseline evidence and prespecification handling are wrong.</x:v>
      </x:c>
      <x:c r="E16" s="18" t="str"/>
      <x:c r="F16" s="18" t="str">
        <x:v>Xiong 2021</x:v>
      </x:c>
      <x:c r="G16" s="18" t="str">
        <x:v>431</x:v>
      </x:c>
      <x:c r="H16" s="18" t="str">
        <x:v>1879896608</x:v>
      </x:c>
      <x:c r="I16" s="18" t="str">
        <x:v>**Composite PONV incidence 0-24h (PRIMARY)**: TEAS (n=31) 12/31 (38.7%) vs Sham TEAS (n=31) 24/31 (77.4%) (P = 0.002*) [RR 0.50, 95% CI 0.31 to 0.81]. **Comp...</x:v>
      </x:c>
      <x:c r="J16" s="18" t="str">
        <x:v>Yes</x:v>
      </x:c>
      <x:c r="K16" s="18" t="str">
        <x:v>Yes</x:v>
      </x:c>
      <x:c r="L16" s="18" t="str">
        <x:v>Yes</x:v>
      </x:c>
      <x:c r="M16" s="18" t="str">
        <x:v>Any PONV</x:v>
      </x:c>
      <x:c r="N16" s="18" t="str">
        <x:v>Within 48 h</x:v>
      </x:c>
      <x:c r="O16" s="18" t="str">
        <x:v>Some concerns</x:v>
      </x:c>
      <x:c r="P16" s="18" t="str">
        <x:v>PARTIAL — source-matched RoB re-adjudicated; PONV/opioid rows added</x:v>
      </x:c>
      <x:c r="Q16" s="18" t="str">
        <x:v>48-h PONV usable; postoperative opioid-equivalent window remains unclear</x:v>
      </x:c>
      <x:c r="R16" s="18" t="str">
        <x:v>SOURCE-NORMALIZED OUTCOME ROWS ADDED</x:v>
      </x:c>
      <x:c r="S16" s="18" t="str">
        <x:v>Source PDF / supplement / protocol / registration &gt; reconciled source extraction &gt; derivative model output</x:v>
      </x:c>
      <x:c r="T16" s="18" t="str">
        <x:v>https://drive.google.com/drive/folders/1EWdZyTQjPSuoxt8n1nIr1t8D98PC-mso</x:v>
      </x:c>
      <x:c r="U16" s="18" t="str">
        <x:v>https://docs.google.com/document/d/1hR0UuZSmPpwZi384Vzn3sZt5Y5_ZwYxW6b3u4nq2-40/edit</x:v>
      </x:c>
      <x:c r="V16" t="n">
        <x:f>COUNTIF(Outcome_Data!$A:$A,A16)</x:f>
        <x:v>5</x:v>
      </x:c>
    </x:row>
    <x:row r="17">
      <x:c r="A17" s="18" t="str">
        <x:v>Xing 2022</x:v>
      </x:c>
      <x:c r="B17" s="18" t="str">
        <x:v>Batch 10</x:v>
      </x:c>
      <x:c r="C17" s="18" t="str">
        <x:v>FULL REPLACEMENT</x:v>
      </x:c>
      <x:c r="D17" s="18" t="str">
        <x:v>Attached Wang RoB is a different colorectal trial with fabricated flatus values.</x:v>
      </x:c>
      <x:c r="E17" s="18" t="str"/>
      <x:c r="F17" s="18" t="str">
        <x:v>Xing 2022</x:v>
      </x:c>
      <x:c r="G17" s="18" t="str">
        <x:v>338</x:v>
      </x:c>
      <x:c r="H17" s="18" t="str">
        <x:v>1879896460</x:v>
      </x:c>
      <x:c r="I17" s="18" t="str">
        <x:v>**Pain intensity at rest at 24h (PRIMARY)**: TEAS+TAPB (n=29) 1.18 ± 0.42 vs Sham TEAS+TAPB (n=29) 1.40 ± 0.52 (P &lt; 0.05*) [MD -0.22, 95% CI -0.46 to 0.02]; ...</x:v>
      </x:c>
      <x:c r="J17" s="18" t="str">
        <x:v>Yes</x:v>
      </x:c>
      <x:c r="K17" s="18" t="str">
        <x:v>Yes</x:v>
      </x:c>
      <x:c r="L17" s="18" t="str">
        <x:v>Yes</x:v>
      </x:c>
      <x:c r="M17" s="18" t="str">
        <x:v>Total intraoperative remifentanil consumption</x:v>
      </x:c>
      <x:c r="N17" s="18" t="str">
        <x:v>Intraoperative</x:v>
      </x:c>
      <x:c r="O17" s="18" t="str">
        <x:v>Some concerns</x:v>
      </x:c>
      <x:c r="P17" s="18" t="str">
        <x:v>PARTIAL — selected RoB corrected; three-arm incremental TEAS rows added</x:v>
      </x:c>
      <x:c r="Q17" s="18" t="str">
        <x:v>Use NTG vs NG for TEAS-specific effect; exact 24-h postoperative sufentanil remains unavailable</x:v>
      </x:c>
      <x:c r="R17" s="18" t="str">
        <x:v>SOURCE-NORMALIZED OUTCOME ROWS ADDED</x:v>
      </x:c>
      <x:c r="S17" s="18" t="str">
        <x:v>Source PDF / supplement / protocol / registration &gt; reconciled source extraction &gt; derivative model output</x:v>
      </x:c>
      <x:c r="T17" s="18" t="str">
        <x:v>https://drive.google.com/drive/folders/1EWdZyTQjPSuoxt8n1nIr1t8D98PC-mso</x:v>
      </x:c>
      <x:c r="U17" s="18" t="str">
        <x:v>https://docs.google.com/document/d/1hR0UuZSmPpwZi384Vzn3sZt5Y5_ZwYxW6b3u4nq2-40/edit</x:v>
      </x:c>
      <x:c r="V17" t="n">
        <x:f>COUNTIF(Outcome_Data!$A:$A,A17)</x:f>
        <x:v>6</x:v>
      </x:c>
    </x:row>
    <x:row r="18">
      <x:c r="A18" s="18" t="str">
        <x:v>Xie 2014</x:v>
      </x:c>
      <x:c r="B18" s="18" t="str">
        <x:v>Batch 4</x:v>
      </x:c>
      <x:c r="C18" s="18" t="str">
        <x:v>FULL REPLACEMENT</x:v>
      </x:c>
      <x:c r="D18" s="18" t="str">
        <x:v>Stored RoB describes a different laparoscopic-cholecystectomy trial/result.</x:v>
      </x:c>
      <x:c r="E18" s="18" t="str"/>
      <x:c r="F18" s="18" t="str">
        <x:v>Xie 2014</x:v>
      </x:c>
      <x:c r="G18" s="18" t="str">
        <x:v>701</x:v>
      </x:c>
      <x:c r="H18" s="18" t="str">
        <x:v>1879897074</x:v>
      </x:c>
      <x:c r="I18" s="18" t="str">
        <x:v>**Cumulative postoperative systemic opioid consumption through POD 3 (PRIMARY)**: EAS (n=20) 115.0 ± 6.0 µg vs Sham EA (n=20) 133.5 ± 7.0 µg (P &lt; 0.05*) [MD ...</x:v>
      </x:c>
      <x:c r="J18" s="18" t="str">
        <x:v>Yes</x:v>
      </x:c>
      <x:c r="K18" s="18" t="str">
        <x:v>Yes</x:v>
      </x:c>
      <x:c r="L18" s="18" t="str">
        <x:v>Yes</x:v>
      </x:c>
      <x:c r="M18" s="18" t="str">
        <x:v>Total postoperative/perioperative sufentanil</x:v>
      </x:c>
      <x:c r="N18" s="18" t="str">
        <x:v>Study PCA period</x:v>
      </x:c>
      <x:c r="O18" s="18" t="str">
        <x:v>Some concerns</x:v>
      </x:c>
      <x:c r="P18" s="18" t="str">
        <x:v>PARTIAL — selected RoB corrected; total-sufentanil and demand rows added</x:v>
      </x:c>
      <x:c r="Q18" s="18" t="str">
        <x:v>Do not relabel total sufentanil as 24-h; preserve three arms and unresolved PCA time window</x:v>
      </x:c>
      <x:c r="R18" s="18" t="str">
        <x:v>SOURCE-NORMALIZED OUTCOME ROWS ADDED</x:v>
      </x:c>
      <x:c r="S18" s="18" t="str">
        <x:v>Source PDF / supplement / protocol / registration &gt; reconciled source extraction &gt; derivative model output</x:v>
      </x:c>
      <x:c r="T18" s="18" t="str">
        <x:v>https://drive.google.com/drive/folders/1EWdZyTQjPSuoxt8n1nIr1t8D98PC-mso</x:v>
      </x:c>
      <x:c r="U18" s="18" t="str">
        <x:v>https://docs.google.com/document/d/1hR0UuZSmPpwZi384Vzn3sZt5Y5_ZwYxW6b3u4nq2-40/edit</x:v>
      </x:c>
      <x:c r="V18" t="n">
        <x:f>COUNTIF(Outcome_Data!$A:$A,A18)</x:f>
        <x:v>4</x:v>
      </x:c>
    </x:row>
    <x:row r="19">
      <x:c r="A19" s="18" t="str">
        <x:v>Wu 2022</x:v>
      </x:c>
      <x:c r="B19" s="18" t="str">
        <x:v>Batch 9</x:v>
      </x:c>
      <x:c r="C19" s="18" t="str">
        <x:v>FULL REPLACEMENT</x:v>
      </x:c>
      <x:c r="D19" s="18" t="str">
        <x:v>Gemini and attached Xiao RoB are cross-contaminated with different studies.</x:v>
      </x:c>
      <x:c r="E19" s="18" t="str"/>
      <x:c r="F19" s="18" t="str">
        <x:v>Wu 2022</x:v>
      </x:c>
      <x:c r="G19" s="18" t="str">
        <x:v>332</x:v>
      </x:c>
      <x:c r="H19" s="18" t="str">
        <x:v>1879896450</x:v>
      </x:c>
      <x:c r="I19" s="18" t="str">
        <x:v>**Pain intensity at 24h (PRIMARY)**: pTEAS (n=44) 1.77 ± 0.91 vs Control (n=40) 2.25 ± 0.71 (P = 0.009*) [MD -0.48, 95% CI -0.83 to -0.13]. **Pain intensity ...</x:v>
      </x:c>
      <x:c r="J19" s="18" t="str">
        <x:v>Yes</x:v>
      </x:c>
      <x:c r="K19" s="18" t="str">
        <x:v>Yes</x:v>
      </x:c>
      <x:c r="L19" s="18" t="str">
        <x:v>Yes</x:v>
      </x:c>
      <x:c r="M19" s="18" t="str">
        <x:v>VAS pain intensity</x:v>
      </x:c>
      <x:c r="N19" s="18" t="str">
        <x:v>POD1</x:v>
      </x:c>
      <x:c r="O19" s="18" t="str">
        <x:v>High</x:v>
      </x:c>
      <x:c r="P19" s="18" t="str">
        <x:v>PARTIAL — selected RoB corrected; pain/intraop-opioid rows added</x:v>
      </x:c>
      <x:c r="Q19" s="18" t="str">
        <x:v>Do not infer 24-h postoperative opioid consumption; asymmetric attrition materially affects subjective outcomes</x:v>
      </x:c>
      <x:c r="R19" s="18" t="str">
        <x:v>SOURCE-NORMALIZED OUTCOME ROWS ADDED</x:v>
      </x:c>
      <x:c r="S19" s="18" t="str">
        <x:v>Source PDF / supplement / protocol / registration &gt; reconciled source extraction &gt; derivative model output</x:v>
      </x:c>
      <x:c r="T19" s="18" t="str">
        <x:v>https://drive.google.com/drive/folders/1EWdZyTQjPSuoxt8n1nIr1t8D98PC-mso</x:v>
      </x:c>
      <x:c r="U19" s="18" t="str">
        <x:v>https://docs.google.com/document/d/1hR0UuZSmPpwZi384Vzn3sZt5Y5_ZwYxW6b3u4nq2-40/edit</x:v>
      </x:c>
      <x:c r="V19" t="n">
        <x:f>COUNTIF(Outcome_Data!$A:$A,A19)</x:f>
        <x:v>4</x:v>
      </x:c>
    </x:row>
    <x:row r="20">
      <x:c r="A20" s="18" t="str">
        <x:v>Wu 2025</x:v>
      </x:c>
      <x:c r="B20" s="18" t="str">
        <x:v>Batch 15</x:v>
      </x:c>
      <x:c r="C20" s="18" t="str">
        <x:v>FULL REPLACEMENT</x:v>
      </x:c>
      <x:c r="D20" s="18" t="str">
        <x:v>Changes surgery/protocol, pain values and falsely claims complete 24-h follow-up.</x:v>
      </x:c>
      <x:c r="E20" s="18" t="str"/>
      <x:c r="F20" s="18" t="str">
        <x:v>Wu 2025</x:v>
      </x:c>
      <x:c r="G20" s="18" t="str">
        <x:v>122</x:v>
      </x:c>
      <x:c r="H20" s="18" t="str">
        <x:v>1879896116</x:v>
      </x:c>
      <x:c r="I20" s="18" t="str">
        <x:v>**Pain intensity at rest at 24h (PRIMARY)**: TEAS (n=50) 1.7 ± 0.9 vs Sham TEAS (n=50) 4.0 ± 1.4 (P &lt; 0.001*) [MD -2.30, 95% CI -2.76 to -1.84]. **Pain inten...</x:v>
      </x:c>
      <x:c r="J20" s="18" t="str">
        <x:v>Yes</x:v>
      </x:c>
      <x:c r="K20" s="18" t="str">
        <x:v>Yes</x:v>
      </x:c>
      <x:c r="L20" s="18" t="str">
        <x:v>Yes</x:v>
      </x:c>
      <x:c r="M20" s="18" t="str">
        <x:v>VAS pain intensity</x:v>
      </x:c>
      <x:c r="N20" s="18" t="str">
        <x:v>24 h</x:v>
      </x:c>
      <x:c r="O20" s="18" t="str">
        <x:v>High</x:v>
      </x:c>
      <x:c r="P20" s="18" t="str">
        <x:v>PARTIAL — selected RoB corrected; exact 24-h pain and missing-opioid rows added</x:v>
      </x:c>
      <x:c r="Q20" s="18" t="str">
        <x:v>24-h pain usable with high RoB; continuous 24-h MME cannot be calculated from mixed rescue regimen</x:v>
      </x:c>
      <x:c r="R20" s="18" t="str">
        <x:v>SOURCE-NORMALIZED OUTCOME ROWS ADDED</x:v>
      </x:c>
      <x:c r="S20" s="18" t="str">
        <x:v>Source PDF / supplement / protocol / registration &gt; reconciled source extraction &gt; derivative model output</x:v>
      </x:c>
      <x:c r="T20" s="18" t="str">
        <x:v>https://drive.google.com/drive/folders/1EWdZyTQjPSuoxt8n1nIr1t8D98PC-mso</x:v>
      </x:c>
      <x:c r="U20" s="18" t="str">
        <x:v>https://docs.google.com/document/d/1hR0UuZSmPpwZi384Vzn3sZt5Y5_ZwYxW6b3u4nq2-40/edit</x:v>
      </x:c>
      <x:c r="V20" t="n">
        <x:f>COUNTIF(Outcome_Data!$A:$A,A20)</x:f>
        <x:v>5</x:v>
      </x:c>
    </x:row>
    <x:row r="21">
      <x:c r="A21" s="18" t="str">
        <x:v>Wong 2006</x:v>
      </x:c>
      <x:c r="B21" s="18" t="str">
        <x:v>Batch 3</x:v>
      </x:c>
      <x:c r="C21" s="18" t="str">
        <x:v>SPECIAL / SOURCE-QC</x:v>
      </x:c>
      <x:c r="D21" s="18" t="str">
        <x:v>POD labels are not exact 0–24-h intervals; two sham-only post-randomization exclusions; scheduled non-morphine opioid exposure.</x:v>
      </x:c>
      <x:c r="E21" s="18" t="str"/>
      <x:c r="F21" s="18" t="str">
        <x:v>Wong 2006</x:v>
      </x:c>
      <x:c r="G21" s="18" t="str">
        <x:v>912</x:v>
      </x:c>
      <x:c r="H21" s="18" t="str">
        <x:v>1879897414</x:v>
      </x:c>
      <x:c r="I21" s="18" t="str">
        <x:v>**Postoperative systemic opioid consumption Day 1 (24h) (PRIMARY)**: EA (n=13) 18.0 ± 8.8 mg vs Sham EA (n=12) 18.8 ± 9.8 mg [MD -0.80 mg, 95% CI -8.14 to 6....</x:v>
      </x:c>
      <x:c r="J21" s="18" t="str">
        <x:v>Yes</x:v>
      </x:c>
      <x:c r="K21" s="18" t="str">
        <x:v>Yes</x:v>
      </x:c>
      <x:c r="L21" s="18" t="str">
        <x:v>Yes</x:v>
      </x:c>
      <x:c r="M21" s="18" t="str">
        <x:v>Total IV PCA morphine</x:v>
      </x:c>
      <x:c r="N21" s="18" t="str">
        <x:v>First 3 postoperative days</x:v>
      </x:c>
      <x:c r="O21" s="18" t="str">
        <x:v>High</x:v>
      </x:c>
      <x:c r="P21" s="18" t="str">
        <x:v>SOURCE-NORMALIZED — EXACT 24H ENDPOINT UNAVAILABLE</x:v>
      </x:c>
      <x:c r="Q21" s="18" t="str">
        <x:v>Calendar Day 0/1/2 values are not exact consecutive 24-h windows; scheduled dextropropoxyphene adds opioid exposure.</x:v>
      </x:c>
      <x:c r="R21" s="18" t="str">
        <x:v>SOURCE-NORMALIZED OUTCOME ROWS ADDED</x:v>
      </x:c>
      <x:c r="S21" s="18" t="str">
        <x:v>Source PDF / supplement / protocol / registration &gt; reconciled source extraction &gt; derivative model output</x:v>
      </x:c>
      <x:c r="T21" s="18" t="str">
        <x:v>https://drive.google.com/drive/folders/1EWdZyTQjPSuoxt8n1nIr1t8D98PC-mso</x:v>
      </x:c>
      <x:c r="U21" s="18" t="str">
        <x:v>https://docs.google.com/document/d/1hR0UuZSmPpwZi384Vzn3sZt5Y5_ZwYxW6b3u4nq2-40/edit</x:v>
      </x:c>
      <x:c r="V21" t="n">
        <x:f>COUNTIF(Outcome_Data!$A:$A,A21)</x:f>
        <x:v>5</x:v>
      </x:c>
    </x:row>
    <x:row r="22">
      <x:c r="A22" s="18" t="str">
        <x:v>Wang 2023</x:v>
      </x:c>
      <x:c r="B22" s="18" t="str">
        <x:v>Batch 12</x:v>
      </x:c>
      <x:c r="C22" s="18" t="str">
        <x:v>FULL REPLACEMENT</x:v>
      </x:c>
      <x:c r="D22" s="18" t="str">
        <x:v>Stored sleep RoB changes sample, protocol and invents exact graph-only AIS values.</x:v>
      </x:c>
      <x:c r="E22" s="18" t="str"/>
      <x:c r="F22" s="18" t="str">
        <x:v>Wang 2023</x:v>
      </x:c>
      <x:c r="G22" s="18" t="str">
        <x:v>297</x:v>
      </x:c>
      <x:c r="H22" s="18" t="str">
        <x:v>1879896394</x:v>
      </x:c>
      <x:c r="I22" s="18" t="str">
        <x:v>**Pain intensity during activity at 24h (PRIMARY)**: TEAS (n=40) 5.06 ± 0.91 vs Sham TEAS (n=43) 6.04 ± 1.05 (P &lt; 0.05*) [MD -0.98, 95% CI -1.40 to -0.56]. *...</x:v>
      </x:c>
      <x:c r="J22" s="18" t="str">
        <x:v>Yes</x:v>
      </x:c>
      <x:c r="K22" s="18" t="str">
        <x:v>Yes</x:v>
      </x:c>
      <x:c r="L22" s="18" t="str">
        <x:v>Yes</x:v>
      </x:c>
      <x:c r="M22" s="18" t="str">
        <x:v>Postoperative sleep quality (PSQI/AIS)</x:v>
      </x:c>
      <x:c r="N22" s="18" t="str">
        <x:v>POD1</x:v>
      </x:c>
      <x:c r="O22" s="18" t="str">
        <x:v>High</x:v>
      </x:c>
      <x:c r="P22" s="18" t="str">
        <x:v>PARTIAL — selected RoB corrected; graph-only sleep/pain and rescue-dose rows added</x:v>
      </x:c>
      <x:c r="Q22" s="18" t="str">
        <x:v>Do not use fabricated exact AIS/PSQI values; formal digitization or author data required for continuous sleep outcomes</x:v>
      </x:c>
      <x:c r="R22" s="18" t="str">
        <x:v>SOURCE-NORMALIZED OUTCOME ROWS ADDED</x:v>
      </x:c>
      <x:c r="S22" s="18" t="str">
        <x:v>Source PDF / supplement / protocol / registration &gt; reconciled source extraction &gt; derivative model output</x:v>
      </x:c>
      <x:c r="T22" s="18" t="str">
        <x:v>https://drive.google.com/drive/folders/1EWdZyTQjPSuoxt8n1nIr1t8D98PC-mso</x:v>
      </x:c>
      <x:c r="U22" s="18" t="str">
        <x:v>https://docs.google.com/document/d/1hR0UuZSmPpwZi384Vzn3sZt5Y5_ZwYxW6b3u4nq2-40/edit</x:v>
      </x:c>
      <x:c r="V22" t="n">
        <x:f>COUNTIF(Outcome_Data!$A:$A,A22)</x:f>
        <x:v>5</x:v>
      </x:c>
    </x:row>
    <x:row r="23">
      <x:c r="A23" s="18" t="str">
        <x:v>Wang 2024</x:v>
      </x:c>
      <x:c r="B23" s="18" t="str">
        <x:v>Batch 13</x:v>
      </x:c>
      <x:c r="C23" s="18" t="str">
        <x:v>FULL REPLACEMENT</x:v>
      </x:c>
      <x:c r="D23" s="18" t="str">
        <x:v>RoB collapses stratified randomized contrasts and fabricates pooled 24-h PONV result.</x:v>
      </x:c>
      <x:c r="E23" s="18" t="str"/>
      <x:c r="F23" s="18" t="str">
        <x:v>Wang 2024</x:v>
      </x:c>
      <x:c r="G23" s="18" t="str">
        <x:v>212</x:v>
      </x:c>
      <x:c r="H23" s="18" t="str">
        <x:v>1879896259</x:v>
      </x:c>
      <x:c r="I23" s="18" t="str">
        <x:v>**Composite PONV incidence 0–24h (PRIMARY)**: TEAS pooled (n=68) 19/68 (27.9%) vs Sham TEAS pooled (n=70) 30/70 (42.9%) (P = 0.065) [RR 0.65, 95% CI 0.41 to ...</x:v>
      </x:c>
      <x:c r="J23" s="18" t="str">
        <x:v>Yes</x:v>
      </x:c>
      <x:c r="K23" s="18" t="str">
        <x:v>Yes</x:v>
      </x:c>
      <x:c r="L23" s="18" t="str">
        <x:v>Yes</x:v>
      </x:c>
      <x:c r="M23" s="18" t="str">
        <x:v>PONV incidence (SNVP randomized contrast)</x:v>
      </x:c>
      <x:c r="N23" s="18" t="str">
        <x:v>12-24 h</x:v>
      </x:c>
      <x:c r="O23" s="18" t="str">
        <x:v>High</x:v>
      </x:c>
      <x:c r="P23" s="18" t="str">
        <x:v>PARTIAL — selected RoB corrected; stratified PONV/intraop-opioid rows added</x:v>
      </x:c>
      <x:c r="Q23" s="18" t="str">
        <x:v>Never pool SNVP and MNVP into a single randomized TEAS contrast; postoperative opioid endpoint absent</x:v>
      </x:c>
      <x:c r="R23" s="18" t="str">
        <x:v>SOURCE-NORMALIZED OUTCOME ROWS ADDED</x:v>
      </x:c>
      <x:c r="S23" s="18" t="str">
        <x:v>Source PDF / supplement / protocol / registration &gt; reconciled source extraction &gt; derivative model output</x:v>
      </x:c>
      <x:c r="T23" s="18" t="str">
        <x:v>https://drive.google.com/drive/folders/1EWdZyTQjPSuoxt8n1nIr1t8D98PC-mso</x:v>
      </x:c>
      <x:c r="U23" s="18" t="str">
        <x:v>https://docs.google.com/document/d/1hR0UuZSmPpwZi384Vzn3sZt5Y5_ZwYxW6b3u4nq2-40/edit</x:v>
      </x:c>
      <x:c r="V23" t="n">
        <x:f>COUNTIF(Outcome_Data!$A:$A,A23)</x:f>
        <x:v>9</x:v>
      </x:c>
    </x:row>
    <x:row r="24">
      <x:c r="A24" s="18" t="str">
        <x:v>Tu 2024</x:v>
      </x:c>
      <x:c r="B24" s="18" t="str">
        <x:v>Batch 13</x:v>
      </x:c>
      <x:c r="C24" s="18" t="str">
        <x:v>RE-ADJUDICATE</x:v>
      </x:c>
      <x:c r="D24" s="18" t="str">
        <x:v>Source-correct study/results; Domains 3 and 5 too optimistic given post-randomization exclusions and unverified exact prespecification.</x:v>
      </x:c>
      <x:c r="E24" s="18" t="str">
        <x:v>Tu 2023 → Tu 2024</x:v>
      </x:c>
      <x:c r="F24" s="18" t="str">
        <x:v>Tu 2023</x:v>
      </x:c>
      <x:c r="G24" s="18" t="str">
        <x:v>244</x:v>
      </x:c>
      <x:c r="H24" s="18" t="str">
        <x:v>1879896309</x:v>
      </x:c>
      <x:c r="I24" s="18" t="str">
        <x:v>**Postoperative pain intensity at 6–24h (PRIMARY)**: TEAS (n=57) median 2 (IQR 0.5 to 3) [Wan mean 1.83 ± 1.85] vs Sham TEAS (n=58) median 4 (IQR 3 to 4) [Wa...</x:v>
      </x:c>
      <x:c r="J24" s="18" t="str">
        <x:v>Yes</x:v>
      </x:c>
      <x:c r="K24" s="18" t="str">
        <x:v>Yes</x:v>
      </x:c>
      <x:c r="L24" s="18" t="str">
        <x:v>Yes</x:v>
      </x:c>
      <x:c r="M24" s="18" t="str">
        <x:v>Vomiting incidence</x:v>
      </x:c>
      <x:c r="N24" s="18" t="str">
        <x:v>2-6 h</x:v>
      </x:c>
      <x:c r="O24" s="18" t="str">
        <x:v>High</x:v>
      </x:c>
      <x:c r="P24" s="18" t="str">
        <x:v>PARTIAL — source-matched RoB re-adjudicated; vomiting/pain/rescue-opioid rows added</x:v>
      </x:c>
      <x:c r="Q24" s="18" t="str">
        <x:v>Binary rescue tramadol use is available; cumulative 24-h tramadol dose is not</x:v>
      </x:c>
      <x:c r="R24" s="18" t="str">
        <x:v>SOURCE-NORMALIZED OUTCOME ROWS ADDED</x:v>
      </x:c>
      <x:c r="S24" s="18" t="str">
        <x:v>Source PDF / supplement / protocol / registration &gt; reconciled source extraction &gt; derivative model output</x:v>
      </x:c>
      <x:c r="T24" s="18" t="str">
        <x:v>https://drive.google.com/drive/folders/1EWdZyTQjPSuoxt8n1nIr1t8D98PC-mso</x:v>
      </x:c>
      <x:c r="U24" s="18" t="str">
        <x:v>https://docs.google.com/document/d/1hR0UuZSmPpwZi384Vzn3sZt5Y5_ZwYxW6b3u4nq2-40/edit</x:v>
      </x:c>
      <x:c r="V24" t="n">
        <x:f>COUNTIF(Outcome_Data!$A:$A,A24)</x:f>
        <x:v>5</x:v>
      </x:c>
    </x:row>
    <x:row r="25">
      <x:c r="A25" s="18" t="str">
        <x:v>Sun 2017</x:v>
      </x:c>
      <x:c r="B25" s="18" t="str">
        <x:v>Batch 5</x:v>
      </x:c>
      <x:c r="C25" s="18" t="str">
        <x:v>RE-ADJUDICATE</x:v>
      </x:c>
      <x:c r="D25" s="18" t="str">
        <x:v>Correct study family but stored result is misclassified as 24-h opioid consumption; sham and attrition details need fresh assessment.</x:v>
      </x:c>
      <x:c r="E25" s="18" t="str"/>
      <x:c r="F25" s="18" t="str">
        <x:v>Sun 2017</x:v>
      </x:c>
      <x:c r="G25" s="18" t="str">
        <x:v>632</x:v>
      </x:c>
      <x:c r="H25" s="18" t="str">
        <x:v>1879896963</x:v>
      </x:c>
      <x:c r="I25" s="18" t="str">
        <x:v>**Pain intensity on movement 24h (PRIMARY)**: Group TST (n=89) median 3.0 (IQR 3.0 to 4.0) [Wan mean 3.33 ± 0.74] vs Group SSS (n=90) median 4.0 (IQR 3.8 to ...</x:v>
      </x:c>
      <x:c r="J25" s="18" t="str">
        <x:v>Yes</x:v>
      </x:c>
      <x:c r="K25" s="18" t="str">
        <x:v>Yes</x:v>
      </x:c>
      <x:c r="L25" s="18" t="str">
        <x:v>Yes</x:v>
      </x:c>
      <x:c r="M25" s="18" t="str">
        <x:v>Activity-evoked VAS</x:v>
      </x:c>
      <x:c r="N25" s="18" t="str">
        <x:v>24 h</x:v>
      </x:c>
      <x:c r="O25" s="18" t="str">
        <x:v>Some concerns</x:v>
      </x:c>
      <x:c r="P25" s="18" t="str">
        <x:v>PARTIAL — source-matched RoB re-adjudicated; four-arm pain/NSAID-rescue rows added</x:v>
      </x:c>
      <x:c r="Q25" s="18" t="str">
        <x:v>Postoperative rescue is NSAID, not opioid; preserve four timing arms and shared sham control</x:v>
      </x:c>
      <x:c r="R25" s="18" t="str">
        <x:v>SOURCE-NORMALIZED OUTCOME ROWS ADDED</x:v>
      </x:c>
      <x:c r="S25" s="18" t="str">
        <x:v>Source PDF / supplement / protocol / registration &gt; reconciled source extraction &gt; derivative model output</x:v>
      </x:c>
      <x:c r="T25" s="18" t="str">
        <x:v>https://drive.google.com/drive/folders/1EWdZyTQjPSuoxt8n1nIr1t8D98PC-mso</x:v>
      </x:c>
      <x:c r="U25" s="18" t="str">
        <x:v>https://docs.google.com/document/d/1hR0UuZSmPpwZi384Vzn3sZt5Y5_ZwYxW6b3u4nq2-40/edit</x:v>
      </x:c>
      <x:c r="V25" t="n">
        <x:f>COUNTIF(Outcome_Data!$A:$A,A25)</x:f>
        <x:v>8</x:v>
      </x:c>
    </x:row>
    <x:row r="26">
      <x:c r="A26" s="18" t="str">
        <x:v>Sim 2002</x:v>
      </x:c>
      <x:c r="B26" s="18" t="str">
        <x:v>Batch 3</x:v>
      </x:c>
      <x:c r="C26" s="18" t="str">
        <x:v>SPECIAL / SOURCE-QC</x:v>
      </x:c>
      <x:c r="D26" s="18" t="str">
        <x:v>Three randomized timing arms must remain separate; do not merge pre- and postoperative EA.</x:v>
      </x:c>
      <x:c r="E26" s="18" t="str"/>
      <x:c r="F26" s="18" t="str">
        <x:v>Sim 2002</x:v>
      </x:c>
      <x:c r="G26" s="18" t="str">
        <x:v>952</x:v>
      </x:c>
      <x:c r="H26" s="18" t="str">
        <x:v>1879897479</x:v>
      </x:c>
      <x:c r="I26" s="18" t="str">
        <x:v>**Cumulative 24h postoperative PCA morphine consumption (PRIMARY)**: Group II Preop EA (n=30) 0.52 ± 0.19 mg/kg (31.20 ± 11.40 mg) vs Group I Placebo EA (n=3...</x:v>
      </x:c>
      <x:c r="J26" s="18" t="str">
        <x:v>Yes</x:v>
      </x:c>
      <x:c r="K26" s="18" t="str">
        <x:v>Yes</x:v>
      </x:c>
      <x:c r="L26" s="18" t="str">
        <x:v>Yes</x:v>
      </x:c>
      <x:c r="M26" s="18" t="str">
        <x:v>Cumulative postoperative IV PCA morphine</x:v>
      </x:c>
      <x:c r="N26" s="18" t="str">
        <x:v>0-24 h</x:v>
      </x:c>
      <x:c r="O26" s="18" t="str">
        <x:v>Some concerns</x:v>
      </x:c>
      <x:c r="P26" s="18" t="str">
        <x:v>PARTIAL — selected RoB corrected; three randomized timing arms preserved</x:v>
      </x:c>
      <x:c r="Q26" s="18" t="str">
        <x:v>Use weight-normalized 24-h morphine as reported; never merge preop and postop EA timing arms</x:v>
      </x:c>
      <x:c r="R26" s="18" t="str">
        <x:v>SOURCE-NORMALIZED OUTCOME ROWS ADDED</x:v>
      </x:c>
      <x:c r="S26" s="18" t="str">
        <x:v>Source PDF / supplement / protocol / registration &gt; reconciled source extraction &gt; derivative model output</x:v>
      </x:c>
      <x:c r="T26" s="18" t="str">
        <x:v>https://drive.google.com/drive/folders/1EWdZyTQjPSuoxt8n1nIr1t8D98PC-mso</x:v>
      </x:c>
      <x:c r="U26" s="18" t="str">
        <x:v>https://docs.google.com/document/d/1hR0UuZSmPpwZi384Vzn3sZt5Y5_ZwYxW6b3u4nq2-40/edit</x:v>
      </x:c>
      <x:c r="V26" t="n">
        <x:f>COUNTIF(Outcome_Data!$A:$A,A26)</x:f>
        <x:v>4</x:v>
      </x:c>
    </x:row>
    <x:row r="27">
      <x:c r="A27" s="18" t="str">
        <x:v>Seevaunnamtum 2016</x:v>
      </x:c>
      <x:c r="B27" s="18" t="str">
        <x:v>Batch 20</x:v>
      </x:c>
      <x:c r="C27" s="18" t="str">
        <x:v>FULL REPLACEMENT</x:v>
      </x:c>
      <x:c r="D27" s="18" t="str">
        <x:v>Correct article identity but wrong acupoints and wrong primary 24-h control morphine mean/SD/P value.</x:v>
      </x:c>
      <x:c r="E27" s="18" t="str">
        <x:v>PraveenaSeevaunnamtum 2016 → Seevaunnamtum 2016</x:v>
      </x:c>
      <x:c r="F27" s="18" t="str">
        <x:v>PraveenaSeevaunnamtum 2016</x:v>
      </x:c>
      <x:c r="G27" s="18" t="str">
        <x:v>596</x:v>
      </x:c>
      <x:c r="H27" s="18" t="str">
        <x:v>1879896891</x:v>
      </x:c>
      <x:c r="I27" s="18" t="str">
        <x:v>**Cumulative 24h postoperative PCA morphine consumption (mg) (PRIMARY)**: EA Group (n=32) 21.38 ± 14.38 vs Control Group (n=32) 33.94 ± 20.24 (P = 0.006*) [M...</x:v>
      </x:c>
      <x:c r="J27" s="18" t="str">
        <x:v>Yes</x:v>
      </x:c>
      <x:c r="K27" s="18" t="str">
        <x:v>Yes</x:v>
      </x:c>
      <x:c r="L27" s="18" t="str">
        <x:v>Yes</x:v>
      </x:c>
      <x:c r="M27" s="18" t="str">
        <x:v>Cumulative IV PCA morphine</x:v>
      </x:c>
      <x:c r="N27" s="18" t="str">
        <x:v>0-24 h</x:v>
      </x:c>
      <x:c r="O27" s="18" t="str">
        <x:v>Some concerns</x:v>
      </x:c>
      <x:c r="P27" s="18" t="str">
        <x:v>PARTIALLY READY — corrected RoB available for one selected result; confirm outcome matches planned synthesis</x:v>
      </x:c>
      <x:c r="Q27" s="18" t="str">
        <x:v>Use source data; DO NOT use original stored RoB. Rebuild result-specific RoB.</x:v>
      </x:c>
      <x:c r="R27" s="18" t="str">
        <x:v>Candidate summary from Antigravity report; use only after source-level confirmation</x:v>
      </x:c>
      <x:c r="S27" s="18" t="str">
        <x:v>Source PDF / supplement / protocol / registration &gt; reconciled source extraction &gt; derivative model output</x:v>
      </x:c>
      <x:c r="T27" s="18" t="str">
        <x:v>https://drive.google.com/drive/folders/1EWdZyTQjPSuoxt8n1nIr1t8D98PC-mso</x:v>
      </x:c>
      <x:c r="U27" s="18" t="str">
        <x:v>https://docs.google.com/document/d/1hR0UuZSmPpwZi384Vzn3sZt5Y5_ZwYxW6b3u4nq2-40/edit</x:v>
      </x:c>
      <x:c r="V27" t="n">
        <x:f>COUNTIF(Outcome_Data!$A:$A,A27)</x:f>
        <x:v>1</x:v>
      </x:c>
    </x:row>
    <x:row r="28">
      <x:c r="A28" s="18" t="str">
        <x:v>Pan 2023</x:v>
      </x:c>
      <x:c r="B28" s="18" t="str">
        <x:v>Batch 10</x:v>
      </x:c>
      <x:c r="C28" s="18" t="str">
        <x:v>FULL REPLACEMENT</x:v>
      </x:c>
      <x:c r="D28" s="18" t="str">
        <x:v>Changes randomized n, sham structure, intervention and flatus distribution; ignores 15 post-randomization exclusions.</x:v>
      </x:c>
      <x:c r="E28" s="18" t="str"/>
      <x:c r="F28" s="18" t="str">
        <x:v>Pan 2023</x:v>
      </x:c>
      <x:c r="G28" s="18" t="str">
        <x:v>298</x:v>
      </x:c>
      <x:c r="H28" s="18" t="str">
        <x:v>1879896396</x:v>
      </x:c>
      <x:c r="I28" s="18" t="str">
        <x:v>**Pain intensity on movement 24h (PRIMARY)**: Group T (TEAS, n=52) median 2 (IQR 2, 3) [Wan mean 2.33 ± 0.74] vs Group C (Control, n=53) median 3 (IQR 3, 4) ...</x:v>
      </x:c>
      <x:c r="J28" s="18" t="str">
        <x:v>Yes</x:v>
      </x:c>
      <x:c r="K28" s="18" t="str">
        <x:v>Yes</x:v>
      </x:c>
      <x:c r="L28" s="18" t="str">
        <x:v>Yes</x:v>
      </x:c>
      <x:c r="M28" s="18" t="str">
        <x:v>Time to first postoperative flatus</x:v>
      </x:c>
      <x:c r="N28" s="18" t="str">
        <x:v>Time to event</x:v>
      </x:c>
      <x:c r="O28" s="18" t="str">
        <x:v>High</x:v>
      </x:c>
      <x:c r="P28" s="18" t="str">
        <x:v>PARTIALLY READY — corrected RoB available for one selected result; confirm outcome matches planned synthesis</x:v>
      </x:c>
      <x:c r="Q28" s="18" t="str">
        <x:v>Use source data; DO NOT use original stored RoB. Rebuild result-specific RoB.</x:v>
      </x:c>
      <x:c r="R28" s="18" t="str">
        <x:v>Candidate summary from Antigravity report; use only after source-level confirmation</x:v>
      </x:c>
      <x:c r="S28" s="18" t="str">
        <x:v>Source PDF / supplement / protocol / registration &gt; reconciled source extraction &gt; derivative model output</x:v>
      </x:c>
      <x:c r="T28" s="18" t="str">
        <x:v>https://drive.google.com/drive/folders/1EWdZyTQjPSuoxt8n1nIr1t8D98PC-mso</x:v>
      </x:c>
      <x:c r="U28" s="18" t="str">
        <x:v>https://docs.google.com/document/d/1hR0UuZSmPpwZi384Vzn3sZt5Y5_ZwYxW6b3u4nq2-40/edit</x:v>
      </x:c>
      <x:c r="V28" t="n">
        <x:f>COUNTIF(Outcome_Data!$A:$A,A28)</x:f>
        <x:v>1</x:v>
      </x:c>
    </x:row>
    <x:row r="29">
      <x:c r="A29" s="18" t="str">
        <x:v>Ntritsou 2014</x:v>
      </x:c>
      <x:c r="B29" s="18" t="str">
        <x:v>Batch 3</x:v>
      </x:c>
      <x:c r="C29" s="18" t="str">
        <x:v>SPECIAL / SOURCE-QC</x:v>
      </x:c>
      <x:c r="D29" s="18" t="str">
        <x:v>Distinguish total tramadol exposure from rescue analgesia; five clinically relevant post-randomization exclusions.</x:v>
      </x:c>
      <x:c r="E29" s="18" t="str"/>
      <x:c r="F29" s="18" t="str">
        <x:v>Ntritsou 2014</x:v>
      </x:c>
      <x:c r="G29" s="18" t="str">
        <x:v>729</x:v>
      </x:c>
      <x:c r="H29" s="18" t="str">
        <x:v>1879897120</x:v>
      </x:c>
      <x:c r="I29" s="18" t="str">
        <x:v>**Cumulative 24h postoperative tramadol consumption (mg) (PRIMARY)**: EA group (n=35) 443.7 ± 67.4 vs Sham group (n=35) 461.5 ± 63.2 (P = 0.257) [MD -17.80 m...</x:v>
      </x:c>
      <x:c r="J29" s="18" t="str">
        <x:v>Yes</x:v>
      </x:c>
      <x:c r="K29" s="18" t="str">
        <x:v>Yes</x:v>
      </x:c>
      <x:c r="L29" s="18" t="str">
        <x:v>Yes</x:v>
      </x:c>
      <x:c r="M29" s="18" t="str">
        <x:v>Total tramadol exposure</x:v>
      </x:c>
      <x:c r="N29" s="18" t="str">
        <x:v>First 24 h most consistent with protocol</x:v>
      </x:c>
      <x:c r="O29" s="18" t="str">
        <x:v>High</x:v>
      </x:c>
      <x:c r="P29" s="18" t="str">
        <x:v>PARTIAL — selected RoB corrected; tramadol/remifentanil/rescue rows added</x:v>
      </x:c>
      <x:c r="Q29" s="18" t="str">
        <x:v>Total tramadol is not rescue-only; complete 24-h MME remains unresolved because rescue morphine quantity is missing</x:v>
      </x:c>
      <x:c r="R29" s="18" t="str">
        <x:v>SOURCE-NORMALIZED OUTCOME ROWS ADDED</x:v>
      </x:c>
      <x:c r="S29" s="18" t="str">
        <x:v>Source PDF / supplement / protocol / registration &gt; reconciled source extraction &gt; derivative model output</x:v>
      </x:c>
      <x:c r="T29" s="18" t="str">
        <x:v>https://drive.google.com/drive/folders/1EWdZyTQjPSuoxt8n1nIr1t8D98PC-mso</x:v>
      </x:c>
      <x:c r="U29" s="18" t="str">
        <x:v>https://docs.google.com/document/d/1hR0UuZSmPpwZi384Vzn3sZt5Y5_ZwYxW6b3u4nq2-40/edit</x:v>
      </x:c>
      <x:c r="V29" t="n">
        <x:f>COUNTIF(Outcome_Data!$A:$A,A29)</x:f>
        <x:v>4</x:v>
      </x:c>
    </x:row>
    <x:row r="30">
      <x:c r="A30" s="18" t="str">
        <x:v>Ng 2013</x:v>
      </x:c>
      <x:c r="B30" s="18" t="str">
        <x:v>Batch 2</x:v>
      </x:c>
      <x:c r="C30" s="18" t="str">
        <x:v>SPECIAL / SOURCE-QC</x:v>
      </x:c>
      <x:c r="D30" s="18" t="str">
        <x:v>No defensible exact cumulative 0–24-h opioid endpoint in source; preserve as secondary/descriptive unless exact window found.</x:v>
      </x:c>
      <x:c r="E30" s="18" t="str">
        <x:v>Ng 2012 / 2013 → Ng 2013</x:v>
      </x:c>
      <x:c r="F30" s="18" t="str">
        <x:v>Ng 2012 / 2013</x:v>
      </x:c>
      <x:c r="G30" s="18" t="str">
        <x:v>775</x:v>
      </x:c>
      <x:c r="H30" s="18" t="str">
        <x:v>1879897195</x:v>
      </x:c>
      <x:c r="I30" s="18" t="str">
        <x:v>**Pain intensity Day 1 (~24h point assessment) (PRIMARY)**: EA group (n=55) 5.6 ± 2.0 vs Sham group (n=55) 5.8 ± 1.9 vs Usual care (n=55) 5.5 ± 2.3 (P = 0.65...</x:v>
      </x:c>
      <x:c r="J30" s="18" t="str">
        <x:v>Yes</x:v>
      </x:c>
      <x:c r="K30" s="18" t="str">
        <x:v>Yes</x:v>
      </x:c>
      <x:c r="L30" s="18" t="str">
        <x:v>Yes</x:v>
      </x:c>
      <x:c r="M30" s="18" t="str">
        <x:v>Time to first bowel motion</x:v>
      </x:c>
      <x:c r="N30" s="18" t="str">
        <x:v>Postoperative</x:v>
      </x:c>
      <x:c r="O30" s="18" t="str">
        <x:v>Some concerns</x:v>
      </x:c>
      <x:c r="P30" s="18" t="str">
        <x:v>PARTIAL — selected RoB corrected; GI/pain/pethidine rows added</x:v>
      </x:c>
      <x:c r="Q30" s="18" t="str">
        <x:v>Pethidine injection count is not a 24-h dose; dosing and observation window require author clarification</x:v>
      </x:c>
      <x:c r="R30" s="18" t="str">
        <x:v>SOURCE-NORMALIZED OUTCOME ROWS ADDED</x:v>
      </x:c>
      <x:c r="S30" s="18" t="str">
        <x:v>Source PDF / supplement / protocol / registration &gt; reconciled source extraction &gt; derivative model output</x:v>
      </x:c>
      <x:c r="T30" s="18" t="str">
        <x:v>https://drive.google.com/drive/folders/1EWdZyTQjPSuoxt8n1nIr1t8D98PC-mso</x:v>
      </x:c>
      <x:c r="U30" s="18" t="str">
        <x:v>https://docs.google.com/document/d/1hR0UuZSmPpwZi384Vzn3sZt5Y5_ZwYxW6b3u4nq2-40/edit</x:v>
      </x:c>
      <x:c r="V30" t="n">
        <x:f>COUNTIF(Outcome_Data!$A:$A,A30)</x:f>
        <x:v>6</x:v>
      </x:c>
    </x:row>
    <x:row r="31">
      <x:c r="A31" s="18" t="str">
        <x:v>Ma 2026</x:v>
      </x:c>
      <x:c r="B31" s="18" t="str">
        <x:v>Batch 17</x:v>
      </x:c>
      <x:c r="C31" s="18" t="str">
        <x:v>FULL REPLACEMENT</x:v>
      </x:c>
      <x:c r="D31" s="18" t="str">
        <x:v>Partially randomized design converted into a conventional sham RCT; fabricated pain outcomes.</x:v>
      </x:c>
      <x:c r="E31" s="18" t="str"/>
      <x:c r="F31" s="18" t="str">
        <x:v>Ma 2026</x:v>
      </x:c>
      <x:c r="G31" s="18" t="str">
        <x:v>2</x:v>
      </x:c>
      <x:c r="H31" s="18" t="str">
        <x:v>1879895855</x:v>
      </x:c>
      <x:c r="I31" s="18" t="str">
        <x:v>**Resting NRS pain 24h (PRIMARY)**: Group T (TEAS, n=17) 1.76 ± 0.67 vs Group S (Control, n=16) 2.64 ± 0.72 (P &lt; 0.05) [MD -0.88, 95% CI -1.36 to -0.40]. **R...</x:v>
      </x:c>
      <x:c r="J31" s="18" t="str">
        <x:v>Yes</x:v>
      </x:c>
      <x:c r="K31" s="18" t="str">
        <x:v>Yes</x:v>
      </x:c>
      <x:c r="L31" s="18" t="str">
        <x:v>Yes</x:v>
      </x:c>
      <x:c r="M31" s="18" t="str">
        <x:v>Resting NRS pain</x:v>
      </x:c>
      <x:c r="N31" s="18" t="str">
        <x:v>24 h</x:v>
      </x:c>
      <x:c r="O31" s="18" t="str">
        <x:v>High</x:v>
      </x:c>
      <x:c r="P31" s="18" t="str">
        <x:v>PARTIAL — selected RoB corrected; graph-only pain/sleep and 24-h PONV rows added</x:v>
      </x:c>
      <x:c r="Q31" s="18" t="str">
        <x:v>Use only randomized T vs S contrast; Group C is observational; exact pain/AIS values need digitization or author data</x:v>
      </x:c>
      <x:c r="R31" s="18" t="str">
        <x:v>SOURCE-NORMALIZED OUTCOME ROWS ADDED</x:v>
      </x:c>
      <x:c r="S31" s="18" t="str">
        <x:v>Source PDF / supplement / protocol / registration &gt; reconciled source extraction &gt; derivative model output</x:v>
      </x:c>
      <x:c r="T31" s="18" t="str">
        <x:v>https://drive.google.com/drive/folders/1EWdZyTQjPSuoxt8n1nIr1t8D98PC-mso</x:v>
      </x:c>
      <x:c r="U31" s="18" t="str">
        <x:v>https://docs.google.com/document/d/1hR0UuZSmPpwZi384Vzn3sZt5Y5_ZwYxW6b3u4nq2-40/edit</x:v>
      </x:c>
      <x:c r="V31" t="n">
        <x:f>COUNTIF(Outcome_Data!$A:$A,A31)</x:f>
        <x:v>5</x:v>
      </x:c>
    </x:row>
    <x:row r="32">
      <x:c r="A32" s="18" t="str">
        <x:v>Lu 2021</x:v>
      </x:c>
      <x:c r="B32" s="18" t="str">
        <x:v>Batch 8</x:v>
      </x:c>
      <x:c r="C32" s="18" t="str">
        <x:v>FULL REPLACEMENT</x:v>
      </x:c>
      <x:c r="D32" s="18" t="str">
        <x:v>Changes 576-patient three-arm chronic-pain trial into fabricated 24-h pain result.</x:v>
      </x:c>
      <x:c r="E32" s="18" t="str"/>
      <x:c r="F32" s="18" t="str">
        <x:v>Lu 2021</x:v>
      </x:c>
      <x:c r="G32" s="18" t="str">
        <x:v>414</x:v>
      </x:c>
      <x:c r="H32" s="18" t="str">
        <x:v>1879896580</x:v>
      </x:c>
      <x:c r="I32" s="18" t="str">
        <x:v>**Resting NRS pain 24h (PRIMARY)**: Combined TEAS (n=190) median 1.0 (IQR 0, 1.0) [Wan mean 1.0 ± 0.7] vs Single TEAS (n=198) median 0.9 (IQR 0, 1.3) [Wan me...</x:v>
      </x:c>
      <x:c r="J32" s="18" t="str">
        <x:v>Yes</x:v>
      </x:c>
      <x:c r="K32" s="18" t="str">
        <x:v>Yes</x:v>
      </x:c>
      <x:c r="L32" s="18" t="str">
        <x:v>Yes</x:v>
      </x:c>
      <x:c r="M32" s="18" t="str">
        <x:v>Post-mastectomy chronic pain incidence</x:v>
      </x:c>
      <x:c r="N32" s="18" t="str">
        <x:v>6 months</x:v>
      </x:c>
      <x:c r="O32" s="18" t="str">
        <x:v>High</x:v>
      </x:c>
      <x:c r="P32" s="18" t="str">
        <x:v>PARTIAL — selected RoB corrected; chronic-pain/remifentanil/PONV rows added</x:v>
      </x:c>
      <x:c r="Q32" s="18" t="str">
        <x:v>Use raw chronic-pain counts because printed RR/P-values conflict; exact 24-h sufentanil consumption remains missing</x:v>
      </x:c>
      <x:c r="R32" s="18" t="str">
        <x:v>SOURCE-NORMALIZED OUTCOME ROWS ADDED</x:v>
      </x:c>
      <x:c r="S32" s="18" t="str">
        <x:v>Source PDF / supplement / protocol / registration &gt; reconciled source extraction &gt; derivative model output</x:v>
      </x:c>
      <x:c r="T32" s="18" t="str">
        <x:v>https://drive.google.com/drive/folders/1EWdZyTQjPSuoxt8n1nIr1t8D98PC-mso</x:v>
      </x:c>
      <x:c r="U32" s="18" t="str">
        <x:v>https://docs.google.com/document/d/1hR0UuZSmPpwZi384Vzn3sZt5Y5_ZwYxW6b3u4nq2-40/edit</x:v>
      </x:c>
      <x:c r="V32" t="n">
        <x:f>COUNTIF(Outcome_Data!$A:$A,A32)</x:f>
        <x:v>7</x:v>
      </x:c>
    </x:row>
    <x:row r="33">
      <x:c r="A33" s="18" t="str">
        <x:v>Lu 2022</x:v>
      </x:c>
      <x:c r="B33" s="18" t="str">
        <x:v>Batch 10</x:v>
      </x:c>
      <x:c r="C33" s="18" t="str">
        <x:v>FULL REPLACEMENT</x:v>
      </x:c>
      <x:c r="D33" s="18" t="str">
        <x:v>Changes 100/94 sample to 240 complete, intervention schedule and flatus result.</x:v>
      </x:c>
      <x:c r="E33" s="18" t="str"/>
      <x:c r="F33" s="18" t="str">
        <x:v>Lu 2022</x:v>
      </x:c>
      <x:c r="G33" s="18" t="str">
        <x:v>317</x:v>
      </x:c>
      <x:c r="H33" s="18" t="str">
        <x:v>1879896426</x:v>
      </x:c>
      <x:c r="I33" s="18" t="str">
        <x:v>**Resting VAS pain 24h (PRIMARY)**: TEAS group (n=47) median 2.2 (0.0, 10.0) [estimated mean 2.2 ± 2.5] vs Control group (n=47) median 1.2 (0.0, 8.1) [estima...</x:v>
      </x:c>
      <x:c r="J33" s="18" t="str">
        <x:v>Yes</x:v>
      </x:c>
      <x:c r="K33" s="18" t="str">
        <x:v>Yes</x:v>
      </x:c>
      <x:c r="L33" s="18" t="str">
        <x:v>Yes</x:v>
      </x:c>
      <x:c r="M33" s="18" t="str">
        <x:v>Time to meet discharge criteria</x:v>
      </x:c>
      <x:c r="N33" s="18" t="str">
        <x:v>Postoperative</x:v>
      </x:c>
      <x:c r="O33" s="18" t="str">
        <x:v>High</x:v>
      </x:c>
      <x:c r="P33" s="18" t="str">
        <x:v>PARTIAL — selected RoB corrected; discharge/GI/PCA-demand rows added</x:v>
      </x:c>
      <x:c r="Q33" s="18" t="str">
        <x:v>PCA attempts/deliveries are opioid-use proxies only; do not convert to dose without PCA drug/prescription</x:v>
      </x:c>
      <x:c r="R33" s="18" t="str">
        <x:v>SOURCE-NORMALIZED OUTCOME ROWS ADDED</x:v>
      </x:c>
      <x:c r="S33" s="18" t="str">
        <x:v>Source PDF / supplement / protocol / registration &gt; reconciled source extraction &gt; derivative model output</x:v>
      </x:c>
      <x:c r="T33" s="18" t="str">
        <x:v>https://drive.google.com/drive/folders/1EWdZyTQjPSuoxt8n1nIr1t8D98PC-mso</x:v>
      </x:c>
      <x:c r="U33" s="18" t="str">
        <x:v>https://docs.google.com/document/d/1hR0UuZSmPpwZi384Vzn3sZt5Y5_ZwYxW6b3u4nq2-40/edit</x:v>
      </x:c>
      <x:c r="V33" t="n">
        <x:f>COUNTIF(Outcome_Data!$A:$A,A33)</x:f>
        <x:v>6</x:v>
      </x:c>
    </x:row>
    <x:row r="34">
      <x:c r="A34" s="18" t="str">
        <x:v>Luo 2026</x:v>
      </x:c>
      <x:c r="B34" s="18" t="str">
        <x:v>Batch 18</x:v>
      </x:c>
      <x:c r="C34" s="18" t="str">
        <x:v>RE-ADJUDICATE</x:v>
      </x:c>
      <x:c r="D34" s="18" t="str">
        <x:v>Study/result scaffolding source-matched; incomplete sensory masking and exact outcome definition require fresh signaling logic.</x:v>
      </x:c>
      <x:c r="E34" s="18" t="str"/>
      <x:c r="F34" s="18" t="str">
        <x:v>Luo 2026</x:v>
      </x:c>
      <x:c r="G34" s="18" t="str">
        <x:v>35</x:v>
      </x:c>
      <x:c r="H34" s="18" t="str">
        <x:v>1879895932</x:v>
      </x:c>
      <x:c r="I34" s="18" t="str">
        <x:v>**Postoperative pain NRS 24h (PRIMARY)**: TEAS group (n=138) 1.30 ± 0.92 vs Sham TEAS group (n=139) 1.65 ± 0.95 (P &lt; 0.01) [MD -0.35, 95% CI -0.57 to -0.13]....</x:v>
      </x:c>
      <x:c r="J34" s="18" t="str">
        <x:v>Yes</x:v>
      </x:c>
      <x:c r="K34" s="18" t="str">
        <x:v>Yes</x:v>
      </x:c>
      <x:c r="L34" s="18" t="str">
        <x:v>Yes</x:v>
      </x:c>
      <x:c r="M34" s="18" t="str">
        <x:v>Cumulative postoperative nausea</x:v>
      </x:c>
      <x:c r="N34" s="18" t="str">
        <x:v>0-48 h</x:v>
      </x:c>
      <x:c r="O34" s="18" t="str">
        <x:v>Some concerns</x:v>
      </x:c>
      <x:c r="P34" s="18" t="str">
        <x:v>PARTIAL — source-matched RoB re-adjudicated; nausea/vomiting/pain/opioid-QC rows added</x:v>
      </x:c>
      <x:c r="Q34" s="18" t="str">
        <x:v>Use separate nausea/vomiting results; exact 24-h oxycodone/MME remains unavailable and published opioid-equivalent unit is unresolved</x:v>
      </x:c>
      <x:c r="R34" s="18" t="str">
        <x:v>SOURCE-NORMALIZED OUTCOME ROWS ADDED</x:v>
      </x:c>
      <x:c r="S34" s="18" t="str">
        <x:v>Source PDF / supplement / protocol / registration &gt; reconciled source extraction &gt; derivative model output</x:v>
      </x:c>
      <x:c r="T34" s="18" t="str">
        <x:v>https://drive.google.com/drive/folders/1EWdZyTQjPSuoxt8n1nIr1t8D98PC-mso</x:v>
      </x:c>
      <x:c r="U34" s="18" t="str">
        <x:v>https://docs.google.com/document/d/1hR0UuZSmPpwZi384Vzn3sZt5Y5_ZwYxW6b3u4nq2-40/edit</x:v>
      </x:c>
      <x:c r="V34" t="n">
        <x:f>COUNTIF(Outcome_Data!$A:$A,A34)</x:f>
        <x:v>6</x:v>
      </x:c>
    </x:row>
    <x:row r="35">
      <x:c r="A35" s="18" t="str">
        <x:v>Long 2025</x:v>
      </x:c>
      <x:c r="B35" s="18" t="str">
        <x:v>Batch 16</x:v>
      </x:c>
      <x:c r="C35" s="18" t="str">
        <x:v>FULL REPLACEMENT</x:v>
      </x:c>
      <x:c r="D35" s="18" t="str">
        <x:v>Invents 160/160, sham/masking and PND result; source has 60 randomized/53 analyzed and denominator inconsistencies.</x:v>
      </x:c>
      <x:c r="E35" s="18" t="str"/>
      <x:c r="F35" s="18" t="str">
        <x:v>Long 2025</x:v>
      </x:c>
      <x:c r="G35" s="18" t="str">
        <x:v>106</x:v>
      </x:c>
      <x:c r="H35" s="18" t="str">
        <x:v>1879896090</x:v>
      </x:c>
      <x:c r="I35" s="18" t="str">
        <x:v>**Resting VAS pain 24h (PRIMARY)**: Group A (EA, n=27) 2.78 ± 0.97 vs Group C (Sham, n=26) 3.96 ± 0.96 (P &lt; 0.001) [MD -1.18, 95% CI -1.70 to -0.66]. **Resti...</x:v>
      </x:c>
      <x:c r="J35" s="18" t="str">
        <x:v>Yes</x:v>
      </x:c>
      <x:c r="K35" s="18" t="str">
        <x:v>Yes</x:v>
      </x:c>
      <x:c r="L35" s="18" t="str">
        <x:v>Yes</x:v>
      </x:c>
      <x:c r="M35" s="18" t="str">
        <x:v>Perioperative neurocognitive disorder (PND)</x:v>
      </x:c>
      <x:c r="N35" s="18" t="str">
        <x:v>POD3</x:v>
      </x:c>
      <x:c r="O35" s="18" t="str">
        <x:v>High</x:v>
      </x:c>
      <x:c r="P35" s="18" t="str">
        <x:v>PARTIAL — selected RoB corrected; PND/pain/PCIA/PONV rows added</x:v>
      </x:c>
      <x:c r="Q35" s="18" t="str">
        <x:v>Do not derive PND denominators from inconsistent percentages; 24-h opioid dose remains unavailable</x:v>
      </x:c>
      <x:c r="R35" s="18" t="str">
        <x:v>SOURCE-NORMALIZED OUTCOME ROWS ADDED</x:v>
      </x:c>
      <x:c r="S35" s="18" t="str">
        <x:v>Source PDF / supplement / protocol / registration &gt; reconciled source extraction &gt; derivative model output</x:v>
      </x:c>
      <x:c r="T35" s="18" t="str">
        <x:v>https://drive.google.com/drive/folders/1EWdZyTQjPSuoxt8n1nIr1t8D98PC-mso</x:v>
      </x:c>
      <x:c r="U35" s="18" t="str">
        <x:v>https://docs.google.com/document/d/1hR0UuZSmPpwZi384Vzn3sZt5Y5_ZwYxW6b3u4nq2-40/edit</x:v>
      </x:c>
      <x:c r="V35" t="n">
        <x:f>COUNTIF(Outcome_Data!$A:$A,A35)</x:f>
        <x:v>7</x:v>
      </x:c>
    </x:row>
    <x:row r="36">
      <x:c r="A36" s="18" t="str">
        <x:v>Li 2021</x:v>
      </x:c>
      <x:c r="B36" s="18" t="str">
        <x:v>Batch 7</x:v>
      </x:c>
      <x:c r="C36" s="18" t="str">
        <x:v>FULL REPLACEMENT</x:v>
      </x:c>
      <x:c r="D36" s="18" t="str">
        <x:v>Changes 306 randomized/280 PP trial to 120/120 and fabricates mean/SD flatus result.</x:v>
      </x:c>
      <x:c r="E36" s="18" t="str"/>
      <x:c r="F36" s="18" t="str">
        <x:v>Li 2021</x:v>
      </x:c>
      <x:c r="G36" s="18" t="str">
        <x:v>437</x:v>
      </x:c>
      <x:c r="H36" s="18" t="str">
        <x:v>1879896618</x:v>
      </x:c>
      <x:c r="I36" s="18" t="str">
        <x:v>**Length of hospital stay (days)**: TEAS group (n=140) 6.2 ± 3.3 vs Sham TEAS group (n=140) 8.1 ± 3.6 (P &lt; 0.01) [MD -1.90, 95% CI -2.71 to -1.09]. **Postope...</x:v>
      </x:c>
      <x:c r="J36" s="18" t="str">
        <x:v>Yes</x:v>
      </x:c>
      <x:c r="K36" s="18" t="str">
        <x:v>Yes</x:v>
      </x:c>
      <x:c r="L36" s="18" t="str">
        <x:v>Yes</x:v>
      </x:c>
      <x:c r="M36" s="18" t="str">
        <x:v>Time to first bowel motion by auscultation</x:v>
      </x:c>
      <x:c r="N36" s="18" t="str">
        <x:v>Postoperative</x:v>
      </x:c>
      <x:c r="O36" s="18" t="str">
        <x:v>High</x:v>
      </x:c>
      <x:c r="P36" s="18" t="str">
        <x:v>PARTIAL — selected RoB corrected; GI/pain/opioid-QC rows added</x:v>
      </x:c>
      <x:c r="Q36" s="18" t="str">
        <x:v>Use per-protocol denominators transparently; exact postoperative sufentanil dose cannot be reconstructed from implausible printed pump unit</x:v>
      </x:c>
      <x:c r="R36" s="18" t="str">
        <x:v>SOURCE-NORMALIZED OUTCOME ROWS ADDED</x:v>
      </x:c>
      <x:c r="S36" s="18" t="str">
        <x:v>Source PDF / supplement / protocol / registration &gt; reconciled source extraction &gt; derivative model output</x:v>
      </x:c>
      <x:c r="T36" s="18" t="str">
        <x:v>https://drive.google.com/drive/folders/1EWdZyTQjPSuoxt8n1nIr1t8D98PC-mso</x:v>
      </x:c>
      <x:c r="U36" s="18" t="str">
        <x:v>https://docs.google.com/document/d/1hR0UuZSmPpwZi384Vzn3sZt5Y5_ZwYxW6b3u4nq2-40/edit</x:v>
      </x:c>
      <x:c r="V36" t="n">
        <x:f>COUNTIF(Outcome_Data!$A:$A,A36)</x:f>
        <x:v>5</x:v>
      </x:c>
    </x:row>
    <x:row r="37">
      <x:c r="A37" s="18" t="str">
        <x:v>Liu 2026 (ESD)</x:v>
      </x:c>
      <x:c r="B37" s="18" t="str">
        <x:v>Batch 18</x:v>
      </x:c>
      <x:c r="C37" s="18" t="str">
        <x:v>FULL REPLACEMENT</x:v>
      </x:c>
      <x:c r="D37" s="18" t="str">
        <x:v>False 129/129 complete analysis and fabricated primary event counts/propofol values.</x:v>
      </x:c>
      <x:c r="E37" s="18" t="str">
        <x:v>Liu 2025 → Liu 2026 (ESD)</x:v>
      </x:c>
      <x:c r="F37" s="18" t="str">
        <x:v>Liu 2025</x:v>
      </x:c>
      <x:c r="G37" s="18" t="str">
        <x:v>69</x:v>
      </x:c>
      <x:c r="H37" s="18" t="str">
        <x:v>1879896009</x:v>
      </x:c>
      <x:c r="I37" s="18" t="str">
        <x:v>**Resting pain NRS 24h (PRIMARY)**: TEAS group (n=58) 1.2 ± 1.3 vs Sham TEAS group (n=62) 2.8 ± 1.9 (P &lt; 0.01) [MD -1.60, 95% CI -2.18 to -1.02]. **Resting p...</x:v>
      </x:c>
      <x:c r="J37" s="18" t="str">
        <x:v>Yes</x:v>
      </x:c>
      <x:c r="K37" s="18" t="str">
        <x:v>Yes</x:v>
      </x:c>
      <x:c r="L37" s="18" t="str">
        <x:v>Yes</x:v>
      </x:c>
      <x:c r="M37" s="18" t="str">
        <x:v>Moderate-to-severe pain (NRS ≥4)</x:v>
      </x:c>
      <x:c r="N37" s="18" t="str">
        <x:v>Within 24 h</x:v>
      </x:c>
      <x:c r="O37" s="18" t="str">
        <x:v>High</x:v>
      </x:c>
      <x:c r="P37" s="18" t="str">
        <x:v>PARTIAL — selected RoB corrected; pain/morphine/PONV rows added</x:v>
      </x:c>
      <x:c r="Q37" s="18" t="str">
        <x:v>Binary rescue morphine is usable; cumulative 24-h morphine/MME is unavailable</x:v>
      </x:c>
      <x:c r="R37" s="18" t="str">
        <x:v>SOURCE-NORMALIZED OUTCOME ROWS ADDED</x:v>
      </x:c>
      <x:c r="S37" s="18" t="str">
        <x:v>Source PDF / supplement / protocol / registration &gt; reconciled source extraction &gt; derivative model output</x:v>
      </x:c>
      <x:c r="T37" s="18" t="str">
        <x:v>https://drive.google.com/drive/folders/1EWdZyTQjPSuoxt8n1nIr1t8D98PC-mso</x:v>
      </x:c>
      <x:c r="U37" s="18" t="str">
        <x:v>https://docs.google.com/document/d/1hR0UuZSmPpwZi384Vzn3sZt5Y5_ZwYxW6b3u4nq2-40/edit</x:v>
      </x:c>
      <x:c r="V37" t="n">
        <x:f>COUNTIF(Outcome_Data!$A:$A,A37)</x:f>
        <x:v>5</x:v>
      </x:c>
    </x:row>
    <x:row r="38">
      <x:c r="A38" s="18" t="str">
        <x:v>Liu 2021</x:v>
      </x:c>
      <x:c r="B38" s="18" t="str">
        <x:v>Batch 8</x:v>
      </x:c>
      <x:c r="C38" s="18" t="str">
        <x:v>FULL REPLACEMENT</x:v>
      </x:c>
      <x:c r="D38" s="18" t="str">
        <x:v>Changes sample, acupoints, schedule, POCD definition/timepoint and numerical result.</x:v>
      </x:c>
      <x:c r="E38" s="18" t="str"/>
      <x:c r="F38" s="18" t="str">
        <x:v>Liu 2021</x:v>
      </x:c>
      <x:c r="G38" s="18" t="str">
        <x:v>424</x:v>
      </x:c>
      <x:c r="H38" s="18" t="str">
        <x:v>1879896597</x:v>
      </x:c>
      <x:c r="I38" s="18" t="str">
        <x:v>**Resting VAS pain 24h (PRIMARY)**: TEAS group (n=50) 2.52 ± 0.505 vs Control group (n=50) 2.66 ± 0.626 (P = 0.221) [MD -0.14, 95% CI -0.36 to 0.08]. **Movem...</x:v>
      </x:c>
      <x:c r="J38" s="18" t="str">
        <x:v>Yes</x:v>
      </x:c>
      <x:c r="K38" s="18" t="str">
        <x:v>Yes</x:v>
      </x:c>
      <x:c r="L38" s="18" t="str">
        <x:v>Yes</x:v>
      </x:c>
      <x:c r="M38" s="18" t="str">
        <x:v>Postoperative cognitive decline (MMSE Z-score ≤ -2)</x:v>
      </x:c>
      <x:c r="N38" s="18" t="str">
        <x:v>POD1</x:v>
      </x:c>
      <x:c r="O38" s="18" t="str">
        <x:v>Some concerns</x:v>
      </x:c>
      <x:c r="P38" s="18" t="str">
        <x:v>PARTIAL — selected RoB corrected; POCD/pain/PCA-demand rows added</x:v>
      </x:c>
      <x:c r="Q38" s="18" t="str">
        <x:v>Do not reconstruct 24-h sufentanil dose from press counts or ambiguous pump formulation</x:v>
      </x:c>
      <x:c r="R38" s="18" t="str">
        <x:v>SOURCE-NORMALIZED OUTCOME ROWS ADDED</x:v>
      </x:c>
      <x:c r="S38" s="18" t="str">
        <x:v>Source PDF / supplement / protocol / registration &gt; reconciled source extraction &gt; derivative model output</x:v>
      </x:c>
      <x:c r="T38" s="18" t="str">
        <x:v>https://drive.google.com/drive/folders/1EWdZyTQjPSuoxt8n1nIr1t8D98PC-mso</x:v>
      </x:c>
      <x:c r="U38" s="18" t="str">
        <x:v>https://docs.google.com/document/d/1hR0UuZSmPpwZi384Vzn3sZt5Y5_ZwYxW6b3u4nq2-40/edit</x:v>
      </x:c>
      <x:c r="V38" t="n">
        <x:f>COUNTIF(Outcome_Data!$A:$A,A38)</x:f>
        <x:v>5</x:v>
      </x:c>
    </x:row>
    <x:row r="39">
      <x:c r="A39" s="18" t="str">
        <x:v>Liu 2026 (burn)</x:v>
      </x:c>
      <x:c r="B39" s="18" t="str">
        <x:v>Batch 18</x:v>
      </x:c>
      <x:c r="C39" s="18" t="str">
        <x:v>FULL REPLACEMENT</x:v>
      </x:c>
      <x:c r="D39" s="18" t="str">
        <x:v>Misnamed Zhou 2026 RoB; entirely different invented colorectal/flatus trial.</x:v>
      </x:c>
      <x:c r="E39" s="18" t="str">
        <x:v>Liu 2026 → Liu 2026 (burn)</x:v>
      </x:c>
      <x:c r="F39" s="18" t="str">
        <x:v>Liu 2026</x:v>
      </x:c>
      <x:c r="G39" s="18" t="str">
        <x:v>48</x:v>
      </x:c>
      <x:c r="H39" s="18" t="str">
        <x:v>1879895960</x:v>
      </x:c>
      <x:c r="I39" s="18" t="str">
        <x:v>**Composite PONV 0-24h (PRIMARY)**: TEAS group (n=43) 7/43 (16.3%) vs Sham TEAS group (n=43) 16/43 (37.2%) (P = 0.028) [RR 0.44, 95% CI 0.20 to 0.96]. **Part...</x:v>
      </x:c>
      <x:c r="J39" s="18" t="str">
        <x:v>Yes</x:v>
      </x:c>
      <x:c r="K39" s="18" t="str">
        <x:v>Yes</x:v>
      </x:c>
      <x:c r="L39" s="18" t="str">
        <x:v>Yes</x:v>
      </x:c>
      <x:c r="M39" s="18" t="str">
        <x:v>Intraoperative remifentanil consumption</x:v>
      </x:c>
      <x:c r="N39" s="18" t="str">
        <x:v>Intraoperative</x:v>
      </x:c>
      <x:c r="O39" s="18" t="str">
        <x:v>Some concerns</x:v>
      </x:c>
      <x:c r="P39" s="18" t="str">
        <x:v>PARTIAL — selected RoB corrected; remifentanil/PONV/rescue/pain-QC rows added</x:v>
      </x:c>
      <x:c r="Q39" s="18" t="str">
        <x:v>Use Results/Figure 4 remifentanil medians; continuous 24-h postoperative MME remains non-calculable</x:v>
      </x:c>
      <x:c r="R39" s="18" t="str">
        <x:v>SOURCE-NORMALIZED OUTCOME ROWS ADDED</x:v>
      </x:c>
      <x:c r="S39" s="18" t="str">
        <x:v>Source PDF / supplement / protocol / registration &gt; reconciled source extraction &gt; derivative model output</x:v>
      </x:c>
      <x:c r="T39" s="18" t="str">
        <x:v>https://drive.google.com/drive/folders/1EWdZyTQjPSuoxt8n1nIr1t8D98PC-mso</x:v>
      </x:c>
      <x:c r="U39" s="18" t="str">
        <x:v>https://docs.google.com/document/d/1hR0UuZSmPpwZi384Vzn3sZt5Y5_ZwYxW6b3u4nq2-40/edit</x:v>
      </x:c>
      <x:c r="V39" t="n">
        <x:f>COUNTIF(Outcome_Data!$A:$A,A39)</x:f>
        <x:v>5</x:v>
      </x:c>
    </x:row>
    <x:row r="40">
      <x:c r="A40" s="18" t="str">
        <x:v>Liu 2025</x:v>
      </x:c>
      <x:c r="B40" s="18" t="str">
        <x:v>Batch 16</x:v>
      </x:c>
      <x:c r="C40" s="18" t="str">
        <x:v>FULL REPLACEMENT</x:v>
      </x:c>
      <x:c r="D40" s="18" t="str">
        <x:v>Changes sample, acupoints/schedule, sleep instrument and arrhythmia/sleep results.</x:v>
      </x:c>
      <x:c r="E40" s="18" t="str"/>
      <x:c r="F40" s="18" t="str">
        <x:v>Liu 2025</x:v>
      </x:c>
      <x:c r="G40" s="18" t="str">
        <x:v>75</x:v>
      </x:c>
      <x:c r="H40" s="18" t="str">
        <x:v>1879896021</x:v>
      </x:c>
      <x:c r="I40" s="18" t="str">
        <x:v>**Pain VAS 24h (PRIMARY)**: Depicted graphically in Figure 2 (~2.0/10 in both groups, requires author contact for numeric mean ± SD). **Intraop remifentanil ...</x:v>
      </x:c>
      <x:c r="J40" s="18" t="str">
        <x:v>Yes</x:v>
      </x:c>
      <x:c r="K40" s="18" t="str">
        <x:v>Yes</x:v>
      </x:c>
      <x:c r="L40" s="18" t="str">
        <x:v>Yes</x:v>
      </x:c>
      <x:c r="M40" s="18" t="str">
        <x:v>New-onset supraventricular tachycardia (SVT)</x:v>
      </x:c>
      <x:c r="N40" s="18" t="str">
        <x:v>First 24 h</x:v>
      </x:c>
      <x:c r="O40" s="18" t="str">
        <x:v>Some concerns</x:v>
      </x:c>
      <x:c r="P40" s="18" t="str">
        <x:v>PARTIAL — selected RoB corrected; SVT/sleep/pain-QC rows added</x:v>
      </x:c>
      <x:c r="Q40" s="18" t="str">
        <x:v>Use objective SVT and sleep-recorder data; 24-h pain remains graph-only and exact 24-h opioid consumption is unavailable</x:v>
      </x:c>
      <x:c r="R40" s="18" t="str">
        <x:v>SOURCE-NORMALIZED OUTCOME ROWS ADDED</x:v>
      </x:c>
      <x:c r="S40" s="18" t="str">
        <x:v>Source PDF / supplement / protocol / registration &gt; reconciled source extraction &gt; derivative model output</x:v>
      </x:c>
      <x:c r="T40" s="18" t="str">
        <x:v>https://drive.google.com/drive/folders/1EWdZyTQjPSuoxt8n1nIr1t8D98PC-mso</x:v>
      </x:c>
      <x:c r="U40" s="18" t="str">
        <x:v>https://docs.google.com/document/d/1hR0UuZSmPpwZi384Vzn3sZt5Y5_ZwYxW6b3u4nq2-40/edit</x:v>
      </x:c>
      <x:c r="V40" t="n">
        <x:f>COUNTIF(Outcome_Data!$A:$A,A40)</x:f>
        <x:v>4</x:v>
      </x:c>
    </x:row>
    <x:row r="41">
      <x:c r="A41" s="18" t="str">
        <x:v>Li 2022</x:v>
      </x:c>
      <x:c r="B41" s="18" t="str">
        <x:v>Batch 19</x:v>
      </x:c>
      <x:c r="C41" s="18" t="str">
        <x:v>FULL REPLACEMENT</x:v>
      </x:c>
      <x:c r="D41" s="18" t="str">
        <x:v>Changes EA protocol/dropout arm and fabricates significant 24-h mechanical-threshold and sufentanil results.</x:v>
      </x:c>
      <x:c r="E41" s="18" t="str"/>
      <x:c r="F41" s="18" t="str">
        <x:v>Li 2022</x:v>
      </x:c>
      <x:c r="G41" s="18" t="str">
        <x:v>359</x:v>
      </x:c>
      <x:c r="H41" s="18" t="str">
        <x:v>1879896493</x:v>
      </x:c>
      <x:c r="I41" s="18" t="str">
        <x:v>**Pain NRS 24h (PRIMARY)**: EA group (n=39) median 1.5 (1.0-3.0) vs Sham EA group (n=40) median 1.6 (1.0-3.0) (P = 0.223) (requires author contact for parame...</x:v>
      </x:c>
      <x:c r="J41" s="18" t="str">
        <x:v>Yes</x:v>
      </x:c>
      <x:c r="K41" s="18" t="str">
        <x:v>Yes</x:v>
      </x:c>
      <x:c r="L41" s="18" t="str">
        <x:v>Yes</x:v>
      </x:c>
      <x:c r="M41" s="18" t="str">
        <x:v>Postoperative NRS pain</x:v>
      </x:c>
      <x:c r="N41" s="18" t="str">
        <x:v>24 h</x:v>
      </x:c>
      <x:c r="O41" s="18" t="str">
        <x:v>Some concerns</x:v>
      </x:c>
      <x:c r="P41" s="18" t="str">
        <x:v>PARTIAL — selected RoB corrected; 24-h pain and mechanical-threshold QC rows added</x:v>
      </x:c>
      <x:c r="Q41" s="18" t="str">
        <x:v>Do not reuse fabricated significant 24-h mechanical-threshold or sufentanil results</x:v>
      </x:c>
      <x:c r="R41" s="18" t="str">
        <x:v>SOURCE-NORMALIZED OUTCOME ROWS ADDED</x:v>
      </x:c>
      <x:c r="S41" s="18" t="str">
        <x:v>Source PDF / supplement / protocol / registration &gt; reconciled source extraction &gt; derivative model output</x:v>
      </x:c>
      <x:c r="T41" s="18" t="str">
        <x:v>https://drive.google.com/drive/folders/1EWdZyTQjPSuoxt8n1nIr1t8D98PC-mso</x:v>
      </x:c>
      <x:c r="U41" s="18" t="str">
        <x:v>https://docs.google.com/document/d/1hR0UuZSmPpwZi384Vzn3sZt5Y5_ZwYxW6b3u4nq2-40/edit</x:v>
      </x:c>
      <x:c r="V41" t="n">
        <x:f>COUNTIF(Outcome_Data!$A:$A,A41)</x:f>
        <x:v>3</x:v>
      </x:c>
    </x:row>
    <x:row r="42">
      <x:c r="A42" s="18" t="str">
        <x:v>Lin 2002</x:v>
      </x:c>
      <x:c r="B42" s="18" t="str">
        <x:v>Batch 20</x:v>
      </x:c>
      <x:c r="C42" s="18" t="str">
        <x:v>FULL REPLACEMENT</x:v>
      </x:c>
      <x:c r="D42" s="18" t="str">
        <x:v>Changes ST36-only preop EA to ST36+SP6/intraoperative; wrong PCA settings and fabricated 24-h morphine means.</x:v>
      </x:c>
      <x:c r="E42" s="18" t="str"/>
      <x:c r="F42" s="18" t="str">
        <x:v>Lin 2002</x:v>
      </x:c>
      <x:c r="G42" s="18" t="str">
        <x:v>951</x:v>
      </x:c>
      <x:c r="H42" s="18" t="str">
        <x:v>1879897477</x:v>
      </x:c>
      <x:c r="I42" s="18" t="str">
        <x:v>**Cumulative 24h PCA morphine (mg) (PRIMARY)**: High-EA 100 Hz (Group IV, n=25) 15.0 ± 10.7 mg vs Sham-EA (Group II, n=25) 30.2 ± 14.4 mg vs Control (Group I...</x:v>
      </x:c>
      <x:c r="J42" s="18" t="str">
        <x:v>Yes</x:v>
      </x:c>
      <x:c r="K42" s="18" t="str">
        <x:v>Yes</x:v>
      </x:c>
      <x:c r="L42" s="18" t="str">
        <x:v>Yes</x:v>
      </x:c>
      <x:c r="M42" s="18" t="str">
        <x:v>Cumulative IV PCA morphine delivered</x:v>
      </x:c>
      <x:c r="N42" s="18" t="str">
        <x:v>24-h test period</x:v>
      </x:c>
      <x:c r="O42" s="18" t="str">
        <x:v>Some concerns</x:v>
      </x:c>
      <x:c r="P42" s="18" t="str">
        <x:v>PARTIALLY READY — corrected RoB available for one selected result; confirm outcome matches planned synthesis</x:v>
      </x:c>
      <x:c r="Q42" s="18" t="str">
        <x:v>Use source data; DO NOT use original stored RoB. Rebuild result-specific RoB.</x:v>
      </x:c>
      <x:c r="R42" s="18" t="str">
        <x:v>Candidate summary from Antigravity report; use only after source-level confirmation</x:v>
      </x:c>
      <x:c r="S42" s="18" t="str">
        <x:v>Source PDF / supplement / protocol / registration &gt; reconciled source extraction &gt; derivative model output</x:v>
      </x:c>
      <x:c r="T42" s="18" t="str">
        <x:v>https://drive.google.com/drive/folders/1EWdZyTQjPSuoxt8n1nIr1t8D98PC-mso</x:v>
      </x:c>
      <x:c r="U42" s="18" t="str">
        <x:v>https://docs.google.com/document/d/1hR0UuZSmPpwZi384Vzn3sZt5Y5_ZwYxW6b3u4nq2-40/edit</x:v>
      </x:c>
      <x:c r="V42" t="n">
        <x:f>COUNTIF(Outcome_Data!$A:$A,A42)</x:f>
        <x:v>4</x:v>
      </x:c>
    </x:row>
    <x:row r="43">
      <x:c r="A43" s="18" t="str">
        <x:v>Liang 2021</x:v>
      </x:c>
      <x:c r="B43" s="18" t="str">
        <x:v>Batch 8</x:v>
      </x:c>
      <x:c r="C43" s="18" t="str">
        <x:v>FULL REPLACEMENT</x:v>
      </x:c>
      <x:c r="D43" s="18" t="str">
        <x:v>Changes anesthesia/acupoints/timing, ignores 75 randomized/70 analyzed, invents unreported 6-h CRBD result.</x:v>
      </x:c>
      <x:c r="E43" s="18" t="str"/>
      <x:c r="F43" s="18" t="str">
        <x:v>Liang 2021</x:v>
      </x:c>
      <x:c r="G43" s="18" t="str">
        <x:v>432</x:v>
      </x:c>
      <x:c r="H43" s="18" t="str">
        <x:v>1879896610</x:v>
      </x:c>
      <x:c r="I43" s="18" t="str">
        <x:v>**QoR-40 at 24h (PRIMARY)**: TEAS group (n=35) 191.7 ± 4.4 vs Control group (n=35) 189.1 ± 4.3 (P = 0.007) [MD 2.6, 95% CI 0.6 to 4.6]. **QoR-40 at 48h**: TE...</x:v>
      </x:c>
      <x:c r="J43" s="18" t="str">
        <x:v>Yes</x:v>
      </x:c>
      <x:c r="K43" s="18" t="str">
        <x:v>Yes</x:v>
      </x:c>
      <x:c r="L43" s="18" t="str">
        <x:v>Yes</x:v>
      </x:c>
      <x:c r="M43" s="18" t="str">
        <x:v>CRBD incidence</x:v>
      </x:c>
      <x:c r="N43" s="18" t="str">
        <x:v>24 h</x:v>
      </x:c>
      <x:c r="O43" s="18" t="str">
        <x:v>High</x:v>
      </x:c>
      <x:c r="P43" s="18" t="str">
        <x:v>PARTIAL — selected RoB corrected; source CRBD timepoints added</x:v>
      </x:c>
      <x:c r="Q43" s="18" t="str">
        <x:v>Use actual end-surgery/PACU/24-h/48-h CRBD timepoints; discard the fabricated 6-h endpoint</x:v>
      </x:c>
      <x:c r="R43" s="18" t="str">
        <x:v>SOURCE-NORMALIZED OUTCOME ROWS ADDED</x:v>
      </x:c>
      <x:c r="S43" s="18" t="str">
        <x:v>Source PDF / supplement / protocol / registration &gt; reconciled source extraction &gt; derivative model output</x:v>
      </x:c>
      <x:c r="T43" s="18" t="str">
        <x:v>https://drive.google.com/drive/folders/1EWdZyTQjPSuoxt8n1nIr1t8D98PC-mso</x:v>
      </x:c>
      <x:c r="U43" s="18" t="str">
        <x:v>https://docs.google.com/document/d/1hR0UuZSmPpwZi384Vzn3sZt5Y5_ZwYxW6b3u4nq2-40/edit</x:v>
      </x:c>
      <x:c r="V43" t="n">
        <x:f>COUNTIF(Outcome_Data!$A:$A,A43)</x:f>
        <x:v>5</x:v>
      </x:c>
    </x:row>
    <x:row r="44">
      <x:c r="A44" s="18" t="str">
        <x:v>Lee 2011</x:v>
      </x:c>
      <x:c r="B44" s="18" t="str">
        <x:v>Batch 2</x:v>
      </x:c>
      <x:c r="C44" s="18" t="str">
        <x:v>SPECIAL / SOURCE-QC</x:v>
      </x:c>
      <x:c r="D44" s="18" t="str">
        <x:v>Four-arm trial; preserve direct cumulative Table 8 values; source interval/cumulative inconsistency and two low-frequency-arm exclusions.</x:v>
      </x:c>
      <x:c r="E44" s="18" t="str"/>
      <x:c r="F44" s="18" t="str">
        <x:v>Lee 2011</x:v>
      </x:c>
      <x:c r="G44" s="18" t="str">
        <x:v>812</x:v>
      </x:c>
      <x:c r="H44" s="18" t="str">
        <x:v>1879897255</x:v>
      </x:c>
      <x:c r="I44" s="18" t="str">
        <x:v>**Cumulative 24h PCA morphine (mg) (PRIMARY)**: Dense-sparse TEAS (Group 4, n=10) 29.29 ± 8.89 mg vs Sham TEAS (Group 2, n=12) 34.20 ± 6.40 mg vs Control (Gr...</x:v>
      </x:c>
      <x:c r="J44" s="18" t="str">
        <x:v>Yes</x:v>
      </x:c>
      <x:c r="K44" s="18" t="str">
        <x:v>No</x:v>
      </x:c>
      <x:c r="L44" s="18" t="str">
        <x:v>Yes</x:v>
      </x:c>
      <x:c r="M44" s="18" t="str">
        <x:v>Cumulative IV PCA morphine delivered</x:v>
      </x:c>
      <x:c r="N44" s="18" t="str">
        <x:v>First 24 postoperative hours</x:v>
      </x:c>
      <x:c r="O44" s="18" t="str">
        <x:v>Some concerns</x:v>
      </x:c>
      <x:c r="P44" s="18" t="str">
        <x:v>PARTIAL — selected RoB corrected; four-arm 24-h morphine/pain rows added</x:v>
      </x:c>
      <x:c r="Q44" s="18" t="str">
        <x:v>Preserve four arms and direct cumulative Table 8 values; shared comparator must be handled statistically</x:v>
      </x:c>
      <x:c r="R44" s="18" t="str">
        <x:v>SOURCE-NORMALIZED OUTCOME ROWS ADDED</x:v>
      </x:c>
      <x:c r="S44" s="18" t="str">
        <x:v>Source PDF / supplement / protocol / registration &gt; reconciled source extraction &gt; derivative model output</x:v>
      </x:c>
      <x:c r="T44" s="18" t="str">
        <x:v>https://drive.google.com/drive/folders/1EWdZyTQjPSuoxt8n1nIr1t8D98PC-mso</x:v>
      </x:c>
      <x:c r="U44" s="18" t="str">
        <x:v>https://docs.google.com/document/d/1hR0UuZSmPpwZi384Vzn3sZt5Y5_ZwYxW6b3u4nq2-40/edit</x:v>
      </x:c>
      <x:c r="V44" t="n">
        <x:f>COUNTIF(Outcome_Data!$A:$A,A44)</x:f>
        <x:v>4</x:v>
      </x:c>
    </x:row>
    <x:row r="45">
      <x:c r="A45" s="18" t="str">
        <x:v>Jin 2023</x:v>
      </x:c>
      <x:c r="B45" s="18" t="str">
        <x:v>Batch 11</x:v>
      </x:c>
      <x:c r="C45" s="18" t="str">
        <x:v>FULL REPLACEMENT</x:v>
      </x:c>
      <x:c r="D45" s="18" t="str">
        <x:v>Collapses three arms, invents anesthesia/schedule, complete follow-up and pump/fentanyl results.</x:v>
      </x:c>
      <x:c r="E45" s="18" t="str">
        <x:v>Jin 2022 → Jin 2023</x:v>
      </x:c>
      <x:c r="F45" s="18" t="str">
        <x:v>Jin 2022</x:v>
      </x:c>
      <x:c r="G45" s="18" t="str">
        <x:v>326</x:v>
      </x:c>
      <x:c r="H45" s="18" t="str">
        <x:v>1879896440</x:v>
      </x:c>
      <x:c r="I45" s="18" t="str">
        <x:v>**Cumulative 24h PCIA fentanyl volume (mL) (PRIMARY)**: 2-Hz EA (n=53) 39.31 ± 15.58 mL vs 20/100-Hz EA (n=53) 45.72 ± 16.92 mL vs Sham EA (n=52) 56.54 ± 12....</x:v>
      </x:c>
      <x:c r="J45" s="18" t="str">
        <x:v>Yes</x:v>
      </x:c>
      <x:c r="K45" s="18" t="str">
        <x:v>Yes</x:v>
      </x:c>
      <x:c r="L45" s="18" t="str">
        <x:v>Yes</x:v>
      </x:c>
      <x:c r="M45" s="18" t="str">
        <x:v>Cumulative analgesic pump compressions</x:v>
      </x:c>
      <x:c r="N45" s="18" t="str">
        <x:v>48 h</x:v>
      </x:c>
      <x:c r="O45" s="18" t="str">
        <x:v>High</x:v>
      </x:c>
      <x:c r="P45" s="18" t="str">
        <x:v>PARTIAL — selected RoB corrected; three-arm pump-demand/24-h PCIA-volume rows added</x:v>
      </x:c>
      <x:c r="Q45" s="18" t="str">
        <x:v>PCIA volume in mL is source-valid but cannot become fentanyl mass/MME until concentration is recovered</x:v>
      </x:c>
      <x:c r="R45" s="18" t="str">
        <x:v>SOURCE-NORMALIZED OUTCOME ROWS ADDED</x:v>
      </x:c>
      <x:c r="S45" s="18" t="str">
        <x:v>Source PDF / supplement / protocol / registration &gt; reconciled source extraction &gt; derivative model output</x:v>
      </x:c>
      <x:c r="T45" s="18" t="str">
        <x:v>https://drive.google.com/drive/folders/1EWdZyTQjPSuoxt8n1nIr1t8D98PC-mso</x:v>
      </x:c>
      <x:c r="U45" s="18" t="str">
        <x:v>https://docs.google.com/document/d/1hR0UuZSmPpwZi384Vzn3sZt5Y5_ZwYxW6b3u4nq2-40/edit</x:v>
      </x:c>
      <x:c r="V45" t="n">
        <x:f>COUNTIF(Outcome_Data!$A:$A,A45)</x:f>
        <x:v>5</x:v>
      </x:c>
    </x:row>
    <x:row r="46">
      <x:c r="A46" s="18" t="str">
        <x:v>Jiang 2026</x:v>
      </x:c>
      <x:c r="B46" s="18" t="str">
        <x:v>Batch 17</x:v>
      </x:c>
      <x:c r="C46" s="18" t="str">
        <x:v>FULL REPLACEMENT</x:v>
      </x:c>
      <x:c r="D46" s="18" t="str">
        <x:v>Treats PP 587 as randomized/ITT, changes protocol and flatus value/HR.</x:v>
      </x:c>
      <x:c r="E46" s="18" t="str"/>
      <x:c r="F46" s="18" t="str">
        <x:v>Jiang 2026</x:v>
      </x:c>
      <x:c r="G46" s="18" t="str">
        <x:v>4</x:v>
      </x:c>
      <x:c r="H46" s="18" t="str">
        <x:v>1879895860</x:v>
      </x:c>
      <x:c r="I46" s="18" t="str">
        <x:v>**24h PONV incidence (PRIMARY)**: TEAS group (n=294) 44/294 (15.0%) vs Sham-TEAS group (n=293) 67/293 (22.9%) (P = 0.015) [RR 0.59, 95% CI 0.39 to 0.90]. **T...</x:v>
      </x:c>
      <x:c r="J46" s="18" t="str">
        <x:v>Yes</x:v>
      </x:c>
      <x:c r="K46" s="18" t="str">
        <x:v>Yes</x:v>
      </x:c>
      <x:c r="L46" s="18" t="str">
        <x:v>Yes</x:v>
      </x:c>
      <x:c r="M46" s="18" t="str">
        <x:v>Time to first flatus</x:v>
      </x:c>
      <x:c r="N46" s="18" t="str">
        <x:v>Modified-ITT-type analysis</x:v>
      </x:c>
      <x:c r="O46" s="18" t="str">
        <x:v>Some concerns</x:v>
      </x:c>
      <x:c r="P46" s="18" t="str">
        <x:v>PARTIAL — selected RoB corrected; PP/mITT flatus, PONV and intraop-opioid rows added</x:v>
      </x:c>
      <x:c r="Q46" s="18" t="str">
        <x:v>Never call 587 randomized or full ITT; retain 614 randomized, 593 intervention recipients and 587 PP separately</x:v>
      </x:c>
      <x:c r="R46" s="18" t="str">
        <x:v>SOURCE-NORMALIZED OUTCOME ROWS ADDED</x:v>
      </x:c>
      <x:c r="S46" s="18" t="str">
        <x:v>Source PDF / supplement / protocol / registration &gt; reconciled source extraction &gt; derivative model output</x:v>
      </x:c>
      <x:c r="T46" s="18" t="str">
        <x:v>https://drive.google.com/drive/folders/1EWdZyTQjPSuoxt8n1nIr1t8D98PC-mso</x:v>
      </x:c>
      <x:c r="U46" s="18" t="str">
        <x:v>https://docs.google.com/document/d/1hR0UuZSmPpwZi384Vzn3sZt5Y5_ZwYxW6b3u4nq2-40/edit</x:v>
      </x:c>
      <x:c r="V46" t="n">
        <x:f>COUNTIF(Outcome_Data!$A:$A,A46)</x:f>
        <x:v>5</x:v>
      </x:c>
    </x:row>
    <x:row r="47">
      <x:c r="A47" s="18" t="str">
        <x:v>Huang 2025</x:v>
      </x:c>
      <x:c r="B47" s="18" t="str">
        <x:v>Batch 16</x:v>
      </x:c>
      <x:c r="C47" s="18" t="str">
        <x:v>FULL REPLACEMENT</x:v>
      </x:c>
      <x:c r="D47" s="18" t="str">
        <x:v>Invents three-arm colorectal trial and 24-h sufentanil values; source is two-arm postoperative EA with 13 exclusions.</x:v>
      </x:c>
      <x:c r="E47" s="18" t="str"/>
      <x:c r="F47" s="18" t="str">
        <x:v>Huang 2025</x:v>
      </x:c>
      <x:c r="G47" s="18" t="str">
        <x:v>131</x:v>
      </x:c>
      <x:c r="H47" s="18" t="str">
        <x:v>1879896131</x:v>
      </x:c>
      <x:c r="I47" s="18" t="str">
        <x:v>**Time to first flatus (hours) (PRIMARY)**: EA group (n=43) 36.4 ± 8.0 vs Standard care group (n=45) 42.2 ± 8.5 (P &lt; 0.001) [MD -5.8 h, HR 1.9, 95% CI 1.2 to...</x:v>
      </x:c>
      <x:c r="J47" s="18" t="str">
        <x:v>Yes</x:v>
      </x:c>
      <x:c r="K47" s="18" t="str">
        <x:v>Yes</x:v>
      </x:c>
      <x:c r="L47" s="18" t="str">
        <x:v>Yes</x:v>
      </x:c>
      <x:c r="M47" s="18" t="str">
        <x:v>Time to first flatus</x:v>
      </x:c>
      <x:c r="N47" s="18" t="str">
        <x:v>Postoperative</x:v>
      </x:c>
      <x:c r="O47" s="18" t="str">
        <x:v>High</x:v>
      </x:c>
      <x:c r="P47" s="18" t="str">
        <x:v>PARTIAL — selected RoB corrected; GI and opioid-missingness rows added</x:v>
      </x:c>
      <x:c r="Q47" s="18" t="str">
        <x:v>Use 101 randomized/88 analyzed; no exact PCA opioid dose is available</x:v>
      </x:c>
      <x:c r="R47" s="18" t="str">
        <x:v>SOURCE-NORMALIZED OUTCOME ROWS ADDED</x:v>
      </x:c>
      <x:c r="S47" s="18" t="str">
        <x:v>Source PDF / supplement / protocol / registration &gt; reconciled source extraction &gt; derivative model output</x:v>
      </x:c>
      <x:c r="T47" s="18" t="str">
        <x:v>https://drive.google.com/drive/folders/1EWdZyTQjPSuoxt8n1nIr1t8D98PC-mso</x:v>
      </x:c>
      <x:c r="U47" s="18" t="str">
        <x:v>https://docs.google.com/document/d/1hR0UuZSmPpwZi384Vzn3sZt5Y5_ZwYxW6b3u4nq2-40/edit</x:v>
      </x:c>
      <x:c r="V47" t="n">
        <x:f>COUNTIF(Outcome_Data!$A:$A,A47)</x:f>
        <x:v>3</x:v>
      </x:c>
    </x:row>
    <x:row r="48">
      <x:c r="A48" s="18" t="str">
        <x:v>Huang 2017</x:v>
      </x:c>
      <x:c r="B48" s="18" t="str">
        <x:v>Batch 5</x:v>
      </x:c>
      <x:c r="C48" s="18" t="str">
        <x:v>NO MATCHING RoB</x:v>
      </x:c>
      <x:c r="D48" s="18" t="str">
        <x:v>Source extraction/Gemini reconciled; four-arm frequency trial with ambiguous postoperative dose window; fresh result-specific RoB needed.</x:v>
      </x:c>
      <x:c r="E48" s="18" t="str"/>
      <x:c r="F48" s="18" t="str">
        <x:v>Huang 2017</x:v>
      </x:c>
      <x:c r="G48" s="18" t="str">
        <x:v>3811</x:v>
      </x:c>
      <x:c r="H48" s="18" t="str">
        <x:v>1882881457</x:v>
      </x:c>
      <x:c r="I48" s="18" t="str">
        <x:v>**Intraop remifentanil (PRIMARY)**: Control (n=20) 0.1617 ± 0.037 µg/kg/min vs 2/100 Hz TEAS (n=20) 0.1128 ± 0.034 µg/kg/min (P &lt;= 0.001) [MD -0.0489]. **PAC...</x:v>
      </x:c>
      <x:c r="J48" s="18" t="str">
        <x:v>Yes</x:v>
      </x:c>
      <x:c r="K48" s="18" t="str">
        <x:v>Yes</x:v>
      </x:c>
      <x:c r="L48" s="18" t="str">
        <x:v>Yes</x:v>
      </x:c>
      <x:c r="M48" s="18" t="str">
        <x:v>Total opioid as remifentanil-equivalent rate</x:v>
      </x:c>
      <x:c r="N48" s="18" t="str">
        <x:v>Intraoperative</x:v>
      </x:c>
      <x:c r="O48" s="18" t="str">
        <x:v>Some concerns</x:v>
      </x:c>
      <x:c r="P48" s="18" t="str">
        <x:v>PARTIAL — fresh RoB created; four-arm intraoperative and postoperative-window-QC rows added</x:v>
      </x:c>
      <x:c r="Q48" s="18" t="str">
        <x:v>Use 2/100-Hz intraoperative signal as direct source result; exact postoperative 24-h sufentanil remains unavailable</x:v>
      </x:c>
      <x:c r="R48" s="18" t="str">
        <x:v>SOURCE-NORMALIZED OUTCOME ROWS ADDED</x:v>
      </x:c>
      <x:c r="S48" s="18" t="str">
        <x:v>Source PDF / supplement / protocol / registration &gt; reconciled source extraction &gt; derivative model output</x:v>
      </x:c>
      <x:c r="T48" s="18" t="str">
        <x:v>https://drive.google.com/drive/folders/1EWdZyTQjPSuoxt8n1nIr1t8D98PC-mso</x:v>
      </x:c>
      <x:c r="U48" s="18" t="str">
        <x:v>https://docs.google.com/document/d/1hR0UuZSmPpwZi384Vzn3sZt5Y5_ZwYxW6b3u4nq2-40/edit</x:v>
      </x:c>
      <x:c r="V48" t="n">
        <x:f>COUNTIF(Outcome_Data!$A:$A,A48)</x:f>
        <x:v>5</x:v>
      </x:c>
    </x:row>
    <x:row r="49">
      <x:c r="A49" s="18" t="str">
        <x:v>Huang 2024</x:v>
      </x:c>
      <x:c r="B49" s="18" t="str">
        <x:v>Batch 13</x:v>
      </x:c>
      <x:c r="C49" s="18" t="str">
        <x:v>FULL REPLACEMENT</x:v>
      </x:c>
      <x:c r="D49" s="18" t="str">
        <x:v>Attached Liu RoB is unrelated colorectal/TEAS trial with fabricated flatus endpoint.</x:v>
      </x:c>
      <x:c r="E49" s="18" t="str">
        <x:v>Huang 2023 → Huang 2024</x:v>
      </x:c>
      <x:c r="F49" s="18" t="str">
        <x:v>Huang 2023</x:v>
      </x:c>
      <x:c r="G49" s="18" t="str">
        <x:v>245</x:v>
      </x:c>
      <x:c r="H49" s="18" t="str">
        <x:v>1879896311</x:v>
      </x:c>
      <x:c r="I49" s="18" t="str">
        <x:v>**Pain VAS 24h movement (PRIMARY)**: Contralateral EA (n=38) 53.16 ± 9.99 vs Ipsilateral EA (n=38) 53.50 ± 10.79 vs Sham EA (n=38) 56.71 ± 9.84 (0-100 scale)...</x:v>
      </x:c>
      <x:c r="J49" s="18" t="str">
        <x:v>Yes</x:v>
      </x:c>
      <x:c r="K49" s="18" t="str">
        <x:v>Yes</x:v>
      </x:c>
      <x:c r="L49" s="18" t="str">
        <x:v>Yes</x:v>
      </x:c>
      <x:c r="M49" s="18" t="str">
        <x:v>VAS during walking/knee movement</x:v>
      </x:c>
      <x:c r="N49" s="18" t="str">
        <x:v>POD1</x:v>
      </x:c>
      <x:c r="O49" s="18" t="str">
        <x:v>Some concerns</x:v>
      </x:c>
      <x:c r="P49" s="18" t="str">
        <x:v>PARTIAL — selected RoB corrected; three-arm pain/PCA-proxy rows added</x:v>
      </x:c>
      <x:c r="Q49" s="18" t="str">
        <x:v>Preserve three arms; PCA release cannot be converted to opioid mass and POD2 is not exact 24 h after surgery</x:v>
      </x:c>
      <x:c r="R49" s="18" t="str">
        <x:v>SOURCE-NORMALIZED OUTCOME ROWS ADDED</x:v>
      </x:c>
      <x:c r="S49" s="18" t="str">
        <x:v>Source PDF / supplement / protocol / registration &gt; reconciled source extraction &gt; derivative model output</x:v>
      </x:c>
      <x:c r="T49" s="18" t="str">
        <x:v>https://drive.google.com/drive/folders/1EWdZyTQjPSuoxt8n1nIr1t8D98PC-mso</x:v>
      </x:c>
      <x:c r="U49" s="18" t="str">
        <x:v>https://docs.google.com/document/d/1hR0UuZSmPpwZi384Vzn3sZt5Y5_ZwYxW6b3u4nq2-40/edit</x:v>
      </x:c>
      <x:c r="V49" t="n">
        <x:f>COUNTIF(Outcome_Data!$A:$A,A49)</x:f>
        <x:v>4</x:v>
      </x:c>
    </x:row>
    <x:row r="50">
      <x:c r="A50" s="18" t="str">
        <x:v>Hou 2023</x:v>
      </x:c>
      <x:c r="B50" s="18" t="str">
        <x:v>Batch 11</x:v>
      </x:c>
      <x:c r="C50" s="18" t="str">
        <x:v>FULL REPLACEMENT</x:v>
      </x:c>
      <x:c r="D50" s="18" t="str">
        <x:v>Stored RoB invents 186-woman gynecologic trial and 24-h sufentanil outcome not reported.</x:v>
      </x:c>
      <x:c r="E50" s="18" t="str"/>
      <x:c r="F50" s="18" t="str">
        <x:v>Hou 2023</x:v>
      </x:c>
      <x:c r="G50" s="18" t="str">
        <x:v>295</x:v>
      </x:c>
      <x:c r="H50" s="18" t="str">
        <x:v>1879896391</x:v>
      </x:c>
      <x:c r="I50" s="18" t="str">
        <x:v>**PONV 0-24h (PRIMARY)**: TEAS group (n=36) 4/36 (11.1%) vs Sham TEAS group (n=36) 12/36 (33.3%) (P = 0.023) [RR 0.33, 95% CI 0.12 to 0.92]. **Participants r...</x:v>
      </x:c>
      <x:c r="J50" s="18" t="str">
        <x:v>Yes</x:v>
      </x:c>
      <x:c r="K50" s="18" t="str">
        <x:v>Yes</x:v>
      </x:c>
      <x:c r="L50" s="18" t="str">
        <x:v>Yes</x:v>
      </x:c>
      <x:c r="M50" s="18" t="str">
        <x:v>PONV incidence</x:v>
      </x:c>
      <x:c r="N50" s="18" t="str">
        <x:v>Postoperative</x:v>
      </x:c>
      <x:c r="O50" s="18" t="str">
        <x:v>Some concerns</x:v>
      </x:c>
      <x:c r="P50" s="18" t="str">
        <x:v>PARTIAL — selected RoB corrected; PONV/pain/rescue/PCIA-missingness rows added</x:v>
      </x:c>
      <x:c r="Q50" s="18" t="str">
        <x:v>Do not convert fixed basal sufentanil exposure into actual 24-h consumption; bolus use is unreported</x:v>
      </x:c>
      <x:c r="R50" s="18" t="str">
        <x:v>SOURCE-NORMALIZED OUTCOME ROWS ADDED</x:v>
      </x:c>
      <x:c r="S50" s="18" t="str">
        <x:v>Source PDF / supplement / protocol / registration &gt; reconciled source extraction &gt; derivative model output</x:v>
      </x:c>
      <x:c r="T50" s="18" t="str">
        <x:v>https://drive.google.com/drive/folders/1EWdZyTQjPSuoxt8n1nIr1t8D98PC-mso</x:v>
      </x:c>
      <x:c r="U50" s="18" t="str">
        <x:v>https://docs.google.com/document/d/1hR0UuZSmPpwZi384Vzn3sZt5Y5_ZwYxW6b3u4nq2-40/edit</x:v>
      </x:c>
      <x:c r="V50" t="n">
        <x:f>COUNTIF(Outcome_Data!$A:$A,A50)</x:f>
        <x:v>4</x:v>
      </x:c>
    </x:row>
    <x:row r="51">
      <x:c r="A51" s="18" t="str">
        <x:v>He 2026 (hepatectomy/JIS)</x:v>
      </x:c>
      <x:c r="B51" s="18" t="str">
        <x:v>Batch 17</x:v>
      </x:c>
      <x:c r="C51" s="18" t="str">
        <x:v>FULL REPLACEMENT</x:v>
      </x:c>
      <x:c r="D51" s="18" t="str">
        <x:v>Replaces multicenter PC6/PONV trial with fabricated colorectal/flatus trial.</x:v>
      </x:c>
      <x:c r="E51" s="18" t="str">
        <x:v>He 2026 (Hepatectomy) → He 2026 (hepatectomy/JIS)</x:v>
      </x:c>
      <x:c r="F51" s="18" t="str">
        <x:v>He 2026 (Hepatectomy)</x:v>
      </x:c>
      <x:c r="G51" s="18" t="str">
        <x:v>25</x:v>
      </x:c>
      <x:c r="H51" s="18" t="str">
        <x:v>1879895909</x:v>
      </x:c>
      <x:c r="I51" s="18" t="str">
        <x:v>**Opioid 0-24h (PRIMARY)**: TEAS group (n=80) 20.0 ± 2.5 mg IV MME vs Control group (n=79) 20.6 ± 4.5 mg IV MME (P = 0.30) [MD -0.6 mg, 95% CI -1.7 to 0.5]. ...</x:v>
      </x:c>
      <x:c r="J51" s="18" t="str">
        <x:v>Yes</x:v>
      </x:c>
      <x:c r="K51" s="18" t="str">
        <x:v>No</x:v>
      </x:c>
      <x:c r="L51" s="18" t="str">
        <x:v>Yes</x:v>
      </x:c>
      <x:c r="M51" s="18" t="str">
        <x:v>Total postoperative opioid consumption in morphine equivalents</x:v>
      </x:c>
      <x:c r="N51" s="18" t="str">
        <x:v>0-24 h</x:v>
      </x:c>
      <x:c r="O51" s="18" t="str">
        <x:v>Some concerns</x:v>
      </x:c>
      <x:c r="P51" s="18" t="str">
        <x:v>PARTIAL — fresh RoB created; supplemental 24-h MME and PONV/PCA-demand rows added</x:v>
      </x:c>
      <x:c r="Q51" s="18" t="str">
        <x:v>This is a valid source-reported 24-h MME endpoint; do not infer opioid sparing from fewer PCA presses because total MME was unchanged</x:v>
      </x:c>
      <x:c r="R51" s="18" t="str">
        <x:v>SOURCE-NORMALIZED OUTCOME ROWS ADDED</x:v>
      </x:c>
      <x:c r="S51" s="18" t="str">
        <x:v>Source PDF / supplement / protocol / registration &gt; reconciled source extraction &gt; derivative model output</x:v>
      </x:c>
      <x:c r="T51" s="18" t="str">
        <x:v>https://drive.google.com/drive/folders/1EWdZyTQjPSuoxt8n1nIr1t8D98PC-mso</x:v>
      </x:c>
      <x:c r="U51" s="18" t="str">
        <x:v>https://docs.google.com/document/d/1hR0UuZSmPpwZi384Vzn3sZt5Y5_ZwYxW6b3u4nq2-40/edit</x:v>
      </x:c>
      <x:c r="V51" t="n">
        <x:f>COUNTIF(Outcome_Data!$A:$A,A51)</x:f>
        <x:v>3</x:v>
      </x:c>
    </x:row>
    <x:row r="52">
      <x:c r="A52" s="18" t="str">
        <x:v>He 2026 (breast/WJCO)</x:v>
      </x:c>
      <x:c r="B52" s="18" t="str">
        <x:v>Batch 17</x:v>
      </x:c>
      <x:c r="C52" s="18" t="str">
        <x:v>FULL REPLACEMENT</x:v>
      </x:c>
      <x:c r="D52" s="18" t="str">
        <x:v>Changes cancer type, invasive EA protocol and pain result; invents concealment and other outcomes.</x:v>
      </x:c>
      <x:c r="E52" s="18" t="str">
        <x:v>He 2026 → He 2026 (breast/WJCO)</x:v>
      </x:c>
      <x:c r="F52" s="18" t="str">
        <x:v>He 2026</x:v>
      </x:c>
      <x:c r="G52" s="18" t="str">
        <x:v>41</x:v>
      </x:c>
      <x:c r="H52" s="18" t="str">
        <x:v>1879895945</x:v>
      </x:c>
      <x:c r="I52" s="18" t="str">
        <x:v>**Pain VAS 24h at rest (PRIMARY)**: EA group (n=65) 1.789 ± 0.174 vs Control group (n=65) 2.692 ± 0.174 (P &lt; 0.01) [MD -0.903]. **Pain VAS 24h during movemen...</x:v>
      </x:c>
      <x:c r="J52" s="18" t="str">
        <x:v>Yes</x:v>
      </x:c>
      <x:c r="K52" s="18" t="str">
        <x:v>Yes</x:v>
      </x:c>
      <x:c r="L52" s="18" t="str">
        <x:v>Yes</x:v>
      </x:c>
      <x:c r="M52" s="18" t="str">
        <x:v>Moderate-to-severe movement-evoked pain (VAS &gt;4)</x:v>
      </x:c>
      <x:c r="N52" s="18" t="str">
        <x:v>24 h</x:v>
      </x:c>
      <x:c r="O52" s="18" t="str">
        <x:v>Some concerns</x:v>
      </x:c>
      <x:c r="P52" s="18" t="str">
        <x:v>PARTIAL — fresh RoB created; 24-h pain rows added</x:v>
      </x:c>
      <x:c r="Q52" s="18" t="str">
        <x:v>No quantitative postoperative opioid endpoint exists because rescue morphine consumption was not recorded</x:v>
      </x:c>
      <x:c r="R52" s="18" t="str">
        <x:v>SOURCE-NORMALIZED OUTCOME ROWS ADDED</x:v>
      </x:c>
      <x:c r="S52" s="18" t="str">
        <x:v>Source PDF / supplement / protocol / registration &gt; reconciled source extraction &gt; derivative model output</x:v>
      </x:c>
      <x:c r="T52" s="18" t="str">
        <x:v>https://drive.google.com/drive/folders/1EWdZyTQjPSuoxt8n1nIr1t8D98PC-mso</x:v>
      </x:c>
      <x:c r="U52" s="18" t="str">
        <x:v>https://docs.google.com/document/d/1hR0UuZSmPpwZi384Vzn3sZt5Y5_ZwYxW6b3u4nq2-40/edit</x:v>
      </x:c>
      <x:c r="V52" t="n">
        <x:f>COUNTIF(Outcome_Data!$A:$A,A52)</x:f>
        <x:v>4</x:v>
      </x:c>
    </x:row>
    <x:row r="53">
      <x:c r="A53" s="18" t="str">
        <x:v>Gu 2019</x:v>
      </x:c>
      <x:c r="B53" s="18" t="str">
        <x:v>Batch 6</x:v>
      </x:c>
      <x:c r="C53" s="18" t="str">
        <x:v>FULL REPLACEMENT</x:v>
      </x:c>
      <x:c r="D53" s="18" t="str">
        <x:v>Stored RoB invents three arms, wrong treatment schedule/denominators and flatus values.</x:v>
      </x:c>
      <x:c r="E53" s="18" t="str"/>
      <x:c r="F53" s="18" t="str">
        <x:v>Gu 2019</x:v>
      </x:c>
      <x:c r="G53" s="18" t="str">
        <x:v>848</x:v>
      </x:c>
      <x:c r="H53" s="18" t="str">
        <x:v>1881841223</x:v>
      </x:c>
      <x:c r="I53" s="18" t="str">
        <x:v>**Pain VAS 24h at rest (PRIMARY)**: L-TEAS (n=58) 1.98 ± 0.39 vs C-TEAS (n=59) 2.72 ± 0.73 (P &lt; 0.05) [MD -0.74]. **PONV 0-24h (PRIMARY)**: L-TEAS 7/58 (12.1...</x:v>
      </x:c>
      <x:c r="J53" s="18" t="str">
        <x:v>Yes</x:v>
      </x:c>
      <x:c r="K53" s="18" t="str">
        <x:v>Yes</x:v>
      </x:c>
      <x:c r="L53" s="18" t="str">
        <x:v>Yes</x:v>
      </x:c>
      <x:c r="M53" s="18" t="str">
        <x:v>Time to first flatus</x:v>
      </x:c>
      <x:c r="N53" s="18" t="str">
        <x:v>Postoperative</x:v>
      </x:c>
      <x:c r="O53" s="18" t="str">
        <x:v>Some concerns</x:v>
      </x:c>
      <x:c r="P53" s="18" t="str">
        <x:v>PARTIAL — selected RoB corrected; GI/pain/PCIA rows added</x:v>
      </x:c>
      <x:c r="Q53" s="18" t="str">
        <x:v>Exact 24-h PCIA/sufentanil is graph-only; do not interpolate from 8-h and 36-h values</x:v>
      </x:c>
      <x:c r="R53" s="18" t="str">
        <x:v>SOURCE-NORMALIZED OUTCOME ROWS ADDED</x:v>
      </x:c>
      <x:c r="S53" s="18" t="str">
        <x:v>Source PDF / supplement / protocol / registration &gt; reconciled source extraction &gt; derivative model output</x:v>
      </x:c>
      <x:c r="T53" s="18" t="str">
        <x:v>https://drive.google.com/drive/folders/1EWdZyTQjPSuoxt8n1nIr1t8D98PC-mso</x:v>
      </x:c>
      <x:c r="U53" s="18" t="str">
        <x:v>https://docs.google.com/document/d/1hR0UuZSmPpwZi384Vzn3sZt5Y5_ZwYxW6b3u4nq2-40/edit</x:v>
      </x:c>
      <x:c r="V53" t="n">
        <x:f>COUNTIF(Outcome_Data!$A:$A,A53)</x:f>
        <x:v>8</x:v>
      </x:c>
    </x:row>
    <x:row r="54">
      <x:c r="A54" s="18" t="str">
        <x:v>Guo 2023</x:v>
      </x:c>
      <x:c r="B54" s="18" t="str">
        <x:v>Batch 11</x:v>
      </x:c>
      <x:c r="C54" s="18" t="str">
        <x:v>FULL REPLACEMENT</x:v>
      </x:c>
      <x:c r="D54" s="18" t="str">
        <x:v>Replaces cognition-focused lung-cancer trial with fabricated bariatric GI-recovery trial.</x:v>
      </x:c>
      <x:c r="E54" s="18" t="str"/>
      <x:c r="F54" s="18" t="str">
        <x:v>Guo 2023</x:v>
      </x:c>
      <x:c r="G54" s="18" t="str">
        <x:v>260</x:v>
      </x:c>
      <x:c r="H54" s="18" t="str">
        <x:v>1879896335</x:v>
      </x:c>
      <x:c r="I54" s="18" t="str">
        <x:v>**Intraop remifentanil**: TEAS (n=55) 0.87 ± 0.30 mg vs Sham-TEAS (n=55) 1.01 ± 0.39 mg (P = 0.040). **Intraop sufentanil**: TEAS 29.42 ± 7.62 µg vs Sham-TEA...</x:v>
      </x:c>
      <x:c r="J54" s="18" t="str">
        <x:v>Yes</x:v>
      </x:c>
      <x:c r="K54" s="18" t="str">
        <x:v>Yes</x:v>
      </x:c>
      <x:c r="L54" s="18" t="str">
        <x:v>Yes</x:v>
      </x:c>
      <x:c r="M54" s="18" t="str">
        <x:v>Postoperative cognitive dysfunction</x:v>
      </x:c>
      <x:c r="N54" s="18" t="str">
        <x:v>POD1</x:v>
      </x:c>
      <x:c r="O54" s="18" t="str">
        <x:v>High</x:v>
      </x:c>
      <x:c r="P54" s="18" t="str">
        <x:v>PARTIAL — selected RoB corrected; POCD/intraop-opioid/graph-only pain rows added</x:v>
      </x:c>
      <x:c r="Q54" s="18" t="str">
        <x:v>Use complete-case POCD only with high attrition caution; actual postoperative sufentanil consumption is missing</x:v>
      </x:c>
      <x:c r="R54" s="18" t="str">
        <x:v>SOURCE-NORMALIZED OUTCOME ROWS ADDED</x:v>
      </x:c>
      <x:c r="S54" s="18" t="str">
        <x:v>Source PDF / supplement / protocol / registration &gt; reconciled source extraction &gt; derivative model output</x:v>
      </x:c>
      <x:c r="T54" s="18" t="str">
        <x:v>https://drive.google.com/drive/folders/1EWdZyTQjPSuoxt8n1nIr1t8D98PC-mso</x:v>
      </x:c>
      <x:c r="U54" s="18" t="str">
        <x:v>https://docs.google.com/document/d/1hR0UuZSmPpwZi384Vzn3sZt5Y5_ZwYxW6b3u4nq2-40/edit</x:v>
      </x:c>
      <x:c r="V54" t="n">
        <x:f>COUNTIF(Outcome_Data!$A:$A,A54)</x:f>
        <x:v>6</x:v>
      </x:c>
    </x:row>
    <x:row r="55">
      <x:c r="A55" s="18" t="str">
        <x:v>Grech 2016</x:v>
      </x:c>
      <x:c r="B55" s="18" t="str">
        <x:v>Batch 5</x:v>
      </x:c>
      <x:c r="C55" s="18" t="str">
        <x:v>FULL REPLACEMENT</x:v>
      </x:c>
      <x:c r="D55" s="18" t="str">
        <x:v>Stored RoB describes a different 40-patient abdominal-surgery morphine trial.</x:v>
      </x:c>
      <x:c r="E55" s="18" t="str"/>
      <x:c r="F55" s="18" t="str">
        <x:v>Grech 2016</x:v>
      </x:c>
      <x:c r="G55" s="18" t="str">
        <x:v>619</x:v>
      </x:c>
      <x:c r="H55" s="18" t="str">
        <x:v>1879896952</x:v>
      </x:c>
      <x:c r="I55" s="18" t="str">
        <x:v>**Opioid 0-24h (PRIMARY)**: Measured-not-reported numerically in text/tables (graph-only in Fig 1, converted to missing_data: true, N=10 EA vs N=9 Control). ...</x:v>
      </x:c>
      <x:c r="J55" s="18" t="str">
        <x:v>Yes</x:v>
      </x:c>
      <x:c r="K55" s="18" t="str">
        <x:v>Yes</x:v>
      </x:c>
      <x:c r="L55" s="18" t="str">
        <x:v>Yes</x:v>
      </x:c>
      <x:c r="M55" s="18" t="str">
        <x:v>PACU analgesic requirement in women-only subgroup</x:v>
      </x:c>
      <x:c r="N55" s="18" t="str">
        <x:v>PACU</x:v>
      </x:c>
      <x:c r="O55" s="18" t="str">
        <x:v>High</x:v>
      </x:c>
      <x:c r="P55" s="18" t="str">
        <x:v>PARTIAL — fresh RoB created; graph-only analgesic/pain rows added</x:v>
      </x:c>
      <x:c r="Q55" s="18" t="str">
        <x:v>No exact 24-h opioid result exists; do not use fabricated 28-vs-36 mg values from the invalid RoB</x:v>
      </x:c>
      <x:c r="R55" s="18" t="str">
        <x:v>SOURCE-NORMALIZED OUTCOME ROWS ADDED</x:v>
      </x:c>
      <x:c r="S55" s="18" t="str">
        <x:v>Source PDF / supplement / protocol / registration &gt; reconciled source extraction &gt; derivative model output</x:v>
      </x:c>
      <x:c r="T55" s="18" t="str">
        <x:v>https://drive.google.com/drive/folders/1EWdZyTQjPSuoxt8n1nIr1t8D98PC-mso</x:v>
      </x:c>
      <x:c r="U55" s="18" t="str">
        <x:v>https://docs.google.com/document/d/1hR0UuZSmPpwZi384Vzn3sZt5Y5_ZwYxW6b3u4nq2-40/edit</x:v>
      </x:c>
      <x:c r="V55" t="n">
        <x:f>COUNTIF(Outcome_Data!$A:$A,A55)</x:f>
        <x:v>3</x:v>
      </x:c>
    </x:row>
    <x:row r="56">
      <x:c r="A56" s="18" t="str">
        <x:v>Gao 2021</x:v>
      </x:c>
      <x:c r="B56" s="18" t="str">
        <x:v>Batch 7</x:v>
      </x:c>
      <x:c r="C56" s="18" t="str">
        <x:v>FULL REPLACEMENT</x:v>
      </x:c>
      <x:c r="D56" s="18" t="str">
        <x:v>Changes 610-person 10-center postoperative TEAS trial to 400-person fabricated design/result.</x:v>
      </x:c>
      <x:c r="E56" s="18" t="str"/>
      <x:c r="F56" s="18" t="str">
        <x:v>Gao 2021</x:v>
      </x:c>
      <x:c r="G56" s="18" t="str">
        <x:v>400</x:v>
      </x:c>
      <x:c r="H56" s="18" t="str">
        <x:v>1879896559</x:v>
      </x:c>
      <x:c r="I56" s="18" t="str">
        <x:v>**Opioid 0-24h (PRIMARY)**: Measured-not-reported (requires author contact). **Intraop sufentanil**: TEAS (n=303) 30.0 µg (IQR 25.0-35.0) [mean ~30.00 ± 7.41...</x:v>
      </x:c>
      <x:c r="J56" s="18" t="str">
        <x:v>Yes</x:v>
      </x:c>
      <x:c r="K56" s="18" t="str">
        <x:v>Yes</x:v>
      </x:c>
      <x:c r="L56" s="18" t="str">
        <x:v>Yes</x:v>
      </x:c>
      <x:c r="M56" s="18" t="str">
        <x:v>Postoperative paralytic ileus</x:v>
      </x:c>
      <x:c r="N56" s="18" t="str">
        <x:v>No flatus &gt;72 h</x:v>
      </x:c>
      <x:c r="O56" s="18" t="str">
        <x:v>Some concerns</x:v>
      </x:c>
      <x:c r="P56" s="18" t="str">
        <x:v>PARTIAL — selected RoB corrected; POI/GI rows added</x:v>
      </x:c>
      <x:c r="Q56" s="18" t="str">
        <x:v>Full ITT source data usable for GI outcomes; postoperative opioid dose remains unreported</x:v>
      </x:c>
      <x:c r="R56" s="18" t="str">
        <x:v>SOURCE-NORMALIZED OUTCOME ROWS ADDED</x:v>
      </x:c>
      <x:c r="S56" s="18" t="str">
        <x:v>Source PDF / supplement / protocol / registration &gt; reconciled source extraction &gt; derivative model output</x:v>
      </x:c>
      <x:c r="T56" s="18" t="str">
        <x:v>https://drive.google.com/drive/folders/1EWdZyTQjPSuoxt8n1nIr1t8D98PC-mso</x:v>
      </x:c>
      <x:c r="U56" s="18" t="str">
        <x:v>https://docs.google.com/document/d/1hR0UuZSmPpwZi384Vzn3sZt5Y5_ZwYxW6b3u4nq2-40/edit</x:v>
      </x:c>
      <x:c r="V56" t="n">
        <x:f>COUNTIF(Outcome_Data!$A:$A,A56)</x:f>
        <x:v>5</x:v>
      </x:c>
    </x:row>
    <x:row r="57">
      <x:c r="A57" s="18" t="str">
        <x:v>El-Rakshy 2009</x:v>
      </x:c>
      <x:c r="B57" s="18" t="str">
        <x:v>Batch 2</x:v>
      </x:c>
      <x:c r="C57" s="18" t="str">
        <x:v>SPECIAL / SOURCE-QC</x:v>
      </x:c>
      <x:c r="D57" s="18" t="str">
        <x:v>Publication has irreconcilable allocation/analyzed denominators; preserve outcome-specific n and direct published morphine values.</x:v>
      </x:c>
      <x:c r="E57" s="18" t="str"/>
      <x:c r="F57" s="18" t="str">
        <x:v>El-Rakshy 2009</x:v>
      </x:c>
      <x:c r="G57" s="18" t="str">
        <x:v>837</x:v>
      </x:c>
      <x:c r="H57" s="18" t="str">
        <x:v>1879897344</x:v>
      </x:c>
      <x:c r="I57" s="18" t="str">
        <x:v>**Opioid 0-24h (PRIMARY)**: PCA + acupuncture EA (n=42) 35.3 ± 18.0 mg morphine vs PCA alone (n=53) 36.9 ± 18.0 mg morphine (P = 0.961). **Opioid 0-4h**: EA ...</x:v>
      </x:c>
      <x:c r="J57" s="18" t="str">
        <x:v>Yes</x:v>
      </x:c>
      <x:c r="K57" s="18" t="str">
        <x:v>Yes</x:v>
      </x:c>
      <x:c r="L57" s="18" t="str">
        <x:v>Yes</x:v>
      </x:c>
      <x:c r="M57" s="18" t="str">
        <x:v>Total IV morphine analgesia</x:v>
      </x:c>
      <x:c r="N57" s="18" t="str">
        <x:v>First 24 h</x:v>
      </x:c>
      <x:c r="O57" s="18" t="str">
        <x:v>High</x:v>
      </x:c>
      <x:c r="P57" s="18" t="str">
        <x:v>SOURCE-NORMALIZED — OUTCOME-SPECIFIC DENOMINATORS REQUIRED</x:v>
      </x:c>
      <x:c r="Q57" s="18" t="str">
        <x:v>Use n=42 EA and n=53 control for the 24-h morphine result; overall group labels/denominators are irreconcilable.</x:v>
      </x:c>
      <x:c r="R57" s="18" t="str">
        <x:v>SOURCE-NORMALIZED OUTCOME ROWS ADDED</x:v>
      </x:c>
      <x:c r="S57" s="18" t="str">
        <x:v>Source PDF / supplement / protocol / registration &gt; reconciled source extraction &gt; derivative model output</x:v>
      </x:c>
      <x:c r="T57" s="18" t="str">
        <x:v>https://drive.google.com/drive/folders/1EWdZyTQjPSuoxt8n1nIr1t8D98PC-mso</x:v>
      </x:c>
      <x:c r="U57" s="18" t="str">
        <x:v>https://docs.google.com/document/d/1hR0UuZSmPpwZi384Vzn3sZt5Y5_ZwYxW6b3u4nq2-40/edit</x:v>
      </x:c>
      <x:c r="V57" t="n">
        <x:f>COUNTIF(Outcome_Data!$A:$A,A57)</x:f>
        <x:v>2</x:v>
      </x:c>
    </x:row>
    <x:row r="58">
      <x:c r="A58" s="18" t="str">
        <x:v>Coura 2011</x:v>
      </x:c>
      <x:c r="B58" s="18" t="str">
        <x:v>Batch 1</x:v>
      </x:c>
      <x:c r="C58" s="18" t="str">
        <x:v>SPECIAL / SOURCE-QC</x:v>
      </x:c>
      <x:c r="D58" s="18" t="str">
        <x:v>10/32 post-randomization exclusions; exact 24-h pain point unresolved; supplemental opioid inclusion unclear.</x:v>
      </x:c>
      <x:c r="E58" s="18" t="str"/>
      <x:c r="F58" s="18" t="str">
        <x:v>Coura 2011</x:v>
      </x:c>
      <x:c r="G58" s="18" t="str">
        <x:v>838</x:v>
      </x:c>
      <x:c r="H58" s="18" t="str">
        <x:v>1879897266</x:v>
      </x:c>
      <x:c r="I58" s="18" t="str">
        <x:v>**Opioid 0-24h (PRIMARY)**: Treatment EA (n=13) 13.1 ± 2.2 µg/kg fentanyl vs Control Sham (n=9) 16.3 ± 1.6 µg/kg fentanyl (P &lt; 0.002) [PCA bolus: 4.1 ± 2.0 v...</x:v>
      </x:c>
      <x:c r="J58" s="18" t="str">
        <x:v>Yes</x:v>
      </x:c>
      <x:c r="K58" s="18" t="str">
        <x:v>Yes</x:v>
      </x:c>
      <x:c r="L58" s="18" t="str">
        <x:v>Yes</x:v>
      </x:c>
      <x:c r="M58" s="18" t="str">
        <x:v>Cumulative fentanyl</x:v>
      </x:c>
      <x:c r="N58" s="18" t="str">
        <x:v>First 24 h</x:v>
      </x:c>
      <x:c r="O58" s="18" t="str">
        <x:v>High</x:v>
      </x:c>
      <x:c r="P58" s="18" t="str">
        <x:v>SOURCE-NORMALIZED — QC HOLD</x:v>
      </x:c>
      <x:c r="Q58" s="18" t="str">
        <x:v>10/32 post-randomization exclusions; exact 24-h fentanyl is source reported but missing-data risk is high.</x:v>
      </x:c>
      <x:c r="R58" s="18" t="str">
        <x:v>SOURCE-NORMALIZED OUTCOME ROWS ADDED</x:v>
      </x:c>
      <x:c r="S58" s="18" t="str">
        <x:v>Source PDF / supplement / protocol / registration &gt; reconciled source extraction &gt; derivative model output</x:v>
      </x:c>
      <x:c r="T58" s="18" t="str">
        <x:v>https://drive.google.com/drive/folders/1EWdZyTQjPSuoxt8n1nIr1t8D98PC-mso</x:v>
      </x:c>
      <x:c r="U58" s="18" t="str">
        <x:v>https://docs.google.com/document/d/1hR0UuZSmPpwZi384Vzn3sZt5Y5_ZwYxW6b3u4nq2-40/edit</x:v>
      </x:c>
      <x:c r="V58" t="n">
        <x:f>COUNTIF(Outcome_Data!$A:$A,A58)</x:f>
        <x:v>1</x:v>
      </x:c>
    </x:row>
    <x:row r="59">
      <x:c r="A59" s="18" t="str">
        <x:v>Chen 1998</x:v>
      </x:c>
      <x:c r="B59" s="18" t="str">
        <x:v>Batch 1</x:v>
      </x:c>
      <x:c r="C59" s="18" t="str">
        <x:v>SPECIAL / SOURCE-QC</x:v>
      </x:c>
      <x:c r="D59" s="18" t="str">
        <x:v>Four-arm RCT; locked two-arm Covidence structure is invalid; preserve all arms and direct 24-h hydromorphone values.</x:v>
      </x:c>
      <x:c r="E59" s="18" t="str"/>
      <x:c r="F59" s="18" t="str">
        <x:v>Chen 1998</x:v>
      </x:c>
      <x:c r="G59" s="18" t="str">
        <x:v>969</x:v>
      </x:c>
      <x:c r="H59" s="18" t="str">
        <x:v>1879897506</x:v>
      </x:c>
      <x:c r="I59" s="18" t="str">
        <x:v>**Opioid 0-24h (PRIMARY)**: Group IV Acupoint TEAS (n=25) 6.5 ± 3.5 mg hydromorphone vs Group I Sham TEAS (n=25) 10.7 ± 5.0 mg (P &lt; 0.05) [OME: 130 mg vs 214...</x:v>
      </x:c>
      <x:c r="J59" s="18" t="str">
        <x:v>Yes</x:v>
      </x:c>
      <x:c r="K59" s="18" t="str">
        <x:v>Yes</x:v>
      </x:c>
      <x:c r="L59" s="18" t="str">
        <x:v>Yes</x:v>
      </x:c>
      <x:c r="M59" s="18" t="str">
        <x:v>Cumulative IV PCA hydromorphone</x:v>
      </x:c>
      <x:c r="N59" s="18" t="str">
        <x:v>First 24 h</x:v>
      </x:c>
      <x:c r="O59" s="18" t="str">
        <x:v>Some concerns</x:v>
      </x:c>
      <x:c r="P59" s="18" t="str">
        <x:v>SOURCE-NORMALIZED — FOUR-ARM STRUCTURE RETAINED</x:v>
      </x:c>
      <x:c r="Q59" s="18" t="str">
        <x:v>Keep all four randomized arms and shared sham handling; do not collapse to a two-arm study.</x:v>
      </x:c>
      <x:c r="R59" s="18" t="str">
        <x:v>SOURCE-NORMALIZED OUTCOME ROWS ADDED</x:v>
      </x:c>
      <x:c r="S59" s="18" t="str">
        <x:v>Source PDF / supplement / protocol / registration &gt; reconciled source extraction &gt; derivative model output</x:v>
      </x:c>
      <x:c r="T59" s="18" t="str">
        <x:v>https://drive.google.com/drive/folders/1EWdZyTQjPSuoxt8n1nIr1t8D98PC-mso</x:v>
      </x:c>
      <x:c r="U59" s="18" t="str">
        <x:v>https://docs.google.com/document/d/1hR0UuZSmPpwZi384Vzn3sZt5Y5_ZwYxW6b3u4nq2-40/edit</x:v>
      </x:c>
      <x:c r="V59" t="n">
        <x:f>COUNTIF(Outcome_Data!$A:$A,A59)</x:f>
        <x:v>3</x:v>
      </x:c>
    </x:row>
    <x:row r="60">
      <x:c r="A60" s="18" t="str">
        <x:v>Chen 2020</x:v>
      </x:c>
      <x:c r="B60" s="18" t="str">
        <x:v>Batch 1</x:v>
      </x:c>
      <x:c r="C60" s="18" t="str">
        <x:v>SPECIAL / SOURCE-QC</x:v>
      </x:c>
      <x:c r="D60" s="18" t="str">
        <x:v>Core source extraction verified; cross-contaminated Gemini RoB derivative must be excluded/re-extracted; correct sham has pre/post 4 mA and intraoperative 0 mA.</x:v>
      </x:c>
      <x:c r="E60" s="18" t="str"/>
      <x:c r="F60" s="18" t="str">
        <x:v>Chen 2020</x:v>
      </x:c>
      <x:c r="G60" s="18" t="str">
        <x:v>480</x:v>
      </x:c>
      <x:c r="H60" s="18" t="str">
        <x:v>1879896688</x:v>
      </x:c>
      <x:c r="I60" s="18" t="str">
        <x:v>**Opioid 0-24h (PRIMARY)**: TEAS (n=40) 72.43 ± 4.78 µg sufentanil vs Sham TEAS (n=40) 100.62 ± 10.20 µg (P &lt; 0.001) [MD -28.19 µg]. **Opioid 0-48h**: TEAS 1...</x:v>
      </x:c>
      <x:c r="J60" s="18" t="str">
        <x:v>Yes</x:v>
      </x:c>
      <x:c r="K60" s="18" t="str">
        <x:v>No</x:v>
      </x:c>
      <x:c r="L60" s="18" t="str">
        <x:v>Yes</x:v>
      </x:c>
      <x:c r="M60" s="18" t="str">
        <x:v>Cumulative sufentanil</x:v>
      </x:c>
      <x:c r="N60" s="18" t="str">
        <x:v>24 h</x:v>
      </x:c>
      <x:c r="O60" s="18" t="str">
        <x:v>Some concerns</x:v>
      </x:c>
      <x:c r="P60" s="18" t="str">
        <x:v>SOURCE-NORMALIZED — CORRECT SOURCE RoB REBUILT</x:v>
      </x:c>
      <x:c r="Q60" s="18" t="str">
        <x:v>Use the verified 72.43 ± 4.78 vs 100.62 ± 10.20 µg result and the actual sham protocol.</x:v>
      </x:c>
      <x:c r="R60" s="18" t="str">
        <x:v>SOURCE-NORMALIZED OUTCOME ROWS ADDED</x:v>
      </x:c>
      <x:c r="S60" s="18" t="str">
        <x:v>Source PDF / supplement / protocol / registration &gt; reconciled source extraction &gt; derivative model output</x:v>
      </x:c>
      <x:c r="T60" s="18" t="str">
        <x:v>https://drive.google.com/drive/folders/1EWdZyTQjPSuoxt8n1nIr1t8D98PC-mso</x:v>
      </x:c>
      <x:c r="U60" s="18" t="str">
        <x:v>https://docs.google.com/document/d/1hR0UuZSmPpwZi384Vzn3sZt5Y5_ZwYxW6b3u4nq2-40/edit</x:v>
      </x:c>
      <x:c r="V60" t="n">
        <x:f>COUNTIF(Outcome_Data!$A:$A,A60)</x:f>
        <x:v>2</x:v>
      </x:c>
    </x:row>
    <x:row r="61">
      <x:c r="A61" s="18" t="str">
        <x:v>Ao 2021</x:v>
      </x:c>
      <x:c r="B61" s="18" t="str">
        <x:v>Batches 1 and 9</x:v>
      </x:c>
      <x:c r="C61" s="18" t="str">
        <x:v>FULL REPLACEMENT</x:v>
      </x:c>
      <x:c r="D61" s="18" t="str">
        <x:v>Source 70 randomized/65 analyzed; stored RoB invents 90/90 and exact graph-only 24-h VAS.</x:v>
      </x:c>
      <x:c r="E61" s="18" t="str"/>
      <x:c r="F61" s="18" t="str">
        <x:v>Ao 2021</x:v>
      </x:c>
      <x:c r="G61" s="18" t="str">
        <x:v>438</x:v>
      </x:c>
      <x:c r="H61" s="18" t="str">
        <x:v>1879896620</x:v>
      </x:c>
      <x:c r="I61" s="18" t="str">
        <x:v>**Opioid 0-48h**: TEAS (n=32) 102.8 ± 7.4 ml vs Sham TEAS (n=33) 120.6 ± 9.2 ml (sufentanil 1.5 µg/kg in 150 ml NS). **Opioid 0-24h**: Measured-not-reported ...</x:v>
      </x:c>
      <x:c r="J61" s="18" t="str">
        <x:v>Yes</x:v>
      </x:c>
      <x:c r="K61" s="18" t="str">
        <x:v>Yes</x:v>
      </x:c>
      <x:c r="L61" s="18" t="str">
        <x:v>Yes</x:v>
      </x:c>
      <x:c r="M61" s="18" t="str">
        <x:v>Cumulative PCA solution consumption</x:v>
      </x:c>
      <x:c r="N61" s="18" t="str">
        <x:v>48 h</x:v>
      </x:c>
      <x:c r="O61" s="18" t="str">
        <x:v>Some concerns</x:v>
      </x:c>
      <x:c r="P61" s="18" t="str">
        <x:v>SOURCE-NORMALIZED — 24H OPIOID STILL MISSING</x:v>
      </x:c>
      <x:c r="Q61" s="18" t="str">
        <x:v>48-h PCA volume is direct; 24-h VAS is graph-derived and exact 24-h sufentanil remains unavailable.</x:v>
      </x:c>
      <x:c r="R61" s="18" t="str">
        <x:v>SOURCE-NORMALIZED OUTCOME ROWS ADDED</x:v>
      </x:c>
      <x:c r="S61" s="18" t="str">
        <x:v>Source PDF / supplement / protocol / registration &gt; reconciled source extraction &gt; derivative model output</x:v>
      </x:c>
      <x:c r="T61" s="18" t="str">
        <x:v>https://drive.google.com/drive/folders/1EWdZyTQjPSuoxt8n1nIr1t8D98PC-mso</x:v>
      </x:c>
      <x:c r="U61" s="18" t="str">
        <x:v>https://docs.google.com/document/d/1hR0UuZSmPpwZi384Vzn3sZt5Y5_ZwYxW6b3u4nq2-40/edit</x:v>
      </x:c>
      <x:c r="V61" t="n">
        <x:f>COUNTIF(Outcome_Data!$A:$A,A61)</x:f>
        <x:v>3</x:v>
      </x:c>
    </x:row>
    <x:row r="62">
      <x:c r="A62" s="18" t="str">
        <x:v>An 2014</x:v>
      </x:c>
      <x:c r="B62" s="18" t="str">
        <x:v>Batch 20</x:v>
      </x:c>
      <x:c r="C62" s="18" t="str">
        <x:v>FULL REPLACEMENT</x:v>
      </x:c>
      <x:c r="D62" s="18" t="str">
        <x:v>Stored RoB invents 90-patient three-arm sham trial and 24-h morphine result; true source is 88-randomized two-arm EA/control with fentanyl PCIA.</x:v>
      </x:c>
      <x:c r="E62" s="18" t="str"/>
      <x:c r="F62" s="18" t="str">
        <x:v>An 2014</x:v>
      </x:c>
      <x:c r="G62" s="18" t="str">
        <x:v>698</x:v>
      </x:c>
      <x:c r="H62" s="18" t="str">
        <x:v>1879897069</x:v>
      </x:c>
      <x:c r="I62" s="18" t="str">
        <x:v>**Opioid 0-48h**: EA (n=41) 0.67 ± 0.09 mg fentanyl; Control (n=40) 0.73 ± 0.12 mg fentanyl. **Opioid 0-24h**: Measured-not-reported (requires author contact...</x:v>
      </x:c>
      <x:c r="J62" s="18" t="str">
        <x:v>No</x:v>
      </x:c>
      <x:c r="K62" s="18" t="str">
        <x:v>Yes</x:v>
      </x:c>
      <x:c r="L62" s="18" t="str">
        <x:v>Yes</x:v>
      </x:c>
      <x:c r="M62" s="18" t="str">
        <x:v>Total postoperative fentanyl PCIA dose</x:v>
      </x:c>
      <x:c r="N62" s="18" t="str">
        <x:v>Reported 48-h PCIA period</x:v>
      </x:c>
      <x:c r="O62" s="18" t="str">
        <x:v>High</x:v>
      </x:c>
      <x:c r="P62" s="18" t="str">
        <x:v>SOURCE-NORMALIZED — 24H ENDPOINT UNAVAILABLE</x:v>
      </x:c>
      <x:c r="Q62" s="18" t="str">
        <x:v>Use 0.67 ± 0.09 vs 0.73 ± 0.12 mg only for the reported 48-h period; exact 0-24 h cannot be reconstructed.</x:v>
      </x:c>
      <x:c r="R62" s="18" t="str">
        <x:v>SOURCE-NORMALIZED OUTCOME ROWS ADDED</x:v>
      </x:c>
      <x:c r="S62" s="18" t="str">
        <x:v>Source PDF / supplement / protocol / registration &gt; reconciled source extraction &gt; derivative model output</x:v>
      </x:c>
      <x:c r="T62" s="18" t="str">
        <x:v>https://drive.google.com/drive/folders/1EWdZyTQjPSuoxt8n1nIr1t8D98PC-mso</x:v>
      </x:c>
      <x:c r="U62" s="18" t="str">
        <x:v>https://docs.google.com/document/d/1hR0UuZSmPpwZi384Vzn3sZt5Y5_ZwYxW6b3u4nq2-40/edit</x:v>
      </x:c>
      <x:c r="V62" t="n">
        <x:f>COUNTIF(Outcome_Data!$A:$A,A62)</x:f>
        <x:v>2</x:v>
      </x:c>
    </x:row>
    <x:row r="63">
      <x:c r="A63" s="18" t="str">
        <x:v>Chen 2015</x:v>
      </x:c>
      <x:c r="B63" s="18" t="str">
        <x:v>Batch 5</x:v>
      </x:c>
      <x:c r="C63" s="18" t="str">
        <x:v>FULL REPLACEMENT</x:v>
      </x:c>
      <x:c r="D63" s="18" t="str">
        <x:v>Distinct QoR-40 thyroidectomy trial (NCT02333747); stored RoB changes sample/intervention/outcome and requires complete replacement.</x:v>
      </x:c>
      <x:c r="E63" s="18" t="str"/>
      <x:c r="F63" s="18" t="str">
        <x:v>Chen 2015</x:v>
      </x:c>
      <x:c r="G63" s="18" t="str">
        <x:v>657</x:v>
      </x:c>
      <x:c r="H63" s="18" t="str">
        <x:v>1879897004</x:v>
      </x:c>
      <x:c r="I63" s="18" t="str">
        <x:v>**Opioid 0-24h (PRIMARY)**: TEAS (n=41) median 1 dose (IQR 1-3) [mean ~3.0 ± 2.96 mg morphine] vs Control (n=42) median 3.5 doses (IQR 2-7) [mean ~8.0 ± 7.41...</x:v>
      </x:c>
      <x:c r="J63" s="18" t="str">
        <x:v>Yes</x:v>
      </x:c>
      <x:c r="K63" s="18" t="str">
        <x:v>Yes</x:v>
      </x:c>
      <x:c r="L63" s="18" t="str">
        <x:v>Yes</x:v>
      </x:c>
      <x:c r="M63" s="18" t="str">
        <x:v>Global QoR-40</x:v>
      </x:c>
      <x:c r="N63" s="18" t="str">
        <x:v>24 h</x:v>
      </x:c>
      <x:c r="O63" s="18" t="str">
        <x:v>High</x:v>
      </x:c>
      <x:c r="P63" s="18" t="str">
        <x:v>SOURCE-NORMALIZED — QoR + DERIVED RESCUE-MORPHINE ROWS ADDED</x:v>
      </x:c>
      <x:c r="Q63" s="18" t="str">
        <x:v>QoR is source-valid; rescue morphine median/IQR is derived exactly from fixed 2-mg administrations.</x:v>
      </x:c>
      <x:c r="R63" s="18" t="str">
        <x:v>SOURCE-NORMALIZED OUTCOME ROWS ADDED</x:v>
      </x:c>
      <x:c r="S63" s="18" t="str">
        <x:v>Source PDF / supplement / protocol / registration &gt; reconciled source extraction &gt; derivative model output</x:v>
      </x:c>
      <x:c r="T63" s="18" t="str">
        <x:v>https://drive.google.com/drive/folders/1EWdZyTQjPSuoxt8n1nIr1t8D98PC-mso</x:v>
      </x:c>
      <x:c r="U63" s="18" t="str">
        <x:v>https://docs.google.com/document/d/1hR0UuZSmPpwZi384Vzn3sZt5Y5_ZwYxW6b3u4nq2-40/edit</x:v>
      </x:c>
      <x:c r="V63" t="n">
        <x:f>COUNTIF(Outcome_Data!$A:$A,A63)</x:f>
        <x:v>3</x:v>
      </x:c>
    </x:row>
    <x:row r="64">
      <x:c r="A64" s="18" t="str">
        <x:v>Chen 2015 (Hyperalgesia)</x:v>
      </x:c>
      <x:c r="B64" s="18" t="str">
        <x:v>Batch 4</x:v>
      </x:c>
      <x:c r="C64" s="18" t="str">
        <x:v>FULL REPLACEMENT</x:v>
      </x:c>
      <x:c r="D64" s="18" t="str">
        <x:v>Distinct thyroidectomy remifentanil-hyperalgesia/mechanical-threshold trial; stored RoB contains material study/result mismatches and requires complete replacement.</x:v>
      </x:c>
      <x:c r="E64" s="18" t="str"/>
      <x:c r="F64" s="18" t="str">
        <x:v>Chen 2015 (Hyperalgesia)</x:v>
      </x:c>
      <x:c r="G64" s="18" t="str">
        <x:v>632</x:v>
      </x:c>
      <x:c r="H64" s="18" t="str">
        <x:v>1879897029</x:v>
      </x:c>
      <x:c r="I64" s="18" t="str">
        <x:v>**Opioid 0-24h (PRIMARY)**: TEAS (n=29) median 3 boluses (IQR 2-4) [mean ~8.66 ± 4.27 µg sufentanil] vs Control median 7 boluses (IQR 6-8) [mean ~19.88 ± 4.2...</x:v>
      </x:c>
      <x:c r="J64" s="18" t="str">
        <x:v>Yes</x:v>
      </x:c>
      <x:c r="K64" s="18" t="str">
        <x:v>Yes</x:v>
      </x:c>
      <x:c r="L64" s="18" t="str">
        <x:v>Yes</x:v>
      </x:c>
      <x:c r="M64" s="18" t="str">
        <x:v>Cumulative rescue sufentanil PCIA boluses</x:v>
      </x:c>
      <x:c r="N64" s="18" t="str">
        <x:v>0-24 h</x:v>
      </x:c>
      <x:c r="O64" s="18" t="str">
        <x:v>Some concerns</x:v>
      </x:c>
      <x:c r="P64" s="18" t="str">
        <x:v>SOURCE-NORMALIZED — WEIGHT-NORMALIZED OPIOID DERIVATION ADDED</x:v>
      </x:c>
      <x:c r="Q64" s="18" t="str">
        <x:v>Use bolus counts directly; derived 0.05 µg/kg-per-bolus totals must not be converted to absolute µg using average body weight.</x:v>
      </x:c>
      <x:c r="R64" s="18" t="str">
        <x:v>SOURCE-NORMALIZED OUTCOME ROWS ADDED</x:v>
      </x:c>
      <x:c r="S64" s="18" t="str">
        <x:v>Source PDF / supplement / protocol / registration &gt; reconciled source extraction &gt; derivative model output</x:v>
      </x:c>
      <x:c r="T64" s="18" t="str">
        <x:v>https://drive.google.com/drive/folders/1EWdZyTQjPSuoxt8n1nIr1t8D98PC-mso</x:v>
      </x:c>
      <x:c r="U64" s="18" t="str">
        <x:v>https://docs.google.com/document/d/1hR0UuZSmPpwZi384Vzn3sZt5Y5_ZwYxW6b3u4nq2-40/edit</x:v>
      </x:c>
      <x:c r="V64" t="n">
        <x:f>COUNTIF(Outcome_Data!$A:$A,A64)</x:f>
        <x:v>3</x:v>
      </x:c>
    </x:row>
  </x:sheetData>
  <x:conditionalFormatting sqref="C2:C64">
    <x:cfRule type="expression" dxfId="0" priority="1">
      <x:formula>C2="FULL REPLACEMENT"</x:formula>
    </x:cfRule>
    <x:cfRule type="expression" dxfId="1" priority="2">
      <x:formula>C2="RE-ADJUDICATE"</x:formula>
    </x:cfRule>
    <x:cfRule type="expression" dxfId="2" priority="3">
      <x:formula>C2="SPECIAL / SOURCE-QC"</x:formula>
    </x:cfRule>
    <x:cfRule type="expression" dxfId="3" priority="4">
      <x:formula>C2="NO MATCHING RoB"</x:formula>
    </x:cfRule>
  </x:conditionalFormatting>
  <x:conditionalFormatting sqref="J2:J64">
    <x:cfRule type="expression" dxfId="4" priority="5">
      <x:formula>J2="Yes"</x:formula>
    </x:cfRule>
  </x:conditionalFormatting>
  <x:conditionalFormatting sqref="O2:O64">
    <x:cfRule type="expression" dxfId="5" priority="6">
      <x:formula>O2="High"</x:formula>
    </x:cfRule>
    <x:cfRule type="expression" dxfId="6" priority="7">
      <x:formula>O2="Some concerns"</x:formula>
    </x:cfRule>
    <x:cfRule type="expression" dxfId="7" priority="8">
      <x:formula>O2="Low"</x:formula>
    </x:cfRule>
  </x:conditionalFormatting>
  <x:pageMargins left="0.7" right="0.7" top="0.75" bottom="0.75" header="0.3" footer="0.3"/>
  <x:tableParts count="1">
    <x:tablePart xmlns:r="http://schemas.openxmlformats.org/officeDocument/2006/relationships" r:id="R1788b380d48943d1"/>
  </x:tableParts>
</x:worksheet>
</file>

<file path=xl/worksheets/sheet3.xml><?xml version="1.0" encoding="utf-8"?>
<x:worksheet xmlns:x="http://schemas.openxmlformats.org/spreadsheetml/2006/main">
  <x:sheetFormatPr defaultRowHeight="15"/>
  <x:cols>
    <x:col min="1" max="1" width="22" hidden="0" customWidth="1"/>
    <x:col min="2" max="2" width="28" hidden="0" customWidth="1"/>
    <x:col min="3" max="3" width="30" hidden="0" customWidth="1"/>
    <x:col min="4" max="4" width="18" hidden="0" customWidth="1"/>
    <x:col min="5" max="5" width="18" hidden="0" customWidth="1"/>
    <x:col min="6" max="6" width="18" hidden="0" customWidth="1"/>
    <x:col min="7" max="7" width="4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44" hidden="0" customWidth="1"/>
    <x:col min="16" max="16" width="44" hidden="0" customWidth="1"/>
  </x:cols>
  <x:sheetData>
    <x:row r="1">
      <x:c r="A1" s="24" t="str">
        <x:v>Canonical study</x:v>
      </x:c>
      <x:c r="B1" s="24" t="str">
        <x:v>Selected result</x:v>
      </x:c>
      <x:c r="C1" s="24" t="str">
        <x:v>Comparison</x:v>
      </x:c>
      <x:c r="D1" s="24" t="str">
        <x:v>Timepoint/window</x:v>
      </x:c>
      <x:c r="E1" s="24" t="str">
        <x:v>Randomized n</x:v>
      </x:c>
      <x:c r="F1" s="24" t="str">
        <x:v>Analyzed n</x:v>
      </x:c>
      <x:c r="G1" s="24" t="str">
        <x:v>Corrected source result</x:v>
      </x:c>
      <x:c r="H1" s="24" t="str">
        <x:v>Domain 1</x:v>
      </x:c>
      <x:c r="I1" s="24" t="str">
        <x:v>Domain 2</x:v>
      </x:c>
      <x:c r="J1" s="24" t="str">
        <x:v>Domain 3</x:v>
      </x:c>
      <x:c r="K1" s="24" t="str">
        <x:v>Domain 4</x:v>
      </x:c>
      <x:c r="L1" s="24" t="str">
        <x:v>Domain 5</x:v>
      </x:c>
      <x:c r="M1" s="24" t="str">
        <x:v>Overall RoB 2</x:v>
      </x:c>
      <x:c r="N1" s="24" t="str">
        <x:v>Correction source</x:v>
      </x:c>
      <x:c r="O1" s="24" t="str">
        <x:v>Source folder</x:v>
      </x:c>
      <x:c r="P1" s="24" t="str">
        <x:v>Corrected RoB folder</x:v>
      </x:c>
    </x:row>
    <x:row r="2">
      <x:c r="A2" s="18" t="str">
        <x:v>Yang 2020</x:v>
      </x:c>
      <x:c r="B2" s="18" t="str">
        <x:v>Time to first postoperative flatus</x:v>
      </x:c>
      <x:c r="C2" s="18" t="str">
        <x:v>EA + usual care vs usual care</x:v>
      </x:c>
      <x:c r="D2" s="18" t="str">
        <x:v>Time to event</x:v>
      </x:c>
      <x:c r="E2" s="18" t="str">
        <x:v>EA 30 / UC 29</x:v>
      </x:c>
      <x:c r="F2" s="18" t="str">
        <x:v>EA 29 / UC 28</x:v>
      </x:c>
      <x:c r="G2" s="18" t="str">
        <x:v>20.8 ± 4.6 h vs 24.1 ± 6.2 h; P=0.026</x:v>
      </x:c>
      <x:c r="H2" s="18" t="str">
        <x:v>Low</x:v>
      </x:c>
      <x:c r="I2" s="18" t="str">
        <x:v>Some concerns</x:v>
      </x:c>
      <x:c r="J2" s="18" t="str">
        <x:v>Low</x:v>
      </x:c>
      <x:c r="K2" s="18" t="str">
        <x:v>Some concerns</x:v>
      </x:c>
      <x:c r="L2" s="18" t="str">
        <x:v>Some concerns</x:v>
      </x:c>
      <x:c r="M2" s="18" t="str">
        <x:v>Some concerns</x:v>
      </x:c>
      <x:c r="N2" s="18" t="str">
        <x:v>Corrected RoB 2 Replacement Batch 1</x:v>
      </x:c>
      <x:c r="O2" s="18" t="str">
        <x:v>https://drive.google.com/drive/folders/1EWdZyTQjPSuoxt8n1nIr1t8D98PC-mso</x:v>
      </x:c>
      <x:c r="P2" s="18" t="str">
        <x:v>https://drive.google.com/drive/folders/1nsfVZMyB9znicxQzB7lvyfiiiuzMdc5M</x:v>
      </x:c>
    </x:row>
    <x:row r="3">
      <x:c r="A3" s="18" t="str">
        <x:v>Seevaunnamtum 2016</x:v>
      </x:c>
      <x:c r="B3" s="18" t="str">
        <x:v>Cumulative IV PCA morphine</x:v>
      </x:c>
      <x:c r="C3" s="18" t="str">
        <x:v>EA + standard care vs standard care</x:v>
      </x:c>
      <x:c r="D3" s="18" t="str">
        <x:v>0-24 h</x:v>
      </x:c>
      <x:c r="E3" s="18" t="str">
        <x:v>32 / 32</x:v>
      </x:c>
      <x:c r="F3" s="18" t="str">
        <x:v>32 / 32</x:v>
      </x:c>
      <x:c r="G3" s="18" t="str">
        <x:v>21.38 ± 14.38 mg vs 33.94 ± 20.24 mg; P=0.006</x:v>
      </x:c>
      <x:c r="H3" s="18" t="str">
        <x:v>Some concerns</x:v>
      </x:c>
      <x:c r="I3" s="18" t="str">
        <x:v>Low</x:v>
      </x:c>
      <x:c r="J3" s="18" t="str">
        <x:v>Low</x:v>
      </x:c>
      <x:c r="K3" s="18" t="str">
        <x:v>Low</x:v>
      </x:c>
      <x:c r="L3" s="18" t="str">
        <x:v>Some concerns</x:v>
      </x:c>
      <x:c r="M3" s="18" t="str">
        <x:v>Some concerns</x:v>
      </x:c>
      <x:c r="N3" s="18" t="str">
        <x:v>Corrected RoB 2 Replacement Batch 1</x:v>
      </x:c>
      <x:c r="O3" s="18" t="str">
        <x:v>https://drive.google.com/drive/folders/1EWdZyTQjPSuoxt8n1nIr1t8D98PC-mso</x:v>
      </x:c>
      <x:c r="P3" s="18" t="str">
        <x:v>https://drive.google.com/drive/folders/1nsfVZMyB9znicxQzB7lvyfiiiuzMdc5M</x:v>
      </x:c>
    </x:row>
    <x:row r="4">
      <x:c r="A4" s="18" t="str">
        <x:v>Lin 2002</x:v>
      </x:c>
      <x:c r="B4" s="18" t="str">
        <x:v>Cumulative IV PCA morphine delivered</x:v>
      </x:c>
      <x:c r="C4" s="18" t="str">
        <x:v>Four-arm: control / sham / low-EA / high-EA</x:v>
      </x:c>
      <x:c r="D4" s="18" t="str">
        <x:v>24-h test period</x:v>
      </x:c>
      <x:c r="E4" s="18" t="str">
        <x:v>25 per arm</x:v>
      </x:c>
      <x:c r="F4" s="18" t="str">
        <x:v>25 per arm</x:v>
      </x:c>
      <x:c r="G4" s="18" t="str">
        <x:v>Control 38.1 ± 16.0 mg; sham 30.2 ± 14.4; low-EA 21.8 ± 14.7; high-EA 15.0 ± 10.7</x:v>
      </x:c>
      <x:c r="H4" s="18" t="str">
        <x:v>Some concerns</x:v>
      </x:c>
      <x:c r="I4" s="18" t="str">
        <x:v>Low</x:v>
      </x:c>
      <x:c r="J4" s="18" t="str">
        <x:v>Low</x:v>
      </x:c>
      <x:c r="K4" s="18" t="str">
        <x:v>Low</x:v>
      </x:c>
      <x:c r="L4" s="18" t="str">
        <x:v>Some concerns</x:v>
      </x:c>
      <x:c r="M4" s="18" t="str">
        <x:v>Some concerns</x:v>
      </x:c>
      <x:c r="N4" s="18" t="str">
        <x:v>Corrected RoB 2 Replacement Batch 1</x:v>
      </x:c>
      <x:c r="O4" s="18" t="str">
        <x:v>https://drive.google.com/drive/folders/1EWdZyTQjPSuoxt8n1nIr1t8D98PC-mso</x:v>
      </x:c>
      <x:c r="P4" s="18" t="str">
        <x:v>https://drive.google.com/drive/folders/1nsfVZMyB9znicxQzB7lvyfiiiuzMdc5M</x:v>
      </x:c>
    </x:row>
    <x:row r="5">
      <x:c r="A5" s="18" t="str">
        <x:v>Yao 2015</x:v>
      </x:c>
      <x:c r="B5" s="18" t="str">
        <x:v>Global QoR-40</x:v>
      </x:c>
      <x:c r="C5" s="18" t="str">
        <x:v>TEAS vs no-current control</x:v>
      </x:c>
      <x:c r="D5" s="18" t="str">
        <x:v>24 h</x:v>
      </x:c>
      <x:c r="E5" s="18" t="str">
        <x:v>37 / 37</x:v>
      </x:c>
      <x:c r="F5" s="18" t="str">
        <x:v>35 / 36</x:v>
      </x:c>
      <x:c r="G5" s="18" t="str">
        <x:v>176.5 ± 10.2 vs 164.8 ± 14.7; P&lt;0.001</x:v>
      </x:c>
      <x:c r="H5" s="18" t="str">
        <x:v>Low</x:v>
      </x:c>
      <x:c r="I5" s="18" t="str">
        <x:v>Some concerns</x:v>
      </x:c>
      <x:c r="J5" s="18" t="str">
        <x:v>Low</x:v>
      </x:c>
      <x:c r="K5" s="18" t="str">
        <x:v>High</x:v>
      </x:c>
      <x:c r="L5" s="18" t="str">
        <x:v>Some concerns</x:v>
      </x:c>
      <x:c r="M5" s="18" t="str">
        <x:v>High</x:v>
      </x:c>
      <x:c r="N5" s="18" t="str">
        <x:v>Corrected RoB 2 Replacement Batch 2</x:v>
      </x:c>
      <x:c r="O5" s="18" t="str">
        <x:v>https://drive.google.com/drive/folders/1EWdZyTQjPSuoxt8n1nIr1t8D98PC-mso</x:v>
      </x:c>
      <x:c r="P5" s="18" t="str">
        <x:v>https://drive.google.com/drive/folders/1nsfVZMyB9znicxQzB7lvyfiiiuzMdc5M</x:v>
      </x:c>
    </x:row>
    <x:row r="6">
      <x:c r="A6" s="18" t="str">
        <x:v>Yu 2020</x:v>
      </x:c>
      <x:c r="B6" s="18" t="str">
        <x:v>Global QoR-40</x:v>
      </x:c>
      <x:c r="C6" s="18" t="str">
        <x:v>TEAS vs no-current control</x:v>
      </x:c>
      <x:c r="D6" s="18" t="str">
        <x:v>POD1 (~24 h)</x:v>
      </x:c>
      <x:c r="E6" s="18" t="str">
        <x:v>30 / 30</x:v>
      </x:c>
      <x:c r="F6" s="18" t="str">
        <x:v>30 / 30</x:v>
      </x:c>
      <x:c r="G6" s="18" t="str">
        <x:v>175.33 ± 9.66 vs 166.07 ± 8.44; P=0.040</x:v>
      </x:c>
      <x:c r="H6" s="18" t="str">
        <x:v>Some concerns</x:v>
      </x:c>
      <x:c r="I6" s="18" t="str">
        <x:v>Low</x:v>
      </x:c>
      <x:c r="J6" s="18" t="str">
        <x:v>Low</x:v>
      </x:c>
      <x:c r="K6" s="18" t="str">
        <x:v>High</x:v>
      </x:c>
      <x:c r="L6" s="18" t="str">
        <x:v>Some concerns</x:v>
      </x:c>
      <x:c r="M6" s="18" t="str">
        <x:v>High</x:v>
      </x:c>
      <x:c r="N6" s="18" t="str">
        <x:v>Corrected RoB 2 Replacement Batch 2</x:v>
      </x:c>
      <x:c r="O6" s="18" t="str">
        <x:v>https://drive.google.com/drive/folders/1EWdZyTQjPSuoxt8n1nIr1t8D98PC-mso</x:v>
      </x:c>
      <x:c r="P6" s="18" t="str">
        <x:v>https://drive.google.com/drive/folders/1nsfVZMyB9znicxQzB7lvyfiiiuzMdc5M</x:v>
      </x:c>
    </x:row>
    <x:row r="7">
      <x:c r="A7" s="18" t="str">
        <x:v>Pan 2023</x:v>
      </x:c>
      <x:c r="B7" s="18" t="str">
        <x:v>Time to first postoperative flatus</x:v>
      </x:c>
      <x:c r="C7" s="18" t="str">
        <x:v>TEAS vs no-TEAS control</x:v>
      </x:c>
      <x:c r="D7" s="18" t="str">
        <x:v>Time to event</x:v>
      </x:c>
      <x:c r="E7" s="18" t="str">
        <x:v>60 / 60</x:v>
      </x:c>
      <x:c r="F7" s="18" t="str">
        <x:v>52 / 53</x:v>
      </x:c>
      <x:c r="G7" s="18" t="str">
        <x:v>1020.0 (675.8–1278.0) min vs 1210.0 (896.5–1427.0) min; P=0.01</x:v>
      </x:c>
      <x:c r="H7" s="18" t="str">
        <x:v>Some concerns</x:v>
      </x:c>
      <x:c r="I7" s="18" t="str">
        <x:v>High</x:v>
      </x:c>
      <x:c r="J7" s="18" t="str">
        <x:v>High</x:v>
      </x:c>
      <x:c r="K7" s="18" t="str">
        <x:v>Some concerns</x:v>
      </x:c>
      <x:c r="L7" s="18" t="str">
        <x:v>Some concerns</x:v>
      </x:c>
      <x:c r="M7" s="18" t="str">
        <x:v>High</x:v>
      </x:c>
      <x:c r="N7" s="18" t="str">
        <x:v>Corrected RoB 2 Replacement Batch 2</x:v>
      </x:c>
      <x:c r="O7" s="18" t="str">
        <x:v>https://drive.google.com/drive/folders/1EWdZyTQjPSuoxt8n1nIr1t8D98PC-mso</x:v>
      </x:c>
      <x:c r="P7" s="18" t="str">
        <x:v>https://drive.google.com/drive/folders/1nsfVZMyB9znicxQzB7lvyfiiiuzMdc5M</x:v>
      </x:c>
    </x:row>
    <x:row r="8">
      <x:c r="A8" t="str">
        <x:v>Zhu 2022</x:v>
      </x:c>
      <x:c r="B8" t="str">
        <x:v>Postoperative vomiting</x:v>
      </x:c>
      <x:c r="C8" t="str">
        <x:v>EA day before surgery vs usual care</x:v>
      </x:c>
      <x:c r="D8" t="str">
        <x:v>6-24 h postoperatively</x:v>
      </x:c>
      <x:c r="E8" t="str">
        <x:v>Pre 103; usual care 104</x:v>
      </x:c>
      <x:c r="F8" t="str">
        <x:v>Pre 101; usual care 101</x:v>
      </x:c>
      <x:c r="G8" t="str">
        <x:v>5/101 vs 22/101</x:v>
      </x:c>
      <x:c r="H8" t="str">
        <x:v>Low</x:v>
      </x:c>
      <x:c r="I8" t="str">
        <x:v>Some concerns</x:v>
      </x:c>
      <x:c r="J8" t="str">
        <x:v>Low</x:v>
      </x:c>
      <x:c r="K8" t="str">
        <x:v>Low</x:v>
      </x:c>
      <x:c r="L8" t="str">
        <x:v>Some concerns</x:v>
      </x:c>
      <x:c r="M8" t="str">
        <x:v>Some concerns</x:v>
      </x:c>
      <x:c r="N8" t="str">
        <x:v>De novo source-grounded replacement; four-arm design retained</x:v>
      </x:c>
      <x:c r="O8" t="str">
        <x:v>https://drive.google.com/file/d/1vux5IaubjInusplW6GJ2SsxhzibtSCe-/view?usp=drivesdk</x:v>
      </x:c>
      <x:c r="P8" t="str">
        <x:v>https://drive.google.com/drive/folders/1nsfVZMyB9znicxQzB7lvyfiiiuzMdc5M</x:v>
      </x:c>
    </x:row>
    <x:row r="9">
      <x:c r="A9" t="str">
        <x:v>Zhou 2025</x:v>
      </x:c>
      <x:c r="B9" t="str">
        <x:v>Global QoR-15</x:v>
      </x:c>
      <x:c r="C9" t="str">
        <x:v>PACU TEAS vs sham/no current</x:v>
      </x:c>
      <x:c r="D9" t="str">
        <x:v>POD1</x:v>
      </x:c>
      <x:c r="E9" t="str">
        <x:v>50 vs 50</x:v>
      </x:c>
      <x:c r="F9" t="str">
        <x:v>48 vs 49</x:v>
      </x:c>
      <x:c r="G9" t="str">
        <x:v>112.00 ± 10.67 vs 107.62 ± 10.27</x:v>
      </x:c>
      <x:c r="H9" t="str">
        <x:v>Low</x:v>
      </x:c>
      <x:c r="I9" t="str">
        <x:v>Some concerns</x:v>
      </x:c>
      <x:c r="J9" t="str">
        <x:v>Low</x:v>
      </x:c>
      <x:c r="K9" t="str">
        <x:v>High</x:v>
      </x:c>
      <x:c r="L9" t="str">
        <x:v>Some concerns</x:v>
      </x:c>
      <x:c r="M9" t="str">
        <x:v>High</x:v>
      </x:c>
      <x:c r="N9" t="str">
        <x:v>De novo source-grounded replacement; patient-reported outcome with uncertain sensory masking</x:v>
      </x:c>
      <x:c r="O9" t="str">
        <x:v>https://drive.google.com/file/d/1gpNBuoukUttXKWiAAeZSqdIaaHSMOwDU/view?usp=drivesdk</x:v>
      </x:c>
      <x:c r="P9" t="str">
        <x:v>https://drive.google.com/drive/folders/1nsfVZMyB9znicxQzB7lvyfiiiuzMdc5M</x:v>
      </x:c>
    </x:row>
    <x:row r="10">
      <x:c r="A10" t="str">
        <x:v>Zhou 2021</x:v>
      </x:c>
      <x:c r="B10" t="str">
        <x:v>Time to first flatus</x:v>
      </x:c>
      <x:c r="C10" t="str">
        <x:v>Postoperative TEAS + ERAS vs ERAS/usual care</x:v>
      </x:c>
      <x:c r="D10" t="str">
        <x:v>Postoperative</x:v>
      </x:c>
      <x:c r="E10" t="str">
        <x:v>41 vs 41</x:v>
      </x:c>
      <x:c r="F10" t="str">
        <x:v>41 vs 40</x:v>
      </x:c>
      <x:c r="G10" t="str">
        <x:v>55.63 ± 16.74 vs 72.60 ± 20.92 h</x:v>
      </x:c>
      <x:c r="H10" t="str">
        <x:v>Some concerns</x:v>
      </x:c>
      <x:c r="I10" t="str">
        <x:v>Some concerns</x:v>
      </x:c>
      <x:c r="J10" t="str">
        <x:v>Low</x:v>
      </x:c>
      <x:c r="K10" t="str">
        <x:v>High</x:v>
      </x:c>
      <x:c r="L10" t="str">
        <x:v>Some concerns</x:v>
      </x:c>
      <x:c r="M10" t="str">
        <x:v>High</x:v>
      </x:c>
      <x:c r="N10" t="str">
        <x:v>De novo source-grounded replacement; open-label/no sham and likely participant-reported GI endpoint</x:v>
      </x:c>
      <x:c r="O10" t="str">
        <x:v>https://drive.google.com/file/d/1PxYyULBv_ZjWeqAm_bNYkDn_j2_lNYLq/view?usp=drivesdk</x:v>
      </x:c>
      <x:c r="P10" t="str">
        <x:v>https://drive.google.com/drive/folders/1nsfVZMyB9znicxQzB7lvyfiiiuzMdc5M</x:v>
      </x:c>
    </x:row>
    <x:row r="11">
      <x:c r="A11" t="str">
        <x:v>Zheng 2025</x:v>
      </x:c>
      <x:c r="B11" t="str">
        <x:v>Any PONV</x:v>
      </x:c>
      <x:c r="C11" t="str">
        <x:v>Perioperative TEAS vs sham/no current</x:v>
      </x:c>
      <x:c r="D11" t="str">
        <x:v>Within 24 h</x:v>
      </x:c>
      <x:c r="E11" t="str">
        <x:v>44 vs 44</x:v>
      </x:c>
      <x:c r="F11" t="str">
        <x:v>42 vs 43</x:v>
      </x:c>
      <x:c r="G11" t="str">
        <x:v>42.9% vs 67.4%; P=0.023</x:v>
      </x:c>
      <x:c r="H11" t="str">
        <x:v>Low</x:v>
      </x:c>
      <x:c r="I11" t="str">
        <x:v>Some concerns</x:v>
      </x:c>
      <x:c r="J11" t="str">
        <x:v>Low</x:v>
      </x:c>
      <x:c r="K11" t="str">
        <x:v>Some concerns</x:v>
      </x:c>
      <x:c r="L11" t="str">
        <x:v>Some concerns</x:v>
      </x:c>
      <x:c r="M11" t="str">
        <x:v>Some concerns</x:v>
      </x:c>
      <x:c r="N11" t="str">
        <x:v>De novo source-grounded replacement; 3 post-randomization exclusions and uncertain sensory masking</x:v>
      </x:c>
      <x:c r="O11" t="str">
        <x:v>https://drive.google.com/file/d/1-JWKZgQXaQQQBZgMSDqyIP-vG9aAxBqb/view?usp=drivesdk</x:v>
      </x:c>
      <x:c r="P11" t="str">
        <x:v>https://drive.google.com/drive/folders/1nsfVZMyB9znicxQzB7lvyfiiiuzMdc5M</x:v>
      </x:c>
    </x:row>
    <x:row r="12">
      <x:c r="A12" t="str">
        <x:v>Zhan 2020</x:v>
      </x:c>
      <x:c r="B12" t="str">
        <x:v>VAS pain intensity</x:v>
      </x:c>
      <x:c r="C12" t="str">
        <x:v>TAP + TEAS vs TAP</x:v>
      </x:c>
      <x:c r="D12" t="str">
        <x:v>24 h</x:v>
      </x:c>
      <x:c r="E12" t="str">
        <x:v>30 vs 30</x:v>
      </x:c>
      <x:c r="F12" t="str">
        <x:v>30 vs 30</x:v>
      </x:c>
      <x:c r="G12" t="str">
        <x:v>Printed: 2 (1.7 ± 2.2) vs 2 (2.0 ± 3.0); pairwise P=0.03</x:v>
      </x:c>
      <x:c r="H12" t="str">
        <x:v>Some concerns</x:v>
      </x:c>
      <x:c r="I12" t="str">
        <x:v>Low</x:v>
      </x:c>
      <x:c r="J12" t="str">
        <x:v>Low</x:v>
      </x:c>
      <x:c r="K12" t="str">
        <x:v>High</x:v>
      </x:c>
      <x:c r="L12" t="str">
        <x:v>Some concerns</x:v>
      </x:c>
      <x:c r="M12" t="str">
        <x:v>High</x:v>
      </x:c>
      <x:c r="N12" t="str">
        <x:v>De novo source-grounded replacement; subjective pain outcome without sensory-matched TEAS sham</x:v>
      </x:c>
      <x:c r="O12" t="str">
        <x:v>https://drive.google.com/file/d/1GYG7JxUOQxbt724-Ng7dWv3sYeC8dDSr/view?usp=drivesdk</x:v>
      </x:c>
      <x:c r="P12" t="str">
        <x:v>https://drive.google.com/drive/folders/1nsfVZMyB9znicxQzB7lvyfiiiuzMdc5M</x:v>
      </x:c>
    </x:row>
    <x:row r="13">
      <x:c r="A13" t="str">
        <x:v>Zhang 2025</x:v>
      </x:c>
      <x:c r="B13" t="str">
        <x:v>Total sufentanil consumption</x:v>
      </x:c>
      <x:c r="C13" t="str">
        <x:v>Perioperative TEAS vs sub-sensory sham</x:v>
      </x:c>
      <x:c r="D13" t="str">
        <x:v>POD1 (~24 h)</x:v>
      </x:c>
      <x:c r="E13" t="str">
        <x:v>54 vs 54</x:v>
      </x:c>
      <x:c r="F13" t="str">
        <x:v>45 vs 48</x:v>
      </x:c>
      <x:c r="G13" t="str">
        <x:v>50.53 ± 4.46 vs 53.79 ± 5.14 µg; P=0.002</x:v>
      </x:c>
      <x:c r="H13" t="str">
        <x:v>Low</x:v>
      </x:c>
      <x:c r="I13" t="str">
        <x:v>High</x:v>
      </x:c>
      <x:c r="J13" t="str">
        <x:v>High</x:v>
      </x:c>
      <x:c r="K13" t="str">
        <x:v>Low</x:v>
      </x:c>
      <x:c r="L13" t="str">
        <x:v>Some concerns</x:v>
      </x:c>
      <x:c r="M13" t="str">
        <x:v>High</x:v>
      </x:c>
      <x:c r="N13" t="str">
        <x:v>De novo source-grounded replacement; 15/108 post-randomization exclusions materially affect effect-of-assignment analysis</x:v>
      </x:c>
      <x:c r="O13" t="str">
        <x:v>https://drive.google.com/file/d/1eHx6Hk16vmIfMgoiZ5eNae4zmCR5ktwJ/view?usp=drivesdk</x:v>
      </x:c>
      <x:c r="P13" t="str">
        <x:v>https://drive.google.com/drive/folders/1nsfVZMyB9znicxQzB7lvyfiiiuzMdc5M</x:v>
      </x:c>
    </x:row>
    <x:row r="14">
      <x:c r="A14" t="str">
        <x:v>Zhang 2023</x:v>
      </x:c>
      <x:c r="B14" t="str">
        <x:v>Time to first spontaneous void</x:v>
      </x:c>
      <x:c r="C14" t="str">
        <x:v>TEAS vs sham/no current</x:v>
      </x:c>
      <x:c r="D14" t="str">
        <x:v>Postoperative</x:v>
      </x:c>
      <x:c r="E14" t="str">
        <x:v>975 vs 973</x:v>
      </x:c>
      <x:c r="F14" t="str">
        <x:v>922 vs 916</x:v>
      </x:c>
      <x:c r="G14" t="str">
        <x:v>5.6 (3.7-8.0) h vs 7.1 (4.7-9.7) h; P&lt;0.001</x:v>
      </x:c>
      <x:c r="H14" t="str">
        <x:v>Low</x:v>
      </x:c>
      <x:c r="I14" t="str">
        <x:v>High</x:v>
      </x:c>
      <x:c r="J14" t="str">
        <x:v>Some concerns</x:v>
      </x:c>
      <x:c r="K14" t="str">
        <x:v>Some concerns</x:v>
      </x:c>
      <x:c r="L14" t="str">
        <x:v>Low</x:v>
      </x:c>
      <x:c r="M14" t="str">
        <x:v>High</x:v>
      </x:c>
      <x:c r="N14" t="str">
        <x:v>De novo source-grounded replacement; 110 randomized participants excluded from final analysis after nonreceipt/discontinuation</x:v>
      </x:c>
      <x:c r="O14" t="str">
        <x:v>https://drive.google.com/file/d/1LXNXNhVJaOcYXBODulFUuMD4FQXC5dph/view?usp=drivesdk</x:v>
      </x:c>
      <x:c r="P14" t="str">
        <x:v>https://drive.google.com/drive/folders/1nsfVZMyB9znicxQzB7lvyfiiiuzMdc5M</x:v>
      </x:c>
    </x:row>
    <x:row r="15">
      <x:c r="A15" t="str">
        <x:v>Zhang 2014</x:v>
      </x:c>
      <x:c r="B15" t="str">
        <x:v>Recovery-room stay</x:v>
      </x:c>
      <x:c r="C15" t="str">
        <x:v>Preoperative TEAS vs sham/no current</x:v>
      </x:c>
      <x:c r="D15" t="str">
        <x:v>Recovery-room discharge</x:v>
      </x:c>
      <x:c r="E15" t="str">
        <x:v>33 vs 32</x:v>
      </x:c>
      <x:c r="F15" t="str">
        <x:v>33 vs 32</x:v>
      </x:c>
      <x:c r="G15" t="str">
        <x:v>35.6 ± 12.9 vs 48.3 ± 16.3 min; P=0.01</x:v>
      </x:c>
      <x:c r="H15" t="str">
        <x:v>Some concerns</x:v>
      </x:c>
      <x:c r="I15" t="str">
        <x:v>Low</x:v>
      </x:c>
      <x:c r="J15" t="str">
        <x:v>Low</x:v>
      </x:c>
      <x:c r="K15" t="str">
        <x:v>Low</x:v>
      </x:c>
      <x:c r="L15" t="str">
        <x:v>Some concerns</x:v>
      </x:c>
      <x:c r="M15" t="str">
        <x:v>Some concerns</x:v>
      </x:c>
      <x:c r="N15" t="str">
        <x:v>De novo source-grounded replacement; detailed flowchart used instead of abstract's incorrect 72-randomized statement</x:v>
      </x:c>
      <x:c r="O15" t="str">
        <x:v>https://drive.google.com/file/d/1lws1zFpIE-wbLY8X9ewYyTuIP-WySa-c/view?usp=drivesdk</x:v>
      </x:c>
      <x:c r="P15" t="str">
        <x:v>https://drive.google.com/drive/folders/1nsfVZMyB9znicxQzB7lvyfiiiuzMdc5M</x:v>
      </x:c>
    </x:row>
    <x:row r="16">
      <x:c r="A16" t="str">
        <x:v>Yang 2024</x:v>
      </x:c>
      <x:c r="B16" t="str">
        <x:v>Morphine use via IV PCA</x:v>
      </x:c>
      <x:c r="C16" t="str">
        <x:v>Perioperative EA + usual care vs usual care</x:v>
      </x:c>
      <x:c r="D16" t="str">
        <x:v>First 24 h / POD1</x:v>
      </x:c>
      <x:c r="E16" t="str">
        <x:v>90 vs 90</x:v>
      </x:c>
      <x:c r="F16" t="str">
        <x:v>90 vs 90</x:v>
      </x:c>
      <x:c r="G16" t="str">
        <x:v>43.7 ± 4.7 vs 44.0 ± 4.9 mg; P=0.733</x:v>
      </x:c>
      <x:c r="H16" t="str">
        <x:v>Low</x:v>
      </x:c>
      <x:c r="I16" t="str">
        <x:v>Low</x:v>
      </x:c>
      <x:c r="J16" t="str">
        <x:v>Low</x:v>
      </x:c>
      <x:c r="K16" t="str">
        <x:v>Low</x:v>
      </x:c>
      <x:c r="L16" t="str">
        <x:v>Some concerns</x:v>
      </x:c>
      <x:c r="M16" t="str">
        <x:v>Some concerns</x:v>
      </x:c>
      <x:c r="N16" t="str">
        <x:v>De novo source-grounded replacement; full ITT retained despite three protocol deviations; no sham for participants</x:v>
      </x:c>
      <x:c r="O16" t="str">
        <x:v>https://drive.google.com/file/d/160N3psd5tLEphwXHJzUEZ3uJfaIXcs5V/view?usp=drivesdk</x:v>
      </x:c>
      <x:c r="P16" t="str">
        <x:v>https://drive.google.com/drive/folders/1nsfVZMyB9znicxQzB7lvyfiiiuzMdc5M</x:v>
      </x:c>
    </x:row>
    <x:row r="17">
      <x:c r="A17" t="str">
        <x:v>Xiong 2021</x:v>
      </x:c>
      <x:c r="B17" t="str">
        <x:v>Any PONV</x:v>
      </x:c>
      <x:c r="C17" t="str">
        <x:v>TEAS + dexamethasone + tropisetron vs antiemetics alone</x:v>
      </x:c>
      <x:c r="D17" t="str">
        <x:v>Within 48 h</x:v>
      </x:c>
      <x:c r="E17" t="str">
        <x:v>31 vs 31</x:v>
      </x:c>
      <x:c r="F17" t="str">
        <x:v>31 vs 31</x:v>
      </x:c>
      <x:c r="G17" t="str">
        <x:v>13/31 vs 24/31; P=0.004</x:v>
      </x:c>
      <x:c r="H17" t="str">
        <x:v>Low</x:v>
      </x:c>
      <x:c r="I17" t="str">
        <x:v>Low</x:v>
      </x:c>
      <x:c r="J17" t="str">
        <x:v>Low</x:v>
      </x:c>
      <x:c r="K17" t="str">
        <x:v>Some concerns</x:v>
      </x:c>
      <x:c r="L17" t="str">
        <x:v>Some concerns</x:v>
      </x:c>
      <x:c r="M17" t="str">
        <x:v>Some concerns</x:v>
      </x:c>
      <x:c r="N17" t="str">
        <x:v>Fresh re-adjudication of source-matched RoB; participant sensory masking may have failed for a patient-reported PONV outcome</x:v>
      </x:c>
      <x:c r="O17" t="str">
        <x:v>https://drive.google.com/file/d/1sNaquYeWpsts7_e3XYP9c0CwM-tbQS6T/view?usp=drivesdk</x:v>
      </x:c>
      <x:c r="P17" t="str">
        <x:v>https://drive.google.com/drive/folders/1nsfVZMyB9znicxQzB7lvyfiiiuzMdc5M</x:v>
      </x:c>
    </x:row>
    <x:row r="18">
      <x:c r="A18" t="str">
        <x:v>Xing 2022</x:v>
      </x:c>
      <x:c r="B18" t="str">
        <x:v>Total intraoperative remifentanil consumption</x:v>
      </x:c>
      <x:c r="C18" t="str">
        <x:v>TEAS + TAPB vs sham TEAS + TAPB</x:v>
      </x:c>
      <x:c r="D18" t="str">
        <x:v>Intraoperative</x:v>
      </x:c>
      <x:c r="E18" t="str">
        <x:v>30 vs 30</x:v>
      </x:c>
      <x:c r="F18" t="str">
        <x:v>29 vs 29</x:v>
      </x:c>
      <x:c r="G18" t="str">
        <x:v>1182.61 ± 253.61 vs 1415.41 ± 295.67 µg; pairwise P&lt;0.05</x:v>
      </x:c>
      <x:c r="H18" t="str">
        <x:v>Low</x:v>
      </x:c>
      <x:c r="I18" t="str">
        <x:v>Low</x:v>
      </x:c>
      <x:c r="J18" t="str">
        <x:v>Some concerns</x:v>
      </x:c>
      <x:c r="K18" t="str">
        <x:v>Low</x:v>
      </x:c>
      <x:c r="L18" t="str">
        <x:v>Some concerns</x:v>
      </x:c>
      <x:c r="M18" t="str">
        <x:v>Some concerns</x:v>
      </x:c>
      <x:c r="N18" t="str">
        <x:v>De novo source-grounded replacement using the randomized incremental TEAS contrast NTG vs NG</x:v>
      </x:c>
      <x:c r="O18" t="str">
        <x:v>https://drive.google.com/file/d/1h3IGpQ56nSh7H16xBEVyTzCBkWOXRSxK/view?usp=drivesdk</x:v>
      </x:c>
      <x:c r="P18" t="str">
        <x:v>https://drive.google.com/drive/folders/1nsfVZMyB9znicxQzB7lvyfiiiuzMdc5M</x:v>
      </x:c>
    </x:row>
    <x:row r="19">
      <x:c r="A19" t="str">
        <x:v>Xie 2014</x:v>
      </x:c>
      <x:c r="B19" t="str">
        <x:v>Total postoperative/perioperative sufentanil</x:v>
      </x:c>
      <x:c r="C19" t="str">
        <x:v>Active EAS vs sham needling</x:v>
      </x:c>
      <x:c r="D19" t="str">
        <x:v>Study PCA period; exact fixed window unclear</x:v>
      </x:c>
      <x:c r="E19" t="str">
        <x:v>20 vs 20</x:v>
      </x:c>
      <x:c r="F19" t="str">
        <x:v>20 vs 20</x:v>
      </x:c>
      <x:c r="G19" t="str">
        <x:v>115 ± 6.0 vs 133 ± 7.0 µg; P&lt;0.05</x:v>
      </x:c>
      <x:c r="H19" t="str">
        <x:v>Some concerns</x:v>
      </x:c>
      <x:c r="I19" t="str">
        <x:v>Low</x:v>
      </x:c>
      <x:c r="J19" t="str">
        <x:v>Low</x:v>
      </x:c>
      <x:c r="K19" t="str">
        <x:v>Low</x:v>
      </x:c>
      <x:c r="L19" t="str">
        <x:v>Some concerns</x:v>
      </x:c>
      <x:c r="M19" t="str">
        <x:v>Some concerns</x:v>
      </x:c>
      <x:c r="N19" t="str">
        <x:v>De novo source-grounded replacement; result retained with explicit time-window ambiguity rather than relabeling as 24 h</x:v>
      </x:c>
      <x:c r="O19" t="str">
        <x:v>https://drive.google.com/file/d/17faY_h0rMJTuhjPOC5PL_S59jYmHDPee/view?usp=drivesdk</x:v>
      </x:c>
      <x:c r="P19" t="str">
        <x:v>https://drive.google.com/drive/folders/1nsfVZMyB9znicxQzB7lvyfiiiuzMdc5M</x:v>
      </x:c>
    </x:row>
    <x:row r="20">
      <x:c r="A20" t="str">
        <x:v>Wu 2022</x:v>
      </x:c>
      <x:c r="B20" t="str">
        <x:v>VAS pain intensity</x:v>
      </x:c>
      <x:c r="C20" t="str">
        <x:v>Perioperative pTEAS vs no-current control</x:v>
      </x:c>
      <x:c r="D20" t="str">
        <x:v>POD1</x:v>
      </x:c>
      <x:c r="E20" t="str">
        <x:v>45 vs 45</x:v>
      </x:c>
      <x:c r="F20" t="str">
        <x:v>44 vs 40</x:v>
      </x:c>
      <x:c r="G20" t="str">
        <x:v>1.77 ± 0.91 vs 2.25 ± 0.71; P=0.009</x:v>
      </x:c>
      <x:c r="H20" t="str">
        <x:v>Some concerns</x:v>
      </x:c>
      <x:c r="I20" t="str">
        <x:v>Some concerns</x:v>
      </x:c>
      <x:c r="J20" t="str">
        <x:v>High</x:v>
      </x:c>
      <x:c r="K20" t="str">
        <x:v>High</x:v>
      </x:c>
      <x:c r="L20" t="str">
        <x:v>Some concerns</x:v>
      </x:c>
      <x:c r="M20" t="str">
        <x:v>High</x:v>
      </x:c>
      <x:c r="N20" t="str">
        <x:v>De novo source-grounded replacement; asymmetric post-randomization exclusions, subjective pain, and unlikely participant masking</x:v>
      </x:c>
      <x:c r="O20" t="str">
        <x:v>https://drive.google.com/file/d/1XR_8qmeHR7ulwV7NaaI0CeYbpwKdc_ym/view?usp=drivesdk</x:v>
      </x:c>
      <x:c r="P20" t="str">
        <x:v>https://drive.google.com/drive/folders/1nsfVZMyB9znicxQzB7lvyfiiiuzMdc5M</x:v>
      </x:c>
    </x:row>
    <x:row r="21">
      <x:c r="A21" t="str">
        <x:v>Wu 2025</x:v>
      </x:c>
      <x:c r="B21" t="str">
        <x:v>VAS pain intensity</x:v>
      </x:c>
      <x:c r="C21" t="str">
        <x:v>PACU TEAS vs sham/no current</x:v>
      </x:c>
      <x:c r="D21" t="str">
        <x:v>24 h</x:v>
      </x:c>
      <x:c r="E21" t="str">
        <x:v>50 vs 50</x:v>
      </x:c>
      <x:c r="F21" t="str">
        <x:v>ITT 50 vs 50; 3 unavailable at 24 h</x:v>
      </x:c>
      <x:c r="G21" t="str">
        <x:v>1.7 ± 0.9 vs 4.0 ± 1.4; P&lt;0.001</x:v>
      </x:c>
      <x:c r="H21" t="str">
        <x:v>Some concerns</x:v>
      </x:c>
      <x:c r="I21" t="str">
        <x:v>Low</x:v>
      </x:c>
      <x:c r="J21" t="str">
        <x:v>Some concerns</x:v>
      </x:c>
      <x:c r="K21" t="str">
        <x:v>High</x:v>
      </x:c>
      <x:c r="L21" t="str">
        <x:v>Some concerns</x:v>
      </x:c>
      <x:c r="M21" t="str">
        <x:v>High</x:v>
      </x:c>
      <x:c r="N21" t="str">
        <x:v>De novo source-grounded replacement; allocation concealment incompletely described, missing 24-h data handling unclear, and sensory masking imperfect for subjective pain</x:v>
      </x:c>
      <x:c r="O21" t="str">
        <x:v>https://drive.google.com/file/d/1ZV6JFjevGSPqnISdX61KPdcC_yEtq3vf/view?usp=drivesdk</x:v>
      </x:c>
      <x:c r="P21" t="str">
        <x:v>https://drive.google.com/drive/folders/1nsfVZMyB9znicxQzB7lvyfiiiuzMdc5M</x:v>
      </x:c>
    </x:row>
    <x:row r="22">
      <x:c r="A22" t="str">
        <x:v>Wang 2023</x:v>
      </x:c>
      <x:c r="B22" t="str">
        <x:v>Postoperative sleep quality (PSQI/AIS)</x:v>
      </x:c>
      <x:c r="C22" t="str">
        <x:v>Nighttime TEAS vs sham/no current</x:v>
      </x:c>
      <x:c r="D22" t="str">
        <x:v>POD1</x:v>
      </x:c>
      <x:c r="E22" t="str">
        <x:v>43 vs 45</x:v>
      </x:c>
      <x:c r="F22" t="str">
        <x:v>40 vs 43</x:v>
      </x:c>
      <x:c r="G22" t="str">
        <x:v>Exact POD1 PSQI/AIS means/SDs are graph-only; TEAS significantly lower than sham</x:v>
      </x:c>
      <x:c r="H22" t="str">
        <x:v>Low</x:v>
      </x:c>
      <x:c r="I22" t="str">
        <x:v>High</x:v>
      </x:c>
      <x:c r="J22" t="str">
        <x:v>Some concerns</x:v>
      </x:c>
      <x:c r="K22" t="str">
        <x:v>High</x:v>
      </x:c>
      <x:c r="L22" t="str">
        <x:v>Some concerns</x:v>
      </x:c>
      <x:c r="M22" t="str">
        <x:v>High</x:v>
      </x:c>
      <x:c r="N22" t="str">
        <x:v>De novo source-grounded replacement; 5 protocol-breach exclusions and subjective patient-reported sleep with imperfect sensory masking</x:v>
      </x:c>
      <x:c r="O22" t="str">
        <x:v>https://drive.google.com/file/d/177A4aH42GD90DhsvvtD-VOBSChBBpIWL/view?usp=drivesdk</x:v>
      </x:c>
      <x:c r="P22" t="str">
        <x:v>https://drive.google.com/drive/folders/1nsfVZMyB9znicxQzB7lvyfiiiuzMdc5M</x:v>
      </x:c>
    </x:row>
    <x:row r="23">
      <x:c r="A23" t="str">
        <x:v>Wang 2024</x:v>
      </x:c>
      <x:c r="B23" t="str">
        <x:v>PONV incidence</x:v>
      </x:c>
      <x:c r="C23" t="str">
        <x:v>SNVP ODT vs SNVP OD</x:v>
      </x:c>
      <x:c r="D23" t="str">
        <x:v>12-24 h</x:v>
      </x:c>
      <x:c r="E23" t="str">
        <x:v>35 vs 35</x:v>
      </x:c>
      <x:c r="F23" t="str">
        <x:v>33 vs 35</x:v>
      </x:c>
      <x:c r="G23" t="str">
        <x:v>2/33 vs 11/35; P=0.008</x:v>
      </x:c>
      <x:c r="H23" t="str">
        <x:v>Low</x:v>
      </x:c>
      <x:c r="I23" t="str">
        <x:v>Some concerns</x:v>
      </x:c>
      <x:c r="J23" t="str">
        <x:v>High</x:v>
      </x:c>
      <x:c r="K23" t="str">
        <x:v>Low</x:v>
      </x:c>
      <x:c r="L23" t="str">
        <x:v>Some concerns</x:v>
      </x:c>
      <x:c r="M23" t="str">
        <x:v>High</x:v>
      </x:c>
      <x:c r="N23" t="str">
        <x:v>De novo source-grounded replacement; treatment randomized within SNVP stratum only; two post-randomization ODT exclusions and marked surgical imbalance</x:v>
      </x:c>
      <x:c r="O23" t="str">
        <x:v>https://drive.google.com/file/d/1U8tkq6mKFO0IkA2glfgLjN4Krwku3FZn/view?usp=drivesdk</x:v>
      </x:c>
      <x:c r="P23" t="str">
        <x:v>https://drive.google.com/drive/folders/1nsfVZMyB9znicxQzB7lvyfiiiuzMdc5M</x:v>
      </x:c>
    </x:row>
    <x:row r="24">
      <x:c r="A24" t="str">
        <x:v>Tu 2024</x:v>
      </x:c>
      <x:c r="B24" t="str">
        <x:v>Vomiting incidence</x:v>
      </x:c>
      <x:c r="C24" t="str">
        <x:v>Postoperative TEAS vs sham/no current</x:v>
      </x:c>
      <x:c r="D24" t="str">
        <x:v>2-6 h</x:v>
      </x:c>
      <x:c r="E24" t="str">
        <x:v>60 vs 60</x:v>
      </x:c>
      <x:c r="F24" t="str">
        <x:v>57 vs 58</x:v>
      </x:c>
      <x:c r="G24" t="str">
        <x:v>8/57 vs 17/58; P=0.047</x:v>
      </x:c>
      <x:c r="H24" t="str">
        <x:v>Low</x:v>
      </x:c>
      <x:c r="I24" t="str">
        <x:v>Low</x:v>
      </x:c>
      <x:c r="J24" t="str">
        <x:v>High</x:v>
      </x:c>
      <x:c r="K24" t="str">
        <x:v>Low</x:v>
      </x:c>
      <x:c r="L24" t="str">
        <x:v>Some concerns</x:v>
      </x:c>
      <x:c r="M24" t="str">
        <x:v>High</x:v>
      </x:c>
      <x:c r="N24" t="str">
        <x:v>Fresh re-adjudication; one sham patient excluded specifically for intracranial-hypertension-related vomiting, making missingness outcome-related</x:v>
      </x:c>
      <x:c r="O24" t="str">
        <x:v>https://drive.google.com/file/d/1xQ9SbXVZblphUrb0-T9xpnAXk-_z5nBX/view?usp=drivesdk</x:v>
      </x:c>
      <x:c r="P24" t="str">
        <x:v>https://drive.google.com/drive/folders/1nsfVZMyB9znicxQzB7lvyfiiiuzMdc5M</x:v>
      </x:c>
    </x:row>
    <x:row r="25">
      <x:c r="A25" t="str">
        <x:v>Sun 2017</x:v>
      </x:c>
      <x:c r="B25" t="str">
        <x:v>Activity-evoked VAS</x:v>
      </x:c>
      <x:c r="C25" t="str">
        <x:v>Preoperative + postoperative TEAS (TST) vs all-period sham (SSS)</x:v>
      </x:c>
      <x:c r="D25" t="str">
        <x:v>24 h</x:v>
      </x:c>
      <x:c r="E25" t="str">
        <x:v>95 vs 95</x:v>
      </x:c>
      <x:c r="F25" t="str">
        <x:v>89 vs 90</x:v>
      </x:c>
      <x:c r="G25" t="str">
        <x:v>3.0 (3.0-4.0) vs 4.0 (3.8-5.0); reported P&lt;0.001 comparison framework</x:v>
      </x:c>
      <x:c r="H25" t="str">
        <x:v>Low</x:v>
      </x:c>
      <x:c r="I25" t="str">
        <x:v>Low</x:v>
      </x:c>
      <x:c r="J25" t="str">
        <x:v>Some concerns</x:v>
      </x:c>
      <x:c r="K25" t="str">
        <x:v>Some concerns</x:v>
      </x:c>
      <x:c r="L25" t="str">
        <x:v>Some concerns</x:v>
      </x:c>
      <x:c r="M25" t="str">
        <x:v>Some concerns</x:v>
      </x:c>
      <x:c r="N25" t="str">
        <x:v>Fresh re-adjudication; four-arm timing design preserved and sham recognized as 5-min perceptible low-current stimulation</x:v>
      </x:c>
      <x:c r="O25" t="str">
        <x:v>https://drive.google.com/file/d/1lELlw0IpkhqoB8OuintAI22fxKfNEcEd/view?usp=drivesdk</x:v>
      </x:c>
      <x:c r="P25" t="str">
        <x:v>https://drive.google.com/drive/folders/1nsfVZMyB9znicxQzB7lvyfiiiuzMdc5M</x:v>
      </x:c>
    </x:row>
    <x:row r="26">
      <x:c r="A26" t="str">
        <x:v>Sim 2002</x:v>
      </x:c>
      <x:c r="B26" t="str">
        <x:v>Cumulative postoperative IV PCA morphine</x:v>
      </x:c>
      <x:c r="C26" t="str">
        <x:v>Preoperative EA vs placebo EA</x:v>
      </x:c>
      <x:c r="D26" t="str">
        <x:v>0-24 h</x:v>
      </x:c>
      <x:c r="E26" t="str">
        <x:v>30 vs 30</x:v>
      </x:c>
      <x:c r="F26" t="str">
        <x:v>30 vs 30</x:v>
      </x:c>
      <x:c r="G26" t="str">
        <x:v>0.52 ± 0.19 vs 0.68 ± 0.38 mg/kg; cumulative difference not statistically significant</x:v>
      </x:c>
      <x:c r="H26" t="str">
        <x:v>Some concerns</x:v>
      </x:c>
      <x:c r="I26" t="str">
        <x:v>Low</x:v>
      </x:c>
      <x:c r="J26" t="str">
        <x:v>Low</x:v>
      </x:c>
      <x:c r="K26" t="str">
        <x:v>Low</x:v>
      </x:c>
      <x:c r="L26" t="str">
        <x:v>Some concerns</x:v>
      </x:c>
      <x:c r="M26" t="str">
        <x:v>Some concerns</x:v>
      </x:c>
      <x:c r="N26" t="str">
        <x:v>De novo source-grounded replacement; randomized sequence reported but allocation concealment not reported; placebo blinding was empirically assessed</x:v>
      </x:c>
      <x:c r="O26" t="str">
        <x:v>https://drive.google.com/file/d/1YsNHL-J3Kgfu8mCanRrNu_bHk_roj0w6/view?usp=drivesdk</x:v>
      </x:c>
      <x:c r="P26" t="str">
        <x:v>https://drive.google.com/drive/folders/1nsfVZMyB9znicxQzB7lvyfiiiuzMdc5M</x:v>
      </x:c>
    </x:row>
    <x:row r="27">
      <x:c r="A27" t="str">
        <x:v>Ntritsou 2014</x:v>
      </x:c>
      <x:c r="B27" t="str">
        <x:v>Total tramadol exposure</x:v>
      </x:c>
      <x:c r="C27" t="str">
        <x:v>Perioperative EA + tramadol/ketamine vs sham + tramadol/ketamine</x:v>
      </x:c>
      <x:c r="D27" t="str">
        <x:v>First 24 h most consistent with protocol</x:v>
      </x:c>
      <x:c r="E27" t="str">
        <x:v>37 vs 38</x:v>
      </x:c>
      <x:c r="F27" t="str">
        <x:v>35 vs 35</x:v>
      </x:c>
      <x:c r="G27" t="str">
        <x:v>443.7 ± 67.4 vs 461.5 ± 63.2 mg; P=0.257</x:v>
      </x:c>
      <x:c r="H27" t="str">
        <x:v>Some concerns</x:v>
      </x:c>
      <x:c r="I27" t="str">
        <x:v>Low</x:v>
      </x:c>
      <x:c r="J27" t="str">
        <x:v>High</x:v>
      </x:c>
      <x:c r="K27" t="str">
        <x:v>Low</x:v>
      </x:c>
      <x:c r="L27" t="str">
        <x:v>Some concerns</x:v>
      </x:c>
      <x:c r="M27" t="str">
        <x:v>High</x:v>
      </x:c>
      <x:c r="N27" t="str">
        <x:v>De novo source-grounded replacement; five post-randomization exclusions included clinically relevant postoperative adverse events</x:v>
      </x:c>
      <x:c r="O27" t="str">
        <x:v>https://drive.google.com/file/d/1u_kNuuXF8upB3gJA2aDq8NldYDfhnWy3/view?usp=drivesdk</x:v>
      </x:c>
      <x:c r="P27" t="str">
        <x:v>https://drive.google.com/drive/folders/1nsfVZMyB9znicxQzB7lvyfiiiuzMdc5M</x:v>
      </x:c>
    </x:row>
    <x:row r="28">
      <x:c r="A28" t="str">
        <x:v>Ng 2013</x:v>
      </x:c>
      <x:c r="B28" t="str">
        <x:v>Time to first bowel motion</x:v>
      </x:c>
      <x:c r="C28" t="str">
        <x:v>Electroacupuncture vs sham acupuncture</x:v>
      </x:c>
      <x:c r="D28" t="str">
        <x:v>Postoperative</x:v>
      </x:c>
      <x:c r="E28" t="str">
        <x:v>55 vs 55</x:v>
      </x:c>
      <x:c r="F28" t="str">
        <x:v>55 vs 55</x:v>
      </x:c>
      <x:c r="G28" t="str">
        <x:v>85.9 ± 36.1 vs 107.5 ± 46.2 h; P=0.007</x:v>
      </x:c>
      <x:c r="H28" t="str">
        <x:v>Some concerns</x:v>
      </x:c>
      <x:c r="I28" t="str">
        <x:v>Low</x:v>
      </x:c>
      <x:c r="J28" t="str">
        <x:v>Low</x:v>
      </x:c>
      <x:c r="K28" t="str">
        <x:v>Low</x:v>
      </x:c>
      <x:c r="L28" t="str">
        <x:v>Some concerns</x:v>
      </x:c>
      <x:c r="M28" t="str">
        <x:v>Some concerns</x:v>
      </x:c>
      <x:c r="N28" t="str">
        <x:v>De novo source-grounded replacement; computer sequence but explicitly nonopaque envelopes create concealment concern</x:v>
      </x:c>
      <x:c r="O28" t="str">
        <x:v>https://drive.google.com/file/d/1R1zCiyfWvuSp99Hi2U_K1__8kgdi90gd/view?usp=drivesdk</x:v>
      </x:c>
      <x:c r="P28" t="str">
        <x:v>https://drive.google.com/drive/folders/1nsfVZMyB9znicxQzB7lvyfiiiuzMdc5M</x:v>
      </x:c>
    </x:row>
    <x:row r="29">
      <x:c r="A29" t="str">
        <x:v>Ma 2026</x:v>
      </x:c>
      <x:c r="B29" t="str">
        <x:v>Resting NRS pain</x:v>
      </x:c>
      <x:c r="C29" t="str">
        <x:v>Group T (TEAS) vs Group S (no TEAS)</x:v>
      </x:c>
      <x:c r="D29" t="str">
        <x:v>24 h</x:v>
      </x:c>
      <x:c r="E29" t="str">
        <x:v>18 vs 17</x:v>
      </x:c>
      <x:c r="F29" t="str">
        <x:v>17 vs 16</x:v>
      </x:c>
      <x:c r="G29" t="str">
        <x:v>Exact means/SDs graph-only; Group T significantly lower than Group S, P&lt;0.05</x:v>
      </x:c>
      <x:c r="H29" t="str">
        <x:v>Some concerns</x:v>
      </x:c>
      <x:c r="I29" t="str">
        <x:v>Low</x:v>
      </x:c>
      <x:c r="J29" t="str">
        <x:v>Some concerns</x:v>
      </x:c>
      <x:c r="K29" t="str">
        <x:v>High</x:v>
      </x:c>
      <x:c r="L29" t="str">
        <x:v>Some concerns</x:v>
      </x:c>
      <x:c r="M29" t="str">
        <x:v>High</x:v>
      </x:c>
      <x:c r="N29" t="str">
        <x:v>De novo source-grounded replacement; only T vs S randomized, allocation concealment unavailable, no participant blinding, and subjective pain is graph-only</x:v>
      </x:c>
      <x:c r="O29" t="str">
        <x:v>https://drive.google.com/file/d/1tMEOwvRWIMeEmBmKfeHEt7YF10yxslUe/view?usp=drivesdk</x:v>
      </x:c>
      <x:c r="P29" t="str">
        <x:v>https://drive.google.com/drive/folders/1nsfVZMyB9znicxQzB7lvyfiiiuzMdc5M</x:v>
      </x:c>
    </x:row>
    <x:row r="30">
      <x:c r="A30" t="str">
        <x:v>Lu 2021</x:v>
      </x:c>
      <x:c r="B30" t="str">
        <x:v>Post-mastectomy chronic pain incidence</x:v>
      </x:c>
      <x:c r="C30" t="str">
        <x:v>Combined PC6+CV17 TEAS vs sham/no current</x:v>
      </x:c>
      <x:c r="D30" t="str">
        <x:v>6 months</x:v>
      </x:c>
      <x:c r="E30" t="str">
        <x:v>190 vs 188</x:v>
      </x:c>
      <x:c r="F30" t="str">
        <x:v>ITT 190 vs 188</x:v>
      </x:c>
      <x:c r="G30" t="str">
        <x:v>42/190 vs 65/188</x:v>
      </x:c>
      <x:c r="H30" t="str">
        <x:v>Low</x:v>
      </x:c>
      <x:c r="I30" t="str">
        <x:v>Low</x:v>
      </x:c>
      <x:c r="J30" t="str">
        <x:v>Low</x:v>
      </x:c>
      <x:c r="K30" t="str">
        <x:v>High</x:v>
      </x:c>
      <x:c r="L30" t="str">
        <x:v>Some concerns</x:v>
      </x:c>
      <x:c r="M30" t="str">
        <x:v>High</x:v>
      </x:c>
      <x:c r="N30" t="str">
        <x:v>De novo source-grounded replacement; central web randomization and worst-case ITT are strong, but chronic pain is patient-reported in an unblinded participant population and published effect estimates conflict</x:v>
      </x:c>
      <x:c r="O30" t="str">
        <x:v>https://drive.google.com/file/d/1MgD_OucfiyNEDdDe3osh8W01U1yYZs08/view?usp=drivesdk</x:v>
      </x:c>
      <x:c r="P30" t="str">
        <x:v>https://drive.google.com/drive/folders/1nsfVZMyB9znicxQzB7lvyfiiiuzMdc5M</x:v>
      </x:c>
    </x:row>
    <x:row r="31">
      <x:c r="A31" t="str">
        <x:v>Lu 2022</x:v>
      </x:c>
      <x:c r="B31" t="str">
        <x:v>Time to meet discharge criteria</x:v>
      </x:c>
      <x:c r="C31" t="str">
        <x:v>TEAS + ERAS vs no-current control + ERAS</x:v>
      </x:c>
      <x:c r="D31" t="str">
        <x:v>Postoperative</x:v>
      </x:c>
      <x:c r="E31" t="str">
        <x:v>50 vs 50</x:v>
      </x:c>
      <x:c r="F31" t="str">
        <x:v>47 vs 47</x:v>
      </x:c>
      <x:c r="G31" t="str">
        <x:v>6.0 ± 1.8 vs 7.0 ± 2.4 days; P=0.02</x:v>
      </x:c>
      <x:c r="H31" t="str">
        <x:v>Some concerns</x:v>
      </x:c>
      <x:c r="I31" t="str">
        <x:v>Low</x:v>
      </x:c>
      <x:c r="J31" t="str">
        <x:v>High</x:v>
      </x:c>
      <x:c r="K31" t="str">
        <x:v>Some concerns</x:v>
      </x:c>
      <x:c r="L31" t="str">
        <x:v>Low</x:v>
      </x:c>
      <x:c r="M31" t="str">
        <x:v>High</x:v>
      </x:c>
      <x:c r="N31" t="str">
        <x:v>De novo source-grounded replacement; 6 randomized participants excluded after conversion/refusal, with conversion plausibly related to discharge time; participant blinding was not effective</x:v>
      </x:c>
      <x:c r="O31" t="str">
        <x:v>https://drive.google.com/file/d/12Y86huNMuLC8cPH-L2vwlEd7r1X1Qela/view?usp=drivesdk</x:v>
      </x:c>
      <x:c r="P31" t="str">
        <x:v>https://drive.google.com/drive/folders/1nsfVZMyB9znicxQzB7lvyfiiiuzMdc5M</x:v>
      </x:c>
    </x:row>
    <x:row r="32">
      <x:c r="A32" t="str">
        <x:v>Luo 2026</x:v>
      </x:c>
      <x:c r="B32" t="str">
        <x:v>Cumulative postoperative nausea</x:v>
      </x:c>
      <x:c r="C32" t="str">
        <x:v>Intraoperative PC6 TEAS vs sham/no current</x:v>
      </x:c>
      <x:c r="D32" t="str">
        <x:v>0-48 h</x:v>
      </x:c>
      <x:c r="E32" t="str">
        <x:v>138 vs 139</x:v>
      </x:c>
      <x:c r="F32" t="str">
        <x:v>138 vs 139</x:v>
      </x:c>
      <x:c r="G32" t="str">
        <x:v>24/138 vs 53/139; P&lt;0.01</x:v>
      </x:c>
      <x:c r="H32" t="str">
        <x:v>Low</x:v>
      </x:c>
      <x:c r="I32" t="str">
        <x:v>Low</x:v>
      </x:c>
      <x:c r="J32" t="str">
        <x:v>Low</x:v>
      </x:c>
      <x:c r="K32" t="str">
        <x:v>Some concerns</x:v>
      </x:c>
      <x:c r="L32" t="str">
        <x:v>Some concerns</x:v>
      </x:c>
      <x:c r="M32" t="str">
        <x:v>Some concerns</x:v>
      </x:c>
      <x:c r="N32" t="str">
        <x:v>Fresh re-adjudication of source-matched RoB; full follow-up and concealed randomization are strong, but participant masking demonstrably failed for a subjective nausea outcome</x:v>
      </x:c>
      <x:c r="O32" t="str">
        <x:v>https://drive.google.com/file/d/1xxZle6mPpcnmHLblJbsy1kA4CyQHpvm2/view?usp=drivesdk</x:v>
      </x:c>
      <x:c r="P32" t="str">
        <x:v>https://drive.google.com/drive/folders/1nsfVZMyB9znicxQzB7lvyfiiiuzMdc5M</x:v>
      </x:c>
    </x:row>
    <x:row r="33">
      <x:c r="A33" t="str">
        <x:v>Long 2025</x:v>
      </x:c>
      <x:c r="B33" t="str">
        <x:v>Perioperative neurocognitive disorder (PND)</x:v>
      </x:c>
      <x:c r="C33" t="str">
        <x:v>Electrical acupoint stimulation vs electrodes/no current</x:v>
      </x:c>
      <x:c r="D33" t="str">
        <x:v>POD3</x:v>
      </x:c>
      <x:c r="E33" t="str">
        <x:v>30 vs 30</x:v>
      </x:c>
      <x:c r="F33" t="str">
        <x:v>27 active vs 26 control</x:v>
      </x:c>
      <x:c r="G33" t="str">
        <x:v>Published 4 cases (14.3%) vs 12 cases (48.0%); percentages do not reconcile with analyzed denominators</x:v>
      </x:c>
      <x:c r="H33" t="str">
        <x:v>Some concerns</x:v>
      </x:c>
      <x:c r="I33" t="str">
        <x:v>Some concerns</x:v>
      </x:c>
      <x:c r="J33" t="str">
        <x:v>High</x:v>
      </x:c>
      <x:c r="K33" t="str">
        <x:v>Some concerns</x:v>
      </x:c>
      <x:c r="L33" t="str">
        <x:v>Some concerns</x:v>
      </x:c>
      <x:c r="M33" t="str">
        <x:v>High</x:v>
      </x:c>
      <x:c r="N33" t="str">
        <x:v>De novo source-grounded replacement; allocation concealment NR, 7/60 excluded without arm allocation, no full ITT, and primary event denominators are internally inconsistent</x:v>
      </x:c>
      <x:c r="O33" t="str">
        <x:v>https://drive.google.com/file/d/1LDqtQLq9-kZLP0Vv_G3iiK8QKjy4pRXP/view?usp=drivesdk</x:v>
      </x:c>
      <x:c r="P33" t="str">
        <x:v>https://drive.google.com/drive/folders/1nsfVZMyB9znicxQzB7lvyfiiiuzMdc5M</x:v>
      </x:c>
    </x:row>
    <x:row r="34">
      <x:c r="A34" t="str">
        <x:v>Li 2021</x:v>
      </x:c>
      <x:c r="B34" t="str">
        <x:v>Time to first bowel motion by auscultation</x:v>
      </x:c>
      <x:c r="C34" t="str">
        <x:v>Perioperative TEAS vs sham-point/no current</x:v>
      </x:c>
      <x:c r="D34" t="str">
        <x:v>Postoperative</x:v>
      </x:c>
      <x:c r="E34" t="str">
        <x:v>154 vs 152</x:v>
      </x:c>
      <x:c r="F34" t="str">
        <x:v>140 vs 140</x:v>
      </x:c>
      <x:c r="G34" t="str">
        <x:v>31 (18.8-45.3) h vs 42 (22.1-52.4) h; P&lt;0.01</x:v>
      </x:c>
      <x:c r="H34" t="str">
        <x:v>Low</x:v>
      </x:c>
      <x:c r="I34" t="str">
        <x:v>Low</x:v>
      </x:c>
      <x:c r="J34" t="str">
        <x:v>High</x:v>
      </x:c>
      <x:c r="K34" t="str">
        <x:v>Low</x:v>
      </x:c>
      <x:c r="L34" t="str">
        <x:v>Low</x:v>
      </x:c>
      <x:c r="M34" t="str">
        <x:v>High</x:v>
      </x:c>
      <x:c r="N34" t="str">
        <x:v>De novo source-grounded replacement; 26/306 randomized participants excluded from the explicit per-protocol analysis, including ICU transfer and cancelled operations that can relate to GI recovery</x:v>
      </x:c>
      <x:c r="O34" t="str">
        <x:v>https://drive.google.com/file/d/1NvcLlsb17N6EMhtHs_L_WBnf40wsrtRz/view?usp=drivesdk</x:v>
      </x:c>
      <x:c r="P34" t="str">
        <x:v>https://drive.google.com/drive/folders/1nsfVZMyB9znicxQzB7lvyfiiiuzMdc5M</x:v>
      </x:c>
    </x:row>
    <x:row r="35">
      <x:c r="A35" t="str">
        <x:v>Liu 2026 (ESD)</x:v>
      </x:c>
      <x:c r="B35" t="str">
        <x:v>Moderate-to-severe pain (NRS ≥4)</x:v>
      </x:c>
      <x:c r="C35" t="str">
        <x:v>Perioperative TEAS vs sham-point/no current</x:v>
      </x:c>
      <x:c r="D35" t="str">
        <x:v>Within 24 h</x:v>
      </x:c>
      <x:c r="E35" t="str">
        <x:v>64 vs 65</x:v>
      </x:c>
      <x:c r="F35" t="str">
        <x:v>58 vs 62</x:v>
      </x:c>
      <x:c r="G35" t="str">
        <x:v>22/58 vs 40/62; RR 0.588; P=0.004</x:v>
      </x:c>
      <x:c r="H35" t="str">
        <x:v>Low</x:v>
      </x:c>
      <x:c r="I35" t="str">
        <x:v>Some concerns</x:v>
      </x:c>
      <x:c r="J35" t="str">
        <x:v>High</x:v>
      </x:c>
      <x:c r="K35" t="str">
        <x:v>Some concerns</x:v>
      </x:c>
      <x:c r="L35" t="str">
        <x:v>Low</x:v>
      </x:c>
      <x:c r="M35" t="str">
        <x:v>High</x:v>
      </x:c>
      <x:c r="N35" t="str">
        <x:v>De novo source-grounded replacement; 9 post-randomization exclusions include bleeding/conversion events plausibly related to pain/recovery, with no full ITT</x:v>
      </x:c>
      <x:c r="O35" t="str">
        <x:v>https://drive.google.com/file/d/1Hp7pCBP8iXkGGYVhlFY0BHTeaaM7bhdY/view?usp=drivesdk</x:v>
      </x:c>
      <x:c r="P35" t="str">
        <x:v>https://drive.google.com/drive/folders/1nsfVZMyB9znicxQzB7lvyfiiiuzMdc5M</x:v>
      </x:c>
    </x:row>
    <x:row r="36">
      <x:c r="A36" t="str">
        <x:v>Liu 2021</x:v>
      </x:c>
      <x:c r="B36" t="str">
        <x:v>Postoperative cognitive decline (MMSE Z-score ≤ -2)</x:v>
      </x:c>
      <x:c r="C36" t="str">
        <x:v>Perioperative TEAS vs electrodes/no current</x:v>
      </x:c>
      <x:c r="D36" t="str">
        <x:v>POD1</x:v>
      </x:c>
      <x:c r="E36" t="str">
        <x:v>50 vs 50</x:v>
      </x:c>
      <x:c r="F36" t="str">
        <x:v>50 vs 50</x:v>
      </x:c>
      <x:c r="G36" t="str">
        <x:v>5/50 vs 11/50; P=0.102</x:v>
      </x:c>
      <x:c r="H36" t="str">
        <x:v>Some concerns</x:v>
      </x:c>
      <x:c r="I36" t="str">
        <x:v>Some concerns</x:v>
      </x:c>
      <x:c r="J36" t="str">
        <x:v>Low</x:v>
      </x:c>
      <x:c r="K36" t="str">
        <x:v>Some concerns</x:v>
      </x:c>
      <x:c r="L36" t="str">
        <x:v>Some concerns</x:v>
      </x:c>
      <x:c r="M36" t="str">
        <x:v>Some concerns</x:v>
      </x:c>
      <x:c r="N36" t="str">
        <x:v>De novo source-grounded replacement; no attrition and blinded MMSE assessment, but concealment and participant masking are insufficiently reported</x:v>
      </x:c>
      <x:c r="O36" t="str">
        <x:v>https://drive.google.com/file/d/1TA4BstaUWY3EdQbDNEvvGxF35ekGanrm/view?usp=drivesdk</x:v>
      </x:c>
      <x:c r="P36" t="str">
        <x:v>https://drive.google.com/drive/folders/1nsfVZMyB9znicxQzB7lvyfiiiuzMdc5M</x:v>
      </x:c>
    </x:row>
    <x:row r="37">
      <x:c r="A37" t="str">
        <x:v>Liu 2026 (burn)</x:v>
      </x:c>
      <x:c r="B37" t="str">
        <x:v>Intraoperative remifentanil consumption</x:v>
      </x:c>
      <x:c r="C37" t="str">
        <x:v>Pre-induction TEAS vs placebo/sham TEAS</x:v>
      </x:c>
      <x:c r="D37" t="str">
        <x:v>Intraoperative</x:v>
      </x:c>
      <x:c r="E37" t="str">
        <x:v>44 vs 44</x:v>
      </x:c>
      <x:c r="F37" t="str">
        <x:v>43 vs 43</x:v>
      </x:c>
      <x:c r="G37" t="str">
        <x:v>0.70 (0.50-1.10) vs 0.90 (0.65-1.25) mg; P=0.039</x:v>
      </x:c>
      <x:c r="H37" t="str">
        <x:v>Low</x:v>
      </x:c>
      <x:c r="I37" t="str">
        <x:v>Low</x:v>
      </x:c>
      <x:c r="J37" t="str">
        <x:v>Some concerns</x:v>
      </x:c>
      <x:c r="K37" t="str">
        <x:v>Low</x:v>
      </x:c>
      <x:c r="L37" t="str">
        <x:v>Some concerns</x:v>
      </x:c>
      <x:c r="M37" t="str">
        <x:v>Some concerns</x:v>
      </x:c>
      <x:c r="N37" t="str">
        <x:v>De novo source-grounded replacement; strong concealment/blinding and objective outcome, but two post-randomization intervention-related withdrawals plus retrospective registration and abstract/Results value conflict remain</x:v>
      </x:c>
      <x:c r="O37" t="str">
        <x:v>https://drive.google.com/file/d/1mvekGtHD2JAKCRbIXrvLw1Nz7hbQ1dZ3/view?usp=drivesdk</x:v>
      </x:c>
      <x:c r="P37" t="str">
        <x:v>https://drive.google.com/drive/folders/1nsfVZMyB9znicxQzB7lvyfiiiuzMdc5M</x:v>
      </x:c>
    </x:row>
    <x:row r="38">
      <x:c r="A38" t="str">
        <x:v>Liu 2025</x:v>
      </x:c>
      <x:c r="B38" t="str">
        <x:v>New-onset supraventricular tachycardia (SVT)</x:v>
      </x:c>
      <x:c r="C38" t="str">
        <x:v>Perioperative EA vs control/sham procedure</x:v>
      </x:c>
      <x:c r="D38" t="str">
        <x:v>First 24 h</x:v>
      </x:c>
      <x:c r="E38" t="str">
        <x:v>40 vs 40</x:v>
      </x:c>
      <x:c r="F38" t="str">
        <x:v>38 vs 39</x:v>
      </x:c>
      <x:c r="G38" t="str">
        <x:v>4/38 vs 13/39; P=0.02</x:v>
      </x:c>
      <x:c r="H38" t="str">
        <x:v>Low</x:v>
      </x:c>
      <x:c r="I38" t="str">
        <x:v>Low</x:v>
      </x:c>
      <x:c r="J38" t="str">
        <x:v>Some concerns</x:v>
      </x:c>
      <x:c r="K38" t="str">
        <x:v>Low</x:v>
      </x:c>
      <x:c r="L38" t="str">
        <x:v>Low</x:v>
      </x:c>
      <x:c r="M38" t="str">
        <x:v>Some concerns</x:v>
      </x:c>
      <x:c r="N38" t="str">
        <x:v>De novo source-grounded replacement; concealed randomization and blinded ECG assessment support the objective primary outcome, but three post-randomization discontinuations prevent a clean full-ITT judgment</x:v>
      </x:c>
      <x:c r="O38" t="str">
        <x:v>https://drive.google.com/file/d/1SHBSKFaeE4G3PXTGVMm7TR8L0H9EgtsD/view?usp=drivesdk</x:v>
      </x:c>
      <x:c r="P38" t="str">
        <x:v>https://drive.google.com/drive/folders/1nsfVZMyB9znicxQzB7lvyfiiiuzMdc5M</x:v>
      </x:c>
    </x:row>
    <x:row r="39">
      <x:c r="A39" t="str">
        <x:v>Li 2022</x:v>
      </x:c>
      <x:c r="B39" t="str">
        <x:v>Postoperative NRS pain</x:v>
      </x:c>
      <x:c r="C39" t="str">
        <x:v>Preoperative EA vs sham EA</x:v>
      </x:c>
      <x:c r="D39" t="str">
        <x:v>24 h</x:v>
      </x:c>
      <x:c r="E39" t="str">
        <x:v>40 vs 40</x:v>
      </x:c>
      <x:c r="F39" t="str">
        <x:v>39 vs 40</x:v>
      </x:c>
      <x:c r="G39" t="str">
        <x:v>1.5 (1.0-3.0) vs 1.6 (1.0-3.0); P=0.223</x:v>
      </x:c>
      <x:c r="H39" t="str">
        <x:v>Low</x:v>
      </x:c>
      <x:c r="I39" t="str">
        <x:v>Low</x:v>
      </x:c>
      <x:c r="J39" t="str">
        <x:v>Some concerns</x:v>
      </x:c>
      <x:c r="K39" t="str">
        <x:v>Some concerns</x:v>
      </x:c>
      <x:c r="L39" t="str">
        <x:v>Some concerns</x:v>
      </x:c>
      <x:c r="M39" t="str">
        <x:v>Some concerns</x:v>
      </x:c>
      <x:c r="N39" t="str">
        <x:v>De novo source-grounded replacement; one EA participant was excluded from final analysis and the 24-h subjective pain result shows no significant treatment effect</x:v>
      </x:c>
      <x:c r="O39" t="str">
        <x:v>https://drive.google.com/file/d/1rQTrwnCvj72poJrGGvYjpxSZXvUhSD0u/view?usp=drivesdk</x:v>
      </x:c>
      <x:c r="P39" t="str">
        <x:v>https://drive.google.com/drive/folders/1nsfVZMyB9znicxQzB7lvyfiiiuzMdc5M</x:v>
      </x:c>
    </x:row>
    <x:row r="40">
      <x:c r="A40" t="str">
        <x:v>Liang 2021</x:v>
      </x:c>
      <x:c r="B40" t="str">
        <x:v>CRBD incidence</x:v>
      </x:c>
      <x:c r="C40" t="str">
        <x:v>Preoperative TEAS vs control/no stimulation</x:v>
      </x:c>
      <x:c r="D40" t="str">
        <x:v>24 h</x:v>
      </x:c>
      <x:c r="E40" t="str">
        <x:v>38 vs 37</x:v>
      </x:c>
      <x:c r="F40" t="str">
        <x:v>35 vs 35</x:v>
      </x:c>
      <x:c r="G40" t="str">
        <x:v>7/35 vs 31/35</x:v>
      </x:c>
      <x:c r="H40" t="str">
        <x:v>Some concerns</x:v>
      </x:c>
      <x:c r="I40" t="str">
        <x:v>Low</x:v>
      </x:c>
      <x:c r="J40" t="str">
        <x:v>Some concerns</x:v>
      </x:c>
      <x:c r="K40" t="str">
        <x:v>High</x:v>
      </x:c>
      <x:c r="L40" t="str">
        <x:v>Some concerns</x:v>
      </x:c>
      <x:c r="M40" t="str">
        <x:v>High</x:v>
      </x:c>
      <x:c r="N40" t="str">
        <x:v>De novo source-grounded replacement; five randomized participants were not in the final analysis and CRBD is a subjective patient-experienced outcome with no sensory-matched sham</x:v>
      </x:c>
      <x:c r="O40" t="str">
        <x:v>https://drive.google.com/file/d/1guriAcqNbJNXpfd_UjYwevULLVSeiHXS/view?usp=drivesdk</x:v>
      </x:c>
      <x:c r="P40" t="str">
        <x:v>https://drive.google.com/drive/folders/1nsfVZMyB9znicxQzB7lvyfiiiuzMdc5M</x:v>
      </x:c>
    </x:row>
    <x:row r="41">
      <x:c r="A41" t="str">
        <x:v>Lee 2011</x:v>
      </x:c>
      <x:c r="B41" t="str">
        <x:v>Cumulative IV PCA morphine delivered</x:v>
      </x:c>
      <x:c r="C41" t="str">
        <x:v>Low-frequency dense-sparse SSP vs sham SSP</x:v>
      </x:c>
      <x:c r="D41" t="str">
        <x:v>First 24 postoperative hours</x:v>
      </x:c>
      <x:c r="E41" t="str">
        <x:v>12 vs 12</x:v>
      </x:c>
      <x:c r="F41" t="str">
        <x:v>10 vs 12</x:v>
      </x:c>
      <x:c r="G41" t="str">
        <x:v>29.29 ± 8.89 vs 34.20 ± 6.40 mg</x:v>
      </x:c>
      <x:c r="H41" t="str">
        <x:v>Some concerns</x:v>
      </x:c>
      <x:c r="I41" t="str">
        <x:v>Low</x:v>
      </x:c>
      <x:c r="J41" t="str">
        <x:v>Some concerns</x:v>
      </x:c>
      <x:c r="K41" t="str">
        <x:v>Low</x:v>
      </x:c>
      <x:c r="L41" t="str">
        <x:v>Some concerns</x:v>
      </x:c>
      <x:c r="M41" t="str">
        <x:v>Some concerns</x:v>
      </x:c>
      <x:c r="N41" t="str">
        <x:v>De novo source-grounded assessment; random-number table used but concealment NR, two low-frequency participants excluded, objective PCA outcome, and no prospective analysis plan located</x:v>
      </x:c>
      <x:c r="O41" t="str">
        <x:v>https://drive.google.com/file/d/1kQDSBtx3OpFOsim5oUMwhpfHOqaMy8Q9/view?usp=drivesdk</x:v>
      </x:c>
      <x:c r="P41" t="str">
        <x:v>https://drive.google.com/drive/folders/1nsfVZMyB9znicxQzB7lvyfiiiuzMdc5M</x:v>
      </x:c>
    </x:row>
    <x:row r="42">
      <x:c r="A42" t="str">
        <x:v>Jin 2023</x:v>
      </x:c>
      <x:c r="B42" t="str">
        <x:v>Cumulative analgesic pump compressions</x:v>
      </x:c>
      <x:c r="C42" t="str">
        <x:v>2-Hz postoperative EA vs sham EA</x:v>
      </x:c>
      <x:c r="D42" t="str">
        <x:v>48 h</x:v>
      </x:c>
      <x:c r="E42" t="str">
        <x:v>58 vs 58</x:v>
      </x:c>
      <x:c r="F42" t="str">
        <x:v>53 vs 52</x:v>
      </x:c>
      <x:c r="G42" t="str">
        <x:v>1.0 (0.0-3.0) vs 9.0 (4.3-12.0); P&lt;0.001</x:v>
      </x:c>
      <x:c r="H42" t="str">
        <x:v>Some concerns</x:v>
      </x:c>
      <x:c r="I42" t="str">
        <x:v>Low</x:v>
      </x:c>
      <x:c r="J42" t="str">
        <x:v>High</x:v>
      </x:c>
      <x:c r="K42" t="str">
        <x:v>Low</x:v>
      </x:c>
      <x:c r="L42" t="str">
        <x:v>Some concerns</x:v>
      </x:c>
      <x:c r="M42" t="str">
        <x:v>High</x:v>
      </x:c>
      <x:c r="N42" t="str">
        <x:v>De novo source-grounded replacement; 16/174 dropouts, complete-case outcome tables despite ITT language, and dropout reasons include unsatisfactory effects</x:v>
      </x:c>
      <x:c r="O42" t="str">
        <x:v>https://drive.google.com/file/d/1fkNAFra0gZ9jkWkzp_S0TWy-5zVrXCtj/view?usp=drivesdk</x:v>
      </x:c>
      <x:c r="P42" t="str">
        <x:v>https://drive.google.com/drive/folders/1nsfVZMyB9znicxQzB7lvyfiiiuzMdc5M</x:v>
      </x:c>
    </x:row>
    <x:row r="43">
      <x:c r="A43" t="str">
        <x:v>Jiang 2026</x:v>
      </x:c>
      <x:c r="B43" t="str">
        <x:v>Time to first flatus</x:v>
      </x:c>
      <x:c r="C43" t="str">
        <x:v>Perioperative TEAS vs sham/no current</x:v>
      </x:c>
      <x:c r="D43" t="str">
        <x:v>Modified-ITT-type analysis</x:v>
      </x:c>
      <x:c r="E43" t="str">
        <x:v>308 vs 306</x:v>
      </x:c>
      <x:c r="F43" t="str">
        <x:v>296 vs 297</x:v>
      </x:c>
      <x:c r="G43" t="str">
        <x:v>21.3 (19.0-23.5) vs 23.4 (21.0-26.0) h; P&lt;0.001</x:v>
      </x:c>
      <x:c r="H43" t="str">
        <x:v>Low</x:v>
      </x:c>
      <x:c r="I43" t="str">
        <x:v>Some concerns</x:v>
      </x:c>
      <x:c r="J43" t="str">
        <x:v>Some concerns</x:v>
      </x:c>
      <x:c r="K43" t="str">
        <x:v>Low</x:v>
      </x:c>
      <x:c r="L43" t="str">
        <x:v>Low</x:v>
      </x:c>
      <x:c r="M43" t="str">
        <x:v>Some concerns</x:v>
      </x:c>
      <x:c r="N43" t="str">
        <x:v>De novo source-grounded replacement; concealed block randomization and blinded assessment, but the reported ITT excludes 21 randomized non-recipients and is therefore modified ITT rather than full effect-of-assignment analysis</x:v>
      </x:c>
      <x:c r="O43" t="str">
        <x:v>https://drive.google.com/file/d/1nujlP9A_IMWUfd3HdCD2rOxTc9-I8v92/view?usp=drivesdk</x:v>
      </x:c>
      <x:c r="P43" t="str">
        <x:v>https://drive.google.com/drive/folders/1nsfVZMyB9znicxQzB7lvyfiiiuzMdc5M</x:v>
      </x:c>
    </x:row>
    <x:row r="44">
      <x:c r="A44" t="str">
        <x:v>Huang 2025</x:v>
      </x:c>
      <x:c r="B44" t="str">
        <x:v>Time to first flatus</x:v>
      </x:c>
      <x:c r="C44" t="str">
        <x:v>Postoperative EA + ERAS vs ERAS/standard care</x:v>
      </x:c>
      <x:c r="D44" t="str">
        <x:v>Postoperative</x:v>
      </x:c>
      <x:c r="E44" t="str">
        <x:v>51 vs 50</x:v>
      </x:c>
      <x:c r="F44" t="str">
        <x:v>43 vs 45</x:v>
      </x:c>
      <x:c r="G44" t="str">
        <x:v>36.4 ± 8.0 vs 42.2 ± 8.5 h; P&lt;0.001</x:v>
      </x:c>
      <x:c r="H44" t="str">
        <x:v>Low</x:v>
      </x:c>
      <x:c r="I44" t="str">
        <x:v>High</x:v>
      </x:c>
      <x:c r="J44" t="str">
        <x:v>High</x:v>
      </x:c>
      <x:c r="K44" t="str">
        <x:v>High</x:v>
      </x:c>
      <x:c r="L44" t="str">
        <x:v>Low</x:v>
      </x:c>
      <x:c r="M44" t="str">
        <x:v>High</x:v>
      </x:c>
      <x:c r="N44" t="str">
        <x:v>De novo source-grounded replacement; 13/101 post-randomization exclusions include treatment discontinuation/conversion/adjunct GI interventions, no sham, and first flatus is vulnerable to unblinded participant reporting</x:v>
      </x:c>
      <x:c r="O44" t="str">
        <x:v>https://drive.google.com/file/d/1VnJCbIPz8Uy1kXYCTKk7l9Zqj-rTECrY/view?usp=drivesdk</x:v>
      </x:c>
      <x:c r="P44" t="str">
        <x:v>https://drive.google.com/drive/folders/1nsfVZMyB9znicxQzB7lvyfiiiuzMdc5M</x:v>
      </x:c>
    </x:row>
    <x:row r="45">
      <x:c r="A45" t="str">
        <x:v>Huang 2024</x:v>
      </x:c>
      <x:c r="B45" t="str">
        <x:v>VAS during walking/knee movement</x:v>
      </x:c>
      <x:c r="C45" t="str">
        <x:v>Contralateral EA vs bilateral sham EA</x:v>
      </x:c>
      <x:c r="D45" t="str">
        <x:v>POD1</x:v>
      </x:c>
      <x:c r="E45" t="str">
        <x:v>38 vs 38</x:v>
      </x:c>
      <x:c r="F45" t="str">
        <x:v>38 vs 38</x:v>
      </x:c>
      <x:c r="G45" t="str">
        <x:v>53.16 ± 9.99 vs 56.71 ± 9.84; adjusted pairwise NS</x:v>
      </x:c>
      <x:c r="H45" t="str">
        <x:v>Low</x:v>
      </x:c>
      <x:c r="I45" t="str">
        <x:v>Some concerns</x:v>
      </x:c>
      <x:c r="J45" t="str">
        <x:v>Low</x:v>
      </x:c>
      <x:c r="K45" t="str">
        <x:v>Some concerns</x:v>
      </x:c>
      <x:c r="L45" t="str">
        <x:v>Low</x:v>
      </x:c>
      <x:c r="M45" t="str">
        <x:v>Some concerns</x:v>
      </x:c>
      <x:c r="N45" t="str">
        <x:v>De novo source-grounded replacement; concealed allocation, prospective registration and full follow-up are strengths, but six participants did not complete assigned treatment and subjective pain remains potentially sensitive to treatment awareness despite tested sham masking</x:v>
      </x:c>
      <x:c r="O45" t="str">
        <x:v>https://drive.google.com/file/d/1z-76QoxqmtMRV32wOpem7jAyDnuD6fb8/view?usp=drivesdk</x:v>
      </x:c>
      <x:c r="P45" t="str">
        <x:v>https://drive.google.com/drive/folders/1nsfVZMyB9znicxQzB7lvyfiiiuzMdc5M</x:v>
      </x:c>
    </x:row>
    <x:row r="46">
      <x:c r="A46" t="str">
        <x:v>Hou 2023</x:v>
      </x:c>
      <x:c r="B46" t="str">
        <x:v>PONV incidence</x:v>
      </x:c>
      <x:c r="C46" t="str">
        <x:v>Perioperative TEAS vs sham/no-current TEAS</x:v>
      </x:c>
      <x:c r="D46" t="str">
        <x:v>Postoperative</x:v>
      </x:c>
      <x:c r="E46" t="str">
        <x:v>37 vs 37</x:v>
      </x:c>
      <x:c r="F46" t="str">
        <x:v>36 vs 36</x:v>
      </x:c>
      <x:c r="G46" t="str">
        <x:v>4/36 vs 12/36; P=0.023</x:v>
      </x:c>
      <x:c r="H46" t="str">
        <x:v>Low</x:v>
      </x:c>
      <x:c r="I46" t="str">
        <x:v>Low</x:v>
      </x:c>
      <x:c r="J46" t="str">
        <x:v>Low</x:v>
      </x:c>
      <x:c r="K46" t="str">
        <x:v>Some concerns</x:v>
      </x:c>
      <x:c r="L46" t="str">
        <x:v>Low</x:v>
      </x:c>
      <x:c r="M46" t="str">
        <x:v>Some concerns</x:v>
      </x:c>
      <x:c r="N46" t="str">
        <x:v>De novo source-grounded replacement; sealed-envelope randomization and balanced personal-reason withdrawals, but active vibration versus zero current without a blinding-success test leaves uncertainty for nausea-containing PONV</x:v>
      </x:c>
      <x:c r="O46" t="str">
        <x:v>https://drive.google.com/file/d/161WdTRehgwvDHvQ8OkRf8U9TbUmVQgaR/view?usp=drivesdk</x:v>
      </x:c>
      <x:c r="P46" t="str">
        <x:v>https://drive.google.com/drive/folders/1nsfVZMyB9znicxQzB7lvyfiiiuzMdc5M</x:v>
      </x:c>
    </x:row>
    <x:row r="47">
      <x:c r="A47" t="str">
        <x:v>Huang 2017</x:v>
      </x:c>
      <x:c r="B47" t="str">
        <x:v>Total opioid as remifentanil-equivalent rate</x:v>
      </x:c>
      <x:c r="C47" t="str">
        <x:v>2/100-Hz TEAS vs placebo/no-current control</x:v>
      </x:c>
      <x:c r="D47" t="str">
        <x:v>Intraoperative</x:v>
      </x:c>
      <x:c r="E47" t="str">
        <x:v>20 vs 20</x:v>
      </x:c>
      <x:c r="F47" t="str">
        <x:v>20 vs 20</x:v>
      </x:c>
      <x:c r="G47" t="str">
        <x:v>0.1128 ± 0.034 vs 0.1617 ± 0.037 µg/kg/min; P≤0.001</x:v>
      </x:c>
      <x:c r="H47" t="str">
        <x:v>Some concerns</x:v>
      </x:c>
      <x:c r="I47" t="str">
        <x:v>Low</x:v>
      </x:c>
      <x:c r="J47" t="str">
        <x:v>Low</x:v>
      </x:c>
      <x:c r="K47" t="str">
        <x:v>Low</x:v>
      </x:c>
      <x:c r="L47" t="str">
        <x:v>Some concerns</x:v>
      </x:c>
      <x:c r="M47" t="str">
        <x:v>Some concerns</x:v>
      </x:c>
      <x:c r="N47" t="str">
        <x:v>Fresh source-grounded RoB; random numbers generated in Excel but allocation concealment not reported; complete perioperative follow-up and objective anesthetic-consumption outcome are strengths</x:v>
      </x:c>
      <x:c r="O47" t="str">
        <x:v>https://drive.google.com/file/d/1RJGi1PYvw75qVW9UK8CBtJPH4G035ASs/view?usp=drivesdk</x:v>
      </x:c>
      <x:c r="P47" t="str">
        <x:v>https://drive.google.com/drive/folders/1nsfVZMyB9znicxQzB7lvyfiiiuzMdc5M</x:v>
      </x:c>
    </x:row>
    <x:row r="48">
      <x:c r="A48" t="str">
        <x:v>He 2026 (hepatectomy/JIS)</x:v>
      </x:c>
      <x:c r="B48" t="str">
        <x:v>Total postoperative opioid consumption in morphine equivalents</x:v>
      </x:c>
      <x:c r="C48" t="str">
        <x:v>Intraoperative PC6 TEAS vs no-current control</x:v>
      </x:c>
      <x:c r="D48" t="str">
        <x:v>0-24 h</x:v>
      </x:c>
      <x:c r="E48" t="str">
        <x:v>81 vs 80</x:v>
      </x:c>
      <x:c r="F48" t="str">
        <x:v>80 vs 79</x:v>
      </x:c>
      <x:c r="G48" t="str">
        <x:v>20.0 ± 2.5 vs 20.6 ± 4.5 mg MME; MD -0.6 mg, P=0.30</x:v>
      </x:c>
      <x:c r="H48" t="str">
        <x:v>Low</x:v>
      </x:c>
      <x:c r="I48" t="str">
        <x:v>Some concerns</x:v>
      </x:c>
      <x:c r="J48" t="str">
        <x:v>Low</x:v>
      </x:c>
      <x:c r="K48" t="str">
        <x:v>Low</x:v>
      </x:c>
      <x:c r="L48" t="str">
        <x:v>Low</x:v>
      </x:c>
      <x:c r="M48" t="str">
        <x:v>Some concerns</x:v>
      </x:c>
      <x:c r="N48" t="str">
        <x:v>De novo source-grounded replacement using Supplemental eTable 1; secure web randomization and objective MME endpoint, with two randomized patients excluded from mITT because intervention was never initiated/consent withdrawn</x:v>
      </x:c>
      <x:c r="O48" t="str">
        <x:v>https://drive.google.com/file/d/1VgOxIOrGe7ZVevkKEVP7G-0V1DXPU0Gf/view?usp=drivesdk</x:v>
      </x:c>
      <x:c r="P48" t="str">
        <x:v>https://drive.google.com/drive/folders/1nsfVZMyB9znicxQzB7lvyfiiiuzMdc5M</x:v>
      </x:c>
    </x:row>
    <x:row r="49">
      <x:c r="A49" t="str">
        <x:v>He 2026 (breast/WJCO)</x:v>
      </x:c>
      <x:c r="B49" t="str">
        <x:v>Moderate-to-severe movement-evoked pain (VAS &gt;4)</x:v>
      </x:c>
      <x:c r="C49" t="str">
        <x:v>Perioperative EA vs sham acupuncture</x:v>
      </x:c>
      <x:c r="D49" t="str">
        <x:v>24 h</x:v>
      </x:c>
      <x:c r="E49" t="str">
        <x:v>65 vs 65</x:v>
      </x:c>
      <x:c r="F49" t="str">
        <x:v>65 vs 65</x:v>
      </x:c>
      <x:c r="G49" t="str">
        <x:v>32/65 vs 42/65; P&lt;0.05</x:v>
      </x:c>
      <x:c r="H49" t="str">
        <x:v>Some concerns</x:v>
      </x:c>
      <x:c r="I49" t="str">
        <x:v>Low</x:v>
      </x:c>
      <x:c r="J49" t="str">
        <x:v>Low</x:v>
      </x:c>
      <x:c r="K49" t="str">
        <x:v>Some concerns</x:v>
      </x:c>
      <x:c r="L49" t="str">
        <x:v>Some concerns</x:v>
      </x:c>
      <x:c r="M49" t="str">
        <x:v>Some concerns</x:v>
      </x:c>
      <x:c r="N49" t="str">
        <x:v>De novo source-grounded replacement; complete analysis and blinded assessors, but allocation concealment is not reported, patient sensory masking is uncertain, and no prospective registration/protocol was located</x:v>
      </x:c>
      <x:c r="O49" t="str">
        <x:v>https://drive.google.com/file/d/1D6Js5nTN2AwL5-BB-NIJVoCKVtcbcczH/view?usp=drivesdk</x:v>
      </x:c>
      <x:c r="P49" t="str">
        <x:v>https://drive.google.com/drive/folders/1nsfVZMyB9znicxQzB7lvyfiiiuzMdc5M</x:v>
      </x:c>
    </x:row>
    <x:row r="50">
      <x:c r="A50" t="str">
        <x:v>Gu 2019</x:v>
      </x:c>
      <x:c r="B50" t="str">
        <x:v>Time to first flatus</x:v>
      </x:c>
      <x:c r="C50" t="str">
        <x:v>Long-duration TEAS vs sham/no-current TEAS</x:v>
      </x:c>
      <x:c r="D50" t="str">
        <x:v>Postoperative</x:v>
      </x:c>
      <x:c r="E50" t="str">
        <x:v>60 vs 60</x:v>
      </x:c>
      <x:c r="F50" t="str">
        <x:v>58 vs 59</x:v>
      </x:c>
      <x:c r="G50" t="str">
        <x:v>36.58 ± 10.75 vs 43.56 ± 9.57 h; P=0.03</x:v>
      </x:c>
      <x:c r="H50" t="str">
        <x:v>Some concerns</x:v>
      </x:c>
      <x:c r="I50" t="str">
        <x:v>Low</x:v>
      </x:c>
      <x:c r="J50" t="str">
        <x:v>Some concerns</x:v>
      </x:c>
      <x:c r="K50" t="str">
        <x:v>Some concerns</x:v>
      </x:c>
      <x:c r="L50" t="str">
        <x:v>Some concerns</x:v>
      </x:c>
      <x:c r="M50" t="str">
        <x:v>Some concerns</x:v>
      </x:c>
      <x:c r="N50" t="str">
        <x:v>De novo source-grounded replacement; computer randomization but concealment NR, three complete-case exclusions, untested sensory masking, and participant self-recording of flatus</x:v>
      </x:c>
      <x:c r="O50" t="str">
        <x:v>https://drive.google.com/file/d/1ipQFXfERgAVmgNKMpLkvaaecYJVSTDiw/view?usp=drivesdk</x:v>
      </x:c>
      <x:c r="P50" t="str">
        <x:v>https://drive.google.com/drive/folders/1nsfVZMyB9znicxQzB7lvyfiiiuzMdc5M</x:v>
      </x:c>
    </x:row>
    <x:row r="51">
      <x:c r="A51" t="str">
        <x:v>Guo 2023</x:v>
      </x:c>
      <x:c r="B51" t="str">
        <x:v>Postoperative cognitive dysfunction</x:v>
      </x:c>
      <x:c r="C51" t="str">
        <x:v>Perioperative TEAS vs sham/no-current TEAS</x:v>
      </x:c>
      <x:c r="D51" t="str">
        <x:v>POD1</x:v>
      </x:c>
      <x:c r="E51" t="str">
        <x:v>64 vs 64</x:v>
      </x:c>
      <x:c r="F51" t="str">
        <x:v>55 vs 55</x:v>
      </x:c>
      <x:c r="G51" t="str">
        <x:v>20.0% vs 65.4%; approximately 11/55 vs 36/55; P&lt;0.001</x:v>
      </x:c>
      <x:c r="H51" t="str">
        <x:v>Some concerns</x:v>
      </x:c>
      <x:c r="I51" t="str">
        <x:v>Low</x:v>
      </x:c>
      <x:c r="J51" t="str">
        <x:v>High</x:v>
      </x:c>
      <x:c r="K51" t="str">
        <x:v>Some concerns</x:v>
      </x:c>
      <x:c r="L51" t="str">
        <x:v>Low</x:v>
      </x:c>
      <x:c r="M51" t="str">
        <x:v>High</x:v>
      </x:c>
      <x:c r="N51" t="str">
        <x:v>De novo source-grounded replacement; 18/128 post-randomization losses excluded with no ITT, including surgical conversions/reoperations/deaths; participant sensory masking is also uncertain</x:v>
      </x:c>
      <x:c r="O51" t="str">
        <x:v>https://drive.google.com/file/d/1Idfl7rfZhgAUJHDpsmgzp17ADiGvrU8C/view?usp=drivesdk</x:v>
      </x:c>
      <x:c r="P51" t="str">
        <x:v>https://drive.google.com/drive/folders/1nsfVZMyB9znicxQzB7lvyfiiiuzMdc5M</x:v>
      </x:c>
    </x:row>
    <x:row r="52">
      <x:c r="A52" t="str">
        <x:v>Grech 2016</x:v>
      </x:c>
      <x:c r="B52" t="str">
        <x:v>PACU analgesic requirement in women-only subgroup</x:v>
      </x:c>
      <x:c r="C52" t="str">
        <x:v>Intraoperative low-frequency EA vs sham/control</x:v>
      </x:c>
      <x:c r="D52" t="str">
        <x:v>PACU</x:v>
      </x:c>
      <x:c r="E52" t="str">
        <x:v>EA 11 vs control 9 randomized</x:v>
      </x:c>
      <x:c r="F52" t="str">
        <x:v>9 women vs 9 women subgroup</x:v>
      </x:c>
      <x:c r="G52" t="str">
        <x:v>Authors report ~60% lower morphine-equivalent analgesic use; exact means/SEM graph-only</x:v>
      </x:c>
      <x:c r="H52" t="str">
        <x:v>Some concerns</x:v>
      </x:c>
      <x:c r="I52" t="str">
        <x:v>High</x:v>
      </x:c>
      <x:c r="J52" t="str">
        <x:v>Some concerns</x:v>
      </x:c>
      <x:c r="K52" t="str">
        <x:v>Low</x:v>
      </x:c>
      <x:c r="L52" t="str">
        <x:v>High</x:v>
      </x:c>
      <x:c r="M52" t="str">
        <x:v>High</x:v>
      </x:c>
      <x:c r="N52" t="str">
        <x:v>De novo source-grounded replacement; randomization/concealment inadequately described, result is a post hoc sex subgroup with two EA men excluded, and exact numeric outcome is not tabulated</x:v>
      </x:c>
      <x:c r="O52" t="str">
        <x:v>https://drive.google.com/file/d/1U3KShiAZKL8n9hxSpBkhuhuQHW2EN-IY/view?usp=drivesdk</x:v>
      </x:c>
      <x:c r="P52" t="str">
        <x:v>https://drive.google.com/drive/folders/1nsfVZMyB9znicxQzB7lvyfiiiuzMdc5M</x:v>
      </x:c>
    </x:row>
    <x:row r="53">
      <x:c r="A53" t="str">
        <x:v>Gao 2021</x:v>
      </x:c>
      <x:c r="B53" t="str">
        <x:v>Postoperative paralytic ileus</x:v>
      </x:c>
      <x:c r="C53" t="str">
        <x:v>Postoperative TEAS vs sham/no-current TEAS</x:v>
      </x:c>
      <x:c r="D53" t="str">
        <x:v>No flatus &gt;72 h</x:v>
      </x:c>
      <x:c r="E53" t="str">
        <x:v>303 vs 307</x:v>
      </x:c>
      <x:c r="F53" t="str">
        <x:v>303 vs 307</x:v>
      </x:c>
      <x:c r="G53" t="str">
        <x:v>98/303 vs 126/307; P=0.026</x:v>
      </x:c>
      <x:c r="H53" t="str">
        <x:v>Low</x:v>
      </x:c>
      <x:c r="I53" t="str">
        <x:v>Low</x:v>
      </x:c>
      <x:c r="J53" t="str">
        <x:v>Low</x:v>
      </x:c>
      <x:c r="K53" t="str">
        <x:v>Some concerns</x:v>
      </x:c>
      <x:c r="L53" t="str">
        <x:v>Low</x:v>
      </x:c>
      <x:c r="M53" t="str">
        <x:v>Some concerns</x:v>
      </x:c>
      <x:c r="N53" t="str">
        <x:v>De novo source-grounded replacement; central/sealed allocation and full ITT are strengths, but active stimulation was perceptible and POI depends on first-flatus ascertainment</x:v>
      </x:c>
      <x:c r="O53" t="str">
        <x:v>https://drive.google.com/file/d/1QbM6CNi8KfBXmMTqG1ASm3hK05cz_hKQ/view?usp=drivesdk</x:v>
      </x:c>
      <x:c r="P53" t="str">
        <x:v>https://drive.google.com/drive/folders/1nsfVZMyB9znicxQzB7lvyfiiiuzMdc5M</x:v>
      </x:c>
    </x:row>
    <x:row r="54">
      <x:c r="A54" s="18" t="str">
        <x:v>Yeh 2010</x:v>
      </x:c>
      <x:c r="B54" s="18" t="str">
        <x:v>24-h morphine PCA dose</x:v>
      </x:c>
      <x:c r="C54" s="18" t="str">
        <x:v>True AES vs electrical sham AES</x:v>
      </x:c>
      <x:c r="D54" s="18" t="str">
        <x:v>First 24 postoperative hours</x:v>
      </x:c>
      <x:c r="E54" s="18" t="str">
        <x:v>99 entered; arm-specific randomized n NR</x:v>
      </x:c>
      <x:c r="F54" s="18" t="str">
        <x:v>33 vs 30 analyzed</x:v>
      </x:c>
      <x:c r="G54" s="18" t="str">
        <x:v>18.6 ± 9.7 vs 21.6 ± 13.1 mg</x:v>
      </x:c>
      <x:c r="H54" s="18" t="str">
        <x:v>Some concerns</x:v>
      </x:c>
      <x:c r="I54" s="18" t="str">
        <x:v>Low</x:v>
      </x:c>
      <x:c r="J54" s="18" t="str">
        <x:v>Some concerns</x:v>
      </x:c>
      <x:c r="K54" s="18" t="str">
        <x:v>Low</x:v>
      </x:c>
      <x:c r="L54" s="18" t="str">
        <x:v>Some concerns</x:v>
      </x:c>
      <x:c r="M54" s="18" t="str">
        <x:v>Some concerns</x:v>
      </x:c>
      <x:c r="N54" s="18" t="str">
        <x:v>Fresh source-grounded assessment. Randomization sequence not reported and five unstable participants were excluded with arm allocation NR; outcome is objective PCA use. Separate duplicate-publication overlap hold applies.</x:v>
      </x:c>
      <x:c r="O54" s="18" t="str">
        <x:v>https://drive.google.com/file/d/1a1s31PQPWGnaVkYUtNUxO22F3QFTcwmi/view?usp=drivesdk</x:v>
      </x:c>
      <x:c r="P54" s="18" t="str">
        <x:v>https://drive.google.com/drive/folders/1nsfVZMyB9znicxQzB7lvyfiiiuzMdc5M</x:v>
      </x:c>
    </x:row>
    <x:row r="55">
      <x:c r="A55" s="18" t="str">
        <x:v>Yeh 2011</x:v>
      </x:c>
      <x:c r="B55" s="18" t="str">
        <x:v>24-h IV morphine PCA dose</x:v>
      </x:c>
      <x:c r="C55" s="18" t="str">
        <x:v>True AES vs electrical sham AES</x:v>
      </x:c>
      <x:c r="D55" s="18" t="str">
        <x:v>First 24 postoperative hours</x:v>
      </x:c>
      <x:c r="E55" s="18" t="str">
        <x:v>30 vs 30</x:v>
      </x:c>
      <x:c r="F55" s="18" t="str">
        <x:v>30 vs 30</x:v>
      </x:c>
      <x:c r="G55" s="18" t="str">
        <x:v>19.3 ± 9.7 vs 21.6 ± 13.1 mg</x:v>
      </x:c>
      <x:c r="H55" s="18" t="str">
        <x:v>Some concerns</x:v>
      </x:c>
      <x:c r="I55" s="18" t="str">
        <x:v>Low</x:v>
      </x:c>
      <x:c r="J55" s="18" t="str">
        <x:v>Low</x:v>
      </x:c>
      <x:c r="K55" s="18" t="str">
        <x:v>Low</x:v>
      </x:c>
      <x:c r="L55" s="18" t="str">
        <x:v>Some concerns</x:v>
      </x:c>
      <x:c r="M55" s="18" t="str">
        <x:v>Some concerns</x:v>
      </x:c>
      <x:c r="N55" s="18" t="str">
        <x:v>Fresh source-grounded assessment. Computer sequence but sequential allocation without sealed envelopes raises concealment concern; complete follow-up and objective PCA dose are strengths. Duplicate-publication overlap hold applies.</x:v>
      </x:c>
      <x:c r="O55" s="18" t="str">
        <x:v>https://drive.google.com/file/d/1ZJ60ZvJ5Q7sRu1iptK_tLLfBXxZZ_Hwl/view?usp=drivesdk</x:v>
      </x:c>
      <x:c r="P55" s="18" t="str">
        <x:v>https://drive.google.com/drive/folders/1nsfVZMyB9znicxQzB7lvyfiiiuzMdc5M</x:v>
      </x:c>
    </x:row>
    <x:row r="56">
      <x:c r="A56" s="18" t="str">
        <x:v>Wong 2006</x:v>
      </x:c>
      <x:c r="B56" s="18" t="str">
        <x:v>Total IV PCA morphine</x:v>
      </x:c>
      <x:c r="C56" s="18" t="str">
        <x:v>Postoperative EA vs nonpenetrating sham</x:v>
      </x:c>
      <x:c r="D56" s="18" t="str">
        <x:v>First 3 postoperative days</x:v>
      </x:c>
      <x:c r="E56" s="18" t="str">
        <x:v>13 vs 14</x:v>
      </x:c>
      <x:c r="F56" s="18" t="str">
        <x:v>13 vs 12</x:v>
      </x:c>
      <x:c r="G56" s="18" t="str">
        <x:v>33.9 ± 12.8 vs 42.3 ± 21.3 mg; P=0.25</x:v>
      </x:c>
      <x:c r="H56" s="18" t="str">
        <x:v>Low</x:v>
      </x:c>
      <x:c r="I56" s="18" t="str">
        <x:v>Low</x:v>
      </x:c>
      <x:c r="J56" s="18" t="str">
        <x:v>High</x:v>
      </x:c>
      <x:c r="K56" s="18" t="str">
        <x:v>Low</x:v>
      </x:c>
      <x:c r="L56" s="18" t="str">
        <x:v>Some concerns</x:v>
      </x:c>
      <x:c r="M56" s="18" t="str">
        <x:v>High</x:v>
      </x:c>
      <x:c r="N56" s="18" t="str">
        <x:v>Fresh source-grounded assessment. Two sham participants were excluded after serious postoperative complications likely related to postoperative outcomes; no ITT analysis. Exact 24-h opioid endpoint remains unavailable.</x:v>
      </x:c>
      <x:c r="O56" s="18" t="str">
        <x:v>https://drive.google.com/file/d/1-XmRdgXyZmOmKIDRhL80sxha5M2P00jd/view?usp=drivesdk</x:v>
      </x:c>
      <x:c r="P56" s="18" t="str">
        <x:v>https://drive.google.com/drive/folders/1nsfVZMyB9znicxQzB7lvyfiiiuzMdc5M</x:v>
      </x:c>
    </x:row>
    <x:row r="57">
      <x:c r="A57" s="18" t="str">
        <x:v>El-Rakshy 2009</x:v>
      </x:c>
      <x:c r="B57" s="18" t="str">
        <x:v>Total IV morphine analgesia</x:v>
      </x:c>
      <x:c r="C57" s="18" t="str">
        <x:v>Intraoperative EA + PCA vs PCA alone</x:v>
      </x:c>
      <x:c r="D57" s="18" t="str">
        <x:v>First 24 h</x:v>
      </x:c>
      <x:c r="E57" s="18" t="str">
        <x:v>Published allocation denominators irreconcilable</x:v>
      </x:c>
      <x:c r="F57" s="18" t="str">
        <x:v>42 EA vs 53 control for this outcome</x:v>
      </x:c>
      <x:c r="G57" s="18" t="str">
        <x:v>35.3 ± 18.0 vs 36.9 ± 18.0 mg; P=0.961</x:v>
      </x:c>
      <x:c r="H57" s="18" t="str">
        <x:v>Some concerns</x:v>
      </x:c>
      <x:c r="I57" s="18" t="str">
        <x:v>Low</x:v>
      </x:c>
      <x:c r="J57" s="18" t="str">
        <x:v>High</x:v>
      </x:c>
      <x:c r="K57" s="18" t="str">
        <x:v>Low</x:v>
      </x:c>
      <x:c r="L57" s="18" t="str">
        <x:v>Some concerns</x:v>
      </x:c>
      <x:c r="M57" s="18" t="str">
        <x:v>High</x:v>
      </x:c>
      <x:c r="N57" s="18" t="str">
        <x:v>Fresh source-grounded assessment. Computer randomization but concealment NR; severe publication-level denominator inconsistencies and outcome-specific missing data preclude confidence in complete outcome data.</x:v>
      </x:c>
      <x:c r="O57" s="18" t="str">
        <x:v>https://drive.google.com/file/d/12AfIox-MgnMU15U-mdvZgaTKnukXKvAR/view?usp=drivesdk</x:v>
      </x:c>
      <x:c r="P57" s="18" t="str">
        <x:v>https://drive.google.com/drive/folders/1nsfVZMyB9znicxQzB7lvyfiiiuzMdc5M</x:v>
      </x:c>
    </x:row>
    <x:row r="58">
      <x:c r="A58" s="18" t="str">
        <x:v>Coura 2011</x:v>
      </x:c>
      <x:c r="B58" s="18" t="str">
        <x:v>Cumulative fentanyl</x:v>
      </x:c>
      <x:c r="C58" s="18" t="str">
        <x:v>EA vs sham</x:v>
      </x:c>
      <x:c r="D58" s="18" t="str">
        <x:v>First 24 h</x:v>
      </x:c>
      <x:c r="E58" s="18" t="str">
        <x:v>16 vs 16</x:v>
      </x:c>
      <x:c r="F58" s="18" t="str">
        <x:v>13 vs 9</x:v>
      </x:c>
      <x:c r="G58" s="18" t="str">
        <x:v>13.1 ± 2.2 vs 16.3 ± 1.6 µg/kg</x:v>
      </x:c>
      <x:c r="H58" s="18" t="str">
        <x:v>Some concerns</x:v>
      </x:c>
      <x:c r="I58" s="18" t="str">
        <x:v>Low</x:v>
      </x:c>
      <x:c r="J58" s="18" t="str">
        <x:v>High</x:v>
      </x:c>
      <x:c r="K58" s="18" t="str">
        <x:v>Low</x:v>
      </x:c>
      <x:c r="L58" s="18" t="str">
        <x:v>Some concerns</x:v>
      </x:c>
      <x:c r="M58" s="18" t="str">
        <x:v>High</x:v>
      </x:c>
      <x:c r="N58" s="18" t="str">
        <x:v>Fresh source-grounded assessment. Ten of 32 randomized participants were excluded from the final comparison and the publication does not establish that missingness is unrelated to the opioid result.</x:v>
      </x:c>
      <x:c r="O58" s="18" t="str">
        <x:v>https://drive.google.com/file/d/120NJxCmxsdiyqWTXzjmaUWAaVa1i8iZz/view?usp=drivesdk</x:v>
      </x:c>
      <x:c r="P58" s="18" t="str">
        <x:v>https://drive.google.com/drive/folders/1nsfVZMyB9znicxQzB7lvyfiiiuzMdc5M</x:v>
      </x:c>
    </x:row>
    <x:row r="59">
      <x:c r="A59" s="18" t="str">
        <x:v>Chen 1998</x:v>
      </x:c>
      <x:c r="B59" s="18" t="str">
        <x:v>Cumulative IV PCA hydromorphone</x:v>
      </x:c>
      <x:c r="C59" s="18" t="str">
        <x:v>Active ST36 acupoint TENS vs sham ST36 0 mA</x:v>
      </x:c>
      <x:c r="D59" s="18" t="str">
        <x:v>First 24 h</x:v>
      </x:c>
      <x:c r="E59" s="18" t="str">
        <x:v>25 vs 25</x:v>
      </x:c>
      <x:c r="F59" s="18" t="str">
        <x:v>25 vs 25</x:v>
      </x:c>
      <x:c r="G59" s="18" t="str">
        <x:v>6.5 ± 3.5 vs 10.7 ± 5.0 mg</x:v>
      </x:c>
      <x:c r="H59" s="18" t="str">
        <x:v>Some concerns</x:v>
      </x:c>
      <x:c r="I59" s="18" t="str">
        <x:v>Some concerns</x:v>
      </x:c>
      <x:c r="J59" s="18" t="str">
        <x:v>Low</x:v>
      </x:c>
      <x:c r="K59" s="18" t="str">
        <x:v>Low</x:v>
      </x:c>
      <x:c r="L59" s="18" t="str">
        <x:v>Some concerns</x:v>
      </x:c>
      <x:c r="M59" s="18" t="str">
        <x:v>Some concerns</x:v>
      </x:c>
      <x:c r="N59" s="18" t="str">
        <x:v>Fresh source-grounded assessment. Four-arm trial is retained. Randomization/concealment reporting is limited and active postoperative stimulation is perceptible compared with 0-mA sham, but hydromorphone delivery itself is objectively recorded.</x:v>
      </x:c>
      <x:c r="O59" s="18" t="str">
        <x:v>https://drive.google.com/file/d/1lUyYj9aN1CL9RpY86ZY0970To83Kb17s/view?usp=drivesdk</x:v>
      </x:c>
      <x:c r="P59" s="18" t="str">
        <x:v>https://drive.google.com/drive/folders/1nsfVZMyB9znicxQzB7lvyfiiiuzMdc5M</x:v>
      </x:c>
    </x:row>
    <x:row r="60">
      <x:c r="A60" s="18" t="str">
        <x:v>Chen 2020</x:v>
      </x:c>
      <x:c r="B60" s="18" t="str">
        <x:v>Cumulative sufentanil</x:v>
      </x:c>
      <x:c r="C60" s="18" t="str">
        <x:v>Perioperative TEAS vs sham low/zero-current protocol</x:v>
      </x:c>
      <x:c r="D60" s="18" t="str">
        <x:v>24 h</x:v>
      </x:c>
      <x:c r="E60" s="18" t="str">
        <x:v>40 vs 40</x:v>
      </x:c>
      <x:c r="F60" s="18" t="str">
        <x:v>40 vs 40</x:v>
      </x:c>
      <x:c r="G60" s="18" t="str">
        <x:v>72.43 ± 4.78 vs 100.62 ± 10.20 µg</x:v>
      </x:c>
      <x:c r="H60" s="18" t="str">
        <x:v>Low</x:v>
      </x:c>
      <x:c r="I60" s="18" t="str">
        <x:v>Low</x:v>
      </x:c>
      <x:c r="J60" s="18" t="str">
        <x:v>Low</x:v>
      </x:c>
      <x:c r="K60" s="18" t="str">
        <x:v>Low</x:v>
      </x:c>
      <x:c r="L60" s="18" t="str">
        <x:v>Some concerns</x:v>
      </x:c>
      <x:c r="M60" s="18" t="str">
        <x:v>Some concerns</x:v>
      </x:c>
      <x:c r="N60" s="18" t="str">
        <x:v>Fresh source-grounded assessment. Complete objective opioid outcome and a partially sensory-matched sham support low risk in most domains; uncertainty remains about exact prospective analysis prespecification.</x:v>
      </x:c>
      <x:c r="O60" s="18" t="str">
        <x:v>https://drive.google.com/file/d/1y0_cC1NCl5g2vYxDMOtYmxVA_YEE-rsR/view?usp=drivesdk</x:v>
      </x:c>
      <x:c r="P60" s="18" t="str">
        <x:v>https://drive.google.com/drive/folders/1nsfVZMyB9znicxQzB7lvyfiiiuzMdc5M</x:v>
      </x:c>
    </x:row>
    <x:row r="61">
      <x:c r="A61" s="18" t="str">
        <x:v>Ao 2021</x:v>
      </x:c>
      <x:c r="B61" s="18" t="str">
        <x:v>Cumulative PCA solution consumption</x:v>
      </x:c>
      <x:c r="C61" s="18" t="str">
        <x:v>Repeated perioperative TEAS vs sham/no current</x:v>
      </x:c>
      <x:c r="D61" s="18" t="str">
        <x:v>48 h</x:v>
      </x:c>
      <x:c r="E61" s="18" t="str">
        <x:v>35 vs 35</x:v>
      </x:c>
      <x:c r="F61" s="18" t="str">
        <x:v>32 vs 33</x:v>
      </x:c>
      <x:c r="G61" s="18" t="str">
        <x:v>102.8 ± 7.4 vs 120.6 ± 9.2 mL</x:v>
      </x:c>
      <x:c r="H61" s="18" t="str">
        <x:v>Some concerns</x:v>
      </x:c>
      <x:c r="I61" s="18" t="str">
        <x:v>Some concerns</x:v>
      </x:c>
      <x:c r="J61" s="18" t="str">
        <x:v>Some concerns</x:v>
      </x:c>
      <x:c r="K61" s="18" t="str">
        <x:v>Low</x:v>
      </x:c>
      <x:c r="L61" s="18" t="str">
        <x:v>Some concerns</x:v>
      </x:c>
      <x:c r="M61" s="18" t="str">
        <x:v>Some concerns</x:v>
      </x:c>
      <x:c r="N61" s="18" t="str">
        <x:v>Fresh source-grounded assessment. Five randomized participants were not analyzed and repeated awake active stimulation versus no-current sham may reveal allocation; the selected PCA-volume result is objectively recorded. Exact 24-h opioid dose remains missing.</x:v>
      </x:c>
      <x:c r="O61" s="18" t="str">
        <x:v>https://drive.google.com/file/d/1tNFnY0fJpx53hrtY4DIaE1RsNjE55Xvd/view?usp=drivesdk</x:v>
      </x:c>
      <x:c r="P61" s="18" t="str">
        <x:v>https://drive.google.com/drive/folders/1nsfVZMyB9znicxQzB7lvyfiiiuzMdc5M</x:v>
      </x:c>
    </x:row>
    <x:row r="62">
      <x:c r="A62" s="18" t="str">
        <x:v>An 2014</x:v>
      </x:c>
      <x:c r="B62" s="18" t="str">
        <x:v>Total postoperative fentanyl PCIA dose</x:v>
      </x:c>
      <x:c r="C62" s="18" t="str">
        <x:v>Intraoperative EA vs no-acupuncture control</x:v>
      </x:c>
      <x:c r="D62" s="18" t="str">
        <x:v>Reported 48-h PCIA period</x:v>
      </x:c>
      <x:c r="E62" s="18" t="str">
        <x:v>45 vs 43</x:v>
      </x:c>
      <x:c r="F62" s="18" t="str">
        <x:v>41 vs 40</x:v>
      </x:c>
      <x:c r="G62" s="18" t="str">
        <x:v>0.67 ± 0.09 vs 0.73 ± 0.12 mg</x:v>
      </x:c>
      <x:c r="H62" s="18" t="str">
        <x:v>Some concerns</x:v>
      </x:c>
      <x:c r="I62" s="18" t="str">
        <x:v>Low</x:v>
      </x:c>
      <x:c r="J62" s="18" t="str">
        <x:v>High</x:v>
      </x:c>
      <x:c r="K62" s="18" t="str">
        <x:v>Low</x:v>
      </x:c>
      <x:c r="L62" s="18" t="str">
        <x:v>Some concerns</x:v>
      </x:c>
      <x:c r="M62" s="18" t="str">
        <x:v>High</x:v>
      </x:c>
      <x:c r="N62" s="18" t="str">
        <x:v>Fresh source-grounded assessment. Seven of 88 randomized participants were excluded after reoperation, persistent unconsciousness or incomplete information; no ITT analysis. Objective fentanyl result but substantial missing-data concern.</x:v>
      </x:c>
      <x:c r="O62" s="18" t="str">
        <x:v>https://drive.google.com/file/d/1Ygu3g28udKuPe0OS95oge2ryIGNeJ0te/view?usp=drivesdk</x:v>
      </x:c>
      <x:c r="P62" s="18" t="str">
        <x:v>https://drive.google.com/drive/folders/1nsfVZMyB9znicxQzB7lvyfiiiuzMdc5M</x:v>
      </x:c>
    </x:row>
    <x:row r="63">
      <x:c r="A63" s="18" t="str">
        <x:v>Chen 2015</x:v>
      </x:c>
      <x:c r="B63" s="18" t="str">
        <x:v>Global QoR-40</x:v>
      </x:c>
      <x:c r="C63" s="18" t="str">
        <x:v>Preoperative TEAS vs no-current control</x:v>
      </x:c>
      <x:c r="D63" s="18" t="str">
        <x:v>24 h</x:v>
      </x:c>
      <x:c r="E63" s="18" t="str">
        <x:v>42 vs 42</x:v>
      </x:c>
      <x:c r="F63" s="18" t="str">
        <x:v>41 vs 42</x:v>
      </x:c>
      <x:c r="G63" s="18" t="str">
        <x:v>183 (172-190) vs 168 (154-183); P&lt;0.001</x:v>
      </x:c>
      <x:c r="H63" s="18" t="str">
        <x:v>Low</x:v>
      </x:c>
      <x:c r="I63" s="18" t="str">
        <x:v>Low</x:v>
      </x:c>
      <x:c r="J63" s="18" t="str">
        <x:v>Some concerns</x:v>
      </x:c>
      <x:c r="K63" s="18" t="str">
        <x:v>High</x:v>
      </x:c>
      <x:c r="L63" s="18" t="str">
        <x:v>Low</x:v>
      </x:c>
      <x:c r="M63" s="18" t="str">
        <x:v>High</x:v>
      </x:c>
      <x:c r="N63" s="18" t="str">
        <x:v>Fresh source-grounded assessment. Opaque-envelope randomization and prospective registration are strengths, but the patient-reported QoR-40 is vulnerable to treatment awareness because active 6-9 mA TEAS was perceptible and control delivered no current.</x:v>
      </x:c>
      <x:c r="O63" s="18" t="str">
        <x:v>https://drive.google.com/file/d/1ZtE8GImDcpDJH1tOvzqazoh_S4Gd67oH/view?usp=drivesdk</x:v>
      </x:c>
      <x:c r="P63" s="18" t="str">
        <x:v>https://drive.google.com/drive/folders/1nsfVZMyB9znicxQzB7lvyfiiiuzMdc5M</x:v>
      </x:c>
    </x:row>
    <x:row r="64">
      <x:c r="A64" s="18" t="str">
        <x:v>Chen 2015 (Hyperalgesia)</x:v>
      </x:c>
      <x:c r="B64" s="18" t="str">
        <x:v>Cumulative rescue sufentanil PCIA boluses</x:v>
      </x:c>
      <x:c r="C64" s="18" t="str">
        <x:v>Preoperative TEAS vs no-current sham</x:v>
      </x:c>
      <x:c r="D64" s="18" t="str">
        <x:v>0-24 h</x:v>
      </x:c>
      <x:c r="E64" s="18" t="str">
        <x:v>30 vs 30</x:v>
      </x:c>
      <x:c r="F64" s="18" t="str">
        <x:v>29 vs 30</x:v>
      </x:c>
      <x:c r="G64" s="18" t="str">
        <x:v>3 (2-4) vs 7 (6-8) boluses; P&lt;0.001</x:v>
      </x:c>
      <x:c r="H64" s="18" t="str">
        <x:v>Low</x:v>
      </x:c>
      <x:c r="I64" s="18" t="str">
        <x:v>Low</x:v>
      </x:c>
      <x:c r="J64" s="18" t="str">
        <x:v>Some concerns</x:v>
      </x:c>
      <x:c r="K64" s="18" t="str">
        <x:v>Low</x:v>
      </x:c>
      <x:c r="L64" s="18" t="str">
        <x:v>Some concerns</x:v>
      </x:c>
      <x:c r="M64" s="18" t="str">
        <x:v>Some concerns</x:v>
      </x:c>
      <x:c r="N64" s="18" t="str">
        <x:v>Fresh source-grounded assessment. Computer randomization with sealed envelopes and blinded outcome personnel; one TEAS protocol-breach exclusion and uncertainty about sensory masking/prespecified analysis remain.</x:v>
      </x:c>
      <x:c r="O64" s="18" t="str">
        <x:v>https://drive.google.com/file/d/13YKAZZsc2VQEPqkw1Ye40BYDZSRpI6N3/view?usp=drivesdk</x:v>
      </x:c>
      <x:c r="P64" s="18" t="str">
        <x:v>https://drive.google.com/drive/folders/1nsfVZMyB9znicxQzB7lvyfiiiuzMdc5M</x:v>
      </x:c>
    </x:row>
  </x:sheetData>
  <x:conditionalFormatting sqref="H2:H7">
    <x:cfRule type="expression" dxfId="8" priority="1">
      <x:formula>H2="High"</x:formula>
    </x:cfRule>
    <x:cfRule type="expression" dxfId="9" priority="2">
      <x:formula>H2="Some concerns"</x:formula>
    </x:cfRule>
    <x:cfRule type="expression" dxfId="10" priority="3">
      <x:formula>H2="Low"</x:formula>
    </x:cfRule>
  </x:conditionalFormatting>
  <x:conditionalFormatting sqref="I2:I7">
    <x:cfRule type="expression" dxfId="11" priority="4">
      <x:formula>I2="High"</x:formula>
    </x:cfRule>
    <x:cfRule type="expression" dxfId="12" priority="5">
      <x:formula>I2="Some concerns"</x:formula>
    </x:cfRule>
    <x:cfRule type="expression" dxfId="13" priority="6">
      <x:formula>I2="Low"</x:formula>
    </x:cfRule>
  </x:conditionalFormatting>
  <x:conditionalFormatting sqref="J2:J7">
    <x:cfRule type="expression" dxfId="14" priority="7">
      <x:formula>J2="High"</x:formula>
    </x:cfRule>
    <x:cfRule type="expression" dxfId="15" priority="8">
      <x:formula>J2="Some concerns"</x:formula>
    </x:cfRule>
    <x:cfRule type="expression" dxfId="16" priority="9">
      <x:formula>J2="Low"</x:formula>
    </x:cfRule>
  </x:conditionalFormatting>
  <x:conditionalFormatting sqref="K2:K7">
    <x:cfRule type="expression" dxfId="17" priority="10">
      <x:formula>K2="High"</x:formula>
    </x:cfRule>
    <x:cfRule type="expression" dxfId="18" priority="11">
      <x:formula>K2="Some concerns"</x:formula>
    </x:cfRule>
    <x:cfRule type="expression" dxfId="19" priority="12">
      <x:formula>K2="Low"</x:formula>
    </x:cfRule>
  </x:conditionalFormatting>
  <x:conditionalFormatting sqref="L2:L7">
    <x:cfRule type="expression" dxfId="20" priority="13">
      <x:formula>L2="High"</x:formula>
    </x:cfRule>
    <x:cfRule type="expression" dxfId="21" priority="14">
      <x:formula>L2="Some concerns"</x:formula>
    </x:cfRule>
    <x:cfRule type="expression" dxfId="22" priority="15">
      <x:formula>L2="Low"</x:formula>
    </x:cfRule>
  </x:conditionalFormatting>
  <x:conditionalFormatting sqref="M2:M7">
    <x:cfRule type="expression" dxfId="23" priority="16">
      <x:formula>M2="High"</x:formula>
    </x:cfRule>
    <x:cfRule type="expression" dxfId="24" priority="17">
      <x:formula>M2="Some concerns"</x:formula>
    </x:cfRule>
    <x:cfRule type="expression" dxfId="25" priority="18">
      <x:formula>M2="Low"</x:formula>
    </x:cfRule>
    <x:cfRule type="expression" dxfId="26" priority="19">
      <x:formula>M2="High"</x:formula>
    </x:cfRule>
    <x:cfRule type="expression" dxfId="27" priority="20">
      <x:formula>M2="Some concerns"</x:formula>
    </x:cfRule>
    <x:cfRule type="expression" dxfId="28" priority="21">
      <x:formula>M2="Low"</x:formula>
    </x:cfRule>
  </x:conditionalFormatting>
  <x:pageMargins left="0.7" right="0.7" top="0.75" bottom="0.75" header="0.3" footer="0.3"/>
  <x:tableParts count="1">
    <x:tablePart xmlns:r="http://schemas.openxmlformats.org/officeDocument/2006/relationships" r:id="Rd9ed3e4bf43549e1"/>
  </x:tableParts>
</x:worksheet>
</file>

<file path=xl/worksheets/sheet4.xml><?xml version="1.0" encoding="utf-8"?>
<x:worksheet xmlns:x="http://schemas.openxmlformats.org/spreadsheetml/2006/main">
  <x:sheetFormatPr defaultRowHeight="15"/>
  <x:cols>
    <x:col min="1" max="1" width="24" hidden="0" customWidth="1"/>
    <x:col min="2" max="2" width="30" hidden="0" customWidth="1"/>
    <x:col min="3" max="3" width="55" hidden="0" customWidth="1"/>
    <x:col min="4" max="4" width="55" hidden="0" customWidth="1"/>
    <x:col min="5" max="5" width="16" hidden="0" customWidth="1"/>
    <x:col min="6" max="6" width="28" hidden="0" customWidth="1"/>
  </x:cols>
  <x:sheetData>
    <x:row r="1">
      <x:c r="A1" s="24" t="str">
        <x:v>Study/record</x:v>
      </x:c>
      <x:c r="B1" s="24" t="str">
        <x:v>Issue type</x:v>
      </x:c>
      <x:c r="C1" s="24" t="str">
        <x:v>Problem identified</x:v>
      </x:c>
      <x:c r="D1" s="24" t="str">
        <x:v>Master decision</x:v>
      </x:c>
      <x:c r="E1" s="24" t="str">
        <x:v>Severity</x:v>
      </x:c>
      <x:c r="F1" s="24" t="str">
        <x:v>Status</x:v>
      </x:c>
    </x:row>
    <x:row r="2">
      <x:c r="A2" s="18" t="str">
        <x:v>An 2014</x:v>
      </x:c>
      <x:c r="B2" s="18" t="str">
        <x:v>Antigravity Sol file mapping</x:v>
      </x:c>
      <x:c r="C2" s="18" t="str">
        <x:v>Points to zhang_2014_breast_surgery_teas_full_data_extraction.md</x:v>
      </x:c>
      <x:c r="D2" s="18" t="str">
        <x:v>Reject mapping; An 2014 source is covidence_698_full_article.pdf / covidence_study_698 extraction.</x:v>
      </x:c>
      <x:c r="E2" s="18" t="str">
        <x:v>Material</x:v>
      </x:c>
      <x:c r="F2" s="18" t="str">
        <x:v>Resolved in master inventory</x:v>
      </x:c>
    </x:row>
    <x:row r="3">
      <x:c r="A3" s="18" t="str">
        <x:v>Seevaunnamtum 2016</x:v>
      </x:c>
      <x:c r="B3" s="18" t="str">
        <x:v>Antigravity Sol file mapping</x:v>
      </x:c>
      <x:c r="C3" s="18" t="str">
        <x:v>Points to grech_2016_full_data_extraction.md</x:v>
      </x:c>
      <x:c r="D3" s="18" t="str">
        <x:v>Reject mapping; use covidence_596_verified.pdf / Seevaunnamtum source-grounded extraction.</x:v>
      </x:c>
      <x:c r="E3" s="18" t="str">
        <x:v>Material</x:v>
      </x:c>
      <x:c r="F3" s="18" t="str">
        <x:v>Resolved in master inventory</x:v>
      </x:c>
    </x:row>
    <x:row r="4">
      <x:c r="A4" s="18" t="str">
        <x:v>Chen 2015</x:v>
      </x:c>
      <x:c r="B4" s="18" t="str">
        <x:v>Antigravity Sol file mapping</x:v>
      </x:c>
      <x:c r="C4" s="18" t="str">
        <x:v>Points to chen_2020_full_data_extraction.md</x:v>
      </x:c>
      <x:c r="D4" s="18" t="str">
        <x:v>Reject mapping; Chen 2015 QoR-40 thyroidectomy is distinct.</x:v>
      </x:c>
      <x:c r="E4" s="18" t="str">
        <x:v>Material</x:v>
      </x:c>
      <x:c r="F4" s="18" t="str">
        <x:v>Resolved in master inventory</x:v>
      </x:c>
    </x:row>
    <x:row r="5">
      <x:c r="A5" s="18" t="str">
        <x:v>Chen 2015 (Hyperalgesia)</x:v>
      </x:c>
      <x:c r="B5" s="18" t="str">
        <x:v>Antigravity Sol file mapping</x:v>
      </x:c>
      <x:c r="C5" s="18" t="str">
        <x:v>Points to chen_2020_full_data_extraction.md</x:v>
      </x:c>
      <x:c r="D5" s="18" t="str">
        <x:v>Reject mapping; hyperalgesia trial is distinct.</x:v>
      </x:c>
      <x:c r="E5" s="18" t="str">
        <x:v>Material</x:v>
      </x:c>
      <x:c r="F5" s="18" t="str">
        <x:v>Resolved in master inventory</x:v>
      </x:c>
    </x:row>
    <x:row r="6">
      <x:c r="A6" s="18" t="str">
        <x:v>Ng 2013</x:v>
      </x:c>
      <x:c r="B6" s="18" t="str">
        <x:v>Antigravity Sol file mapping</x:v>
      </x:c>
      <x:c r="C6" s="18" t="str">
        <x:v>Points to huang_2024_covidence_245_full_data_extraction.md</x:v>
      </x:c>
      <x:c r="D6" s="18" t="str">
        <x:v>Reject cross-study mapping.</x:v>
      </x:c>
      <x:c r="E6" s="18" t="str">
        <x:v>Material</x:v>
      </x:c>
      <x:c r="F6" s="18" t="str">
        <x:v>Resolved in master inventory</x:v>
      </x:c>
    </x:row>
    <x:row r="7">
      <x:c r="A7" s="18" t="str">
        <x:v>Tu 2024</x:v>
      </x:c>
      <x:c r="B7" s="18" t="str">
        <x:v>Antigravity Sol file mapping</x:v>
      </x:c>
      <x:c r="C7" s="18" t="str">
        <x:v>Points to wang_2023_gi_tumor_sleep_teas_full_data_extraction.md</x:v>
      </x:c>
      <x:c r="D7" s="18" t="str">
        <x:v>Reject cross-study mapping.</x:v>
      </x:c>
      <x:c r="E7" s="18" t="str">
        <x:v>Material</x:v>
      </x:c>
      <x:c r="F7" s="18" t="str">
        <x:v>Resolved in master inventory</x:v>
      </x:c>
    </x:row>
    <x:row r="8">
      <x:c r="A8" s="18" t="str">
        <x:v>Gao 2018</x:v>
      </x:c>
      <x:c r="B8" s="18" t="str">
        <x:v>Antigravity inventory</x:v>
      </x:c>
      <x:c r="C8" s="18" t="str">
        <x:v>No source-grounded Gao 2018 extraction found</x:v>
      </x:c>
      <x:c r="D8" s="18" t="str">
        <x:v>Exclude until a source PDF is positively identified; Zhou 2025 was omitted from Antigravity matrix and restored.</x:v>
      </x:c>
      <x:c r="E8" s="18" t="str">
        <x:v>Material</x:v>
      </x:c>
      <x:c r="F8" s="18" t="str">
        <x:v>Resolved in master inventory</x:v>
      </x:c>
    </x:row>
    <x:row r="9">
      <x:c r="A9" s="18" t="str">
        <x:v>Ge et al. 2023</x:v>
      </x:c>
      <x:c r="B9" s="18" t="str">
        <x:v>Duplicate derivative</x:v>
      </x:c>
      <x:c r="C9" s="18" t="str">
        <x:v>Duplicate extraction of Wang 2023 Pain and Therapy trial</x:v>
      </x:c>
      <x:c r="D9" s="18" t="str">
        <x:v>Do not count as separate trial.</x:v>
      </x:c>
      <x:c r="E9" s="18" t="str">
        <x:v>Material</x:v>
      </x:c>
      <x:c r="F9" s="18" t="str">
        <x:v>Resolved in master inventory</x:v>
      </x:c>
    </x:row>
    <x:row r="10">
      <x:c r="A10" s="18" t="str">
        <x:v>Zhou 2026</x:v>
      </x:c>
      <x:c r="B10" s="18" t="str">
        <x:v>Misnamed derivative</x:v>
      </x:c>
      <x:c r="C10" s="18" t="str">
        <x:v>RoB file attached to Liu 2026 burn trial</x:v>
      </x:c>
      <x:c r="D10" s="18" t="str">
        <x:v>Do not count as separate trial.</x:v>
      </x:c>
      <x:c r="E10" s="18" t="str">
        <x:v>Material</x:v>
      </x:c>
      <x:c r="F10" s="18" t="str">
        <x:v>Resolved in master inventory</x:v>
      </x:c>
    </x:row>
    <x:row r="11">
      <x:c r="A11" s="18" t="str">
        <x:v>Gao 2018</x:v>
      </x:c>
      <x:c r="B11" s="18" t="str">
        <x:v>Rejected Antigravity inventory row</x:v>
      </x:c>
      <x:c r="C11" s="18" t="str">
        <x:v>**Intraop remifentanil (PRIMARY)**: Group TEAS (n=32) 545 ± 35 µg vs Group C (n=32) 636 ± 33 µg (P &lt; 0.001) [MD -91.0 µg]. **Intraop propofol**: Group TEAS 4...</x:v>
      </x:c>
      <x:c r="D11" s="18" t="str">
        <x:v>No matching Gao 2018 source/extraction was located in the project inventory; row conflicts with the 63-PDF canonical inventory and should not enter the master dataset without source identification.</x:v>
      </x:c>
      <x:c r="E11" s="18" t="str">
        <x:v>Critical</x:v>
      </x:c>
      <x:c r="F11" s="18" t="str">
        <x:v>Excluded from canonical master</x:v>
      </x:c>
    </x:row>
  </x:sheetData>
  <x:conditionalFormatting sqref="E2:E11">
    <x:cfRule type="expression" dxfId="29" priority="1">
      <x:formula>E2="Critical"</x:formula>
    </x:cfRule>
  </x:conditionalFormatting>
  <x:pageMargins left="0.7" right="0.7" top="0.75" bottom="0.75" header="0.3" footer="0.3"/>
  <x:tableParts count="1">
    <x:tablePart xmlns:r="http://schemas.openxmlformats.org/officeDocument/2006/relationships" r:id="R2e1edab4a7aa462a"/>
  </x:tableParts>
</x:worksheet>
</file>

<file path=xl/worksheets/sheet5.xml><?xml version="1.0" encoding="utf-8"?>
<x:worksheet xmlns:x="http://schemas.openxmlformats.org/spreadsheetml/2006/main">
  <x:sheetFormatPr defaultRowHeight="15"/>
  <x:cols>
    <x:col min="1" max="1" width="22" hidden="0" customWidth="1"/>
    <x:col min="2" max="2" width="25" hidden="0" customWidth="1"/>
    <x:col min="3" max="3" width="70" hidden="0" customWidth="1"/>
    <x:col min="4" max="4" width="58" hidden="0" customWidth="1"/>
    <x:col min="5" max="5" width="32" hidden="0" customWidth="1"/>
    <x:col min="6" max="6" width="38" hidden="0" customWidth="1"/>
  </x:cols>
  <x:sheetData>
    <x:row r="1">
      <x:c r="A1" s="24" t="str">
        <x:v>Canonical study</x:v>
      </x:c>
      <x:c r="B1" s="24" t="str">
        <x:v>Antigravity label</x:v>
      </x:c>
      <x:c r="C1" s="24" t="str">
        <x:v>Candidate source summary</x:v>
      </x:c>
      <x:c r="D1" s="24" t="str">
        <x:v>Gemini/payload field from Antigravity report</x:v>
      </x:c>
      <x:c r="E1" s="24" t="str">
        <x:v>Antigravity classification</x:v>
      </x:c>
      <x:c r="F1" s="24" t="str">
        <x:v>Status in this master</x:v>
      </x:c>
    </x:row>
    <x:row r="2">
      <x:c r="A2" s="18" t="str">
        <x:v>Zhu 2022</x:v>
      </x:c>
      <x:c r="B2" s="18" t="str">
        <x:v>Zhu 2022</x:v>
      </x:c>
      <x:c r="C2" s="18" t="str">
        <x:v>**Pain intensity during movement at 24h (NRS 0-10) (PRIMARY)**: Group Pre (n=101) 1.15 ± 1.02 vs Group 30 (n=98) 1.12 ± 1.03 vs Group Comb (n=100) 1.17 ± 1.1...</x:v>
      </x:c>
      <x:c r="D2" s="18" t="str">
        <x:v>Opioid: `20.4±4.8 vs 33.1±7.0` 🚨 **[FABRICATED BOILERPLATE]**&lt;br&gt;Pain: `2.4±0.8 vs 3.8±1.1` 🚨 **[FABRICATED]**&lt;br&gt;PONV: `5/30 vs 12/30` 🚨 **[FABRICATED]**</x:v>
      </x:c>
      <x:c r="E2" s="18" t="str">
        <x:v>🟡 Verified with Corrections 🟠 Author Contact Needed</x:v>
      </x:c>
      <x:c r="F2" s="18" t="str">
        <x:v>REFERENCE ONLY — not authoritative unless source-confirmed</x:v>
      </x:c>
    </x:row>
    <x:row r="3">
      <x:c r="A3" s="18" t="str">
        <x:v>Zhou 2025</x:v>
      </x:c>
      <x:c r="B3" s="18" t="str">
        <x:v>(Antigravity matrix omitted/misidentified)</x:v>
      </x:c>
      <x:c r="C3" s="18" t="str">
        <x:v>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x:v>
      </x:c>
      <x:c r="D3" s="18" t="str">
        <x:v>Do not use Antigravity Gao 2018 row as substitute.</x:v>
      </x:c>
      <x:c r="E3" s="18" t="str">
        <x:v>Source-verified Sol correction; Antigravity matrix identity gap</x:v>
      </x:c>
      <x:c r="F3" s="18" t="str">
        <x:v>REFERENCE ONLY — not authoritative unless source-confirmed</x:v>
      </x:c>
    </x:row>
    <x:row r="4">
      <x:c r="A4" s="18" t="str">
        <x:v>Zhou 2021</x:v>
      </x:c>
      <x:c r="B4" s="18" t="str">
        <x:v>Zhou 2021</x:v>
      </x:c>
      <x:c r="C4" s="18" t="str">
        <x:v>**Cumulative postoperative systemic opioid consumption (equivalent dose of morphine in mg / IV MME) (PRIMARY)**: TG (n=41) 8.94 ± 3.66 mg vs CG Usual care (n...</x:v>
      </x:c>
      <x:c r="D4" s="18" t="str">
        <x:v>Opioid: `20.4±4.8 vs 33.1±7.0` 🚨 **[FABRICATED BOILERPLATE]**&lt;br&gt;Pain: `2.4±0.8 vs 3.8±1.1` 🚨 **[FABRICATED]**&lt;br&gt;PONV: `5/30 vs 12/30` 🚨 **[FABRICATED]**</x:v>
      </x:c>
      <x:c r="E4" s="18" t="str">
        <x:v>🟡 Verified with Corrections 🟠 Author Contact Needed</x:v>
      </x:c>
      <x:c r="F4" s="18" t="str">
        <x:v>REFERENCE ONLY — not authoritative unless source-confirmed</x:v>
      </x:c>
    </x:row>
    <x:row r="5">
      <x:c r="A5" s="18" t="str">
        <x:v>Zheng 2025</x:v>
      </x:c>
      <x:c r="B5" s="18" t="str">
        <x:v>Zheng 2025</x:v>
      </x:c>
      <x:c r="C5" s="18" t="str">
        <x:v>**Pain intensity at rest at 24h (NRS 0-10) (PRIMARY)**: TEAS (n=42) 1.70 ± 0.80 vs Sham TEAS (n=43) 2.20 ± 1.10 (P = 0.042*) [MD -0.50, 95% CI -0.91 to -0.09...</x:v>
      </x:c>
      <x:c r="D5" s="18" t="str">
        <x:v>Opioid: `20.4±4.8 vs 33.1±7.0` 🚨 **[FABRICATED BOILERPLATE]**&lt;br&gt;Pain: `2.4±0.8 vs 3.8±1.1` 🚨 **[FABRICATED]**&lt;br&gt;PONV: `5/30 vs 12/30` 🚨 **[FABRICATED]**</x:v>
      </x:c>
      <x:c r="E5" s="18" t="str">
        <x:v>🟡 Verified with Corrections 🟠 Author Contact Needed</x:v>
      </x:c>
      <x:c r="F5" s="18" t="str">
        <x:v>REFERENCE ONLY — not authoritative unless source-confirmed</x:v>
      </x:c>
    </x:row>
    <x:row r="6">
      <x:c r="A6" s="18" t="str">
        <x:v>Zhan 2020</x:v>
      </x:c>
      <x:c r="B6" s="18" t="str">
        <x:v>Zhan 2020</x:v>
      </x:c>
      <x:c r="C6" s="18" t="str">
        <x:v>**Pain intensity at rest at 24h (VAS 0-10) (PRIMARY)**: TAP+TEAS (n=30) 1.70 ± 2.20 vs TAP Control (n=30) 2.00 ± 3.00 (P = 0.03*) [MD -0.30, 95% CI -1.63 to ...</x:v>
      </x:c>
      <x:c r="D6" s="18" t="str">
        <x:v>Opioid: `1.7±2.2 vs 2.0±3.0`&lt;br&gt;Pain: `2.4±0.8 vs 3.8±1.1` 🚨 **[FABRICATED]**&lt;br&gt;PONV: `5/30 vs 12/30` 🚨 **[FABRICATED]**</x:v>
      </x:c>
      <x:c r="E6" s="18" t="str">
        <x:v>🟡 Verified with Corrections 🟠 Author Contact Needed</x:v>
      </x:c>
      <x:c r="F6" s="18" t="str">
        <x:v>REFERENCE ONLY — not authoritative unless source-confirmed</x:v>
      </x:c>
    </x:row>
    <x:row r="7">
      <x:c r="A7" s="18" t="str">
        <x:v>Zhang 2025</x:v>
      </x:c>
      <x:c r="B7" s="18" t="str">
        <x:v>Zhang 2025</x:v>
      </x:c>
      <x:c r="C7" s="18" t="str">
        <x:v>**Cumulative postoperative systemic opioid consumption at 24h (total sufentanil in IV MME) (PRIMARY)**: TEAS (n=45) 50.53 ± 4.46 mg vs Control Sham TEAS (n=4...</x:v>
      </x:c>
      <x:c r="D7" s="18" t="str">
        <x:v>Opioid: `20.4±4.8 vs 33.1±7.0` 🚨 **[FABRICATED BOILERPLATE]**&lt;br&gt;Pain: `2.4±0.8 vs 3.8±1.1` 🚨 **[FABRICATED]**&lt;br&gt;PONV: `5/30 vs 12/30` 🚨 **[FABRICATED]**</x:v>
      </x:c>
      <x:c r="E7" s="18" t="str">
        <x:v>🟡 Verified with Corrections 🟠 Author Contact Needed</x:v>
      </x:c>
      <x:c r="F7" s="18" t="str">
        <x:v>REFERENCE ONLY — not authoritative unless source-confirmed</x:v>
      </x:c>
    </x:row>
    <x:row r="8">
      <x:c r="A8" s="18" t="str">
        <x:v>Zhang 2023</x:v>
      </x:c>
      <x:c r="B8" s="18" t="str">
        <x:v>Zhang 2023</x:v>
      </x:c>
      <x:c r="C8" s="18" t="str">
        <x:v>**Cumulative postoperative systemic opioid consumption within 48h (IV MME)**: TEAS (n=922) median 110.0 mg (IQR 80.0-110.0) vs Sham TEAS (n=916) median 110.0...</x:v>
      </x:c>
      <x:c r="D8" s="18" t="str">
        <x:v>Opioid: `20.4±4.8 vs 33.1±7.0` 🚨 **[FABRICATED BOILERPLATE]**&lt;br&gt;Pain: `2.4±0.8 vs 3.8±1.1` 🚨 **[FABRICATED]**&lt;br&gt;PONV: `5/30 vs 12/30` 🚨 **[FABRICATED]**</x:v>
      </x:c>
      <x:c r="E8" s="18" t="str">
        <x:v>🟡 Verified with Corrections 🟠 Author Contact Needed</x:v>
      </x:c>
      <x:c r="F8" s="18" t="str">
        <x:v>REFERENCE ONLY — not authoritative unless source-confirmed</x:v>
      </x:c>
    </x:row>
    <x:row r="9">
      <x:c r="A9" s="18" t="str">
        <x:v>Zhang 2014</x:v>
      </x:c>
      <x:c r="B9" s="18" t="str">
        <x:v>Zhang 2014</x:v>
      </x:c>
      <x:c r="C9" s="18" t="str">
        <x:v>**Intraoperative systemic remifentanil consumption rate (µg/kg/min)**: TEAS (n=33) 0.06 ± 0.02 vs Sham TEAS (n=32) 0.09 ± 0.03 (P = 0.01*) [MD -0.03, 95% CI ...</x:v>
      </x:c>
      <x:c r="D9" s="18" t="str">
        <x:v>Opioid: `0.06±0.02 vs 0.09±0.03`&lt;br&gt;Pain: `2.4±0.8 vs 3.8±1.1` 🚨 **[FABRICATED]**&lt;br&gt;PONV: `5/30 vs 12/30` 🚨 **[FABRICATED]**</x:v>
      </x:c>
      <x:c r="E9" s="18" t="str">
        <x:v>🟡 Verified with Corrections 🟠 Author Contact Needed</x:v>
      </x:c>
      <x:c r="F9" s="18" t="str">
        <x:v>REFERENCE ONLY — not authoritative unless source-confirmed</x:v>
      </x:c>
    </x:row>
    <x:row r="10">
      <x:c r="A10" s="18" t="str">
        <x:v>Yu 2020</x:v>
      </x:c>
      <x:c r="B10" s="18" t="str">
        <x:v>Yu 2020</x:v>
      </x:c>
      <x:c r="C10" s="18" t="str">
        <x:v>**Pain intensity at rest at 24h (VAS 0-10) (PRIMARY)**: TEAS (n=30) 3.70 ± 1.53 vs Con Sham TEAS (n=30) 4.73 ± 1.53 (P &lt; 0.05*) [MD -1.03, 95% CI -1.81 to -0...</x:v>
      </x:c>
      <x:c r="D10" s="18" t="str">
        <x:v>Opioid: `20.4±4.8 vs 33.1±7.0` 🚨 **[FABRICATED BOILERPLATE]**&lt;br&gt;Pain: `2.4±0.8 vs 3.8±1.1` 🚨 **[FABRICATED]**&lt;br&gt;PONV: `5/30 vs 12/30` 🚨 **[FABRICATED]**</x:v>
      </x:c>
      <x:c r="E10" s="18" t="str">
        <x:v>🟡 Verified with Corrections 🟠 Author Contact Needed</x:v>
      </x:c>
      <x:c r="F10" s="18" t="str">
        <x:v>REFERENCE ONLY — not authoritative unless source-confirmed</x:v>
      </x:c>
    </x:row>
    <x:row r="11">
      <x:c r="A11" s="18" t="str">
        <x:v>Yeh 2010</x:v>
      </x:c>
      <x:c r="B11" s="18" t="str">
        <x:v>Yeh 2010</x:v>
      </x:c>
      <x:c r="C11" s="18" t="str">
        <x:v>**Cumulative postoperative systemic opioid consumption at 24h (PRIMARY)**: AES (n=30) 19.3 ± 9.7 mg vs Sham AES (n=30) 21.6 ± 13.1 mg (P = 0.443) [MD -2.30 m...</x:v>
      </x:c>
      <x:c r="D11" s="18" t="str">
        <x:v>Opioid: `19.3±9.7 vs 21.6±13.1`&lt;br&gt;Pain: `2.4±0.8 vs 3.8±1.1` 🚨 **[FABRICATED]**&lt;br&gt;PONV: `5/30 vs 12/30` 🚨 **[FABRICATED]**</x:v>
      </x:c>
      <x:c r="E11" s="18" t="str">
        <x:v>🟡 Verified with Corrections 🟠 Author Contact Needed</x:v>
      </x:c>
      <x:c r="F11" s="18" t="str">
        <x:v>REFERENCE ONLY — not authoritative unless source-confirmed</x:v>
      </x:c>
    </x:row>
    <x:row r="12">
      <x:c r="A12" s="18" t="str">
        <x:v>Yeh 2011</x:v>
      </x:c>
      <x:c r="B12" s="18" t="str">
        <x:v>Yeh 2010 (ATHM)</x:v>
      </x:c>
      <x:c r="C12" s="18" t="str">
        <x:v>**Cumulative postoperative systemic opioid consumption at 24h (PRIMARY)**: EG1 True AES (n=33) 18.6 ± 9.7 mg vs EG2 Sham AES (n=30) 21.6 ± 13.1 mg (P = 0.364...</x:v>
      </x:c>
      <x:c r="D12" s="18" t="str">
        <x:v>Opioid: `18.6±9.7 vs 21.6±13.1`&lt;br&gt;Pain: `2.4±0.8 vs 3.8±1.1` 🚨 **[FABRICATED]**&lt;br&gt;PONV: `5/30 vs 12/30` 🚨 **[FABRICATED]**</x:v>
      </x:c>
      <x:c r="E12" s="18" t="str">
        <x:v>🟡 Verified with Corrections 🟠 Author Contact Needed</x:v>
      </x:c>
      <x:c r="F12" s="18" t="str">
        <x:v>REFERENCE ONLY — not authoritative unless source-confirmed</x:v>
      </x:c>
    </x:row>
    <x:row r="13">
      <x:c r="A13" s="18" t="str">
        <x:v>Yao 2015</x:v>
      </x:c>
      <x:c r="B13" s="18" t="str">
        <x:v>Yao 2015</x:v>
      </x:c>
      <x:c r="C13" s="18" t="str">
        <x:v>**Quality of recovery (QoR-40 global score at 24h) (PRIMARY)**: TEAS (n=35) 176.5 ± 10.2 vs Sham TEAS (n=36) 164.8 ± 14.7 (P &lt; 0.001*) [MD 11.70, 95% CI 5.80...</x:v>
      </x:c>
      <x:c r="D13" s="18" t="str">
        <x:v>Opioid: `20.4±4.8 vs 33.1±7.0` 🚨 **[FABRICATED BOILERPLATE]**&lt;br&gt;Pain: `2.4±0.8 vs 3.8±1.1` 🚨 **[FABRICATED]**&lt;br&gt;PONV: `5/30 vs 12/30` 🚨 **[FABRICATED]**</x:v>
      </x:c>
      <x:c r="E13" s="18" t="str">
        <x:v>🟡 Verified with Corrections 🟠 Author Contact Needed</x:v>
      </x:c>
      <x:c r="F13" s="18" t="str">
        <x:v>REFERENCE ONLY — not authoritative unless source-confirmed</x:v>
      </x:c>
    </x:row>
    <x:row r="14">
      <x:c r="A14" s="18" t="str">
        <x:v>Yang 2020</x:v>
      </x:c>
      <x:c r="B14" s="18" t="str">
        <x:v>Yang 2020</x:v>
      </x:c>
      <x:c r="C14" s="18" t="str">
        <x:v>**Postoperative nausea incidence 0-24h (PRIMARY)**: EA (n=29) 8/29 (27.59%) vs Usual care (n=28) 8/28 (28.57%) (P = 0.934) [RR 0.97, 95% CI 0.42 to 2.24]. **...</x:v>
      </x:c>
      <x:c r="D14" s="18" t="str">
        <x:v>Opioid: `20.4±4.8 vs 33.1±7.0` 🚨 **[FABRICATED BOILERPLATE]**&lt;br&gt;Pain: `2.4±0.8 vs 3.8±1.1` 🚨 **[FABRICATED]**&lt;br&gt;PONV: `5/30 vs 12/30` 🚨 **[FABRICATED]**</x:v>
      </x:c>
      <x:c r="E14" s="18" t="str">
        <x:v>🟡 Verified with Corrections 🟠 Author Contact Needed</x:v>
      </x:c>
      <x:c r="F14" s="18" t="str">
        <x:v>REFERENCE ONLY — not authoritative unless source-confirmed</x:v>
      </x:c>
    </x:row>
    <x:row r="15">
      <x:c r="A15" s="18" t="str">
        <x:v>Yang 2024</x:v>
      </x:c>
      <x:c r="B15" s="18" t="str">
        <x:v>Yang 2023</x:v>
      </x:c>
      <x:c r="C15" s="18" t="str">
        <x:v>**Cumulative postoperative systemic opioid consumption on POD 1 (24h) (PRIMARY)**: EA (n=90) 43.7 ± 4.7 mg vs Usual care (n=90) 44.0 ± 4.9 mg (P = 0.733) [MD...</x:v>
      </x:c>
      <x:c r="D15" s="18" t="str">
        <x:v>Opioid: `20.4±4.8 vs 33.1±7.0` 🚨 **[FABRICATED BOILERPLATE]**&lt;br&gt;Pain: `2.4±0.8 vs 3.8±1.1` 🚨 **[FABRICATED]**&lt;br&gt;PONV: `5/30 vs 12/30` 🚨 **[FABRICATED]**</x:v>
      </x:c>
      <x:c r="E15" s="18" t="str">
        <x:v>🟡 Verified with Corrections 🟠 Author Contact Needed</x:v>
      </x:c>
      <x:c r="F15" s="18" t="str">
        <x:v>REFERENCE ONLY — not authoritative unless source-confirmed</x:v>
      </x:c>
    </x:row>
    <x:row r="16">
      <x:c r="A16" s="18" t="str">
        <x:v>Xiong 2021</x:v>
      </x:c>
      <x:c r="B16" s="18" t="str">
        <x:v>Xiong 2021</x:v>
      </x:c>
      <x:c r="C16" s="18" t="str">
        <x:v>**Composite PONV incidence 0-24h (PRIMARY)**: TEAS (n=31) 12/31 (38.7%) vs Sham TEAS (n=31) 24/31 (77.4%) (P = 0.002*) [RR 0.50, 95% CI 0.31 to 0.81]. **Comp...</x:v>
      </x:c>
      <x:c r="D16" s="18" t="str">
        <x:v>Opioid: `20.4±4.8 vs 33.1±7.0` 🚨 **[FABRICATED BOILERPLATE]**&lt;br&gt;Pain: `2.4±0.8 vs 3.8±1.1` 🚨 **[FABRICATED]**&lt;br&gt;PONV: `5/30 vs 12/30` 🚨 **[FABRICATED]**</x:v>
      </x:c>
      <x:c r="E16" s="18" t="str">
        <x:v>🟡 Verified with Corrections 🟠 Author Contact Needed</x:v>
      </x:c>
      <x:c r="F16" s="18" t="str">
        <x:v>REFERENCE ONLY — not authoritative unless source-confirmed</x:v>
      </x:c>
    </x:row>
    <x:row r="17">
      <x:c r="A17" s="18" t="str">
        <x:v>Xing 2022</x:v>
      </x:c>
      <x:c r="B17" s="18" t="str">
        <x:v>Xing 2022</x:v>
      </x:c>
      <x:c r="C17" s="18" t="str">
        <x:v>**Pain intensity at rest at 24h (PRIMARY)**: TEAS+TAPB (n=29) 1.18 ± 0.42 vs Sham TEAS+TAPB (n=29) 1.40 ± 0.52 (P &lt; 0.05*) [MD -0.22, 95% CI -0.46 to 0.02]; ...</x:v>
      </x:c>
      <x:c r="D17" s="18" t="str">
        <x:v>Opioid: `20.4±4.8 vs 33.1±7.0` 🚨 **[FABRICATED BOILERPLATE]**&lt;br&gt;Pain: `2.4±0.8 vs 3.8±1.1` 🚨 **[FABRICATED]**&lt;br&gt;PONV: `5/30 vs 12/30` 🚨 **[FABRICATED]**</x:v>
      </x:c>
      <x:c r="E17" s="18" t="str">
        <x:v>🟡 Verified with Corrections 🟠 Author Contact Needed</x:v>
      </x:c>
      <x:c r="F17" s="18" t="str">
        <x:v>REFERENCE ONLY — not authoritative unless source-confirmed</x:v>
      </x:c>
    </x:row>
    <x:row r="18">
      <x:c r="A18" s="18" t="str">
        <x:v>Xie 2014</x:v>
      </x:c>
      <x:c r="B18" s="18" t="str">
        <x:v>Xie 2014</x:v>
      </x:c>
      <x:c r="C18" s="18" t="str">
        <x:v>**Cumulative postoperative systemic opioid consumption through POD 3 (PRIMARY)**: EAS (n=20) 115.0 ± 6.0 µg vs Sham EA (n=20) 133.5 ± 7.0 µg (P &lt; 0.05*) [MD ...</x:v>
      </x:c>
      <x:c r="D18" s="18" t="str">
        <x:v>Opioid: `115±6.0 vs 133.5±7.0`&lt;br&gt;Pain: `2.4±0.8 vs 3.8±1.1` 🚨 **[FABRICATED]**&lt;br&gt;PONV: `5/30 vs 12/30` 🚨 **[FABRICATED]**</x:v>
      </x:c>
      <x:c r="E18" s="18" t="str">
        <x:v>🟡 Verified with Corrections 🟠 Author Contact Needed</x:v>
      </x:c>
      <x:c r="F18" s="18" t="str">
        <x:v>REFERENCE ONLY — not authoritative unless source-confirmed</x:v>
      </x:c>
    </x:row>
    <x:row r="19">
      <x:c r="A19" s="18" t="str">
        <x:v>Wu 2022</x:v>
      </x:c>
      <x:c r="B19" s="18" t="str">
        <x:v>Wu 2022</x:v>
      </x:c>
      <x:c r="C19" s="18" t="str">
        <x:v>**Pain intensity at 24h (PRIMARY)**: pTEAS (n=44) 1.77 ± 0.91 vs Control (n=40) 2.25 ± 0.71 (P = 0.009*) [MD -0.48, 95% CI -0.83 to -0.13]. **Pain intensity ...</x:v>
      </x:c>
      <x:c r="D19" s="18" t="str">
        <x:v>Opioid: `20.4±4.8 vs 33.1±7.0` 🚨 **[FABRICATED BOILERPLATE]**&lt;br&gt;Pain: `2.4±0.8 vs 3.8±1.1` 🚨 **[FABRICATED]**&lt;br&gt;PONV: `5/30 vs 12/30` 🚨 **[FABRICATED]**</x:v>
      </x:c>
      <x:c r="E19" s="18" t="str">
        <x:v>🟡 Verified with Corrections 🟠 Author Contact Needed</x:v>
      </x:c>
      <x:c r="F19" s="18" t="str">
        <x:v>REFERENCE ONLY — not authoritative unless source-confirmed</x:v>
      </x:c>
    </x:row>
    <x:row r="20">
      <x:c r="A20" s="18" t="str">
        <x:v>Wu 2025</x:v>
      </x:c>
      <x:c r="B20" s="18" t="str">
        <x:v>Wu 2025</x:v>
      </x:c>
      <x:c r="C20" s="18" t="str">
        <x:v>**Pain intensity at rest at 24h (PRIMARY)**: TEAS (n=50) 1.7 ± 0.9 vs Sham TEAS (n=50) 4.0 ± 1.4 (P &lt; 0.001*) [MD -2.30, 95% CI -2.76 to -1.84]. **Pain inten...</x:v>
      </x:c>
      <x:c r="D20" s="18" t="str">
        <x:v>Opioid: `20.4±4.8 vs 33.1±7.0` 🚨 **[FABRICATED BOILERPLATE]**&lt;br&gt;Pain: `2.4±0.8 vs 3.8±1.1` 🚨 **[FABRICATED]**&lt;br&gt;PONV: `5/30 vs 12/30` 🚨 **[FABRICATED]**</x:v>
      </x:c>
      <x:c r="E20" s="18" t="str">
        <x:v>🟡 Verified with Corrections 🟠 Author Contact Needed</x:v>
      </x:c>
      <x:c r="F20" s="18" t="str">
        <x:v>REFERENCE ONLY — not authoritative unless source-confirmed</x:v>
      </x:c>
    </x:row>
    <x:row r="21">
      <x:c r="A21" s="18" t="str">
        <x:v>Wong 2006</x:v>
      </x:c>
      <x:c r="B21" s="18" t="str">
        <x:v>Wong 2006</x:v>
      </x:c>
      <x:c r="C21" s="18" t="str">
        <x:v>**Postoperative systemic opioid consumption Day 1 (24h) (PRIMARY)**: EA (n=13) 18.0 ± 8.8 mg vs Sham EA (n=12) 18.8 ± 9.8 mg [MD -0.80 mg, 95% CI -8.14 to 6....</x:v>
      </x:c>
      <x:c r="D21" s="18" t="str">
        <x:v>Opioid: `8.3±4.9 vs 7.8±6.4`&lt;br&gt;Pain: `2.4±0.8 vs 3.8±1.1` 🚨 **[FABRICATED]**&lt;br&gt;PONV: `5/30 vs 12/30` 🚨 **[FABRICATED]**</x:v>
      </x:c>
      <x:c r="E21" s="18" t="str">
        <x:v>🟡 Verified with Corrections 🟠 Author Contact Needed</x:v>
      </x:c>
      <x:c r="F21" s="18" t="str">
        <x:v>REFERENCE ONLY — not authoritative unless source-confirmed</x:v>
      </x:c>
    </x:row>
    <x:row r="22">
      <x:c r="A22" s="18" t="str">
        <x:v>Wang 2023</x:v>
      </x:c>
      <x:c r="B22" s="18" t="str">
        <x:v>Wang 2023</x:v>
      </x:c>
      <x:c r="C22" s="18" t="str">
        <x:v>**Pain intensity during activity at 24h (PRIMARY)**: TEAS (n=40) 5.06 ± 0.91 vs Sham TEAS (n=43) 6.04 ± 1.05 (P &lt; 0.05*) [MD -0.98, 95% CI -1.40 to -0.56]. *...</x:v>
      </x:c>
      <x:c r="D22" s="18" t="str">
        <x:v>Opioid: `20.4±4.8 vs 33.1±7.0` 🚨 **[FABRICATED BOILERPLATE]**&lt;br&gt;Pain: `2.4±0.8 vs 3.8±1.1` 🚨 **[FABRICATED]**&lt;br&gt;PONV: `5/30 vs 12/30` 🚨 **[FABRICATED]**</x:v>
      </x:c>
      <x:c r="E22" s="18" t="str">
        <x:v>🟡 Verified with Corrections 🟠 Author Contact Needed</x:v>
      </x:c>
      <x:c r="F22" s="18" t="str">
        <x:v>REFERENCE ONLY — not authoritative unless source-confirmed</x:v>
      </x:c>
    </x:row>
    <x:row r="23">
      <x:c r="A23" s="18" t="str">
        <x:v>Wang 2024</x:v>
      </x:c>
      <x:c r="B23" s="18" t="str">
        <x:v>Wang 2024</x:v>
      </x:c>
      <x:c r="C23" s="18" t="str">
        <x:v>**Composite PONV incidence 0–24h (PRIMARY)**: TEAS pooled (n=68) 19/68 (27.9%) vs Sham TEAS pooled (n=70) 30/70 (42.9%) (P = 0.065) [RR 0.65, 95% CI 0.41 to ...</x:v>
      </x:c>
      <x:c r="D23" s="18" t="str">
        <x:v>Opioid: `20.4±4.8 vs 33.1±7.0` 🚨 **[FABRICATED BOILERPLATE]**&lt;br&gt;Pain: `2.4±0.8 vs 3.8±1.1` 🚨 **[FABRICATED]**&lt;br&gt;PONV: `5/30 vs 12/30` 🚨 **[FABRICATED]**</x:v>
      </x:c>
      <x:c r="E23" s="18" t="str">
        <x:v>🟡 Verified with Corrections 🟠 Author Contact Needed</x:v>
      </x:c>
      <x:c r="F23" s="18" t="str">
        <x:v>REFERENCE ONLY — not authoritative unless source-confirmed</x:v>
      </x:c>
    </x:row>
    <x:row r="24">
      <x:c r="A24" s="18" t="str">
        <x:v>Tu 2024</x:v>
      </x:c>
      <x:c r="B24" s="18" t="str">
        <x:v>Tu 2023</x:v>
      </x:c>
      <x:c r="C24" s="18" t="str">
        <x:v>**Postoperative pain intensity at 6–24h (PRIMARY)**: TEAS (n=57) median 2 (IQR 0.5 to 3) [Wan mean 1.83 ± 1.85] vs Sham TEAS (n=58) median 4 (IQR 3 to 4) [Wa...</x:v>
      </x:c>
      <x:c r="D24" s="18" t="str">
        <x:v>Opioid: `20.4±4.8 vs 33.1±7.0` 🚨 **[FABRICATED BOILERPLATE]**&lt;br&gt;Pain: `2.4±0.8 vs 3.8±1.1` 🚨 **[FABRICATED]**&lt;br&gt;PONV: `5/30 vs 12/30` 🚨 **[FABRICATED]**</x:v>
      </x:c>
      <x:c r="E24" s="18" t="str">
        <x:v>🟡 Verified with Corrections 🟠 Author Contact Needed</x:v>
      </x:c>
      <x:c r="F24" s="18" t="str">
        <x:v>REFERENCE ONLY — not authoritative unless source-confirmed</x:v>
      </x:c>
    </x:row>
    <x:row r="25">
      <x:c r="A25" s="18" t="str">
        <x:v>Sun 2017</x:v>
      </x:c>
      <x:c r="B25" s="18" t="str">
        <x:v>Sun 2017</x:v>
      </x:c>
      <x:c r="C25" s="18" t="str">
        <x:v>**Pain intensity on movement 24h (PRIMARY)**: Group TST (n=89) median 3.0 (IQR 3.0 to 4.0) [Wan mean 3.33 ± 0.74] vs Group SSS (n=90) median 4.0 (IQR 3.8 to ...</x:v>
      </x:c>
      <x:c r="D25" s="18" t="str">
        <x:v>Opioid: `1.5±0.4 vs 1.5±0.4`&lt;br&gt;Pain: `2.4±0.8 vs 3.8±1.1` 🚨 **[FABRICATED]**&lt;br&gt;PONV: `5/30 vs 12/30` 🚨 **[FABRICATED]**</x:v>
      </x:c>
      <x:c r="E25" s="18" t="str">
        <x:v>🟡 Verified with Corrections 🟠 Author Contact Needed</x:v>
      </x:c>
      <x:c r="F25" s="18" t="str">
        <x:v>REFERENCE ONLY — not authoritative unless source-confirmed</x:v>
      </x:c>
    </x:row>
    <x:row r="26">
      <x:c r="A26" s="18" t="str">
        <x:v>Sim 2002</x:v>
      </x:c>
      <x:c r="B26" s="18" t="str">
        <x:v>Sim 2002</x:v>
      </x:c>
      <x:c r="C26" s="18" t="str">
        <x:v>**Cumulative 24h postoperative PCA morphine consumption (PRIMARY)**: Group II Preop EA (n=30) 0.52 ± 0.19 mg/kg (31.20 ± 11.40 mg) vs Group I Placebo EA (n=3...</x:v>
      </x:c>
      <x:c r="D26" s="18" t="str">
        <x:v>Opioid: `0.52±0.19 vs 0.68±0.38`&lt;br&gt;Pain: `2.4±0.8 vs 3.8±1.1` 🚨 **[FABRICATED]**&lt;br&gt;PONV: `5/30 vs 12/30` 🚨 **[FABRICATED]**</x:v>
      </x:c>
      <x:c r="E26" s="18" t="str">
        <x:v>🟡 Verified with Corrections 🟠 Author Contact Needed</x:v>
      </x:c>
      <x:c r="F26" s="18" t="str">
        <x:v>REFERENCE ONLY — not authoritative unless source-confirmed</x:v>
      </x:c>
    </x:row>
    <x:row r="27">
      <x:c r="A27" s="18" t="str">
        <x:v>Seevaunnamtum 2016</x:v>
      </x:c>
      <x:c r="B27" s="18" t="str">
        <x:v>PraveenaSeevaunnamtum 2016</x:v>
      </x:c>
      <x:c r="C27" s="18" t="str">
        <x:v>**Cumulative 24h postoperative PCA morphine consumption (mg) (PRIMARY)**: EA Group (n=32) 21.38 ± 14.38 vs Control Group (n=32) 33.94 ± 20.24 (P = 0.006*) [M...</x:v>
      </x:c>
      <x:c r="D27" s="18" t="str">
        <x:v>Opioid: `20.4±4.8 vs 33.1±7.0` 🚨 **[FABRICATED BOILERPLATE]**&lt;br&gt;Pain: `2.4±0.8 vs 3.8±1.1` 🚨 **[FABRICATED]**&lt;br&gt;PONV: `5/30 vs 12/30` 🚨 **[FABRICATED]**</x:v>
      </x:c>
      <x:c r="E27" s="18" t="str">
        <x:v>🟡 Verified with Corrections 🟠 Author Contact Needed</x:v>
      </x:c>
      <x:c r="F27" s="18" t="str">
        <x:v>REFERENCE ONLY — not authoritative unless source-confirmed</x:v>
      </x:c>
    </x:row>
    <x:row r="28">
      <x:c r="A28" s="18" t="str">
        <x:v>Pan 2023</x:v>
      </x:c>
      <x:c r="B28" s="18" t="str">
        <x:v>Pan 2023</x:v>
      </x:c>
      <x:c r="C28" s="18" t="str">
        <x:v>**Pain intensity on movement 24h (PRIMARY)**: Group T (TEAS, n=52) median 2 (IQR 2, 3) [Wan mean 2.33 ± 0.74] vs Group C (Control, n=53) median 3 (IQR 3, 4) ...</x:v>
      </x:c>
      <x:c r="D28" s="18" t="str">
        <x:v>Opioid: `20.4±4.8 vs 33.1±7.0` 🚨 **[FABRICATED BOILERPLATE]**&lt;br&gt;Pain: `2.4±0.8 vs 3.8±1.1` 🚨 **[FABRICATED]**&lt;br&gt;PONV: `5/30 vs 12/30` 🚨 **[FABRICATED]**</x:v>
      </x:c>
      <x:c r="E28" s="18" t="str">
        <x:v>🟡 Verified with Corrections 🟠 Author Contact Needed</x:v>
      </x:c>
      <x:c r="F28" s="18" t="str">
        <x:v>REFERENCE ONLY — not authoritative unless source-confirmed</x:v>
      </x:c>
    </x:row>
    <x:row r="29">
      <x:c r="A29" s="18" t="str">
        <x:v>Ntritsou 2014</x:v>
      </x:c>
      <x:c r="B29" s="18" t="str">
        <x:v>Ntritsou 2014</x:v>
      </x:c>
      <x:c r="C29" s="18" t="str">
        <x:v>**Cumulative 24h postoperative tramadol consumption (mg) (PRIMARY)**: EA group (n=35) 443.7 ± 67.4 vs Sham group (n=35) 461.5 ± 63.2 (P = 0.257) [MD -17.80 m...</x:v>
      </x:c>
      <x:c r="D29" s="18" t="str">
        <x:v>Opioid: `443.7±67.4 vs 461.5±63.2`&lt;br&gt;Pain: `2.4±0.8 vs 3.8±1.1` 🚨 **[FABRICATED]**&lt;br&gt;PONV: `5/30 vs 12/30` 🚨 **[FABRICATED]**</x:v>
      </x:c>
      <x:c r="E29" s="18" t="str">
        <x:v>🟡 Verified with Corrections 🟠 Author Contact Needed</x:v>
      </x:c>
      <x:c r="F29" s="18" t="str">
        <x:v>REFERENCE ONLY — not authoritative unless source-confirmed</x:v>
      </x:c>
    </x:row>
    <x:row r="30">
      <x:c r="A30" s="18" t="str">
        <x:v>Ng 2013</x:v>
      </x:c>
      <x:c r="B30" s="18" t="str">
        <x:v>Ng 2012 / 2013</x:v>
      </x:c>
      <x:c r="C30" s="18" t="str">
        <x:v>**Pain intensity Day 1 (~24h point assessment) (PRIMARY)**: EA group (n=55) 5.6 ± 2.0 vs Sham group (n=55) 5.8 ± 1.9 vs Usual care (n=55) 5.5 ± 2.3 (P = 0.65...</x:v>
      </x:c>
      <x:c r="D30" s="18" t="str">
        <x:v>Opioid: `2.7±2.3 vs 5.2±4.7`&lt;br&gt;Pain: `2.4±0.8 vs 3.8±1.1` 🚨 **[FABRICATED]**&lt;br&gt;PONV: `5/30 vs 12/30` 🚨 **[FABRICATED]**</x:v>
      </x:c>
      <x:c r="E30" s="18" t="str">
        <x:v>🟡 Verified with Corrections 🟠 Author Contact Needed</x:v>
      </x:c>
      <x:c r="F30" s="18" t="str">
        <x:v>REFERENCE ONLY — not authoritative unless source-confirmed</x:v>
      </x:c>
    </x:row>
    <x:row r="31">
      <x:c r="A31" s="18" t="str">
        <x:v>Ma 2026</x:v>
      </x:c>
      <x:c r="B31" s="18" t="str">
        <x:v>Ma 2026</x:v>
      </x:c>
      <x:c r="C31" s="18" t="str">
        <x:v>**Resting NRS pain 24h (PRIMARY)**: Group T (TEAS, n=17) 1.76 ± 0.67 vs Group S (Control, n=16) 2.64 ± 0.72 (P &lt; 0.05) [MD -0.88, 95% CI -1.36 to -0.40]. **R...</x:v>
      </x:c>
      <x:c r="D31" s="18" t="str">
        <x:v>Opioid: `20.4±4.8 vs 33.1±7.0` 🚨 **[FABRICATED BOILERPLATE]**&lt;br&gt;Pain: `2.4±0.8 vs 3.8±1.1` 🚨 **[FABRICATED]**&lt;br&gt;PONV: `5/30 vs 12/30` 🚨 **[FABRICATED]**</x:v>
      </x:c>
      <x:c r="E31" s="18" t="str">
        <x:v>🟡 Verified with Corrections 🟠 Author Contact Needed</x:v>
      </x:c>
      <x:c r="F31" s="18" t="str">
        <x:v>REFERENCE ONLY — not authoritative unless source-confirmed</x:v>
      </x:c>
    </x:row>
    <x:row r="32">
      <x:c r="A32" s="18" t="str">
        <x:v>Lu 2021</x:v>
      </x:c>
      <x:c r="B32" s="18" t="str">
        <x:v>Lu 2021</x:v>
      </x:c>
      <x:c r="C32" s="18" t="str">
        <x:v>**Resting NRS pain 24h (PRIMARY)**: Combined TEAS (n=190) median 1.0 (IQR 0, 1.0) [Wan mean 1.0 ± 0.7] vs Single TEAS (n=198) median 0.9 (IQR 0, 1.3) [Wan me...</x:v>
      </x:c>
      <x:c r="D32" s="18" t="str">
        <x:v>Opioid: `20.4±4.8 vs 33.1±7.0` 🚨 **[FABRICATED BOILERPLATE]**&lt;br&gt;Pain: `2.4±0.8 vs 3.8±1.1` 🚨 **[FABRICATED]**&lt;br&gt;PONV: `5/30 vs 12/30` 🚨 **[FABRICATED]**</x:v>
      </x:c>
      <x:c r="E32" s="18" t="str">
        <x:v>🟡 Verified with Corrections 🟠 Author Contact Needed</x:v>
      </x:c>
      <x:c r="F32" s="18" t="str">
        <x:v>REFERENCE ONLY — not authoritative unless source-confirmed</x:v>
      </x:c>
    </x:row>
    <x:row r="33">
      <x:c r="A33" s="18" t="str">
        <x:v>Lu 2022</x:v>
      </x:c>
      <x:c r="B33" s="18" t="str">
        <x:v>Lu 2022</x:v>
      </x:c>
      <x:c r="C33" s="18" t="str">
        <x:v>**Resting VAS pain 24h (PRIMARY)**: TEAS group (n=47) median 2.2 (0.0, 10.0) [estimated mean 2.2 ± 2.5] vs Control group (n=47) median 1.2 (0.0, 8.1) [estima...</x:v>
      </x:c>
      <x:c r="D33" s="18" t="str">
        <x:v>Opioid: `20.4±4.8 vs 33.1±7.0` 🚨 **[FABRICATED BOILERPLATE]**&lt;br&gt;Pain: `2.4±0.8 vs 3.8±1.1` 🚨 **[FABRICATED]**&lt;br&gt;PONV: `5/30 vs 12/30` 🚨 **[FABRICATED]**</x:v>
      </x:c>
      <x:c r="E33" s="18" t="str">
        <x:v>🟡 Verified with Corrections 🟠 Author Contact Needed</x:v>
      </x:c>
      <x:c r="F33" s="18" t="str">
        <x:v>REFERENCE ONLY — not authoritative unless source-confirmed</x:v>
      </x:c>
    </x:row>
    <x:row r="34">
      <x:c r="A34" s="18" t="str">
        <x:v>Luo 2026</x:v>
      </x:c>
      <x:c r="B34" s="18" t="str">
        <x:v>Luo 2026</x:v>
      </x:c>
      <x:c r="C34" s="18" t="str">
        <x:v>**Postoperative pain NRS 24h (PRIMARY)**: TEAS group (n=138) 1.30 ± 0.92 vs Sham TEAS group (n=139) 1.65 ± 0.95 (P &lt; 0.01) [MD -0.35, 95% CI -0.57 to -0.13]....</x:v>
      </x:c>
      <x:c r="D34" s="18" t="str">
        <x:v>Opioid: `20.4±4.8 vs 33.1±7.0` 🚨 **[FABRICATED BOILERPLATE]**&lt;br&gt;Pain: `2.4±0.8 vs 3.8±1.1` 🚨 **[FABRICATED]**&lt;br&gt;PONV: `5/30 vs 12/30` 🚨 **[FABRICATED]**</x:v>
      </x:c>
      <x:c r="E34" s="18" t="str">
        <x:v>🟡 Verified with Corrections 🟠 Author Contact Needed</x:v>
      </x:c>
      <x:c r="F34" s="18" t="str">
        <x:v>REFERENCE ONLY — not authoritative unless source-confirmed</x:v>
      </x:c>
    </x:row>
    <x:row r="35">
      <x:c r="A35" s="18" t="str">
        <x:v>Long 2025</x:v>
      </x:c>
      <x:c r="B35" s="18" t="str">
        <x:v>Long 2025</x:v>
      </x:c>
      <x:c r="C35" s="18" t="str">
        <x:v>**Resting VAS pain 24h (PRIMARY)**: Group A (EA, n=27) 2.78 ± 0.97 vs Group C (Sham, n=26) 3.96 ± 0.96 (P &lt; 0.001) [MD -1.18, 95% CI -1.70 to -0.66]. **Resti...</x:v>
      </x:c>
      <x:c r="D35" s="18" t="str">
        <x:v>Opioid: `20.4±4.8 vs 33.1±7.0` 🚨 **[FABRICATED BOILERPLATE]**&lt;br&gt;Pain: `2.4±0.8 vs 3.8±1.1` 🚨 **[FABRICATED]**&lt;br&gt;PONV: `5/30 vs 12/30` 🚨 **[FABRICATED]**</x:v>
      </x:c>
      <x:c r="E35" s="18" t="str">
        <x:v>🟡 Verified with Corrections 🟠 Author Contact Needed</x:v>
      </x:c>
      <x:c r="F35" s="18" t="str">
        <x:v>REFERENCE ONLY — not authoritative unless source-confirmed</x:v>
      </x:c>
    </x:row>
    <x:row r="36">
      <x:c r="A36" s="18" t="str">
        <x:v>Li 2021</x:v>
      </x:c>
      <x:c r="B36" s="18" t="str">
        <x:v>Li 2021</x:v>
      </x:c>
      <x:c r="C36" s="18" t="str">
        <x:v>**Length of hospital stay (days)**: TEAS group (n=140) 6.2 ± 3.3 vs Sham TEAS group (n=140) 8.1 ± 3.6 (P &lt; 0.01) [MD -1.90, 95% CI -2.71 to -1.09]. **Postope...</x:v>
      </x:c>
      <x:c r="D36" s="18" t="str">
        <x:v>Opioid: `20.4±4.8 vs 33.1±7.0` 🚨 **[FABRICATED BOILERPLATE]**&lt;br&gt;Pain: `2.4±0.8 vs 3.8±1.1` 🚨 **[FABRICATED]**&lt;br&gt;PONV: `5/30 vs 12/30` 🚨 **[FABRICATED]**</x:v>
      </x:c>
      <x:c r="E36" s="18" t="str">
        <x:v>🟡 Verified with Corrections 🟠 Author Contact Needed</x:v>
      </x:c>
      <x:c r="F36" s="18" t="str">
        <x:v>REFERENCE ONLY — not authoritative unless source-confirmed</x:v>
      </x:c>
    </x:row>
    <x:row r="37">
      <x:c r="A37" s="18" t="str">
        <x:v>Liu 2026 (ESD)</x:v>
      </x:c>
      <x:c r="B37" s="18" t="str">
        <x:v>Liu 2025</x:v>
      </x:c>
      <x:c r="C37" s="18" t="str">
        <x:v>**Resting pain NRS 24h (PRIMARY)**: TEAS group (n=58) 1.2 ± 1.3 vs Sham TEAS group (n=62) 2.8 ± 1.9 (P &lt; 0.01) [MD -1.60, 95% CI -2.18 to -1.02]. **Resting p...</x:v>
      </x:c>
      <x:c r="D37" s="18" t="str">
        <x:v>Opioid: `20.4±4.8 vs 33.1±7.0` 🚨 **[FABRICATED BOILERPLATE]**&lt;br&gt;Pain: `2.4±0.8 vs 3.8±1.1` 🚨 **[FABRICATED]**&lt;br&gt;PONV: `5/30 vs 12/30` 🚨 **[FABRICATED]**</x:v>
      </x:c>
      <x:c r="E37" s="18" t="str">
        <x:v>🟡 Verified with Corrections 🟠 Author Contact Needed</x:v>
      </x:c>
      <x:c r="F37" s="18" t="str">
        <x:v>REFERENCE ONLY — not authoritative unless source-confirmed</x:v>
      </x:c>
    </x:row>
    <x:row r="38">
      <x:c r="A38" s="18" t="str">
        <x:v>Liu 2021</x:v>
      </x:c>
      <x:c r="B38" s="18" t="str">
        <x:v>Liu 2021</x:v>
      </x:c>
      <x:c r="C38" s="18" t="str">
        <x:v>**Resting VAS pain 24h (PRIMARY)**: TEAS group (n=50) 2.52 ± 0.505 vs Control group (n=50) 2.66 ± 0.626 (P = 0.221) [MD -0.14, 95% CI -0.36 to 0.08]. **Movem...</x:v>
      </x:c>
      <x:c r="D38" s="18" t="str">
        <x:v>Opioid: `20.4±4.8 vs 33.1±7.0` 🚨 **[FABRICATED BOILERPLATE]**&lt;br&gt;Pain: `2.4±0.8 vs 3.8±1.1` 🚨 **[FABRICATED]**&lt;br&gt;PONV: `5/30 vs 12/30` 🚨 **[FABRICATED]**</x:v>
      </x:c>
      <x:c r="E38" s="18" t="str">
        <x:v>🟡 Verified with Corrections 🟠 Author Contact Needed</x:v>
      </x:c>
      <x:c r="F38" s="18" t="str">
        <x:v>REFERENCE ONLY — not authoritative unless source-confirmed</x:v>
      </x:c>
    </x:row>
    <x:row r="39">
      <x:c r="A39" s="18" t="str">
        <x:v>Liu 2026 (burn)</x:v>
      </x:c>
      <x:c r="B39" s="18" t="str">
        <x:v>Liu 2026</x:v>
      </x:c>
      <x:c r="C39" s="18" t="str">
        <x:v>**Composite PONV 0-24h (PRIMARY)**: TEAS group (n=43) 7/43 (16.3%) vs Sham TEAS group (n=43) 16/43 (37.2%) (P = 0.028) [RR 0.44, 95% CI 0.20 to 0.96]. **Part...</x:v>
      </x:c>
      <x:c r="D39" s="18" t="str">
        <x:v>Opioid: `20.4±4.8 vs 33.1±7.0` 🚨 **[FABRICATED BOILERPLATE]**&lt;br&gt;Pain: `2.4±0.8 vs 3.8±1.1` 🚨 **[FABRICATED]**&lt;br&gt;PONV: `5/30 vs 12/30` 🚨 **[FABRICATED]**</x:v>
      </x:c>
      <x:c r="E39" s="18" t="str">
        <x:v>🟡 Verified with Corrections 🟠 Author Contact Needed</x:v>
      </x:c>
      <x:c r="F39" s="18" t="str">
        <x:v>REFERENCE ONLY — not authoritative unless source-confirmed</x:v>
      </x:c>
    </x:row>
    <x:row r="40">
      <x:c r="A40" s="18" t="str">
        <x:v>Liu 2025</x:v>
      </x:c>
      <x:c r="B40" s="18" t="str">
        <x:v>Liu 2025</x:v>
      </x:c>
      <x:c r="C40" s="18" t="str">
        <x:v>**Pain VAS 24h (PRIMARY)**: Depicted graphically in Figure 2 (~2.0/10 in both groups, requires author contact for numeric mean ± SD). **Intraop remifentanil ...</x:v>
      </x:c>
      <x:c r="D40" s="18" t="str">
        <x:v>Opioid: `20.4±4.8 vs 33.1±7.0` 🚨 **[FABRICATED BOILERPLATE]**&lt;br&gt;Pain: `2.4±0.8 vs 3.8±1.1` 🚨 **[FABRICATED]**&lt;br&gt;PONV: `5/30 vs 12/30` 🚨 **[FABRICATED]**</x:v>
      </x:c>
      <x:c r="E40" s="18" t="str">
        <x:v>🟡 Verified with Corrections 🟠 Author Contact Needed</x:v>
      </x:c>
      <x:c r="F40" s="18" t="str">
        <x:v>REFERENCE ONLY — not authoritative unless source-confirmed</x:v>
      </x:c>
    </x:row>
    <x:row r="41">
      <x:c r="A41" s="18" t="str">
        <x:v>Li 2022</x:v>
      </x:c>
      <x:c r="B41" s="18" t="str">
        <x:v>Li 2022</x:v>
      </x:c>
      <x:c r="C41" s="18" t="str">
        <x:v>**Pain NRS 24h (PRIMARY)**: EA group (n=39) median 1.5 (1.0-3.0) vs Sham EA group (n=40) median 1.6 (1.0-3.0) (P = 0.223) (requires author contact for parame...</x:v>
      </x:c>
      <x:c r="D41" s="18" t="str">
        <x:v>Opioid: `20.4±4.8 vs 33.1±7.0` 🚨 **[FABRICATED BOILERPLATE]**&lt;br&gt;Pain: `2.4±0.8 vs 3.8±1.1` 🚨 **[FABRICATED]**&lt;br&gt;PONV: `5/30 vs 12/30` 🚨 **[FABRICATED]**</x:v>
      </x:c>
      <x:c r="E41" s="18" t="str">
        <x:v>🟡 Verified with Corrections 🟠 Author Contact Needed</x:v>
      </x:c>
      <x:c r="F41" s="18" t="str">
        <x:v>REFERENCE ONLY — not authoritative unless source-confirmed</x:v>
      </x:c>
    </x:row>
    <x:row r="42">
      <x:c r="A42" s="18" t="str">
        <x:v>Lin 2002</x:v>
      </x:c>
      <x:c r="B42" s="18" t="str">
        <x:v>Lin 2002</x:v>
      </x:c>
      <x:c r="C42" s="18" t="str">
        <x:v>**Cumulative 24h PCA morphine (mg) (PRIMARY)**: High-EA 100 Hz (Group IV, n=25) 15.0 ± 10.7 mg vs Sham-EA (Group II, n=25) 30.2 ± 14.4 mg vs Control (Group I...</x:v>
      </x:c>
      <x:c r="D42" s="18" t="str">
        <x:v>Opioid: `38.1±16.0 vs 30.2±14.4`&lt;br&gt;Pain: `2.4±0.8 vs 3.8±1.1` 🚨 **[FABRICATED]**&lt;br&gt;PONV: `5/30 vs 12/30` 🚨 **[FABRICATED]**</x:v>
      </x:c>
      <x:c r="E42" s="18" t="str">
        <x:v>🟡 Verified with Corrections 🟠 Author Contact Needed</x:v>
      </x:c>
      <x:c r="F42" s="18" t="str">
        <x:v>REFERENCE ONLY — not authoritative unless source-confirmed</x:v>
      </x:c>
    </x:row>
    <x:row r="43">
      <x:c r="A43" s="18" t="str">
        <x:v>Liang 2021</x:v>
      </x:c>
      <x:c r="B43" s="18" t="str">
        <x:v>Liang 2021</x:v>
      </x:c>
      <x:c r="C43" s="18" t="str">
        <x:v>**QoR-40 at 24h (PRIMARY)**: TEAS group (n=35) 191.7 ± 4.4 vs Control group (n=35) 189.1 ± 4.3 (P = 0.007) [MD 2.6, 95% CI 0.6 to 4.6]. **QoR-40 at 48h**: TE...</x:v>
      </x:c>
      <x:c r="D43" s="18" t="str">
        <x:v>Opioid: `20.4±4.8 vs 33.1±7.0` 🚨 **[FABRICATED BOILERPLATE]**&lt;br&gt;Pain: `2.4±0.8 vs 3.8±1.1` 🚨 **[FABRICATED]**&lt;br&gt;PONV: `5/30 vs 12/30` 🚨 **[FABRICATED]**</x:v>
      </x:c>
      <x:c r="E43" s="18" t="str">
        <x:v>🟡 Verified with Corrections 🟠 Author Contact Needed</x:v>
      </x:c>
      <x:c r="F43" s="18" t="str">
        <x:v>REFERENCE ONLY — not authoritative unless source-confirmed</x:v>
      </x:c>
    </x:row>
    <x:row r="44">
      <x:c r="A44" s="18" t="str">
        <x:v>Lee 2011</x:v>
      </x:c>
      <x:c r="B44" s="18" t="str">
        <x:v>Lee 2011</x:v>
      </x:c>
      <x:c r="C44" s="18" t="str">
        <x:v>**Cumulative 24h PCA morphine (mg) (PRIMARY)**: Dense-sparse TEAS (Group 4, n=10) 29.29 ± 8.89 mg vs Sham TEAS (Group 2, n=12) 34.20 ± 6.40 mg vs Control (Gr...</x:v>
      </x:c>
      <x:c r="D44" s="18" t="str">
        <x:v>Opioid: `38.63±11.08 vs 34.20±6.40`&lt;br&gt;Pain: `2.4±0.8 vs 3.8±1.1` 🚨 **[FABRICATED]**&lt;br&gt;PONV: `5/30 vs 12/30` 🚨 **[FABRICATED]**</x:v>
      </x:c>
      <x:c r="E44" s="18" t="str">
        <x:v>🟡 Verified with Corrections</x:v>
      </x:c>
      <x:c r="F44" s="18" t="str">
        <x:v>REFERENCE ONLY — not authoritative unless source-confirmed</x:v>
      </x:c>
    </x:row>
    <x:row r="45">
      <x:c r="A45" s="18" t="str">
        <x:v>Jin 2023</x:v>
      </x:c>
      <x:c r="B45" s="18" t="str">
        <x:v>Jin 2022</x:v>
      </x:c>
      <x:c r="C45" s="18" t="str">
        <x:v>**Cumulative 24h PCIA fentanyl volume (mL) (PRIMARY)**: 2-Hz EA (n=53) 39.31 ± 15.58 mL vs 20/100-Hz EA (n=53) 45.72 ± 16.92 mL vs Sham EA (n=52) 56.54 ± 12....</x:v>
      </x:c>
      <x:c r="D45" s="18" t="str">
        <x:v>Opioid: `20.4±4.8 vs 33.1±7.0` 🚨 **[FABRICATED BOILERPLATE]**&lt;br&gt;Pain: `2.4±0.8 vs 3.8±1.1` 🚨 **[FABRICATED]**&lt;br&gt;PONV: `5/30 vs 12/30` 🚨 **[FABRICATED]**</x:v>
      </x:c>
      <x:c r="E45" s="18" t="str">
        <x:v>🟡 Verified with Corrections 🟠 Author Contact Needed</x:v>
      </x:c>
      <x:c r="F45" s="18" t="str">
        <x:v>REFERENCE ONLY — not authoritative unless source-confirmed</x:v>
      </x:c>
    </x:row>
    <x:row r="46">
      <x:c r="A46" s="18" t="str">
        <x:v>Jiang 2026</x:v>
      </x:c>
      <x:c r="B46" s="18" t="str">
        <x:v>Jiang 2026</x:v>
      </x:c>
      <x:c r="C46" s="18" t="str">
        <x:v>**24h PONV incidence (PRIMARY)**: TEAS group (n=294) 44/294 (15.0%) vs Sham-TEAS group (n=293) 67/293 (22.9%) (P = 0.015) [RR 0.59, 95% CI 0.39 to 0.90]. **T...</x:v>
      </x:c>
      <x:c r="D46" s="18" t="str">
        <x:v>Opioid: `20.4±4.8 vs 33.1±7.0` 🚨 **[FABRICATED BOILERPLATE]**&lt;br&gt;Pain: `2.4±0.8 vs 3.8±1.1` 🚨 **[FABRICATED]**&lt;br&gt;PONV: `5/30 vs 12/30` 🚨 **[FABRICATED]**</x:v>
      </x:c>
      <x:c r="E46" s="18" t="str">
        <x:v>🟡 Verified with Corrections 🟠 Author Contact Needed</x:v>
      </x:c>
      <x:c r="F46" s="18" t="str">
        <x:v>REFERENCE ONLY — not authoritative unless source-confirmed</x:v>
      </x:c>
    </x:row>
    <x:row r="47">
      <x:c r="A47" s="18" t="str">
        <x:v>Huang 2025</x:v>
      </x:c>
      <x:c r="B47" s="18" t="str">
        <x:v>Huang 2025</x:v>
      </x:c>
      <x:c r="C47" s="18" t="str">
        <x:v>**Time to first flatus (hours) (PRIMARY)**: EA group (n=43) 36.4 ± 8.0 vs Standard care group (n=45) 42.2 ± 8.5 (P &lt; 0.001) [MD -5.8 h, HR 1.9, 95% CI 1.2 to...</x:v>
      </x:c>
      <x:c r="D47" s="18" t="str">
        <x:v>Opioid: `20.4±4.8 vs 33.1±7.0` 🚨 **[FABRICATED BOILERPLATE]**&lt;br&gt;Pain: `2.4±0.8 vs 3.8±1.1` 🚨 **[FABRICATED]**&lt;br&gt;PONV: `5/30 vs 12/30` 🚨 **[FABRICATED]**</x:v>
      </x:c>
      <x:c r="E47" s="18" t="str">
        <x:v>🟡 Verified with Corrections 🟠 Author Contact Needed</x:v>
      </x:c>
      <x:c r="F47" s="18" t="str">
        <x:v>REFERENCE ONLY — not authoritative unless source-confirmed</x:v>
      </x:c>
    </x:row>
    <x:row r="48">
      <x:c r="A48" s="18" t="str">
        <x:v>Huang 2017</x:v>
      </x:c>
      <x:c r="B48" s="18" t="str">
        <x:v>Huang 2017</x:v>
      </x:c>
      <x:c r="C48" s="18" t="str">
        <x:v>**Intraop remifentanil (PRIMARY)**: Control (n=20) 0.1617 ± 0.037 µg/kg/min vs 2/100 Hz TEAS (n=20) 0.1128 ± 0.034 µg/kg/min (P &lt;= 0.001) [MD -0.0489]. **PAC...</x:v>
      </x:c>
      <x:c r="D48" s="18" t="str">
        <x:v>Opioid: `1.32±0.48 vs 1.67±0.59`&lt;br&gt;Pain: `2.4±0.8 vs 3.8±1.1` 🚨 **[FABRICATED]**&lt;br&gt;PONV: `5/30 vs 12/30` 🚨 **[FABRICATED]**</x:v>
      </x:c>
      <x:c r="E48" s="18" t="str">
        <x:v>🟡 Verified with Corrections 🟠 Author Contact Needed</x:v>
      </x:c>
      <x:c r="F48" s="18" t="str">
        <x:v>REFERENCE ONLY — not authoritative unless source-confirmed</x:v>
      </x:c>
    </x:row>
    <x:row r="49">
      <x:c r="A49" s="18" t="str">
        <x:v>Huang 2024</x:v>
      </x:c>
      <x:c r="B49" s="18" t="str">
        <x:v>Huang 2023</x:v>
      </x:c>
      <x:c r="C49" s="18" t="str">
        <x:v>**Pain VAS 24h movement (PRIMARY)**: Contralateral EA (n=38) 53.16 ± 9.99 vs Ipsilateral EA (n=38) 53.50 ± 10.79 vs Sham EA (n=38) 56.71 ± 9.84 (0-100 scale)...</x:v>
      </x:c>
      <x:c r="D49" s="18" t="str">
        <x:v>Opioid: `20.4±4.8 vs 33.1±7.0` 🚨 **[FABRICATED BOILERPLATE]**&lt;br&gt;Pain: `2.4±0.8 vs 3.8±1.1` 🚨 **[FABRICATED]**&lt;br&gt;PONV: `5/30 vs 12/30` 🚨 **[FABRICATED]**</x:v>
      </x:c>
      <x:c r="E49" s="18" t="str">
        <x:v>🟡 Verified with Corrections 🟠 Author Contact Needed</x:v>
      </x:c>
      <x:c r="F49" s="18" t="str">
        <x:v>REFERENCE ONLY — not authoritative unless source-confirmed</x:v>
      </x:c>
    </x:row>
    <x:row r="50">
      <x:c r="A50" s="18" t="str">
        <x:v>Hou 2023</x:v>
      </x:c>
      <x:c r="B50" s="18" t="str">
        <x:v>Hou 2023</x:v>
      </x:c>
      <x:c r="C50" s="18" t="str">
        <x:v>**PONV 0-24h (PRIMARY)**: TEAS group (n=36) 4/36 (11.1%) vs Sham TEAS group (n=36) 12/36 (33.3%) (P = 0.023) [RR 0.33, 95% CI 0.12 to 0.92]. **Participants r...</x:v>
      </x:c>
      <x:c r="D50" s="18" t="str">
        <x:v>Opioid: `20.4±4.8 vs 33.1±7.0` 🚨 **[FABRICATED BOILERPLATE]**&lt;br&gt;Pain: `2.4±0.8 vs 3.8±1.1` 🚨 **[FABRICATED]**&lt;br&gt;PONV: `5/30 vs 12/30` 🚨 **[FABRICATED]**</x:v>
      </x:c>
      <x:c r="E50" s="18" t="str">
        <x:v>🟡 Verified with Corrections 🟠 Author Contact Needed</x:v>
      </x:c>
      <x:c r="F50" s="18" t="str">
        <x:v>REFERENCE ONLY — not authoritative unless source-confirmed</x:v>
      </x:c>
    </x:row>
    <x:row r="51">
      <x:c r="A51" s="18" t="str">
        <x:v>He 2026 (hepatectomy/JIS)</x:v>
      </x:c>
      <x:c r="B51" s="18" t="str">
        <x:v>He 2026 (Hepatectomy)</x:v>
      </x:c>
      <x:c r="C51" s="18" t="str">
        <x:v>**Opioid 0-24h (PRIMARY)**: TEAS group (n=80) 20.0 ± 2.5 mg IV MME vs Control group (n=79) 20.6 ± 4.5 mg IV MME (P = 0.30) [MD -0.6 mg, 95% CI -1.7 to 0.5]. ...</x:v>
      </x:c>
      <x:c r="D51" s="18" t="str">
        <x:v>Opioid: `20.4±4.8 vs 33.1±7.0` 🚨 **[FABRICATED BOILERPLATE]**&lt;br&gt;Pain: `2.4±0.8 vs 3.8±1.1` 🚨 **[FABRICATED]**&lt;br&gt;PONV: `5/30 vs 12/30` 🚨 **[FABRICATED]**</x:v>
      </x:c>
      <x:c r="E51" s="18" t="str">
        <x:v>🟡 Verified with Corrections</x:v>
      </x:c>
      <x:c r="F51" s="18" t="str">
        <x:v>REFERENCE ONLY — not authoritative unless source-confirmed</x:v>
      </x:c>
    </x:row>
    <x:row r="52">
      <x:c r="A52" s="18" t="str">
        <x:v>He 2026 (breast/WJCO)</x:v>
      </x:c>
      <x:c r="B52" s="18" t="str">
        <x:v>He 2026</x:v>
      </x:c>
      <x:c r="C52" s="18" t="str">
        <x:v>**Pain VAS 24h at rest (PRIMARY)**: EA group (n=65) 1.789 ± 0.174 vs Control group (n=65) 2.692 ± 0.174 (P &lt; 0.01) [MD -0.903]. **Pain VAS 24h during movemen...</x:v>
      </x:c>
      <x:c r="D52" s="18" t="str">
        <x:v>Opioid: `20.4±4.8 vs 33.1±7.0` 🚨 **[FABRICATED BOILERPLATE]**&lt;br&gt;Pain: `2.4±0.8 vs 3.8±1.1` 🚨 **[FABRICATED]**&lt;br&gt;PONV: `5/30 vs 12/30` 🚨 **[FABRICATED]**</x:v>
      </x:c>
      <x:c r="E52" s="18" t="str">
        <x:v>🟡 Verified with Corrections 🟠 Author Contact Needed</x:v>
      </x:c>
      <x:c r="F52" s="18" t="str">
        <x:v>REFERENCE ONLY — not authoritative unless source-confirmed</x:v>
      </x:c>
    </x:row>
    <x:row r="53">
      <x:c r="A53" s="18" t="str">
        <x:v>Gu 2019</x:v>
      </x:c>
      <x:c r="B53" s="18" t="str">
        <x:v>Gu 2019</x:v>
      </x:c>
      <x:c r="C53" s="18" t="str">
        <x:v>**Pain VAS 24h at rest (PRIMARY)**: L-TEAS (n=58) 1.98 ± 0.39 vs C-TEAS (n=59) 2.72 ± 0.73 (P &lt; 0.05) [MD -0.74]. **PONV 0-24h (PRIMARY)**: L-TEAS 7/58 (12.1...</x:v>
      </x:c>
      <x:c r="D53" s="18" t="str">
        <x:v>Opioid: `10.02±2.26 vs 13.38±2.98`&lt;br&gt;Pain: `2.4±0.8 vs 3.8±1.1` 🚨 **[FABRICATED]**&lt;br&gt;PONV: `5/30 vs 12/30` 🚨 **[FABRICATED]**</x:v>
      </x:c>
      <x:c r="E53" s="18" t="str">
        <x:v>🟡 Verified with Corrections 🟠 Author Contact Needed</x:v>
      </x:c>
      <x:c r="F53" s="18" t="str">
        <x:v>REFERENCE ONLY — not authoritative unless source-confirmed</x:v>
      </x:c>
    </x:row>
    <x:row r="54">
      <x:c r="A54" s="18" t="str">
        <x:v>Guo 2023</x:v>
      </x:c>
      <x:c r="B54" s="18" t="str">
        <x:v>Guo 2023</x:v>
      </x:c>
      <x:c r="C54" s="18" t="str">
        <x:v>**Intraop remifentanil**: TEAS (n=55) 0.87 ± 0.30 mg vs Sham-TEAS (n=55) 1.01 ± 0.39 mg (P = 0.040). **Intraop sufentanil**: TEAS 29.42 ± 7.62 µg vs Sham-TEA...</x:v>
      </x:c>
      <x:c r="D54" s="18" t="str">
        <x:v>Opioid: `20.4±4.8 vs 33.1±7.0` 🚨 **[FABRICATED BOILERPLATE]**&lt;br&gt;Pain: `2.4±0.8 vs 3.8±1.1` 🚨 **[FABRICATED]**&lt;br&gt;PONV: `5/30 vs 12/30` 🚨 **[FABRICATED]**</x:v>
      </x:c>
      <x:c r="E54" s="18" t="str">
        <x:v>🟡 Verified with Corrections 🟠 Author Contact Needed</x:v>
      </x:c>
      <x:c r="F54" s="18" t="str">
        <x:v>REFERENCE ONLY — not authoritative unless source-confirmed</x:v>
      </x:c>
    </x:row>
    <x:row r="55">
      <x:c r="A55" s="18" t="str">
        <x:v>Grech 2016</x:v>
      </x:c>
      <x:c r="B55" s="18" t="str">
        <x:v>Grech 2016</x:v>
      </x:c>
      <x:c r="C55" s="18" t="str">
        <x:v>**Opioid 0-24h (PRIMARY)**: Measured-not-reported numerically in text/tables (graph-only in Fig 1, converted to missing_data: true, N=10 EA vs N=9 Control). ...</x:v>
      </x:c>
      <x:c r="D55" s="18" t="str">
        <x:v>Opioid: `48.15±2.45 vs 48.15±10.96` 🚨 **[AGE TRANSPOSED TO OPIOID]**&lt;br&gt;Pain: `2.4±0.8 vs 3.8±1.1` 🚨 **[FABRICATED]**&lt;br&gt;PONV: `5/30 vs 12/30` 🚨 **[FABRICATED]**</x:v>
      </x:c>
      <x:c r="E55" s="18" t="str">
        <x:v>🟡 Verified with Corrections 🟠 Author Contact Needed</x:v>
      </x:c>
      <x:c r="F55" s="18" t="str">
        <x:v>REFERENCE ONLY — not authoritative unless source-confirmed</x:v>
      </x:c>
    </x:row>
    <x:row r="56">
      <x:c r="A56" s="18" t="str">
        <x:v>Gao 2021</x:v>
      </x:c>
      <x:c r="B56" s="18" t="str">
        <x:v>Gao 2021</x:v>
      </x:c>
      <x:c r="C56" s="18" t="str">
        <x:v>**Opioid 0-24h (PRIMARY)**: Measured-not-reported (requires author contact). **Intraop sufentanil**: TEAS (n=303) 30.0 µg (IQR 25.0-35.0) [mean ~30.00 ± 7.41...</x:v>
      </x:c>
      <x:c r="D56" s="18" t="str">
        <x:v>Opioid: `20.4±4.8 vs 33.1±7.0` 🚨 **[FABRICATED BOILERPLATE]**&lt;br&gt;Pain: `2.4±0.8 vs 3.8±1.1` 🚨 **[FABRICATED]**&lt;br&gt;PONV: `5/30 vs 12/30` 🚨 **[FABRICATED]**</x:v>
      </x:c>
      <x:c r="E56" s="18" t="str">
        <x:v>🟡 Verified with Corrections 🟠 Author Contact Needed</x:v>
      </x:c>
      <x:c r="F56" s="18" t="str">
        <x:v>REFERENCE ONLY — not authoritative unless source-confirmed</x:v>
      </x:c>
    </x:row>
    <x:row r="57">
      <x:c r="A57" s="18" t="str">
        <x:v>El-Rakshy 2009</x:v>
      </x:c>
      <x:c r="B57" s="18" t="str">
        <x:v>El-Rakshy 2009</x:v>
      </x:c>
      <x:c r="C57" s="18" t="str">
        <x:v>**Opioid 0-24h (PRIMARY)**: PCA + acupuncture EA (n=42) 35.3 ± 18.0 mg morphine vs PCA alone (n=53) 36.9 ± 18.0 mg morphine (P = 0.961). **Opioid 0-4h**: EA ...</x:v>
      </x:c>
      <x:c r="D57" s="18" t="str">
        <x:v>Opioid: `36.9±18.0 vs 35.3±18.0`&lt;br&gt;Pain: `2.4±0.8 vs 3.8±1.1` 🚨 **[FABRICATED]**&lt;br&gt;PONV: `5/30 vs 12/30` 🚨 **[FABRICATED]**</x:v>
      </x:c>
      <x:c r="E57" s="18" t="str">
        <x:v>🟡 Verified with Corrections 🟠 Author Contact Needed</x:v>
      </x:c>
      <x:c r="F57" s="18" t="str">
        <x:v>REFERENCE ONLY — not authoritative unless source-confirmed</x:v>
      </x:c>
    </x:row>
    <x:row r="58">
      <x:c r="A58" s="18" t="str">
        <x:v>Coura 2011</x:v>
      </x:c>
      <x:c r="B58" s="18" t="str">
        <x:v>Coura 2011</x:v>
      </x:c>
      <x:c r="C58" s="18" t="str">
        <x:v>**Opioid 0-24h (PRIMARY)**: Treatment EA (n=13) 13.1 ± 2.2 µg/kg fentanyl vs Control Sham (n=9) 16.3 ± 1.6 µg/kg fentanyl (P &lt; 0.002) [PCA bolus: 4.1 ± 2.0 v...</x:v>
      </x:c>
      <x:c r="D58" s="18" t="str">
        <x:v>Opioid: `13.1±2.2 vs 16.3±1.6`&lt;br&gt;Pain: `2.4±0.8 vs 3.8±1.1` 🚨 **[FABRICATED]**&lt;br&gt;PONV: `5/30 vs 12/30` 🚨 **[FABRICATED]**</x:v>
      </x:c>
      <x:c r="E58" s="18" t="str">
        <x:v>🟡 Verified with Corrections 🟠 Author Contact Needed</x:v>
      </x:c>
      <x:c r="F58" s="18" t="str">
        <x:v>REFERENCE ONLY — not authoritative unless source-confirmed</x:v>
      </x:c>
    </x:row>
    <x:row r="59">
      <x:c r="A59" s="18" t="str">
        <x:v>Chen 1998</x:v>
      </x:c>
      <x:c r="B59" s="18" t="str">
        <x:v>Chen 1998</x:v>
      </x:c>
      <x:c r="C59" s="18" t="str">
        <x:v>**Opioid 0-24h (PRIMARY)**: Group IV Acupoint TEAS (n=25) 6.5 ± 3.5 mg hydromorphone vs Group I Sham TEAS (n=25) 10.7 ± 5.0 mg (P &lt; 0.05) [OME: 130 mg vs 214...</x:v>
      </x:c>
      <x:c r="D59" s="18" t="str">
        <x:v>Opioid: `6.5±3.5 vs 10.7±5.0`&lt;br&gt;Pain: `2.4±0.8 vs 3.8±1.1` 🚨 **[FABRICATED]**&lt;br&gt;PONV: `5/30 vs 12/30` 🚨 **[FABRICATED]**</x:v>
      </x:c>
      <x:c r="E59" s="18" t="str">
        <x:v>🟡 Verified with Corrections 🟠 Author Contact Needed</x:v>
      </x:c>
      <x:c r="F59" s="18" t="str">
        <x:v>REFERENCE ONLY — not authoritative unless source-confirmed</x:v>
      </x:c>
    </x:row>
    <x:row r="60">
      <x:c r="A60" s="18" t="str">
        <x:v>Chen 2020</x:v>
      </x:c>
      <x:c r="B60" s="18" t="str">
        <x:v>Chen 2020</x:v>
      </x:c>
      <x:c r="C60" s="18" t="str">
        <x:v>**Opioid 0-24h (PRIMARY)**: TEAS (n=40) 72.43 ± 4.78 µg sufentanil vs Sham TEAS (n=40) 100.62 ± 10.20 µg (P &lt; 0.001) [MD -28.19 µg]. **Opioid 0-48h**: TEAS 1...</x:v>
      </x:c>
      <x:c r="D60" s="18" t="str">
        <x:v>Opioid: `72.43±4.78 vs 100.62±10.20`&lt;br&gt;Pain: `2.4±0.8 vs 3.8±1.1` 🚨 **[FABRICATED]**&lt;br&gt;PONV: `5/30 vs 12/30` 🚨 **[FABRICATED]**</x:v>
      </x:c>
      <x:c r="E60" s="18" t="str">
        <x:v>🟢 Verified</x:v>
      </x:c>
      <x:c r="F60" s="18" t="str">
        <x:v>REFERENCE ONLY — not authoritative unless source-confirmed</x:v>
      </x:c>
    </x:row>
    <x:row r="61">
      <x:c r="A61" s="18" t="str">
        <x:v>Ao 2021</x:v>
      </x:c>
      <x:c r="B61" s="18" t="str">
        <x:v>Ao 2021</x:v>
      </x:c>
      <x:c r="C61" s="18" t="str">
        <x:v>**Opioid 0-48h**: TEAS (n=32) 102.8 ± 7.4 ml vs Sham TEAS (n=33) 120.6 ± 9.2 ml (sufentanil 1.5 µg/kg in 150 ml NS). **Opioid 0-24h**: Measured-not-reported ...</x:v>
      </x:c>
      <x:c r="D61" s="18" t="str">
        <x:v>Opioid: `102.8±7.4 vs 120.6±9.2`&lt;br&gt;Pain: `2.4±0.8 vs 3.8±1.1` 🚨 **[FABRICATED]**&lt;br&gt;PONV: `5/30 vs 12/30` 🚨 **[FABRICATED]**</x:v>
      </x:c>
      <x:c r="E61" s="18" t="str">
        <x:v>🟡 Verified with Corrections 🟠 Author Contact Needed</x:v>
      </x:c>
      <x:c r="F61" s="18" t="str">
        <x:v>REFERENCE ONLY — not authoritative unless source-confirmed</x:v>
      </x:c>
    </x:row>
    <x:row r="62">
      <x:c r="A62" s="18" t="str">
        <x:v>An 2014</x:v>
      </x:c>
      <x:c r="B62" s="18" t="str">
        <x:v>An 2014</x:v>
      </x:c>
      <x:c r="C62" s="18" t="str">
        <x:v>**Opioid 0-48h**: EA (n=41) 0.67 ± 0.09 mg fentanyl; Control (n=40) 0.73 ± 0.12 mg fentanyl. **Opioid 0-24h**: Measured-not-reported (requires author contact...</x:v>
      </x:c>
      <x:c r="D62" s="18" t="str">
        <x:v>Opioid: `null`&lt;br&gt;PONV: `6/41`</x:v>
      </x:c>
      <x:c r="E62" s="18" t="str">
        <x:v>🟡 Verified with Corrections 🟠 Author Contact Needed</x:v>
      </x:c>
      <x:c r="F62" s="18" t="str">
        <x:v>REFERENCE ONLY — not authoritative unless source-confirmed</x:v>
      </x:c>
    </x:row>
    <x:row r="63">
      <x:c r="A63" s="18" t="str">
        <x:v>Chen 2015</x:v>
      </x:c>
      <x:c r="B63" s="18" t="str">
        <x:v>Chen 2015</x:v>
      </x:c>
      <x:c r="C63" s="18" t="str">
        <x:v>**Opioid 0-24h (PRIMARY)**: TEAS (n=41) median 1 dose (IQR 1-3) [mean ~3.0 ± 2.96 mg morphine] vs Control (n=42) median 3.5 doses (IQR 2-7) [mean ~8.0 ± 7.41...</x:v>
      </x:c>
      <x:c r="D63" s="18" t="str">
        <x:v>Opioid: `2.6±0.7 vs 3.9±0.9`&lt;br&gt;Pain: `2.4±0.8 vs 3.8±1.1` 🚨 **[FABRICATED]**&lt;br&gt;PONV: `5/30 vs 12/30` 🚨 **[FABRICATED]**</x:v>
      </x:c>
      <x:c r="E63" s="18" t="str">
        <x:v>🟡 Verified with Corrections 🟠 Author Contact Needed</x:v>
      </x:c>
      <x:c r="F63" s="18" t="str">
        <x:v>REFERENCE ONLY — not authoritative unless source-confirmed</x:v>
      </x:c>
    </x:row>
    <x:row r="64">
      <x:c r="A64" s="18" t="str">
        <x:v>Chen 2015 (Hyperalgesia)</x:v>
      </x:c>
      <x:c r="B64" s="18" t="str">
        <x:v>Chen 2015 (Hyperalgesia)</x:v>
      </x:c>
      <x:c r="C64" s="18" t="str">
        <x:v>**Opioid 0-24h (PRIMARY)**: TEAS (n=29) median 3 boluses (IQR 2-4) [mean ~8.66 ± 4.27 µg sufentanil] vs Control median 7 boluses (IQR 6-8) [mean ~19.88 ± 4.2...</x:v>
      </x:c>
      <x:c r="D64" s="18" t="str">
        <x:v>Opioid: `41.9±9.9 vs 41.4±9.8`&lt;br&gt;Pain: `2.4±0.8 vs 3.8±1.1` 🚨 **[FABRICATED]**&lt;br&gt;PONV: `5/30 vs 12/30` 🚨 **[FABRICATED]**</x:v>
      </x:c>
      <x:c r="E64" s="18" t="str">
        <x:v>🟡 Verified with Corrections 🟠 Author Contact Needed</x:v>
      </x:c>
      <x:c r="F64" s="18" t="str">
        <x:v>REFERENCE ONLY — not authoritative unless source-confirmed</x:v>
      </x:c>
    </x:row>
  </x:sheetData>
  <x:pageMargins left="0.7" right="0.7" top="0.75" bottom="0.75" header="0.3" footer="0.3"/>
  <x:tableParts count="1">
    <x:tablePart xmlns:r="http://schemas.openxmlformats.org/officeDocument/2006/relationships" r:id="Rd2621437b5bd4cf8"/>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4" max="4" width="18" hidden="0" customWidth="1"/>
    <x:col min="5" max="5" width="18" hidden="0" customWidth="1"/>
    <x:col min="3" max="3" width="18" hidden="0" customWidth="1"/>
    <x:col min="6" max="6" width="18" hidden="0" customWidth="1"/>
    <x:col min="7" max="7" width="18" hidden="0" customWidth="1"/>
    <x:col min="8" max="8" width="18" hidden="0" customWidth="1"/>
  </x:cols>
  <x:sheetData>
    <x:row r="1">
      <x:c r="A1" s="5" t="str">
        <x:v>Reconciliation Master — QC Dashboard</x:v>
      </x:c>
      <x:c r="B1" s="5"/>
      <x:c r="C1" s="5"/>
      <x:c r="D1" s="5"/>
      <x:c r="E1" s="5"/>
      <x:c r="F1" s="5"/>
      <x:c r="G1" s="5"/>
      <x:c r="H1" s="5"/>
    </x:row>
    <x:row r="3">
      <x:c r="A3" s="24" t="str">
        <x:v>Metric</x:v>
      </x:c>
      <x:c r="B3" s="24" t="str">
        <x:v>Count</x:v>
      </x:c>
      <x:c r="D3" s="24" t="str">
        <x:v>RoB replacement status</x:v>
      </x:c>
      <x:c r="E3" s="24" t="str">
        <x:v>Count</x:v>
      </x:c>
    </x:row>
    <x:row r="4">
      <x:c r="A4" s="18" t="str">
        <x:v>Canonical studies</x:v>
      </x:c>
      <x:c r="B4" s="18" t="n">
        <x:f>COUNTA(Study_Master!A2:A200)</x:f>
        <x:v>63</x:v>
      </x:c>
      <x:c r="D4" t="str">
        <x:v>FULL REPLACEMENT</x:v>
      </x:c>
      <x:c r="E4" t="n">
        <x:f>COUNTIF(Study_Master!C:C,"FULL REPLACEMENT")</x:f>
        <x:v>47</x:v>
      </x:c>
    </x:row>
    <x:row r="5">
      <x:c r="A5" s="18" t="str">
        <x:v>FULL REPLACEMENT</x:v>
      </x:c>
      <x:c r="B5" s="18" t="n">
        <x:f>COUNTIF(Study_Master!C:C,"FULL REPLACEMENT")</x:f>
        <x:v>47</x:v>
      </x:c>
      <x:c r="D5" t="str">
        <x:v>RE-ADJUDICATE</x:v>
      </x:c>
      <x:c r="E5" t="n">
        <x:f>COUNTIF(Study_Master!C:C,"RE-ADJUDICATE")</x:f>
        <x:v>4</x:v>
      </x:c>
    </x:row>
    <x:row r="6">
      <x:c r="A6" s="18" t="str">
        <x:v>RE-ADJUDICATE</x:v>
      </x:c>
      <x:c r="B6" s="18" t="n">
        <x:f>COUNTIF(Study_Master!C:C,"RE-ADJUDICATE")</x:f>
        <x:v>4</x:v>
      </x:c>
      <x:c r="D6" t="str">
        <x:v>SPECIAL / SOURCE-QC</x:v>
      </x:c>
      <x:c r="E6" t="n">
        <x:f>COUNTIF(Study_Master!C:C,"SPECIAL / SOURCE-QC")</x:f>
        <x:v>11</x:v>
      </x:c>
    </x:row>
    <x:row r="7">
      <x:c r="A7" s="18" t="str">
        <x:v>SPECIAL / SOURCE-QC</x:v>
      </x:c>
      <x:c r="B7" s="18" t="n">
        <x:f>COUNTIF(Study_Master!C:C,"SPECIAL / SOURCE-QC")</x:f>
        <x:v>11</x:v>
      </x:c>
      <x:c r="D7" t="str">
        <x:v>NO MATCHING RoB</x:v>
      </x:c>
      <x:c r="E7" t="n">
        <x:f>COUNTIF(Study_Master!C:C,"NO MATCHING RoB")</x:f>
        <x:v>1</x:v>
      </x:c>
    </x:row>
    <x:row r="8">
      <x:c r="A8" s="18" t="str">
        <x:v>NO MATCHING RoB</x:v>
      </x:c>
      <x:c r="B8" s="18" t="n">
        <x:f>COUNTIF(Study_Master!C:C,"NO MATCHING RoB")</x:f>
        <x:v>1</x:v>
      </x:c>
    </x:row>
    <x:row r="9">
      <x:c r="A9" s="18" t="str">
        <x:v>Known fabricated payload signatures</x:v>
      </x:c>
      <x:c r="B9" s="18" t="n">
        <x:f>COUNTIF(Study_Master!J:J,"Yes")</x:f>
        <x:v>61</x:v>
      </x:c>
    </x:row>
    <x:row r="10">
      <x:c r="A10" s="18" t="str">
        <x:v>Corrected selected RoB 2 complete</x:v>
      </x:c>
      <x:c r="B10" s="18" t="n">
        <x:f>COUNTIF(Study_Master!L:L,"Yes")</x:f>
        <x:v>63</x:v>
      </x:c>
    </x:row>
    <x:row r="11">
      <x:c r="A11" s="18" t="str">
        <x:v>Antigravity author-contact flags (not yet accepted as final)</x:v>
      </x:c>
      <x:c r="B11" s="18" t="n">
        <x:f>COUNTIF(Study_Master!K:K,"Yes")</x:f>
        <x:v>59</x:v>
      </x:c>
    </x:row>
    <x:row r="12">
      <x:c r="A12" t="str">
        <x:v>Source-normalized outcome rows</x:v>
      </x:c>
      <x:c r="B12" t="n">
        <x:f>COUNTA(Outcome_Data!A2:A500)</x:f>
        <x:v>261</x:v>
      </x:c>
    </x:row>
    <x:row r="13">
      <x:c r="A13" s="32" t="str">
        <x:v>Studies with ≥1 source-normalized outcome row</x:v>
      </x:c>
      <x:c r="B13" s="32" t="n">
        <x:f>COUNTIF(Study_Master!V2:V64,"&gt;0")</x:f>
        <x:v>63</x:v>
      </x:c>
      <x:c r="C13" s="32"/>
      <x:c r="D13" s="32"/>
      <x:c r="E13" s="32"/>
      <x:c r="F13" s="32"/>
      <x:c r="G13" s="32"/>
      <x:c r="H13" s="32"/>
    </x:row>
    <x:row r="14" ht="34" customHeight="1">
      <x:c r="A14" s="18" t="str">
        <x:v>Study-level source normalization complete</x:v>
      </x:c>
      <x:c r="B14" s="18" t="str">
        <x:f>IF(B13=63,"YES","NO")</x:f>
        <x:v>YES</x:v>
      </x:c>
      <x:c r="C14" s="18" t="str"/>
      <x:c r="D14" s="18" t="str"/>
      <x:c r="E14" s="18" t="str"/>
      <x:c r="F14" s="18" t="str"/>
      <x:c r="G14" s="18" t="str"/>
      <x:c r="H14" s="18" t="str"/>
    </x:row>
    <x:row r="15" ht="34" customHeight="1">
      <x:c r="A15" s="44" t="str">
        <x:v>Selected result-specific RoB 2 complete</x:v>
      </x:c>
      <x:c r="B15" s="44" t="str">
        <x:f>IF(B10=63,"YES","NO")</x:f>
        <x:v>YES</x:v>
      </x:c>
      <x:c r="C15" s="44" t="str"/>
      <x:c r="D15" s="44" t="str"/>
      <x:c r="E15" s="44" t="str"/>
      <x:c r="F15" s="44" t="str"/>
      <x:c r="G15" s="44" t="str"/>
      <x:c r="H15" s="44" t="str"/>
    </x:row>
    <x:row r="16" ht="30" customHeight="1">
      <x:c r="A16" s="18" t="str">
        <x:v>Studies on duplicate/overlap hold</x:v>
      </x:c>
      <x:c r="B16" s="18" t="n">
        <x:f>COUNTIF(Study_Master!P:P,"SOURCE-NORMALIZED — DUPLICATE/OVERLAP HOLD")</x:f>
        <x:v>2</x:v>
      </x:c>
      <x:c r="C16" s="18" t="str"/>
      <x:c r="D16" s="18" t="str"/>
      <x:c r="E16" s="18" t="str"/>
      <x:c r="F16" s="18" t="str"/>
      <x:c r="G16" s="18" t="str"/>
      <x:c r="H16" s="18" t="str"/>
    </x:row>
    <x:row r="17" ht="30" customHeight="1">
      <x:c r="A17" s="18" t="str">
        <x:v>Outcome rows carrying a QC/non-final status</x:v>
      </x:c>
      <x:c r="B17" s="18" t="n">
        <x:f>COUNTA(Outcome_Data!AL2:AL500)-COUNTIF(Outcome_Data!AL2:AL500,"SOURCE-VERIFIED")</x:f>
        <x:v>169</x:v>
      </x:c>
      <x:c r="C17" s="18" t="str"/>
      <x:c r="D17" s="18" t="str"/>
      <x:c r="E17" s="18" t="str"/>
      <x:c r="F17" s="18" t="str"/>
      <x:c r="G17" s="18" t="str"/>
      <x:c r="H17" s="18" t="str"/>
    </x:row>
    <x:row r="18" ht="30" customHeight="1">
      <x:c r="A18" s="18" t="str">
        <x:v>Studies still missing source-normalized outcome rows</x:v>
      </x:c>
      <x:c r="B18" s="18" t="n">
        <x:f>63-B13</x:f>
        <x:v>0</x:v>
      </x:c>
      <x:c r="C18" s="18"/>
      <x:c r="D18" s="18"/>
      <x:c r="E18" s="18"/>
      <x:c r="F18" s="18"/>
      <x:c r="G18" s="18"/>
      <x:c r="H18" s="18"/>
    </x:row>
    <x:row r="19" ht="30" customHeight="1">
      <x:c r="A19" s="18" t="str">
        <x:v>Studies still missing selected-result RoB 2</x:v>
      </x:c>
      <x:c r="B19" s="18" t="n">
        <x:f>63-B10</x:f>
        <x:v>0</x:v>
      </x:c>
      <x:c r="C19" s="18"/>
      <x:c r="D19" s="18"/>
      <x:c r="E19" s="18"/>
      <x:c r="F19" s="18"/>
      <x:c r="G19" s="18"/>
      <x:c r="H19" s="18"/>
    </x:row>
  </x:sheetData>
  <x:mergeCells>
    <x:mergeCell ref="A1:H1"/>
    <x:mergeCell ref="A13:H13"/>
    <x:mergeCell ref="A15:H15"/>
    <x:mergeCell ref="A16:H16"/>
    <x:mergeCell ref="A17:H17"/>
    <x:mergeCell ref="A18:H18"/>
    <x:mergeCell ref="A19:H19"/>
  </x:mergeCells>
  <x:pageMargins left="0.7" right="0.7" top="0.75" bottom="0.75" header="0.3" footer="0.3"/>
  <x:drawing xmlns:r="http://schemas.openxmlformats.org/officeDocument/2006/relationships" r:id="R84cc5d361c1f4ee3"/>
</x:worksheet>
</file>

<file path=xl/worksheets/sheet7.xml><?xml version="1.0" encoding="utf-8"?>
<x:worksheet xmlns:x="http://schemas.openxmlformats.org/spreadsheetml/2006/main">
  <x:sheetFormatPr defaultRowHeight="15"/>
  <x:cols>
    <x:col min="1" max="1" width="20" hidden="0" customWidth="1"/>
    <x:col min="2" max="2" width="26" hidden="0" customWidth="1"/>
    <x:col min="3" max="3" width="30" hidden="0" customWidth="1"/>
    <x:col min="4" max="4" width="28" hidden="0" customWidth="1"/>
    <x:col min="5" max="5" width="18" hidden="0" customWidth="1"/>
    <x:col min="6" max="6" width="32" hidden="0" customWidth="1"/>
    <x:col min="7" max="7" width="24" hidden="0" customWidth="1"/>
    <x:col min="8" max="8" width="20" hidden="0" customWidth="1"/>
    <x:col min="9" max="9" width="13" hidden="0" customWidth="1"/>
    <x:col min="10" max="10" width="13" hidden="0" customWidth="1"/>
    <x:col min="11" max="11" width="13" hidden="0" customWidth="1"/>
    <x:col min="12" max="12" width="13" hidden="0" customWidth="1"/>
    <x:col min="13" max="13" width="12" hidden="0" customWidth="1"/>
    <x:col min="14" max="14" width="11" hidden="0" customWidth="1"/>
    <x:col min="15" max="15" width="12" hidden="0" customWidth="1"/>
    <x:col min="16" max="16" width="11" hidden="0" customWidth="1"/>
    <x:col min="17" max="17" width="11" hidden="0" customWidth="1"/>
    <x:col min="18" max="18" width="12" hidden="0" customWidth="1"/>
    <x:col min="19" max="19" width="12" hidden="0" customWidth="1"/>
    <x:col min="20" max="20" width="11" hidden="0" customWidth="1"/>
    <x:col min="21" max="21" width="12" hidden="0" customWidth="1"/>
    <x:col min="22" max="22" width="11" hidden="0" customWidth="1"/>
    <x:col min="23" max="23" width="11" hidden="0" customWidth="1"/>
    <x:col min="24" max="24" width="12" hidden="0" customWidth="1"/>
    <x:col min="25" max="25" width="18" hidden="0" customWidth="1"/>
    <x:col min="26" max="26" width="14" hidden="0" customWidth="1"/>
    <x:col min="27" max="27" width="15" hidden="0" customWidth="1"/>
    <x:col min="28" max="28" width="15" hidden="0" customWidth="1"/>
    <x:col min="29" max="29" width="18" hidden="0" customWidth="1"/>
    <x:col min="30" max="30" width="14" hidden="0" customWidth="1"/>
    <x:col min="31" max="31" width="18" hidden="0" customWidth="1"/>
    <x:col min="32" max="32" width="20" hidden="0" customWidth="1"/>
    <x:col min="33" max="33" width="32" hidden="0" customWidth="1"/>
    <x:col min="34" max="34" width="24" hidden="0" customWidth="1"/>
    <x:col min="35" max="35" width="50" hidden="0" customWidth="1"/>
    <x:col min="36" max="36" width="28" hidden="0" customWidth="1"/>
    <x:col min="37" max="37" width="48" hidden="0" customWidth="1"/>
    <x:col min="38" max="38" width="26" hidden="0" customWidth="1"/>
  </x:cols>
  <x:sheetData>
    <x:row r="1">
      <x:c r="A1" s="41" t="str">
        <x:v>Canonical study</x:v>
      </x:c>
      <x:c r="B1" s="41" t="str">
        <x:v>Comparison ID</x:v>
      </x:c>
      <x:c r="C1" s="41" t="str">
        <x:v>Intervention arm</x:v>
      </x:c>
      <x:c r="D1" s="41" t="str">
        <x:v>Comparator arm</x:v>
      </x:c>
      <x:c r="E1" s="41" t="str">
        <x:v>Outcome family</x:v>
      </x:c>
      <x:c r="F1" s="41" t="str">
        <x:v>Outcome/result</x:v>
      </x:c>
      <x:c r="G1" s="41" t="str">
        <x:v>Timepoint/window</x:v>
      </x:c>
      <x:c r="H1" s="41" t="str">
        <x:v>Data type</x:v>
      </x:c>
      <x:c r="I1" s="41" t="str">
        <x:v>Randomized n intervention</x:v>
      </x:c>
      <x:c r="J1" s="41" t="str">
        <x:v>Randomized n comparator</x:v>
      </x:c>
      <x:c r="K1" s="41" t="str">
        <x:v>Analyzed n intervention</x:v>
      </x:c>
      <x:c r="L1" s="41" t="str">
        <x:v>Analyzed n comparator</x:v>
      </x:c>
      <x:c r="M1" s="41" t="str">
        <x:v>Mean intervention</x:v>
      </x:c>
      <x:c r="N1" s="41" t="str">
        <x:v>SD intervention</x:v>
      </x:c>
      <x:c r="O1" s="41" t="str">
        <x:v>Median intervention</x:v>
      </x:c>
      <x:c r="P1" s="41" t="str">
        <x:v>Q1 intervention</x:v>
      </x:c>
      <x:c r="Q1" s="41" t="str">
        <x:v>Q3 intervention</x:v>
      </x:c>
      <x:c r="R1" s="41" t="str">
        <x:v>Events intervention</x:v>
      </x:c>
      <x:c r="S1" s="41" t="str">
        <x:v>Mean comparator</x:v>
      </x:c>
      <x:c r="T1" s="41" t="str">
        <x:v>SD comparator</x:v>
      </x:c>
      <x:c r="U1" s="41" t="str">
        <x:v>Median comparator</x:v>
      </x:c>
      <x:c r="V1" s="41" t="str">
        <x:v>Q1 comparator</x:v>
      </x:c>
      <x:c r="W1" s="41" t="str">
        <x:v>Q3 comparator</x:v>
      </x:c>
      <x:c r="X1" s="41" t="str">
        <x:v>Events comparator</x:v>
      </x:c>
      <x:c r="Y1" s="41" t="str">
        <x:v>Unit/scale</x:v>
      </x:c>
      <x:c r="Z1" s="41" t="str">
        <x:v>Reported P</x:v>
      </x:c>
      <x:c r="AA1" s="41" t="str">
        <x:v>Directly reported?</x:v>
      </x:c>
      <x:c r="AB1" s="41" t="str">
        <x:v>Derived/converted?</x:v>
      </x:c>
      <x:c r="AC1" s="41" t="str">
        <x:v>Derived effect measure</x:v>
      </x:c>
      <x:c r="AD1" s="41" t="str">
        <x:v>Derived effect</x:v>
      </x:c>
      <x:c r="AE1" s="41" t="str">
        <x:v>Exact 0-24 h postoperative opioid?</x:v>
      </x:c>
      <x:c r="AF1" s="41" t="str">
        <x:v>Primary opioid meta-analysis eligible?</x:v>
      </x:c>
      <x:c r="AG1" s="41" t="str">
        <x:v>Other analysis eligibility</x:v>
      </x:c>
      <x:c r="AH1" s="41" t="str">
        <x:v>Shared-control / multi-arm issue</x:v>
      </x:c>
      <x:c r="AI1" s="41" t="str">
        <x:v>Source-QC issue</x:v>
      </x:c>
      <x:c r="AJ1" s="41" t="str">
        <x:v>Source location</x:v>
      </x:c>
      <x:c r="AK1" s="41" t="str">
        <x:v>Source PDF URL</x:v>
      </x:c>
      <x:c r="AL1" s="41" t="str">
        <x:v>Record status</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f>IF(H2="Mean/SD","MD",IF(H2="Events/total","RR",""))</x:f>
        <x:v>MD</x:v>
      </x:c>
      <x:c r="AD2" s="18" t="n">
        <x:f>IF(H2="Mean/SD",M2-S2,IF(H2="Events/total",IFERROR((R2/K2)/(X2/L2),""),""))</x:f>
        <x:v>-3.3000000000000007</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f>IF(H3="Mean/SD","MD",IF(H3="Events/total","RR",""))</x:f>
        <x:v>MD</x:v>
      </x:c>
      <x:c r="AD3" s="18" t="n">
        <x:f>IF(H3="Mean/SD",M3-S3,IF(H3="Events/total",IFERROR((R3/K3)/(X3/L3),""),""))</x:f>
        <x:v>-12.559999999999999</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t="str"/>
      <x:c r="AA4" s="18" t="str">
        <x:v>Yes</x:v>
      </x:c>
      <x:c r="AB4" s="18" t="str">
        <x:v>No</x:v>
      </x:c>
      <x:c r="AC4" s="18" t="str">
        <x:f>IF(H4="Mean/SD","MD",IF(H4="Events/total","RR",""))</x:f>
        <x:v>MD</x:v>
      </x:c>
      <x:c r="AD4" s="18" t="n">
        <x:f>IF(H4="Mean/SD",M4-S4,IF(H4="Events/total",IFERROR((R4/K4)/(X4/L4),""),""))</x:f>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t="str"/>
      <x:c r="AA5" s="18" t="str">
        <x:v>Yes</x:v>
      </x:c>
      <x:c r="AB5" s="18" t="str">
        <x:v>No</x:v>
      </x:c>
      <x:c r="AC5" s="18" t="str">
        <x:f>IF(H5="Mean/SD","MD",IF(H5="Events/total","RR",""))</x:f>
        <x:v>MD</x:v>
      </x:c>
      <x:c r="AD5" s="18" t="n">
        <x:f>IF(H5="Mean/SD",M5-S5,IF(H5="Events/total",IFERROR((R5/K5)/(X5/L5),""),""))</x:f>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t="str"/>
      <x:c r="AA6" s="18" t="str">
        <x:v>Yes</x:v>
      </x:c>
      <x:c r="AB6" s="18" t="str">
        <x:v>No</x:v>
      </x:c>
      <x:c r="AC6" s="18" t="str">
        <x:f>IF(H6="Mean/SD","MD",IF(H6="Events/total","RR",""))</x:f>
        <x:v>MD</x:v>
      </x:c>
      <x:c r="AD6" s="18" t="n">
        <x:f>IF(H6="Mean/SD",M6-S6,IF(H6="Events/total",IFERROR((R6/K6)/(X6/L6),""),""))</x:f>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t="str"/>
      <x:c r="AA7" s="18" t="str">
        <x:v>Yes</x:v>
      </x:c>
      <x:c r="AB7" s="18" t="str">
        <x:v>No</x:v>
      </x:c>
      <x:c r="AC7" s="18" t="str">
        <x:f>IF(H7="Mean/SD","MD",IF(H7="Events/total","RR",""))</x:f>
        <x:v>MD</x:v>
      </x:c>
      <x:c r="AD7" s="18" t="n">
        <x:f>IF(H7="Mean/SD",M7-S7,IF(H7="Events/total",IFERROR((R7/K7)/(X7/L7),""),""))</x:f>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f>IF(H8="Mean/SD","MD",IF(H8="Events/total","RR",""))</x:f>
        <x:v>MD</x:v>
      </x:c>
      <x:c r="AD8" s="18" t="n">
        <x:f>IF(H8="Mean/SD",M8-S8,IF(H8="Events/total",IFERROR((R8/K8)/(X8/L8),""),""))</x:f>
        <x:v>11.699999999999989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f>IF(H9="Mean/SD","MD",IF(H9="Events/total","RR",""))</x:f>
        <x:v>MD</x:v>
      </x:c>
      <x:c r="AD9" s="18" t="n">
        <x:f>IF(H9="Mean/SD",M9-S9,IF(H9="Events/total",IFERROR((R9/K9)/(X9/L9),""),""))</x:f>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t="str">
        <x:f>IF(H10="Mean/SD","MD",IF(H10="Events/total","RR",""))</x:f>
      </x:c>
      <x:c r="AD10" s="18" t="str">
        <x:f>IF(H10="Mean/SD",M10-S10,IF(H10="Events/total",IFERROR((R10/K10)/(X10/L10),""),""))</x:f>
      </x:c>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t="str"/>
      <x:c r="AA11" s="18" t="str">
        <x:v>Yes</x:v>
      </x:c>
      <x:c r="AB11" s="18" t="str">
        <x:v>No</x:v>
      </x:c>
      <x:c r="AC11" s="18" t="str">
        <x:f>IF(H11="Mean/SD","MD",IF(H11="Events/total","RR",""))</x:f>
        <x:v>MD</x:v>
      </x:c>
      <x:c r="AD11" s="18" t="n">
        <x:f>IF(H11="Mean/SD",M11-S11,IF(H11="Events/total",IFERROR((R11/K11)/(X11/L11),""),""))</x:f>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t="str"/>
      <x:c r="AA12" s="18" t="str">
        <x:v>Yes</x:v>
      </x:c>
      <x:c r="AB12" s="18" t="str">
        <x:v>No</x:v>
      </x:c>
      <x:c r="AC12" s="18" t="str">
        <x:f>IF(H12="Mean/SD","MD",IF(H12="Events/total","RR",""))</x:f>
        <x:v>MD</x:v>
      </x:c>
      <x:c r="AD12" s="18" t="n">
        <x:f>IF(H12="Mean/SD",M12-S12,IF(H12="Events/total",IFERROR((R12/K12)/(X12/L12),""),""))</x:f>
        <x:v>-3.8999999999999995</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t="str"/>
      <x:c r="AA13" s="18" t="str">
        <x:v>Yes</x:v>
      </x:c>
      <x:c r="AB13" s="18" t="str">
        <x:v>No</x:v>
      </x:c>
      <x:c r="AC13" s="18" t="str">
        <x:f>IF(H13="Mean/SD","MD",IF(H13="Events/total","RR",""))</x:f>
        <x:v>MD</x:v>
      </x:c>
      <x:c r="AD13" s="18" t="n">
        <x:f>IF(H13="Mean/SD",M13-S13,IF(H13="Events/total",IFERROR((R13/K13)/(X13/L13),""),""))</x:f>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t="str"/>
      <x:c r="AA14" s="18" t="str">
        <x:v>Yes</x:v>
      </x:c>
      <x:c r="AB14" s="18" t="str">
        <x:v>No</x:v>
      </x:c>
      <x:c r="AC14" s="18" t="str">
        <x:f>IF(H14="Mean/SD","MD",IF(H14="Events/total","RR",""))</x:f>
        <x:v>MD</x:v>
      </x:c>
      <x:c r="AD14" s="18" t="n">
        <x:f>IF(H14="Mean/SD",M14-S14,IF(H14="Events/total",IFERROR((R14/K14)/(X14/L14),""),""))</x:f>
        <x:v>-28.189999999999998</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t="str"/>
      <x:c r="AA15" s="18" t="str">
        <x:v>Yes</x:v>
      </x:c>
      <x:c r="AB15" s="18" t="str">
        <x:v>No</x:v>
      </x:c>
      <x:c r="AC15" s="18" t="str">
        <x:f>IF(H15="Mean/SD","MD",IF(H15="Events/total","RR",""))</x:f>
        <x:v>MD</x:v>
      </x:c>
      <x:c r="AD15" s="18" t="n">
        <x:f>IF(H15="Mean/SD",M15-S15,IF(H15="Events/total",IFERROR((R15/K15)/(X15/L15),""),""))</x:f>
        <x:v>-3.0599999999999996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t="str"/>
      <x:c r="AA16" s="18" t="str">
        <x:v>Yes</x:v>
      </x:c>
      <x:c r="AB16" s="18" t="str">
        <x:v>No</x:v>
      </x:c>
      <x:c r="AC16" s="18" t="str">
        <x:f>IF(H16="Mean/SD","MD",IF(H16="Events/total","RR",""))</x:f>
        <x:v>MD</x:v>
      </x:c>
      <x:c r="AD16" s="18" t="n">
        <x:f>IF(H16="Mean/SD",M16-S16,IF(H16="Events/total",IFERROR((R16/K16)/(X16/L16),""),""))</x:f>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t="str"/>
      <x:c r="AA17" s="18" t="str">
        <x:v>No</x:v>
      </x:c>
      <x:c r="AB17" s="18" t="str">
        <x:v>Yes</x:v>
      </x:c>
      <x:c r="AC17" s="18" t="str">
        <x:f>IF(H17="Mean/SD","MD",IF(H17="Events/total","RR",""))</x:f>
      </x:c>
      <x:c r="AD17" s="18" t="str">
        <x:f>IF(H17="Mean/SD",M17-S17,IF(H17="Events/total",IFERROR((R17/K17)/(X17/L17),""),""))</x:f>
      </x:c>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t="str"/>
      <x:c r="AA18" s="18" t="str">
        <x:v>No</x:v>
      </x:c>
      <x:c r="AB18" s="18" t="str">
        <x:v>No</x:v>
      </x:c>
      <x:c r="AC18" s="18" t="str">
        <x:f>IF(H18="Mean/SD","MD",IF(H18="Events/total","RR",""))</x:f>
      </x:c>
      <x:c r="AD18" s="18" t="str">
        <x:f>IF(H18="Mean/SD",M18-S18,IF(H18="Events/total",IFERROR((R18/K18)/(X18/L18),""),""))</x:f>
      </x:c>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f>IF(H19="Mean/SD","MD",IF(H19="Events/total","RR",""))</x:f>
        <x:v>RR</x:v>
      </x:c>
      <x:c r="AD19" s="18" t="n">
        <x:f>IF(H19="Mean/SD",M19-S19,IF(H19="Events/total",IFERROR((R19/K19)/(X19/L19),""),""))</x:f>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f>IF(H20="Mean/SD","MD",IF(H20="Events/total","RR",""))</x:f>
        <x:v>RR</x:v>
      </x:c>
      <x:c r="AD20" s="18" t="n">
        <x:f>IF(H20="Mean/SD",M20-S20,IF(H20="Events/total",IFERROR((R20/K20)/(X20/L20),""),""))</x:f>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f>IF(H21="Mean/SD","MD",IF(H21="Events/total","RR",""))</x:f>
        <x:v>RR</x:v>
      </x:c>
      <x:c r="AD21" s="18" t="n">
        <x:f>IF(H21="Mean/SD",M21-S21,IF(H21="Events/total",IFERROR((R21/K21)/(X21/L21),""),""))</x:f>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f>IF(H22="Mean/SD","MD",IF(H22="Events/total","RR",""))</x:f>
        <x:v>RR</x:v>
      </x:c>
      <x:c r="AD22" s="18" t="n">
        <x:f>IF(H22="Mean/SD",M22-S22,IF(H22="Events/total",IFERROR((R22/K22)/(X22/L22),""),""))</x:f>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f>IF(H23="Mean/SD","MD",IF(H23="Events/total","RR",""))</x:f>
        <x:v>RR</x:v>
      </x:c>
      <x:c r="AD23" s="18" t="n">
        <x:f>IF(H23="Mean/SD",M23-S23,IF(H23="Events/total",IFERROR((R23/K23)/(X23/L23),""),""))</x:f>
        <x:v>0.41148148148148145</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f>IF(H24="Mean/SD","MD",IF(H24="Events/total","RR",""))</x:f>
        <x:v>RR</x:v>
      </x:c>
      <x:c r="AD24" s="18" t="n">
        <x:f>IF(H24="Mean/SD",M24-S24,IF(H24="Events/total",IFERROR((R24/K24)/(X24/L24),""),""))</x:f>
        <x:v>0.41318181818181815</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f>IF(H25="Mean/SD","MD",IF(H25="Events/total","RR",""))</x:f>
        <x:v>MD</x:v>
      </x:c>
      <x:c r="AD25" s="18" t="n">
        <x:f>IF(H25="Mean/SD",M25-S25,IF(H25="Events/total",IFERROR((R25/K25)/(X25/L25),""),""))</x:f>
        <x:v>4.3799999999999955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t="str">
        <x:f>IF(H26="Mean/SD","MD",IF(H26="Events/total","RR",""))</x:f>
      </x:c>
      <x:c r="AD26" s="18" t="str">
        <x:f>IF(H26="Mean/SD",M26-S26,IF(H26="Events/total",IFERROR((R26/K26)/(X26/L26),""),""))</x:f>
      </x:c>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f>IF(H27="Mean/SD","MD",IF(H27="Events/total","RR",""))</x:f>
        <x:v>RR</x:v>
      </x:c>
      <x:c r="AD27" s="18" t="n">
        <x:f>IF(H27="Mean/SD",M27-S27,IF(H27="Events/total",IFERROR((R27/K27)/(X27/L27),""),""))</x:f>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f>IF(H28="Mean/SD","MD",IF(H28="Events/total","RR",""))</x:f>
        <x:v>MD</x:v>
      </x:c>
      <x:c r="AD28" s="18" t="n">
        <x:f>IF(H28="Mean/SD",M28-S28,IF(H28="Events/total",IFERROR((R28/K28)/(X28/L28),""),""))</x:f>
        <x:v>-1.7800000000000011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f>IF(H29="Mean/SD","MD",IF(H29="Events/total","RR",""))</x:f>
        <x:v>RR</x:v>
      </x:c>
      <x:c r="AD29" s="18" t="n">
        <x:f>IF(H29="Mean/SD",M29-S29,IF(H29="Events/total",IFERROR((R29/K29)/(X29/L29),""),""))</x:f>
        <x:v>0.47115384615384615</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t="str"/>
      <x:c r="AA30" s="18" t="str">
        <x:v>No</x:v>
      </x:c>
      <x:c r="AB30" s="18" t="str">
        <x:v>No</x:v>
      </x:c>
      <x:c r="AC30" s="18" t="str">
        <x:f>IF(H30="Mean/SD","MD",IF(H30="Events/total","RR",""))</x:f>
      </x:c>
      <x:c r="AD30" s="18" t="str">
        <x:f>IF(H30="Mean/SD",M30-S30,IF(H30="Events/total",IFERROR((R30/K30)/(X30/L30),""),""))</x:f>
      </x:c>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f>IF(H31="Mean/SD","MD",IF(H31="Events/total","RR",""))</x:f>
        <x:v>MD</x:v>
      </x:c>
      <x:c r="AD31" s="18" t="n">
        <x:f>IF(H31="Mean/SD",M31-S31,IF(H31="Events/total",IFERROR((R31/K31)/(X31/L31),""),""))</x:f>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f>IF(H32="Mean/SD","MD",IF(H32="Events/total","RR",""))</x:f>
        <x:v>RR</x:v>
      </x:c>
      <x:c r="AD32" s="18" t="n">
        <x:f>IF(H32="Mean/SD",M32-S32,IF(H32="Events/total",IFERROR((R32/K32)/(X32/L32),""),""))</x:f>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f>IF(H33="Mean/SD","MD",IF(H33="Events/total","RR",""))</x:f>
        <x:v>RR</x:v>
      </x:c>
      <x:c r="AD33" s="18" t="n">
        <x:f>IF(H33="Mean/SD",M33-S33,IF(H33="Events/total",IFERROR((R33/K33)/(X33/L33),""),""))</x:f>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f>IF(H34="Mean/SD","MD",IF(H34="Events/total","RR",""))</x:f>
        <x:v>MD</x:v>
      </x:c>
      <x:c r="AD34" s="18" t="n">
        <x:f>IF(H34="Mean/SD",M34-S34,IF(H34="Events/total",IFERROR((R34/K34)/(X34/L34),""),""))</x:f>
        <x:v>-56.400000000000006</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f>IF(H35="Mean/SD","MD",IF(H35="Events/total","RR",""))</x:f>
        <x:v>MD</x:v>
      </x:c>
      <x:c r="AD35" s="18" t="n">
        <x:f>IF(H35="Mean/SD",M35-S35,IF(H35="Events/total",IFERROR((R35/K35)/(X35/L35),""),""))</x:f>
        <x:v>-4.3999999999999995</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row>
    <x:row r="36">
      <x:c r="A36" t="str">
        <x:v>Zheng 2025</x:v>
      </x:c>
      <x:c r="B36" t="str">
        <x:v>ZHENG25_TEAS_vs_SHAM_OPIOID24</x:v>
      </x:c>
      <x:c r="C36" t="str">
        <x:v>Perioperative TEAS</x:v>
      </x:c>
      <x:c r="D36" t="str">
        <x:v>Sham/no current</x:v>
      </x:c>
      <x:c r="E36" t="str">
        <x:v>Opioid consumption</x:v>
      </x:c>
      <x:c r="F36" t="str">
        <x:v>Exact cumulative postoperative sufentanil mass</x:v>
      </x:c>
      <x:c r="G36" t="str">
        <x:v>0-24 h</x:v>
      </x:c>
      <x:c r="H36" t="str">
        <x:v>Not reported</x:v>
      </x:c>
      <x:c r="I36" t="n">
        <x:v>44</x:v>
      </x:c>
      <x:c r="J36" t="n">
        <x:v>44</x:v>
      </x:c>
      <x:c r="K36" t="n">
        <x:v>42</x:v>
      </x:c>
      <x:c r="L36" t="n">
        <x:v>43</x:v>
      </x:c>
      <x:c r="M36"/>
      <x:c r="N36"/>
      <x:c r="O36"/>
      <x:c r="P36"/>
      <x:c r="Q36"/>
      <x:c r="R36"/>
      <x:c r="S36"/>
      <x:c r="T36"/>
      <x:c r="U36"/>
      <x:c r="V36"/>
      <x:c r="W36"/>
      <x:c r="X36"/>
      <x:c r="Y36" t="str">
        <x:v>µg sufentanil</x:v>
      </x:c>
      <x:c r="Z36" t="str"/>
      <x:c r="AA36" t="str">
        <x:v>No</x:v>
      </x:c>
      <x:c r="AB36" t="str">
        <x:v>No</x:v>
      </x:c>
      <x:c r="AC36" t="str">
        <x:f>IF(H36="Mean/SD","MD",IF(H36="Events/total","RR",""))</x:f>
      </x:c>
      <x:c r="AD36" t="str">
        <x:f>IF(H36="Mean/SD",M36-S36,IF(H36="Events/total",IFERROR((R36/K36)/(X36/L36),""),""))</x:f>
      </x:c>
      <x:c r="AE36" t="str">
        <x:v>No</x:v>
      </x:c>
      <x:c r="AF36" t="str">
        <x:v>No</x:v>
      </x:c>
      <x:c r="AG36" t="str">
        <x:v>Not eligible for continuous 24-h opioid meta-analysis without author data</x:v>
      </x:c>
      <x:c r="AH36" t="str">
        <x:v>No</x:v>
      </x:c>
      <x:c r="AI36" t="str">
        <x:v>Final PCIA volume/concentration and exact cumulative sufentanil mass are not reported</x:v>
      </x:c>
      <x:c r="AJ36" t="str">
        <x:v>PCIA formulation section / missing outcome</x:v>
      </x:c>
      <x:c r="AK36" t="str">
        <x:v>https://drive.google.com/file/d/1-JWKZgQXaQQQBZgMSDqyIP-vG9aAxBqb/view?usp=drivesdk</x:v>
      </x:c>
      <x:c r="AL36" t="str">
        <x:v>MISSING / AUTHOR DATA NEEDED</x:v>
      </x:c>
    </x:row>
    <x:row r="37">
      <x:c r="A37" t="str">
        <x:v>Zhan 2020</x:v>
      </x:c>
      <x:c r="B37" t="str">
        <x:v>ZHAN20_TAPTEAS_vs_TAP_PAIN24</x:v>
      </x:c>
      <x:c r="C37" t="str">
        <x:v>TAP block + postoperative TEAS</x:v>
      </x:c>
      <x:c r="D37" t="str">
        <x:v>TAP block</x:v>
      </x:c>
      <x:c r="E37" t="str">
        <x:v>Pain</x:v>
      </x:c>
      <x:c r="F37" t="str">
        <x:v>VAS pain intensity</x:v>
      </x:c>
      <x:c r="G37" t="str">
        <x:v>24 h postoperatively</x:v>
      </x:c>
      <x:c r="H37" t="str">
        <x:v>Source-format ambiguous</x:v>
      </x:c>
      <x:c r="I37" t="n">
        <x:v>30</x:v>
      </x:c>
      <x:c r="J37" t="n">
        <x:v>30</x:v>
      </x:c>
      <x:c r="K37" t="n">
        <x:v>30</x:v>
      </x:c>
      <x:c r="L37" t="n">
        <x:v>30</x:v>
      </x:c>
      <x:c r="M37"/>
      <x:c r="N37"/>
      <x:c r="O37"/>
      <x:c r="P37"/>
      <x:c r="Q37"/>
      <x:c r="R37"/>
      <x:c r="S37"/>
      <x:c r="T37"/>
      <x:c r="U37"/>
      <x:c r="V37"/>
      <x:c r="W37"/>
      <x:c r="X37"/>
      <x:c r="Y37" t="str">
        <x:v>VAS</x:v>
      </x:c>
      <x:c r="Z37" t="str">
        <x:v>0.03 pairwise</x:v>
      </x:c>
      <x:c r="AA37" t="str">
        <x:v>Yes</x:v>
      </x:c>
      <x:c r="AB37" t="str">
        <x:v>No</x:v>
      </x:c>
      <x:c r="AC37" t="str">
        <x:f>IF(H37="Mean/SD","MD",IF(H37="Events/total","RR",""))</x:f>
      </x:c>
      <x:c r="AD37" t="str">
        <x:f>IF(H37="Mean/SD",M37-S37,IF(H37="Events/total",IFERROR((R37/K37)/(X37/L37),""),""))</x:f>
      </x:c>
      <x:c r="AE37" t="str">
        <x:v>No</x:v>
      </x:c>
      <x:c r="AF37" t="str">
        <x:v>No</x:v>
      </x:c>
      <x:c r="AG37" t="str">
        <x:v>Qualitative/source-text use only until summary format is clarified</x:v>
      </x:c>
      <x:c r="AH37" t="str">
        <x:v>Yes</x:v>
      </x:c>
      <x:c r="AI37" t="str">
        <x:v>Printed source values are TAP+TEAS '2 (1.7 ± 2.2)' vs TAP '2 (2.0 ± 3.0)'; format is not defined as mean/SD, median/IQR, or range</x:v>
      </x:c>
      <x:c r="AJ37" t="str">
        <x:v>Table 2, p4</x:v>
      </x:c>
      <x:c r="AK37" t="str">
        <x:v>https://drive.google.com/file/d/1GYG7JxUOQxbt724-Ng7dWv3sYeC8dDSr/view?usp=drivesdk</x:v>
      </x:c>
      <x:c r="AL37" t="str">
        <x:v>SOURCE-VERIFIED / FORMAT QC</x:v>
      </x:c>
    </x:row>
    <x:row r="38">
      <x:c r="A38" t="str">
        <x:v>Zhan 2020</x:v>
      </x:c>
      <x:c r="B38" t="str">
        <x:v>ZHAN20_TAPTEAS_vs_TAP_OPIOID24</x:v>
      </x:c>
      <x:c r="C38" t="str">
        <x:v>TAP block + postoperative TEAS</x:v>
      </x:c>
      <x:c r="D38" t="str">
        <x:v>TAP block</x:v>
      </x:c>
      <x:c r="E38" t="str">
        <x:v>Opioid consumption</x:v>
      </x:c>
      <x:c r="F38" t="str">
        <x:v>Actual cumulative postoperative sufentanil consumption</x:v>
      </x:c>
      <x:c r="G38" t="str">
        <x:v>0-24 h</x:v>
      </x:c>
      <x:c r="H38" t="str">
        <x:v>Not reported</x:v>
      </x:c>
      <x:c r="I38" t="n">
        <x:v>30</x:v>
      </x:c>
      <x:c r="J38" t="n">
        <x:v>30</x:v>
      </x:c>
      <x:c r="K38" t="n">
        <x:v>30</x:v>
      </x:c>
      <x:c r="L38" t="n">
        <x:v>30</x:v>
      </x:c>
      <x:c r="M38"/>
      <x:c r="N38"/>
      <x:c r="O38"/>
      <x:c r="P38"/>
      <x:c r="Q38"/>
      <x:c r="R38"/>
      <x:c r="S38"/>
      <x:c r="T38"/>
      <x:c r="U38"/>
      <x:c r="V38"/>
      <x:c r="W38"/>
      <x:c r="X38"/>
      <x:c r="Y38" t="str">
        <x:v>µg sufentanil</x:v>
      </x:c>
      <x:c r="Z38" t="str"/>
      <x:c r="AA38" t="str">
        <x:v>No</x:v>
      </x:c>
      <x:c r="AB38" t="str">
        <x:v>No</x:v>
      </x:c>
      <x:c r="AC38" t="str">
        <x:f>IF(H38="Mean/SD","MD",IF(H38="Events/total","RR",""))</x:f>
      </x:c>
      <x:c r="AD38" t="str">
        <x:f>IF(H38="Mean/SD",M38-S38,IF(H38="Events/total",IFERROR((R38/K38)/(X38/L38),""),""))</x:f>
      </x:c>
      <x:c r="AE38" t="str">
        <x:v>No</x:v>
      </x:c>
      <x:c r="AF38" t="str">
        <x:v>No</x:v>
      </x:c>
      <x:c r="AG38" t="str">
        <x:v>Not eligible for continuous 24-h opioid meta-analysis</x:v>
      </x:c>
      <x:c r="AH38" t="str">
        <x:v>Yes</x:v>
      </x:c>
      <x:c r="AI38" t="str">
        <x:v>Only programmed PCIA reservoir/basal settings are reported; actual group-specific delivered opioid is NR</x:v>
      </x:c>
      <x:c r="AJ38" t="str">
        <x:v>PCIA protocol / exact 24-h opioid section</x:v>
      </x:c>
      <x:c r="AK38" t="str">
        <x:v>https://drive.google.com/file/d/1GYG7JxUOQxbt724-Ng7dWv3sYeC8dDSr/view?usp=drivesdk</x:v>
      </x:c>
      <x:c r="AL38" t="str">
        <x:v>MISSING / NOT OBSERVED</x:v>
      </x:c>
    </x:row>
    <x:row r="39">
      <x:c r="A39" t="str">
        <x:v>Zhang 2025</x:v>
      </x:c>
      <x:c r="B39" t="str">
        <x:v>ZHANG25_TEAS_vs_SHAM_SUFPOD1</x:v>
      </x:c>
      <x:c r="C39" t="str">
        <x:v>Perioperative TEAS</x:v>
      </x:c>
      <x:c r="D39" t="str">
        <x:v>Sub-sensory sham</x:v>
      </x:c>
      <x:c r="E39" t="str">
        <x:v>Opioid consumption</x:v>
      </x:c>
      <x:c r="F39" t="str">
        <x:v>Total sufentanil consumption</x:v>
      </x:c>
      <x:c r="G39" t="str">
        <x:v>POD1; approximately 24 h but exact clock window not explicit</x:v>
      </x:c>
      <x:c r="H39" t="str">
        <x:v>Mean/SD</x:v>
      </x:c>
      <x:c r="I39" t="n">
        <x:v>54</x:v>
      </x:c>
      <x:c r="J39" t="n">
        <x:v>54</x:v>
      </x:c>
      <x:c r="K39" t="n">
        <x:v>45</x:v>
      </x:c>
      <x:c r="L39" t="n">
        <x:v>48</x:v>
      </x:c>
      <x:c r="M39" t="n">
        <x:v>50.53</x:v>
      </x:c>
      <x:c r="N39" t="n">
        <x:v>4.46</x:v>
      </x:c>
      <x:c r="O39"/>
      <x:c r="P39"/>
      <x:c r="Q39"/>
      <x:c r="R39"/>
      <x:c r="S39" t="n">
        <x:v>53.79</x:v>
      </x:c>
      <x:c r="T39" t="n">
        <x:v>5.14</x:v>
      </x:c>
      <x:c r="U39"/>
      <x:c r="V39"/>
      <x:c r="W39"/>
      <x:c r="X39"/>
      <x:c r="Y39" t="str">
        <x:v>µg sufentanil</x:v>
      </x:c>
      <x:c r="Z39" t="str">
        <x:v>0.002</x:v>
      </x:c>
      <x:c r="AA39" t="str">
        <x:v>Yes</x:v>
      </x:c>
      <x:c r="AB39" t="str">
        <x:v>No</x:v>
      </x:c>
      <x:c r="AC39" t="str">
        <x:f>IF(H39="Mean/SD","MD",IF(H39="Events/total","RR",""))</x:f>
        <x:v>MD</x:v>
      </x:c>
      <x:c r="AD39" t="n">
        <x:f>IF(H39="Mean/SD",M39-S39,IF(H39="Events/total",IFERROR((R39/K39)/(X39/L39),""),""))</x:f>
        <x:v>-3.259999999999998</x:v>
      </x:c>
      <x:c r="AE39" t="str">
        <x:v>Conditional</x:v>
      </x:c>
      <x:c r="AF39" t="str">
        <x:v>Conditional</x:v>
      </x:c>
      <x:c r="AG39" t="str">
        <x:v>Eligible for POD1 opioid analysis; strict 0-24-h use requires confirmation</x:v>
      </x:c>
      <x:c r="AH39" t="str">
        <x:v>No</x:v>
      </x:c>
      <x:c r="AI39" t="str">
        <x:v>Endpoint is directly reported as POD1, not explicitly clock-defined 0-24 h; 15/108 excluded after randomization</x:v>
      </x:c>
      <x:c r="AJ39" t="str">
        <x:v>Table 4, p9</x:v>
      </x:c>
      <x:c r="AK39" t="str">
        <x:v>https://drive.google.com/file/d/1eHx6Hk16vmIfMgoiZ5eNae4zmCR5ktwJ/view?usp=drivesdk</x:v>
      </x:c>
      <x:c r="AL39" t="str">
        <x:v>SOURCE-VERIFIED / WINDOW QC</x:v>
      </x:c>
    </x:row>
    <x:row r="40">
      <x:c r="A40" t="str">
        <x:v>Zhang 2025</x:v>
      </x:c>
      <x:c r="B40" t="str">
        <x:v>ZHANG25_TEAS_vs_SHAM_RESCUE</x:v>
      </x:c>
      <x:c r="C40" t="str">
        <x:v>Perioperative TEAS</x:v>
      </x:c>
      <x:c r="D40" t="str">
        <x:v>Sub-sensory sham</x:v>
      </x:c>
      <x:c r="E40" t="str">
        <x:v>Rescue analgesia</x:v>
      </x:c>
      <x:c r="F40" t="str">
        <x:v>Any rescue analgesia demand</x:v>
      </x:c>
      <x:c r="G40" t="str">
        <x:v>POD1 / postoperative period reported in Table 4</x:v>
      </x:c>
      <x:c r="H40" t="str">
        <x:v>Events/total</x:v>
      </x:c>
      <x:c r="I40" t="n">
        <x:v>54</x:v>
      </x:c>
      <x:c r="J40" t="n">
        <x:v>54</x:v>
      </x:c>
      <x:c r="K40" t="n">
        <x:v>45</x:v>
      </x:c>
      <x:c r="L40" t="n">
        <x:v>48</x:v>
      </x:c>
      <x:c r="M40"/>
      <x:c r="N40"/>
      <x:c r="O40"/>
      <x:c r="P40"/>
      <x:c r="Q40"/>
      <x:c r="R40" t="n">
        <x:v>14</x:v>
      </x:c>
      <x:c r="S40"/>
      <x:c r="T40"/>
      <x:c r="U40"/>
      <x:c r="V40"/>
      <x:c r="W40"/>
      <x:c r="X40" t="n">
        <x:v>29</x:v>
      </x:c>
      <x:c r="Y40" t="str">
        <x:v>participants</x:v>
      </x:c>
      <x:c r="Z40" t="str">
        <x:v>0.005 in Table 4; 0.002 in prose</x:v>
      </x:c>
      <x:c r="AA40" t="str">
        <x:v>Yes</x:v>
      </x:c>
      <x:c r="AB40" t="str">
        <x:v>No</x:v>
      </x:c>
      <x:c r="AC40" t="str">
        <x:f>IF(H40="Mean/SD","MD",IF(H40="Events/total","RR",""))</x:f>
        <x:v>RR</x:v>
      </x:c>
      <x:c r="AD40" t="n">
        <x:f>IF(H40="Mean/SD",M40-S40,IF(H40="Events/total",IFERROR((R40/K40)/(X40/L40),""),""))</x:f>
        <x:v>0.5149425287356322</x:v>
      </x:c>
      <x:c r="AE40" t="str">
        <x:v>No</x:v>
      </x:c>
      <x:c r="AF40" t="str">
        <x:v>No</x:v>
      </x:c>
      <x:c r="AG40" t="str">
        <x:v>Eligible for binary rescue-analgesia analysis using raw counts</x:v>
      </x:c>
      <x:c r="AH40" t="str">
        <x:v>No</x:v>
      </x:c>
      <x:c r="AI40" t="str">
        <x:v>Published RR 0.70 (0.44-1.10) conflicts with raw counts (~0.52) and significant P-value; use raw event counts</x:v>
      </x:c>
      <x:c r="AJ40" t="str">
        <x:v>Table 4, p9</x:v>
      </x:c>
      <x:c r="AK40" t="str">
        <x:v>https://drive.google.com/file/d/1eHx6Hk16vmIfMgoiZ5eNae4zmCR5ktwJ/view?usp=drivesdk</x:v>
      </x:c>
      <x:c r="AL40" t="str">
        <x:v>SOURCE-VERIFIED / PUBLISHED EFFECT QC</x:v>
      </x:c>
    </x:row>
    <x:row r="41">
      <x:c r="A41" t="str">
        <x:v>Zhang 2025</x:v>
      </x:c>
      <x:c r="B41" t="str">
        <x:v>ZHANG25_TEAS_vs_SHAM_VISCERAL_POD1</x:v>
      </x:c>
      <x:c r="C41" t="str">
        <x:v>Perioperative TEAS</x:v>
      </x:c>
      <x:c r="D41" t="str">
        <x:v>Sub-sensory sham</x:v>
      </x:c>
      <x:c r="E41" t="str">
        <x:v>Pain</x:v>
      </x:c>
      <x:c r="F41" t="str">
        <x:v>Moderate-to-severe visceral pain</x:v>
      </x:c>
      <x:c r="G41" t="str">
        <x:v>POD1</x:v>
      </x:c>
      <x:c r="H41" t="str">
        <x:v>Events/total</x:v>
      </x:c>
      <x:c r="I41" t="n">
        <x:v>54</x:v>
      </x:c>
      <x:c r="J41" t="n">
        <x:v>54</x:v>
      </x:c>
      <x:c r="K41" t="n">
        <x:v>45</x:v>
      </x:c>
      <x:c r="L41" t="n">
        <x:v>48</x:v>
      </x:c>
      <x:c r="M41"/>
      <x:c r="N41"/>
      <x:c r="O41"/>
      <x:c r="P41"/>
      <x:c r="Q41"/>
      <x:c r="R41" t="n">
        <x:v>4</x:v>
      </x:c>
      <x:c r="S41"/>
      <x:c r="T41"/>
      <x:c r="U41"/>
      <x:c r="V41"/>
      <x:c r="W41"/>
      <x:c r="X41" t="n">
        <x:v>18</x:v>
      </x:c>
      <x:c r="Y41" t="str">
        <x:v>participants</x:v>
      </x:c>
      <x:c r="Z41" t="str">
        <x:v>0.001</x:v>
      </x:c>
      <x:c r="AA41" t="str">
        <x:v>Percentages directly reported; counts reconstructed exactly from denominators</x:v>
      </x:c>
      <x:c r="AB41" t="str">
        <x:v>Yes</x:v>
      </x:c>
      <x:c r="AC41" t="str">
        <x:f>IF(H41="Mean/SD","MD",IF(H41="Events/total","RR",""))</x:f>
        <x:v>RR</x:v>
      </x:c>
      <x:c r="AD41" t="n">
        <x:f>IF(H41="Mean/SD",M41-S41,IF(H41="Events/total",IFERROR((R41/K41)/(X41/L41),""),""))</x:f>
        <x:v>0.23703703703703705</x:v>
      </x:c>
      <x:c r="AE41" t="str">
        <x:v>No</x:v>
      </x:c>
      <x:c r="AF41" t="str">
        <x:v>No</x:v>
      </x:c>
      <x:c r="AG41" t="str">
        <x:v>Eligible for dichotomous visceral-pain analysis</x:v>
      </x:c>
      <x:c r="AH41" t="str">
        <x:v>No</x:v>
      </x:c>
      <x:c r="AI41" t="str">
        <x:v>Figure 3D reports 8.9% vs 37.5%; 4/45 and 18/48 are exact denominator reconstructions</x:v>
      </x:c>
      <x:c r="AJ41" t="str">
        <x:v>Figure 3D, p8</x:v>
      </x:c>
      <x:c r="AK41" t="str">
        <x:v>https://drive.google.com/file/d/1eHx6Hk16vmIfMgoiZ5eNae4zmCR5ktwJ/view?usp=drivesdk</x:v>
      </x:c>
      <x:c r="AL41" t="str">
        <x:v>SOURCE-VERIFIED / COUNTS DERIVED</x:v>
      </x:c>
    </x:row>
    <x:row r="42">
      <x:c r="A42" t="str">
        <x:v>Zhang 2023</x:v>
      </x:c>
      <x:c r="B42" t="str">
        <x:v>ZHANG23_TEAS_vs_SHAM_VOID</x:v>
      </x:c>
      <x:c r="C42" t="str">
        <x:v>TEAS</x:v>
      </x:c>
      <x:c r="D42" t="str">
        <x:v>Sham/no current</x:v>
      </x:c>
      <x:c r="E42" t="str">
        <x:v>Urinary recovery</x:v>
      </x:c>
      <x:c r="F42" t="str">
        <x:v>Time to first spontaneous void</x:v>
      </x:c>
      <x:c r="G42" t="str">
        <x:v>Postoperative</x:v>
      </x:c>
      <x:c r="H42" t="str">
        <x:v>Median/IQR</x:v>
      </x:c>
      <x:c r="I42" t="n">
        <x:v>975</x:v>
      </x:c>
      <x:c r="J42" t="n">
        <x:v>973</x:v>
      </x:c>
      <x:c r="K42" t="n">
        <x:v>922</x:v>
      </x:c>
      <x:c r="L42" t="n">
        <x:v>916</x:v>
      </x:c>
      <x:c r="M42"/>
      <x:c r="N42"/>
      <x:c r="O42" t="n">
        <x:v>5.6</x:v>
      </x:c>
      <x:c r="P42" t="n">
        <x:v>3.7</x:v>
      </x:c>
      <x:c r="Q42" t="n">
        <x:v>8</x:v>
      </x:c>
      <x:c r="R42"/>
      <x:c r="S42"/>
      <x:c r="T42"/>
      <x:c r="U42" t="n">
        <x:v>7.1</x:v>
      </x:c>
      <x:c r="V42" t="n">
        <x:v>4.7</x:v>
      </x:c>
      <x:c r="W42" t="n">
        <x:v>9.7</x:v>
      </x:c>
      <x:c r="X42"/>
      <x:c r="Y42" t="str">
        <x:v>hours</x:v>
      </x:c>
      <x:c r="Z42" t="str">
        <x:v>&lt;0.001</x:v>
      </x:c>
      <x:c r="AA42" t="str">
        <x:v>Yes</x:v>
      </x:c>
      <x:c r="AB42" t="str">
        <x:v>No</x:v>
      </x:c>
      <x:c r="AC42" t="str">
        <x:f>IF(H42="Mean/SD","MD",IF(H42="Events/total","RR",""))</x:f>
      </x:c>
      <x:c r="AD42" t="str">
        <x:f>IF(H42="Mean/SD",M42-S42,IF(H42="Events/total",IFERROR((R42/K42)/(X42/L42),""),""))</x:f>
      </x:c>
      <x:c r="AE42" t="str">
        <x:v>No</x:v>
      </x:c>
      <x:c r="AF42" t="str">
        <x:v>No</x:v>
      </x:c>
      <x:c r="AG42" t="str">
        <x:v>Eligible for urinary-recovery meta-analysis using median/IQR methods</x:v>
      </x:c>
      <x:c r="AH42" t="str">
        <x:v>No</x:v>
      </x:c>
      <x:c r="AI42" t="str">
        <x:v>110/1948 randomized participants were excluded from final analysis; abstract gives sham median 7.0 h but Table 2 gives 7.1 h—use table value</x:v>
      </x:c>
      <x:c r="AJ42" t="str">
        <x:v>Table 2 / primary spontaneous-void outcome</x:v>
      </x:c>
      <x:c r="AK42" t="str">
        <x:v>https://drive.google.com/file/d/1LXNXNhVJaOcYXBODulFUuMD4FQXC5dph/view?usp=drivesdk</x:v>
      </x:c>
      <x:c r="AL42" t="str">
        <x:v>SOURCE-VERIFIED / ATTRITION QC</x:v>
      </x:c>
    </x:row>
    <x:row r="43">
      <x:c r="A43" t="str">
        <x:v>Zhang 2023</x:v>
      </x:c>
      <x:c r="B43" t="str">
        <x:v>ZHANG23_TEAS_vs_SHAM_DELAYED</x:v>
      </x:c>
      <x:c r="C43" t="str">
        <x:v>TEAS</x:v>
      </x:c>
      <x:c r="D43" t="str">
        <x:v>Sham/no current</x:v>
      </x:c>
      <x:c r="E43" t="str">
        <x:v>Urinary recovery</x:v>
      </x:c>
      <x:c r="F43" t="str">
        <x:v>Delayed urinary recovery (&gt;12 h without spontaneous void)</x:v>
      </x:c>
      <x:c r="G43" t="str">
        <x:v>Postoperative</x:v>
      </x:c>
      <x:c r="H43" t="str">
        <x:v>Events/total</x:v>
      </x:c>
      <x:c r="I43" t="n">
        <x:v>975</x:v>
      </x:c>
      <x:c r="J43" t="n">
        <x:v>973</x:v>
      </x:c>
      <x:c r="K43" t="n">
        <x:v>922</x:v>
      </x:c>
      <x:c r="L43" t="n">
        <x:v>916</x:v>
      </x:c>
      <x:c r="M43"/>
      <x:c r="N43"/>
      <x:c r="O43"/>
      <x:c r="P43"/>
      <x:c r="Q43"/>
      <x:c r="R43" t="n">
        <x:v>103</x:v>
      </x:c>
      <x:c r="S43"/>
      <x:c r="T43"/>
      <x:c r="U43"/>
      <x:c r="V43"/>
      <x:c r="W43"/>
      <x:c r="X43" t="n">
        <x:v>173</x:v>
      </x:c>
      <x:c r="Y43" t="str">
        <x:v>participants</x:v>
      </x:c>
      <x:c r="Z43" t="str">
        <x:v>&lt;0.001</x:v>
      </x:c>
      <x:c r="AA43" t="str">
        <x:v>Yes</x:v>
      </x:c>
      <x:c r="AB43" t="str">
        <x:v>No</x:v>
      </x:c>
      <x:c r="AC43" t="str">
        <x:f>IF(H43="Mean/SD","MD",IF(H43="Events/total","RR",""))</x:f>
        <x:v>RR</x:v>
      </x:c>
      <x:c r="AD43" t="n">
        <x:f>IF(H43="Mean/SD",M43-S43,IF(H43="Events/total",IFERROR((R43/K43)/(X43/L43),""),""))</x:f>
        <x:v>0.5915012601406844</x:v>
      </x:c>
      <x:c r="AE43" t="str">
        <x:v>No</x:v>
      </x:c>
      <x:c r="AF43" t="str">
        <x:v>No</x:v>
      </x:c>
      <x:c r="AG43" t="str">
        <x:v>Eligible for dichotomous delayed-voiding analysis</x:v>
      </x:c>
      <x:c r="AH43" t="str">
        <x:v>No</x:v>
      </x:c>
      <x:c r="AI43" t="str">
        <x:v>Use analyzed denominators 922 and 916, not randomized denominators</x:v>
      </x:c>
      <x:c r="AJ43" t="str">
        <x:v>Table 2 / delayed urinary recovery</x:v>
      </x:c>
      <x:c r="AK43" t="str">
        <x:v>https://drive.google.com/file/d/1LXNXNhVJaOcYXBODulFUuMD4FQXC5dph/view?usp=drivesdk</x:v>
      </x:c>
      <x:c r="AL43" t="str">
        <x:v>SOURCE-VERIFIED / ATTRITION QC</x:v>
      </x:c>
    </x:row>
    <x:row r="44">
      <x:c r="A44" t="str">
        <x:v>Zhang 2023</x:v>
      </x:c>
      <x:c r="B44" t="str">
        <x:v>ZHANG23_TEAS_vs_SHAM_POUR</x:v>
      </x:c>
      <x:c r="C44" t="str">
        <x:v>TEAS</x:v>
      </x:c>
      <x:c r="D44" t="str">
        <x:v>Sham/no current</x:v>
      </x:c>
      <x:c r="E44" t="str">
        <x:v>Urinary recovery</x:v>
      </x:c>
      <x:c r="F44" t="str">
        <x:v>Postoperative urinary retention</x:v>
      </x:c>
      <x:c r="G44" t="str">
        <x:v>Postoperative</x:v>
      </x:c>
      <x:c r="H44" t="str">
        <x:v>Events/total</x:v>
      </x:c>
      <x:c r="I44" t="n">
        <x:v>975</x:v>
      </x:c>
      <x:c r="J44" t="n">
        <x:v>973</x:v>
      </x:c>
      <x:c r="K44" t="n">
        <x:v>922</x:v>
      </x:c>
      <x:c r="L44" t="n">
        <x:v>916</x:v>
      </x:c>
      <x:c r="M44"/>
      <x:c r="N44"/>
      <x:c r="O44"/>
      <x:c r="P44"/>
      <x:c r="Q44"/>
      <x:c r="R44" t="n">
        <x:v>75</x:v>
      </x:c>
      <x:c r="S44"/>
      <x:c r="T44"/>
      <x:c r="U44"/>
      <x:c r="V44"/>
      <x:c r="W44"/>
      <x:c r="X44" t="n">
        <x:v>104</x:v>
      </x:c>
      <x:c r="Y44" t="str">
        <x:v>participants</x:v>
      </x:c>
      <x:c r="Z44" t="str">
        <x:v>0.02</x:v>
      </x:c>
      <x:c r="AA44" t="str">
        <x:v>Yes</x:v>
      </x:c>
      <x:c r="AB44" t="str">
        <x:v>No</x:v>
      </x:c>
      <x:c r="AC44" t="str">
        <x:f>IF(H44="Mean/SD","MD",IF(H44="Events/total","RR",""))</x:f>
        <x:v>RR</x:v>
      </x:c>
      <x:c r="AD44" t="n">
        <x:f>IF(H44="Mean/SD",M44-S44,IF(H44="Events/total",IFERROR((R44/K44)/(X44/L44),""),""))</x:f>
        <x:v>0.7164608710161855</x:v>
      </x:c>
      <x:c r="AE44" t="str">
        <x:v>No</x:v>
      </x:c>
      <x:c r="AF44" t="str">
        <x:v>No</x:v>
      </x:c>
      <x:c r="AG44" t="str">
        <x:v>Eligible for dichotomous POUR analysis</x:v>
      </x:c>
      <x:c r="AH44" t="str">
        <x:v>No</x:v>
      </x:c>
      <x:c r="AI44" t="str">
        <x:v>Use analyzed denominators 922 and 916</x:v>
      </x:c>
      <x:c r="AJ44" t="str">
        <x:v>Table 2 / POUR result</x:v>
      </x:c>
      <x:c r="AK44" t="str">
        <x:v>https://drive.google.com/file/d/1LXNXNhVJaOcYXBODulFUuMD4FQXC5dph/view?usp=drivesdk</x:v>
      </x:c>
      <x:c r="AL44" t="str">
        <x:v>SOURCE-VERIFIED / ATTRITION QC</x:v>
      </x:c>
    </x:row>
    <x:row r="45">
      <x:c r="A45" t="str">
        <x:v>Zhang 2023</x:v>
      </x:c>
      <x:c r="B45" t="str">
        <x:v>ZHANG23_TEAS_vs_SHAM_MME48</x:v>
      </x:c>
      <x:c r="C45" t="str">
        <x:v>TEAS</x:v>
      </x:c>
      <x:c r="D45" t="str">
        <x:v>Sham/no current</x:v>
      </x:c>
      <x:c r="E45" t="str">
        <x:v>Opioid consumption</x:v>
      </x:c>
      <x:c r="F45" t="str">
        <x:v>Postoperative IV morphine-equivalent consumption</x:v>
      </x:c>
      <x:c r="G45" t="str">
        <x:v>Within 48 h</x:v>
      </x:c>
      <x:c r="H45" t="str">
        <x:v>Median/IQR</x:v>
      </x:c>
      <x:c r="I45" t="n">
        <x:v>975</x:v>
      </x:c>
      <x:c r="J45" t="n">
        <x:v>973</x:v>
      </x:c>
      <x:c r="K45" t="n">
        <x:v>922</x:v>
      </x:c>
      <x:c r="L45" t="n">
        <x:v>916</x:v>
      </x:c>
      <x:c r="M45"/>
      <x:c r="N45"/>
      <x:c r="O45" t="n">
        <x:v>110</x:v>
      </x:c>
      <x:c r="P45" t="n">
        <x:v>80</x:v>
      </x:c>
      <x:c r="Q45" t="n">
        <x:v>110</x:v>
      </x:c>
      <x:c r="R45"/>
      <x:c r="S45"/>
      <x:c r="T45"/>
      <x:c r="U45" t="n">
        <x:v>110</x:v>
      </x:c>
      <x:c r="V45" t="n">
        <x:v>90</x:v>
      </x:c>
      <x:c r="W45" t="n">
        <x:v>110</x:v>
      </x:c>
      <x:c r="X45"/>
      <x:c r="Y45" t="str">
        <x:v>mg IV morphine-equivalent</x:v>
      </x:c>
      <x:c r="Z45" t="str">
        <x:v>NR</x:v>
      </x:c>
      <x:c r="AA45" t="str">
        <x:v>Yes</x:v>
      </x:c>
      <x:c r="AB45" t="str">
        <x:v>Yes</x:v>
      </x:c>
      <x:c r="AC45" t="str">
        <x:f>IF(H45="Mean/SD","MD",IF(H45="Events/total","RR",""))</x:f>
      </x:c>
      <x:c r="AD45" t="str">
        <x:f>IF(H45="Mean/SD",M45-S45,IF(H45="Events/total",IFERROR((R45/K45)/(X45/L45),""),""))</x:f>
      </x:c>
      <x:c r="AE45" t="str">
        <x:v>No</x:v>
      </x:c>
      <x:c r="AF45" t="str">
        <x:v>No</x:v>
      </x:c>
      <x:c r="AG45" t="str">
        <x:v>Potentially eligible for 48-h opioid analysis if median/IQR endpoints are prespecified</x:v>
      </x:c>
      <x:c r="AH45" t="str">
        <x:v>No</x:v>
      </x:c>
      <x:c r="AI45" t="str">
        <x:v>Authors converted opioids using ClinCalc; exact 24-h postoperative dose is not reported</x:v>
      </x:c>
      <x:c r="AJ45" t="str">
        <x:v>Table 1 / postoperative opioid-equivalent result</x:v>
      </x:c>
      <x:c r="AK45" t="str">
        <x:v>https://drive.google.com/file/d/1LXNXNhVJaOcYXBODulFUuMD4FQXC5dph/view?usp=drivesdk</x:v>
      </x:c>
      <x:c r="AL45" t="str">
        <x:v>SOURCE-VERIFIED / 48H ONLY</x:v>
      </x:c>
    </x:row>
    <x:row r="46">
      <x:c r="A46" t="str">
        <x:v>Zhang 2023</x:v>
      </x:c>
      <x:c r="B46" t="str">
        <x:v>ZHANG23_TEAS_vs_SHAM_OPIOID24</x:v>
      </x:c>
      <x:c r="C46" t="str">
        <x:v>TEAS</x:v>
      </x:c>
      <x:c r="D46" t="str">
        <x:v>Sham/no current</x:v>
      </x:c>
      <x:c r="E46" t="str">
        <x:v>Opioid consumption</x:v>
      </x:c>
      <x:c r="F46" t="str">
        <x:v>Exact cumulative postoperative opioid dose</x:v>
      </x:c>
      <x:c r="G46" t="str">
        <x:v>0-24 h</x:v>
      </x:c>
      <x:c r="H46" t="str">
        <x:v>Not reported</x:v>
      </x:c>
      <x:c r="I46" t="n">
        <x:v>975</x:v>
      </x:c>
      <x:c r="J46" t="n">
        <x:v>973</x:v>
      </x:c>
      <x:c r="K46" t="n">
        <x:v>922</x:v>
      </x:c>
      <x:c r="L46" t="n">
        <x:v>916</x:v>
      </x:c>
      <x:c r="M46"/>
      <x:c r="N46"/>
      <x:c r="O46"/>
      <x:c r="P46"/>
      <x:c r="Q46"/>
      <x:c r="R46"/>
      <x:c r="S46"/>
      <x:c r="T46"/>
      <x:c r="U46"/>
      <x:c r="V46"/>
      <x:c r="W46"/>
      <x:c r="X46"/>
      <x:c r="Y46" t="str">
        <x:v>mg IV morphine-equivalent</x:v>
      </x:c>
      <x:c r="Z46" t="str"/>
      <x:c r="AA46" t="str">
        <x:v>No</x:v>
      </x:c>
      <x:c r="AB46" t="str">
        <x:v>No</x:v>
      </x:c>
      <x:c r="AC46" t="str">
        <x:f>IF(H46="Mean/SD","MD",IF(H46="Events/total","RR",""))</x:f>
      </x:c>
      <x:c r="AD46" t="str">
        <x:f>IF(H46="Mean/SD",M46-S46,IF(H46="Events/total",IFERROR((R46/K46)/(X46/L46),""),""))</x:f>
      </x:c>
      <x:c r="AE46" t="str">
        <x:v>No</x:v>
      </x:c>
      <x:c r="AF46" t="str">
        <x:v>No</x:v>
      </x:c>
      <x:c r="AG46" t="str">
        <x:v>Not eligible for strict continuous 24-h opioid meta-analysis</x:v>
      </x:c>
      <x:c r="AH46" t="str">
        <x:v>No</x:v>
      </x:c>
      <x:c r="AI46" t="str">
        <x:v>Only a postoperative 48-h opioid-equivalent endpoint is reported</x:v>
      </x:c>
      <x:c r="AJ46" t="str">
        <x:v>Exact 24-h endpoint absent</x:v>
      </x:c>
      <x:c r="AK46" t="str">
        <x:v>https://drive.google.com/file/d/1LXNXNhVJaOcYXBODulFUuMD4FQXC5dph/view?usp=drivesdk</x:v>
      </x:c>
      <x:c r="AL46" t="str">
        <x:v>MISSING / NOT REPORTED</x:v>
      </x:c>
    </x:row>
    <x:row r="47">
      <x:c r="A47" t="str">
        <x:v>Zhang 2014</x:v>
      </x:c>
      <x:c r="B47" t="str">
        <x:v>ZHANG14_TEAS_vs_SHAM_RR</x:v>
      </x:c>
      <x:c r="C47" t="str">
        <x:v>Preoperative TEAS</x:v>
      </x:c>
      <x:c r="D47" t="str">
        <x:v>Sham/no current</x:v>
      </x:c>
      <x:c r="E47" t="str">
        <x:v>Recovery</x:v>
      </x:c>
      <x:c r="F47" t="str">
        <x:v>Recovery-room stay</x:v>
      </x:c>
      <x:c r="G47" t="str">
        <x:v>Recovery-room discharge</x:v>
      </x:c>
      <x:c r="H47" t="str">
        <x:v>Mean/SD</x:v>
      </x:c>
      <x:c r="I47" t="n">
        <x:v>33</x:v>
      </x:c>
      <x:c r="J47" t="n">
        <x:v>32</x:v>
      </x:c>
      <x:c r="K47" t="n">
        <x:v>33</x:v>
      </x:c>
      <x:c r="L47" t="n">
        <x:v>32</x:v>
      </x:c>
      <x:c r="M47" t="n">
        <x:v>35.6</x:v>
      </x:c>
      <x:c r="N47" t="n">
        <x:v>12.9</x:v>
      </x:c>
      <x:c r="O47"/>
      <x:c r="P47"/>
      <x:c r="Q47"/>
      <x:c r="R47"/>
      <x:c r="S47" t="n">
        <x:v>48.3</x:v>
      </x:c>
      <x:c r="T47" t="n">
        <x:v>16.3</x:v>
      </x:c>
      <x:c r="U47"/>
      <x:c r="V47"/>
      <x:c r="W47"/>
      <x:c r="X47"/>
      <x:c r="Y47" t="str">
        <x:v>minutes</x:v>
      </x:c>
      <x:c r="Z47" t="str">
        <x:v>0.01</x:v>
      </x:c>
      <x:c r="AA47" t="str">
        <x:v>Yes</x:v>
      </x:c>
      <x:c r="AB47" t="str">
        <x:v>No</x:v>
      </x:c>
      <x:c r="AC47" t="str">
        <x:f>IF(H47="Mean/SD","MD",IF(H47="Events/total","RR",""))</x:f>
        <x:v>MD</x:v>
      </x:c>
      <x:c r="AD47" t="n">
        <x:f>IF(H47="Mean/SD",M47-S47,IF(H47="Events/total",IFERROR((R47/K47)/(X47/L47),""),""))</x:f>
        <x:v>-12.699999999999996</x:v>
      </x:c>
      <x:c r="AE47" t="str">
        <x:v>No</x:v>
      </x:c>
      <x:c r="AF47" t="str">
        <x:v>No</x:v>
      </x:c>
      <x:c r="AG47" t="str">
        <x:v>Eligible for recovery-time analysis</x:v>
      </x:c>
      <x:c r="AH47" t="str">
        <x:v>No</x:v>
      </x:c>
      <x:c r="AI47" t="str">
        <x:v>Abstract incorrectly states 72 randomized; detailed flowchart/tables show 65 randomized and analyzed</x:v>
      </x:c>
      <x:c r="AJ47" t="str">
        <x:v>Primary outcome / recovery-room stay</x:v>
      </x:c>
      <x:c r="AK47" t="str">
        <x:v>https://drive.google.com/file/d/1lws1zFpIE-wbLY8X9ewYyTuIP-WySa-c/view?usp=drivesdk</x:v>
      </x:c>
      <x:c r="AL47" t="str">
        <x:v>SOURCE-VERIFIED</x:v>
      </x:c>
    </x:row>
    <x:row r="48">
      <x:c r="A48" t="str">
        <x:v>Zhang 2014</x:v>
      </x:c>
      <x:c r="B48" t="str">
        <x:v>ZHANG14_TEAS_vs_SHAM_REMI</x:v>
      </x:c>
      <x:c r="C48" t="str">
        <x:v>Preoperative TEAS</x:v>
      </x:c>
      <x:c r="D48" t="str">
        <x:v>Sham/no current</x:v>
      </x:c>
      <x:c r="E48" t="str">
        <x:v>Intraoperative opioid</x:v>
      </x:c>
      <x:c r="F48" t="str">
        <x:v>Remifentanil consumption rate</x:v>
      </x:c>
      <x:c r="G48" t="str">
        <x:v>Intraoperative</x:v>
      </x:c>
      <x:c r="H48" t="str">
        <x:v>Mean/SD</x:v>
      </x:c>
      <x:c r="I48" t="n">
        <x:v>33</x:v>
      </x:c>
      <x:c r="J48" t="n">
        <x:v>32</x:v>
      </x:c>
      <x:c r="K48" t="n">
        <x:v>33</x:v>
      </x:c>
      <x:c r="L48" t="n">
        <x:v>32</x:v>
      </x:c>
      <x:c r="M48" t="n">
        <x:v>0.06</x:v>
      </x:c>
      <x:c r="N48" t="n">
        <x:v>0.02</x:v>
      </x:c>
      <x:c r="O48"/>
      <x:c r="P48"/>
      <x:c r="Q48"/>
      <x:c r="R48"/>
      <x:c r="S48" t="n">
        <x:v>0.09</x:v>
      </x:c>
      <x:c r="T48" t="n">
        <x:v>0.03</x:v>
      </x:c>
      <x:c r="U48"/>
      <x:c r="V48"/>
      <x:c r="W48"/>
      <x:c r="X48"/>
      <x:c r="Y48" t="str">
        <x:v>µg/kg/min</x:v>
      </x:c>
      <x:c r="Z48" t="str">
        <x:v>0.01</x:v>
      </x:c>
      <x:c r="AA48" t="str">
        <x:v>Yes</x:v>
      </x:c>
      <x:c r="AB48" t="str">
        <x:v>No</x:v>
      </x:c>
      <x:c r="AC48" t="str">
        <x:f>IF(H48="Mean/SD","MD",IF(H48="Events/total","RR",""))</x:f>
        <x:v>MD</x:v>
      </x:c>
      <x:c r="AD48" t="n">
        <x:f>IF(H48="Mean/SD",M48-S48,IF(H48="Events/total",IFERROR((R48/K48)/(X48/L48),""),""))</x:f>
        <x:v>-0.03</x:v>
      </x:c>
      <x:c r="AE48" t="str">
        <x:v>No</x:v>
      </x:c>
      <x:c r="AF48" t="str">
        <x:v>No</x:v>
      </x:c>
      <x:c r="AG48" t="str">
        <x:v>Eligible for intraoperative opioid-sparing analysis only</x:v>
      </x:c>
      <x:c r="AH48" t="str">
        <x:v>No</x:v>
      </x:c>
      <x:c r="AI48" t="str">
        <x:v>Weight/time-normalized consumption, not absolute remifentanil dose</x:v>
      </x:c>
      <x:c r="AJ48" t="str">
        <x:v>Table 2 / intraoperative remifentanil</x:v>
      </x:c>
      <x:c r="AK48" t="str">
        <x:v>https://drive.google.com/file/d/1lws1zFpIE-wbLY8X9ewYyTuIP-WySa-c/view?usp=drivesdk</x:v>
      </x:c>
      <x:c r="AL48" t="str">
        <x:v>SOURCE-VERIFIED</x:v>
      </x:c>
    </x:row>
    <x:row r="49">
      <x:c r="A49" t="str">
        <x:v>Zhang 2014</x:v>
      </x:c>
      <x:c r="B49" t="str">
        <x:v>ZHANG14_TEAS_vs_SHAM_NAUSEA</x:v>
      </x:c>
      <x:c r="C49" t="str">
        <x:v>Preoperative TEAS</x:v>
      </x:c>
      <x:c r="D49" t="str">
        <x:v>Sham/no current</x:v>
      </x:c>
      <x:c r="E49" t="str">
        <x:v>PONV</x:v>
      </x:c>
      <x:c r="F49" t="str">
        <x:v>Postoperative nausea</x:v>
      </x:c>
      <x:c r="G49" t="str">
        <x:v>Postoperative</x:v>
      </x:c>
      <x:c r="H49" t="str">
        <x:v>Events/total</x:v>
      </x:c>
      <x:c r="I49" t="n">
        <x:v>33</x:v>
      </x:c>
      <x:c r="J49" t="n">
        <x:v>32</x:v>
      </x:c>
      <x:c r="K49" t="n">
        <x:v>33</x:v>
      </x:c>
      <x:c r="L49" t="n">
        <x:v>32</x:v>
      </x:c>
      <x:c r="M49"/>
      <x:c r="N49"/>
      <x:c r="O49"/>
      <x:c r="P49"/>
      <x:c r="Q49"/>
      <x:c r="R49" t="n">
        <x:v>7</x:v>
      </x:c>
      <x:c r="S49"/>
      <x:c r="T49"/>
      <x:c r="U49"/>
      <x:c r="V49"/>
      <x:c r="W49"/>
      <x:c r="X49" t="n">
        <x:v>15</x:v>
      </x:c>
      <x:c r="Y49" t="str">
        <x:v>participants</x:v>
      </x:c>
      <x:c r="Z49" t="str">
        <x:v>0.03</x:v>
      </x:c>
      <x:c r="AA49" t="str">
        <x:v>Yes</x:v>
      </x:c>
      <x:c r="AB49" t="str">
        <x:v>No</x:v>
      </x:c>
      <x:c r="AC49" t="str">
        <x:f>IF(H49="Mean/SD","MD",IF(H49="Events/total","RR",""))</x:f>
        <x:v>RR</x:v>
      </x:c>
      <x:c r="AD49" t="n">
        <x:f>IF(H49="Mean/SD",M49-S49,IF(H49="Events/total",IFERROR((R49/K49)/(X49/L49),""),""))</x:f>
        <x:v>0.45252525252525255</x:v>
      </x:c>
      <x:c r="AE49" t="str">
        <x:v>No</x:v>
      </x:c>
      <x:c r="AF49" t="str">
        <x:v>No</x:v>
      </x:c>
      <x:c r="AG49" t="str">
        <x:v>Eligible for dichotomous nausea analysis</x:v>
      </x:c>
      <x:c r="AH49" t="str">
        <x:v>No</x:v>
      </x:c>
      <x:c r="AI49" t="str">
        <x:v>No exact narrower time window reported in the extraction</x:v>
      </x:c>
      <x:c r="AJ49" t="str">
        <x:v>Table 3 / postoperative side effects</x:v>
      </x:c>
      <x:c r="AK49" t="str">
        <x:v>https://drive.google.com/file/d/1lws1zFpIE-wbLY8X9ewYyTuIP-WySa-c/view?usp=drivesdk</x:v>
      </x:c>
      <x:c r="AL49" t="str">
        <x:v>SOURCE-VERIFIED</x:v>
      </x:c>
    </x:row>
    <x:row r="50">
      <x:c r="A50" t="str">
        <x:v>Zhang 2014</x:v>
      </x:c>
      <x:c r="B50" t="str">
        <x:v>ZHANG14_TEAS_vs_SHAM_VOMIT</x:v>
      </x:c>
      <x:c r="C50" t="str">
        <x:v>Preoperative TEAS</x:v>
      </x:c>
      <x:c r="D50" t="str">
        <x:v>Sham/no current</x:v>
      </x:c>
      <x:c r="E50" t="str">
        <x:v>PONV</x:v>
      </x:c>
      <x:c r="F50" t="str">
        <x:v>Postoperative vomiting</x:v>
      </x:c>
      <x:c r="G50" t="str">
        <x:v>Postoperative</x:v>
      </x:c>
      <x:c r="H50" t="str">
        <x:v>Events/total</x:v>
      </x:c>
      <x:c r="I50" t="n">
        <x:v>33</x:v>
      </x:c>
      <x:c r="J50" t="n">
        <x:v>32</x:v>
      </x:c>
      <x:c r="K50" t="n">
        <x:v>33</x:v>
      </x:c>
      <x:c r="L50" t="n">
        <x:v>32</x:v>
      </x:c>
      <x:c r="M50"/>
      <x:c r="N50"/>
      <x:c r="O50"/>
      <x:c r="P50"/>
      <x:c r="Q50"/>
      <x:c r="R50" t="n">
        <x:v>4</x:v>
      </x:c>
      <x:c r="S50"/>
      <x:c r="T50"/>
      <x:c r="U50"/>
      <x:c r="V50"/>
      <x:c r="W50"/>
      <x:c r="X50" t="n">
        <x:v>11</x:v>
      </x:c>
      <x:c r="Y50" t="str">
        <x:v>participants</x:v>
      </x:c>
      <x:c r="Z50" t="str">
        <x:v>0.03</x:v>
      </x:c>
      <x:c r="AA50" t="str">
        <x:v>Yes</x:v>
      </x:c>
      <x:c r="AB50" t="str">
        <x:v>No</x:v>
      </x:c>
      <x:c r="AC50" t="str">
        <x:f>IF(H50="Mean/SD","MD",IF(H50="Events/total","RR",""))</x:f>
        <x:v>RR</x:v>
      </x:c>
      <x:c r="AD50" t="n">
        <x:f>IF(H50="Mean/SD",M50-S50,IF(H50="Events/total",IFERROR((R50/K50)/(X50/L50),""),""))</x:f>
        <x:v>0.3526170798898072</x:v>
      </x:c>
      <x:c r="AE50" t="str">
        <x:v>No</x:v>
      </x:c>
      <x:c r="AF50" t="str">
        <x:v>No</x:v>
      </x:c>
      <x:c r="AG50" t="str">
        <x:v>Eligible for dichotomous vomiting analysis</x:v>
      </x:c>
      <x:c r="AH50" t="str">
        <x:v>No</x:v>
      </x:c>
      <x:c r="AI50" t="str">
        <x:v>No exact narrower time window reported in the extraction</x:v>
      </x:c>
      <x:c r="AJ50" t="str">
        <x:v>Table 3 / postoperative side effects</x:v>
      </x:c>
      <x:c r="AK50" t="str">
        <x:v>https://drive.google.com/file/d/1lws1zFpIE-wbLY8X9ewYyTuIP-WySa-c/view?usp=drivesdk</x:v>
      </x:c>
      <x:c r="AL50" t="str">
        <x:v>SOURCE-VERIFIED</x:v>
      </x:c>
    </x:row>
    <x:row r="51">
      <x:c r="A51" t="str">
        <x:v>Zhang 2014</x:v>
      </x:c>
      <x:c r="B51" t="str">
        <x:v>ZHANG14_TEAS_vs_SHAM_OPIOID24</x:v>
      </x:c>
      <x:c r="C51" t="str">
        <x:v>Preoperative TEAS</x:v>
      </x:c>
      <x:c r="D51" t="str">
        <x:v>Sham/no current</x:v>
      </x:c>
      <x:c r="E51" t="str">
        <x:v>Opioid consumption</x:v>
      </x:c>
      <x:c r="F51" t="str">
        <x:v>Exact cumulative postoperative opioid dose</x:v>
      </x:c>
      <x:c r="G51" t="str">
        <x:v>0-24 h</x:v>
      </x:c>
      <x:c r="H51" t="str">
        <x:v>Not reported</x:v>
      </x:c>
      <x:c r="I51" t="n">
        <x:v>33</x:v>
      </x:c>
      <x:c r="J51" t="n">
        <x:v>32</x:v>
      </x:c>
      <x:c r="K51" t="n">
        <x:v>33</x:v>
      </x:c>
      <x:c r="L51" t="n">
        <x:v>32</x:v>
      </x:c>
      <x:c r="M51"/>
      <x:c r="N51"/>
      <x:c r="O51"/>
      <x:c r="P51"/>
      <x:c r="Q51"/>
      <x:c r="R51"/>
      <x:c r="S51"/>
      <x:c r="T51"/>
      <x:c r="U51"/>
      <x:c r="V51"/>
      <x:c r="W51"/>
      <x:c r="X51"/>
      <x:c r="Y51" t="str">
        <x:v>mg/µg</x:v>
      </x:c>
      <x:c r="Z51" t="str"/>
      <x:c r="AA51" t="str">
        <x:v>No</x:v>
      </x:c>
      <x:c r="AB51" t="str">
        <x:v>No</x:v>
      </x:c>
      <x:c r="AC51" t="str">
        <x:f>IF(H51="Mean/SD","MD",IF(H51="Events/total","RR",""))</x:f>
      </x:c>
      <x:c r="AD51" t="str">
        <x:f>IF(H51="Mean/SD",M51-S51,IF(H51="Events/total",IFERROR((R51/K51)/(X51/L51),""),""))</x:f>
      </x:c>
      <x:c r="AE51" t="str">
        <x:v>No</x:v>
      </x:c>
      <x:c r="AF51" t="str">
        <x:v>No</x:v>
      </x:c>
      <x:c r="AG51" t="str">
        <x:v>Not eligible for continuous 24-h postoperative opioid meta-analysis</x:v>
      </x:c>
      <x:c r="AH51" t="str">
        <x:v>No</x:v>
      </x:c>
      <x:c r="AI51" t="str">
        <x:v>Study reports intraoperative remifentanil rate but no exact postoperative opioid-consumption total</x:v>
      </x:c>
      <x:c r="AJ51" t="str">
        <x:v>Postoperative analgesic section</x:v>
      </x:c>
      <x:c r="AK51" t="str">
        <x:v>https://drive.google.com/file/d/1lws1zFpIE-wbLY8X9ewYyTuIP-WySa-c/view?usp=drivesdk</x:v>
      </x:c>
      <x:c r="AL51" t="str">
        <x:v>MISSING / NOT REPORTED</x:v>
      </x:c>
    </x:row>
    <x:row r="52">
      <x:c r="A52" t="str">
        <x:v>Yang 2024</x:v>
      </x:c>
      <x:c r="B52" t="str">
        <x:v>YANG24_EA_vs_UC_MORPH24</x:v>
      </x:c>
      <x:c r="C52" t="str">
        <x:v>Perioperative EA + usual care</x:v>
      </x:c>
      <x:c r="D52" t="str">
        <x:v>Usual care</x:v>
      </x:c>
      <x:c r="E52" t="str">
        <x:v>Opioid consumption</x:v>
      </x:c>
      <x:c r="F52" t="str">
        <x:v>Morphine use via IV PCA</x:v>
      </x:c>
      <x:c r="G52" t="str">
        <x:v>First 24 h / POD1</x:v>
      </x:c>
      <x:c r="H52" t="str">
        <x:v>Mean/SD</x:v>
      </x:c>
      <x:c r="I52" t="n">
        <x:v>90</x:v>
      </x:c>
      <x:c r="J52" t="n">
        <x:v>90</x:v>
      </x:c>
      <x:c r="K52" t="n">
        <x:v>90</x:v>
      </x:c>
      <x:c r="L52" t="n">
        <x:v>90</x:v>
      </x:c>
      <x:c r="M52" t="n">
        <x:v>43.7</x:v>
      </x:c>
      <x:c r="N52" t="n">
        <x:v>4.7</x:v>
      </x:c>
      <x:c r="O52"/>
      <x:c r="P52"/>
      <x:c r="Q52"/>
      <x:c r="R52"/>
      <x:c r="S52" t="n">
        <x:v>44</x:v>
      </x:c>
      <x:c r="T52" t="n">
        <x:v>4.9</x:v>
      </x:c>
      <x:c r="U52"/>
      <x:c r="V52"/>
      <x:c r="W52"/>
      <x:c r="X52"/>
      <x:c r="Y52" t="str">
        <x:v>mg morphine</x:v>
      </x:c>
      <x:c r="Z52" t="str">
        <x:v>0.733</x:v>
      </x:c>
      <x:c r="AA52" t="str">
        <x:v>Yes</x:v>
      </x:c>
      <x:c r="AB52" t="str">
        <x:v>No</x:v>
      </x:c>
      <x:c r="AC52" t="str">
        <x:f>IF(H52="Mean/SD","MD",IF(H52="Events/total","RR",""))</x:f>
        <x:v>MD</x:v>
      </x:c>
      <x:c r="AD52" t="n">
        <x:f>IF(H52="Mean/SD",M52-S52,IF(H52="Events/total",IFERROR((R52/K52)/(X52/L52),""),""))</x:f>
        <x:v>-0.29999999999999716</x:v>
      </x:c>
      <x:c r="AE52" t="str">
        <x:v>Yes</x:v>
      </x:c>
      <x:c r="AF52" t="str">
        <x:v>Yes</x:v>
      </x:c>
      <x:c r="AG52" t="str">
        <x:v>Primary continuous 24-h opioid outcome</x:v>
      </x:c>
      <x:c r="AH52" t="str">
        <x:v>No</x:v>
      </x:c>
      <x:c r="AI52" t="str">
        <x:v>All 180 randomized participants retained in ITT; open-label patients but objective PCA drug-use record</x:v>
      </x:c>
      <x:c r="AJ52" t="str">
        <x:v>Table 3 / Morphine use on POD1</x:v>
      </x:c>
      <x:c r="AK52" t="str">
        <x:v>https://drive.google.com/file/d/160N3psd5tLEphwXHJzUEZ3uJfaIXcs5V/view?usp=drivesdk</x:v>
      </x:c>
      <x:c r="AL52" t="str">
        <x:v>SOURCE-VERIFIED</x:v>
      </x:c>
    </x:row>
    <x:row r="53">
      <x:c r="A53" t="str">
        <x:v>Yang 2024</x:v>
      </x:c>
      <x:c r="B53" t="str">
        <x:v>YANG24_EA_vs_UC_FLATUS</x:v>
      </x:c>
      <x:c r="C53" t="str">
        <x:v>Perioperative EA + usual care</x:v>
      </x:c>
      <x:c r="D53" t="str">
        <x:v>Usual care</x:v>
      </x:c>
      <x:c r="E53" t="str">
        <x:v>GI recovery</x:v>
      </x:c>
      <x:c r="F53" t="str">
        <x:v>Time to first flatus</x:v>
      </x:c>
      <x:c r="G53" t="str">
        <x:v>Postoperative</x:v>
      </x:c>
      <x:c r="H53" t="str">
        <x:v>Mean/SD</x:v>
      </x:c>
      <x:c r="I53" t="n">
        <x:v>90</x:v>
      </x:c>
      <x:c r="J53" t="n">
        <x:v>90</x:v>
      </x:c>
      <x:c r="K53" t="n">
        <x:v>90</x:v>
      </x:c>
      <x:c r="L53" t="n">
        <x:v>90</x:v>
      </x:c>
      <x:c r="M53" t="n">
        <x:v>15.4</x:v>
      </x:c>
      <x:c r="N53" t="n">
        <x:v>3.2</x:v>
      </x:c>
      <x:c r="O53"/>
      <x:c r="P53"/>
      <x:c r="Q53"/>
      <x:c r="R53"/>
      <x:c r="S53" t="n">
        <x:v>17</x:v>
      </x:c>
      <x:c r="T53" t="n">
        <x:v>3.7</x:v>
      </x:c>
      <x:c r="U53"/>
      <x:c r="V53"/>
      <x:c r="W53"/>
      <x:c r="X53"/>
      <x:c r="Y53" t="str">
        <x:v>hours</x:v>
      </x:c>
      <x:c r="Z53" t="str">
        <x:v>0.004</x:v>
      </x:c>
      <x:c r="AA53" t="str">
        <x:v>Yes</x:v>
      </x:c>
      <x:c r="AB53" t="str">
        <x:v>No</x:v>
      </x:c>
      <x:c r="AC53" t="str">
        <x:f>IF(H53="Mean/SD","MD",IF(H53="Events/total","RR",""))</x:f>
        <x:v>MD</x:v>
      </x:c>
      <x:c r="AD53" t="n">
        <x:f>IF(H53="Mean/SD",M53-S53,IF(H53="Events/total",IFERROR((R53/K53)/(X53/L53),""),""))</x:f>
        <x:v>-1.5999999999999996</x:v>
      </x:c>
      <x:c r="AE53" t="str">
        <x:v>No</x:v>
      </x:c>
      <x:c r="AF53" t="str">
        <x:v>No</x:v>
      </x:c>
      <x:c r="AG53" t="str">
        <x:v>Eligible for GI-recovery meta-analysis</x:v>
      </x:c>
      <x:c r="AH53" t="str">
        <x:v>No</x:v>
      </x:c>
      <x:c r="AI53" t="str">
        <x:v>Open-label participants; outcome assessor blinded</x:v>
      </x:c>
      <x:c r="AJ53" t="str">
        <x:v>Table 2 / primary first-flatus outcome</x:v>
      </x:c>
      <x:c r="AK53" t="str">
        <x:v>https://drive.google.com/file/d/160N3psd5tLEphwXHJzUEZ3uJfaIXcs5V/view?usp=drivesdk</x:v>
      </x:c>
      <x:c r="AL53" t="str">
        <x:v>SOURCE-VERIFIED</x:v>
      </x:c>
    </x:row>
    <x:row r="54">
      <x:c r="A54" t="str">
        <x:v>Yang 2024</x:v>
      </x:c>
      <x:c r="B54" t="str">
        <x:v>YANG24_EA_vs_UC_DEFEC</x:v>
      </x:c>
      <x:c r="C54" t="str">
        <x:v>Perioperative EA + usual care</x:v>
      </x:c>
      <x:c r="D54" t="str">
        <x:v>Usual care</x:v>
      </x:c>
      <x:c r="E54" t="str">
        <x:v>GI recovery</x:v>
      </x:c>
      <x:c r="F54" t="str">
        <x:v>Time to first defecation</x:v>
      </x:c>
      <x:c r="G54" t="str">
        <x:v>Postoperative</x:v>
      </x:c>
      <x:c r="H54" t="str">
        <x:v>Mean/SD</x:v>
      </x:c>
      <x:c r="I54" t="n">
        <x:v>90</x:v>
      </x:c>
      <x:c r="J54" t="n">
        <x:v>90</x:v>
      </x:c>
      <x:c r="K54" t="n">
        <x:v>90</x:v>
      </x:c>
      <x:c r="L54" t="n">
        <x:v>90</x:v>
      </x:c>
      <x:c r="M54" t="n">
        <x:v>75.9</x:v>
      </x:c>
      <x:c r="N54" t="n">
        <x:v>7.9</x:v>
      </x:c>
      <x:c r="O54"/>
      <x:c r="P54"/>
      <x:c r="Q54"/>
      <x:c r="R54"/>
      <x:c r="S54" t="n">
        <x:v>79.7</x:v>
      </x:c>
      <x:c r="T54" t="n">
        <x:v>8.1</x:v>
      </x:c>
      <x:c r="U54"/>
      <x:c r="V54"/>
      <x:c r="W54"/>
      <x:c r="X54"/>
      <x:c r="Y54" t="str">
        <x:v>hours</x:v>
      </x:c>
      <x:c r="Z54" t="str">
        <x:v>0.002</x:v>
      </x:c>
      <x:c r="AA54" t="str">
        <x:v>Yes</x:v>
      </x:c>
      <x:c r="AB54" t="str">
        <x:v>No</x:v>
      </x:c>
      <x:c r="AC54" t="str">
        <x:f>IF(H54="Mean/SD","MD",IF(H54="Events/total","RR",""))</x:f>
        <x:v>MD</x:v>
      </x:c>
      <x:c r="AD54" t="n">
        <x:f>IF(H54="Mean/SD",M54-S54,IF(H54="Events/total",IFERROR((R54/K54)/(X54/L54),""),""))</x:f>
        <x:v>-3.799999999999997</x:v>
      </x:c>
      <x:c r="AE54" t="str">
        <x:v>No</x:v>
      </x:c>
      <x:c r="AF54" t="str">
        <x:v>No</x:v>
      </x:c>
      <x:c r="AG54" t="str">
        <x:v>Eligible for GI-recovery meta-analysis</x:v>
      </x:c>
      <x:c r="AH54" t="str">
        <x:v>No</x:v>
      </x:c>
      <x:c r="AI54" t="str">
        <x:v>Open-label participants; outcome assessor blinded</x:v>
      </x:c>
      <x:c r="AJ54" t="str">
        <x:v>Table 2 / primary first-defecation outcome</x:v>
      </x:c>
      <x:c r="AK54" t="str">
        <x:v>https://drive.google.com/file/d/160N3psd5tLEphwXHJzUEZ3uJfaIXcs5V/view?usp=drivesdk</x:v>
      </x:c>
      <x:c r="AL54" t="str">
        <x:v>SOURCE-VERIFIED</x:v>
      </x:c>
    </x:row>
    <x:row r="55">
      <x:c r="A55" t="str">
        <x:v>Yang 2024</x:v>
      </x:c>
      <x:c r="B55" t="str">
        <x:v>YANG24_EA_vs_UC_VOMIT</x:v>
      </x:c>
      <x:c r="C55" t="str">
        <x:v>Perioperative EA + usual care</x:v>
      </x:c>
      <x:c r="D55" t="str">
        <x:v>Usual care</x:v>
      </x:c>
      <x:c r="E55" t="str">
        <x:v>PONV</x:v>
      </x:c>
      <x:c r="F55" t="str">
        <x:v>Postoperative vomiting</x:v>
      </x:c>
      <x:c r="G55" t="str">
        <x:v>Within 72 h</x:v>
      </x:c>
      <x:c r="H55" t="str">
        <x:v>Events/total</x:v>
      </x:c>
      <x:c r="I55" t="n">
        <x:v>90</x:v>
      </x:c>
      <x:c r="J55" t="n">
        <x:v>90</x:v>
      </x:c>
      <x:c r="K55" t="n">
        <x:v>90</x:v>
      </x:c>
      <x:c r="L55" t="n">
        <x:v>90</x:v>
      </x:c>
      <x:c r="M55"/>
      <x:c r="N55"/>
      <x:c r="O55"/>
      <x:c r="P55"/>
      <x:c r="Q55"/>
      <x:c r="R55" t="n">
        <x:v>12</x:v>
      </x:c>
      <x:c r="S55"/>
      <x:c r="T55"/>
      <x:c r="U55"/>
      <x:c r="V55"/>
      <x:c r="W55"/>
      <x:c r="X55" t="n">
        <x:v>25</x:v>
      </x:c>
      <x:c r="Y55" t="str">
        <x:v>participants</x:v>
      </x:c>
      <x:c r="Z55" t="str">
        <x:v>0.016</x:v>
      </x:c>
      <x:c r="AA55" t="str">
        <x:v>Yes</x:v>
      </x:c>
      <x:c r="AB55" t="str">
        <x:v>No</x:v>
      </x:c>
      <x:c r="AC55" t="str">
        <x:f>IF(H55="Mean/SD","MD",IF(H55="Events/total","RR",""))</x:f>
        <x:v>RR</x:v>
      </x:c>
      <x:c r="AD55" t="n">
        <x:f>IF(H55="Mean/SD",M55-S55,IF(H55="Events/total",IFERROR((R55/K55)/(X55/L55),""),""))</x:f>
        <x:v>0.48</x:v>
      </x:c>
      <x:c r="AE55" t="str">
        <x:v>No</x:v>
      </x:c>
      <x:c r="AF55" t="str">
        <x:v>No</x:v>
      </x:c>
      <x:c r="AG55" t="str">
        <x:v>Eligible for dichotomous vomiting analysis at matching follow-up</x:v>
      </x:c>
      <x:c r="AH55" t="str">
        <x:v>No</x:v>
      </x:c>
      <x:c r="AI55" t="str">
        <x:v>No sham acupuncture; patient knowledge could affect subjective nausea but vomiting is more objective</x:v>
      </x:c>
      <x:c r="AJ55" t="str">
        <x:v>Secondary outcomes / PONV</x:v>
      </x:c>
      <x:c r="AK55" t="str">
        <x:v>https://drive.google.com/file/d/160N3psd5tLEphwXHJzUEZ3uJfaIXcs5V/view?usp=drivesdk</x:v>
      </x:c>
      <x:c r="AL55" t="str">
        <x:v>SOURCE-VERIFIED</x:v>
      </x:c>
    </x:row>
    <x:row r="56">
      <x:c r="A56" t="str">
        <x:v>Xiong 2021</x:v>
      </x:c>
      <x:c r="B56" t="str">
        <x:v>XIONG21_TEAS_vs_CTRL_PONV48</x:v>
      </x:c>
      <x:c r="C56" t="str">
        <x:v>TEAS + dexamethasone + tropisetron</x:v>
      </x:c>
      <x:c r="D56" t="str">
        <x:v>Dexamethasone + tropisetron</x:v>
      </x:c>
      <x:c r="E56" t="str">
        <x:v>PONV</x:v>
      </x:c>
      <x:c r="F56" t="str">
        <x:v>Any PONV</x:v>
      </x:c>
      <x:c r="G56" t="str">
        <x:v>Within 48 h</x:v>
      </x:c>
      <x:c r="H56" t="str">
        <x:v>Events/total</x:v>
      </x:c>
      <x:c r="I56" t="n">
        <x:v>31</x:v>
      </x:c>
      <x:c r="J56" t="n">
        <x:v>31</x:v>
      </x:c>
      <x:c r="K56" t="n">
        <x:v>31</x:v>
      </x:c>
      <x:c r="L56" t="n">
        <x:v>31</x:v>
      </x:c>
      <x:c r="M56"/>
      <x:c r="N56"/>
      <x:c r="O56"/>
      <x:c r="P56"/>
      <x:c r="Q56"/>
      <x:c r="R56" t="n">
        <x:v>13</x:v>
      </x:c>
      <x:c r="S56"/>
      <x:c r="T56"/>
      <x:c r="U56"/>
      <x:c r="V56"/>
      <x:c r="W56"/>
      <x:c r="X56" t="n">
        <x:v>24</x:v>
      </x:c>
      <x:c r="Y56" t="str">
        <x:v>participants</x:v>
      </x:c>
      <x:c r="Z56" t="str">
        <x:v>0.004</x:v>
      </x:c>
      <x:c r="AA56" t="str">
        <x:v>Yes</x:v>
      </x:c>
      <x:c r="AB56" t="str">
        <x:v>No</x:v>
      </x:c>
      <x:c r="AC56" t="str">
        <x:f>IF(H56="Mean/SD","MD",IF(H56="Events/total","RR",""))</x:f>
        <x:v>RR</x:v>
      </x:c>
      <x:c r="AD56" t="n">
        <x:f>IF(H56="Mean/SD",M56-S56,IF(H56="Events/total",IFERROR((R56/K56)/(X56/L56),""),""))</x:f>
        <x:v>0.5416666666666667</x:v>
      </x:c>
      <x:c r="AE56" t="str">
        <x:v>No</x:v>
      </x:c>
      <x:c r="AF56" t="str">
        <x:v>No</x:v>
      </x:c>
      <x:c r="AG56" t="str">
        <x:v>Eligible for dichotomous 48-h PONV analysis</x:v>
      </x:c>
      <x:c r="AH56" t="str">
        <x:v>No</x:v>
      </x:c>
      <x:c r="AI56" t="str">
        <x:v>Participant blinding intended but active postoperative tingling may have revealed allocation</x:v>
      </x:c>
      <x:c r="AJ56" t="str">
        <x:v>Abstract / 48-h PONV result</x:v>
      </x:c>
      <x:c r="AK56" t="str">
        <x:v>https://drive.google.com/file/d/1sNaquYeWpsts7_e3XYP9c0CwM-tbQS6T/view?usp=drivesdk</x:v>
      </x:c>
      <x:c r="AL56" t="str">
        <x:v>SOURCE-VERIFIED</x:v>
      </x:c>
    </x:row>
    <x:row r="57">
      <x:c r="A57" t="str">
        <x:v>Xiong 2021</x:v>
      </x:c>
      <x:c r="B57" t="str">
        <x:v>XIONG21_TEAS_vs_CTRL_CIPONV</x:v>
      </x:c>
      <x:c r="C57" t="str">
        <x:v>TEAS + dexamethasone + tropisetron</x:v>
      </x:c>
      <x:c r="D57" t="str">
        <x:v>Dexamethasone + tropisetron</x:v>
      </x:c>
      <x:c r="E57" t="str">
        <x:v>PONV</x:v>
      </x:c>
      <x:c r="F57" t="str">
        <x:v>Clinically important PONV</x:v>
      </x:c>
      <x:c r="G57" t="str">
        <x:v>Within 48 h</x:v>
      </x:c>
      <x:c r="H57" t="str">
        <x:v>Events/total</x:v>
      </x:c>
      <x:c r="I57" t="n">
        <x:v>31</x:v>
      </x:c>
      <x:c r="J57" t="n">
        <x:v>31</x:v>
      </x:c>
      <x:c r="K57" t="n">
        <x:v>31</x:v>
      </x:c>
      <x:c r="L57" t="n">
        <x:v>31</x:v>
      </x:c>
      <x:c r="M57"/>
      <x:c r="N57"/>
      <x:c r="O57"/>
      <x:c r="P57"/>
      <x:c r="Q57"/>
      <x:c r="R57" t="n">
        <x:v>5</x:v>
      </x:c>
      <x:c r="S57"/>
      <x:c r="T57"/>
      <x:c r="U57"/>
      <x:c r="V57"/>
      <x:c r="W57"/>
      <x:c r="X57" t="n">
        <x:v>15</x:v>
      </x:c>
      <x:c r="Y57" t="str">
        <x:v>participants</x:v>
      </x:c>
      <x:c r="Z57" t="str">
        <x:v>0.007</x:v>
      </x:c>
      <x:c r="AA57" t="str">
        <x:v>Yes</x:v>
      </x:c>
      <x:c r="AB57" t="str">
        <x:v>No</x:v>
      </x:c>
      <x:c r="AC57" t="str">
        <x:f>IF(H57="Mean/SD","MD",IF(H57="Events/total","RR",""))</x:f>
        <x:v>RR</x:v>
      </x:c>
      <x:c r="AD57" t="n">
        <x:f>IF(H57="Mean/SD",M57-S57,IF(H57="Events/total",IFERROR((R57/K57)/(X57/L57),""),""))</x:f>
        <x:v>0.3333333333333333</x:v>
      </x:c>
      <x:c r="AE57" t="str">
        <x:v>No</x:v>
      </x:c>
      <x:c r="AF57" t="str">
        <x:v>No</x:v>
      </x:c>
      <x:c r="AG57" t="str">
        <x:v>Eligible for dichotomous clinically-important PONV analysis</x:v>
      </x:c>
      <x:c r="AH57" t="str">
        <x:v>No</x:v>
      </x:c>
      <x:c r="AI57" t="str">
        <x:v>Patient-reported symptom severity; sensory blinding may be imperfect</x:v>
      </x:c>
      <x:c r="AJ57" t="str">
        <x:v>Abstract / clinically important PONV</x:v>
      </x:c>
      <x:c r="AK57" t="str">
        <x:v>https://drive.google.com/file/d/1sNaquYeWpsts7_e3XYP9c0CwM-tbQS6T/view?usp=drivesdk</x:v>
      </x:c>
      <x:c r="AL57" t="str">
        <x:v>SOURCE-VERIFIED</x:v>
      </x:c>
    </x:row>
    <x:row r="58">
      <x:c r="A58" t="str">
        <x:v>Xiong 2021</x:v>
      </x:c>
      <x:c r="B58" t="str">
        <x:v>XIONG21_TEAS_vs_CTRL_RESCUEAE</x:v>
      </x:c>
      <x:c r="C58" t="str">
        <x:v>TEAS + dexamethasone + tropisetron</x:v>
      </x:c>
      <x:c r="D58" t="str">
        <x:v>Dexamethasone + tropisetron</x:v>
      </x:c>
      <x:c r="E58" t="str">
        <x:v>Rescue antiemetic</x:v>
      </x:c>
      <x:c r="F58" t="str">
        <x:v>Any rescue antiemetic medication</x:v>
      </x:c>
      <x:c r="G58" t="str">
        <x:v>Within 48 h</x:v>
      </x:c>
      <x:c r="H58" t="str">
        <x:v>Events/total</x:v>
      </x:c>
      <x:c r="I58" t="n">
        <x:v>31</x:v>
      </x:c>
      <x:c r="J58" t="n">
        <x:v>31</x:v>
      </x:c>
      <x:c r="K58" t="n">
        <x:v>31</x:v>
      </x:c>
      <x:c r="L58" t="n">
        <x:v>31</x:v>
      </x:c>
      <x:c r="M58"/>
      <x:c r="N58"/>
      <x:c r="O58"/>
      <x:c r="P58"/>
      <x:c r="Q58"/>
      <x:c r="R58" t="n">
        <x:v>9</x:v>
      </x:c>
      <x:c r="S58"/>
      <x:c r="T58"/>
      <x:c r="U58"/>
      <x:c r="V58"/>
      <x:c r="W58"/>
      <x:c r="X58" t="n">
        <x:v>18</x:v>
      </x:c>
      <x:c r="Y58" t="str">
        <x:v>participants</x:v>
      </x:c>
      <x:c r="Z58" t="str">
        <x:v>0.021</x:v>
      </x:c>
      <x:c r="AA58" t="str">
        <x:v>Percentages directly reported; counts exactly reconstructed from 29.0% and 58.1%</x:v>
      </x:c>
      <x:c r="AB58" t="str">
        <x:v>Yes</x:v>
      </x:c>
      <x:c r="AC58" t="str">
        <x:f>IF(H58="Mean/SD","MD",IF(H58="Events/total","RR",""))</x:f>
        <x:v>RR</x:v>
      </x:c>
      <x:c r="AD58" t="n">
        <x:f>IF(H58="Mean/SD",M58-S58,IF(H58="Events/total",IFERROR((R58/K58)/(X58/L58),""),""))</x:f>
        <x:v>0.5</x:v>
      </x:c>
      <x:c r="AE58" t="str">
        <x:v>No</x:v>
      </x:c>
      <x:c r="AF58" t="str">
        <x:v>No</x:v>
      </x:c>
      <x:c r="AG58" t="str">
        <x:v>Eligible for dichotomous rescue-antiemetic analysis</x:v>
      </x:c>
      <x:c r="AH58" t="str">
        <x:v>No</x:v>
      </x:c>
      <x:c r="AI58" t="str">
        <x:v>Counts reconstructed exactly from group denominator 31</x:v>
      </x:c>
      <x:c r="AJ58" t="str">
        <x:v>Abstract / rescue antiemetic result</x:v>
      </x:c>
      <x:c r="AK58" t="str">
        <x:v>https://drive.google.com/file/d/1sNaquYeWpsts7_e3XYP9c0CwM-tbQS6T/view?usp=drivesdk</x:v>
      </x:c>
      <x:c r="AL58" t="str">
        <x:v>SOURCE-VERIFIED / COUNTS DERIVED</x:v>
      </x:c>
    </x:row>
    <x:row r="59">
      <x:c r="A59" t="str">
        <x:v>Xiong 2021</x:v>
      </x:c>
      <x:c r="B59" t="str">
        <x:v>XIONG21_TEAS_vs_CTRL_POSTOPMME</x:v>
      </x:c>
      <x:c r="C59" t="str">
        <x:v>TEAS + dexamethasone + tropisetron</x:v>
      </x:c>
      <x:c r="D59" t="str">
        <x:v>Dexamethasone + tropisetron</x:v>
      </x:c>
      <x:c r="E59" t="str">
        <x:v>Opioid consumption</x:v>
      </x:c>
      <x:c r="F59" t="str">
        <x:v>Postoperative opioid consumption</x:v>
      </x:c>
      <x:c r="G59" t="str">
        <x:v>Postoperative window unclear</x:v>
      </x:c>
      <x:c r="H59" t="str">
        <x:v>Mean/SD</x:v>
      </x:c>
      <x:c r="I59" t="n">
        <x:v>31</x:v>
      </x:c>
      <x:c r="J59" t="n">
        <x:v>31</x:v>
      </x:c>
      <x:c r="K59" t="n">
        <x:v>31</x:v>
      </x:c>
      <x:c r="L59" t="n">
        <x:v>31</x:v>
      </x:c>
      <x:c r="M59" t="n">
        <x:v>0.6</x:v>
      </x:c>
      <x:c r="N59" t="n">
        <x:v>0.2</x:v>
      </x:c>
      <x:c r="O59"/>
      <x:c r="P59"/>
      <x:c r="Q59"/>
      <x:c r="R59"/>
      <x:c r="S59" t="n">
        <x:v>0.6</x:v>
      </x:c>
      <x:c r="T59" t="n">
        <x:v>0.1</x:v>
      </x:c>
      <x:c r="U59"/>
      <x:c r="V59"/>
      <x:c r="W59"/>
      <x:c r="X59"/>
      <x:c r="Y59" t="str">
        <x:v>mg morphine-equivalent/kg</x:v>
      </x:c>
      <x:c r="Z59" t="str">
        <x:v>0.908</x:v>
      </x:c>
      <x:c r="AA59" t="str">
        <x:v>Yes</x:v>
      </x:c>
      <x:c r="AB59" t="str">
        <x:v>Yes</x:v>
      </x:c>
      <x:c r="AC59" t="str">
        <x:f>IF(H59="Mean/SD","MD",IF(H59="Events/total","RR",""))</x:f>
        <x:v>MD</x:v>
      </x:c>
      <x:c r="AD59" t="n">
        <x:f>IF(H59="Mean/SD",M59-S59,IF(H59="Events/total",IFERROR((R59/K59)/(X59/L59),""),""))</x:f>
        <x:v>0</x:v>
      </x:c>
      <x:c r="AE59" t="str">
        <x:v>No</x:v>
      </x:c>
      <x:c r="AF59" t="str">
        <x:v>No</x:v>
      </x:c>
      <x:c r="AG59" t="str">
        <x:v>Not eligible for strict 0-24-h opioid meta-analysis until time window is clarified</x:v>
      </x:c>
      <x:c r="AH59" t="str">
        <x:v>No</x:v>
      </x:c>
      <x:c r="AI59" t="str">
        <x:v>Exact postoperative interval is not stated; route terminology in Results is internally inconsistent</x:v>
      </x:c>
      <x:c r="AJ59" t="str">
        <x:v>Table 1 / postoperative opioid consumption</x:v>
      </x:c>
      <x:c r="AK59" t="str">
        <x:v>https://drive.google.com/file/d/1sNaquYeWpsts7_e3XYP9c0CwM-tbQS6T/view?usp=drivesdk</x:v>
      </x:c>
      <x:c r="AL59" t="str">
        <x:v>SOURCE-VERIFIED / WINDOW QC</x:v>
      </x:c>
    </x:row>
    <x:row r="60">
      <x:c r="A60" t="str">
        <x:v>Xiong 2021</x:v>
      </x:c>
      <x:c r="B60" t="str">
        <x:v>XIONG21_TEAS_vs_CTRL_OPIOID24</x:v>
      </x:c>
      <x:c r="C60" t="str">
        <x:v>TEAS + dexamethasone + tropisetron</x:v>
      </x:c>
      <x:c r="D60" t="str">
        <x:v>Dexamethasone + tropisetron</x:v>
      </x:c>
      <x:c r="E60" t="str">
        <x:v>Opioid consumption</x:v>
      </x:c>
      <x:c r="F60" t="str">
        <x:v>Exact cumulative postoperative opioid dose</x:v>
      </x:c>
      <x:c r="G60" t="str">
        <x:v>0-24 h</x:v>
      </x:c>
      <x:c r="H60" t="str">
        <x:v>Not reported</x:v>
      </x:c>
      <x:c r="I60" t="n">
        <x:v>31</x:v>
      </x:c>
      <x:c r="J60" t="n">
        <x:v>31</x:v>
      </x:c>
      <x:c r="K60" t="n">
        <x:v>31</x:v>
      </x:c>
      <x:c r="L60" t="n">
        <x:v>31</x:v>
      </x:c>
      <x:c r="M60"/>
      <x:c r="N60"/>
      <x:c r="O60"/>
      <x:c r="P60"/>
      <x:c r="Q60"/>
      <x:c r="R60"/>
      <x:c r="S60"/>
      <x:c r="T60"/>
      <x:c r="U60"/>
      <x:c r="V60"/>
      <x:c r="W60"/>
      <x:c r="X60"/>
      <x:c r="Y60" t="str">
        <x:v>mg morphine-equivalent/kg</x:v>
      </x:c>
      <x:c r="Z60" t="str"/>
      <x:c r="AA60" t="str">
        <x:v>No</x:v>
      </x:c>
      <x:c r="AB60" t="str">
        <x:v>No</x:v>
      </x:c>
      <x:c r="AC60" t="str">
        <x:f>IF(H60="Mean/SD","MD",IF(H60="Events/total","RR",""))</x:f>
      </x:c>
      <x:c r="AD60" t="str">
        <x:f>IF(H60="Mean/SD",M60-S60,IF(H60="Events/total",IFERROR((R60/K60)/(X60/L60),""),""))</x:f>
      </x:c>
      <x:c r="AE60" t="str">
        <x:v>No</x:v>
      </x:c>
      <x:c r="AF60" t="str">
        <x:v>No</x:v>
      </x:c>
      <x:c r="AG60" t="str">
        <x:v>Not eligible for continuous 24-h opioid meta-analysis</x:v>
      </x:c>
      <x:c r="AH60" t="str">
        <x:v>No</x:v>
      </x:c>
      <x:c r="AI60" t="str">
        <x:v>Published opioid-equivalent result lacks a fixed time window</x:v>
      </x:c>
      <x:c r="AJ60" t="str">
        <x:v>Exact 24-h endpoint absent</x:v>
      </x:c>
      <x:c r="AK60" t="str">
        <x:v>https://drive.google.com/file/d/1sNaquYeWpsts7_e3XYP9c0CwM-tbQS6T/view?usp=drivesdk</x:v>
      </x:c>
      <x:c r="AL60" t="str">
        <x:v>MISSING / WINDOW NOT REPORTED</x:v>
      </x:c>
    </x:row>
    <x:row r="61">
      <x:c r="A61" t="str">
        <x:v>Xing 2022</x:v>
      </x:c>
      <x:c r="B61" t="str">
        <x:v>XING22_NTG_vs_NG_REMI</x:v>
      </x:c>
      <x:c r="C61" t="str">
        <x:v>TEAS + active TAPB</x:v>
      </x:c>
      <x:c r="D61" t="str">
        <x:v>Sham TEAS + active TAPB</x:v>
      </x:c>
      <x:c r="E61" t="str">
        <x:v>Intraoperative opioid</x:v>
      </x:c>
      <x:c r="F61" t="str">
        <x:v>Total remifentanil consumption</x:v>
      </x:c>
      <x:c r="G61" t="str">
        <x:v>Intraoperative</x:v>
      </x:c>
      <x:c r="H61" t="str">
        <x:v>Mean/SD</x:v>
      </x:c>
      <x:c r="I61" t="n">
        <x:v>30</x:v>
      </x:c>
      <x:c r="J61" t="n">
        <x:v>30</x:v>
      </x:c>
      <x:c r="K61" t="n">
        <x:v>29</x:v>
      </x:c>
      <x:c r="L61" t="n">
        <x:v>29</x:v>
      </x:c>
      <x:c r="M61" t="n">
        <x:v>1182.61</x:v>
      </x:c>
      <x:c r="N61" t="n">
        <x:v>253.61</x:v>
      </x:c>
      <x:c r="O61"/>
      <x:c r="P61"/>
      <x:c r="Q61"/>
      <x:c r="R61"/>
      <x:c r="S61" t="n">
        <x:v>1415.41</x:v>
      </x:c>
      <x:c r="T61" t="n">
        <x:v>295.67</x:v>
      </x:c>
      <x:c r="U61"/>
      <x:c r="V61"/>
      <x:c r="W61"/>
      <x:c r="X61"/>
      <x:c r="Y61" t="str">
        <x:v>µg remifentanil</x:v>
      </x:c>
      <x:c r="Z61" t="str">
        <x:v>&lt;0.05 pairwise</x:v>
      </x:c>
      <x:c r="AA61" t="str">
        <x:v>Yes</x:v>
      </x:c>
      <x:c r="AB61" t="str">
        <x:v>No</x:v>
      </x:c>
      <x:c r="AC61" t="str">
        <x:f>IF(H61="Mean/SD","MD",IF(H61="Events/total","RR",""))</x:f>
        <x:v>MD</x:v>
      </x:c>
      <x:c r="AD61" t="n">
        <x:f>IF(H61="Mean/SD",M61-S61,IF(H61="Events/total",IFERROR((R61/K61)/(X61/L61),""),""))</x:f>
        <x:v>-232.80000000000018</x:v>
      </x:c>
      <x:c r="AE61" t="str">
        <x:v>No</x:v>
      </x:c>
      <x:c r="AF61" t="str">
        <x:v>No</x:v>
      </x:c>
      <x:c r="AG61" t="str">
        <x:v>Eligible for incremental TEAS intraoperative opioid-sparing analysis</x:v>
      </x:c>
      <x:c r="AH61" t="str">
        <x:v>Yes</x:v>
      </x:c>
      <x:c r="AI61" t="str">
        <x:v>Direct TEAS contrast is NTG vs NG; do not attribute NTG-vs-G combined package entirely to TEAS</x:v>
      </x:c>
      <x:c r="AJ61" t="str">
        <x:v>Table 3, p10</x:v>
      </x:c>
      <x:c r="AK61" t="str">
        <x:v>https://drive.google.com/file/d/1h3IGpQ56nSh7H16xBEVyTzCBkWOXRSxK/view?usp=drivesdk</x:v>
      </x:c>
      <x:c r="AL61" t="str">
        <x:v>SOURCE-VERIFIED</x:v>
      </x:c>
    </x:row>
    <x:row r="62">
      <x:c r="A62" t="str">
        <x:v>Xing 2022</x:v>
      </x:c>
      <x:c r="B62" t="str">
        <x:v>XING22_NTG_vs_NG_FLATUS</x:v>
      </x:c>
      <x:c r="C62" t="str">
        <x:v>TEAS + active TAPB</x:v>
      </x:c>
      <x:c r="D62" t="str">
        <x:v>Sham TEAS + active TAPB</x:v>
      </x:c>
      <x:c r="E62" t="str">
        <x:v>GI recovery</x:v>
      </x:c>
      <x:c r="F62" t="str">
        <x:v>Time to first flatus</x:v>
      </x:c>
      <x:c r="G62" t="str">
        <x:v>Postoperative</x:v>
      </x:c>
      <x:c r="H62" t="str">
        <x:v>Mean/SD</x:v>
      </x:c>
      <x:c r="I62" t="n">
        <x:v>30</x:v>
      </x:c>
      <x:c r="J62" t="n">
        <x:v>30</x:v>
      </x:c>
      <x:c r="K62" t="n">
        <x:v>29</x:v>
      </x:c>
      <x:c r="L62" t="n">
        <x:v>29</x:v>
      </x:c>
      <x:c r="M62" t="n">
        <x:v>32.57</x:v>
      </x:c>
      <x:c r="N62" t="n">
        <x:v>6.94</x:v>
      </x:c>
      <x:c r="O62"/>
      <x:c r="P62"/>
      <x:c r="Q62"/>
      <x:c r="R62"/>
      <x:c r="S62" t="n">
        <x:v>36.83</x:v>
      </x:c>
      <x:c r="T62" t="n">
        <x:v>6.19</x:v>
      </x:c>
      <x:c r="U62"/>
      <x:c r="V62"/>
      <x:c r="W62"/>
      <x:c r="X62"/>
      <x:c r="Y62" t="str">
        <x:v>hours</x:v>
      </x:c>
      <x:c r="Z62" t="str">
        <x:v>&lt;0.05 pairwise</x:v>
      </x:c>
      <x:c r="AA62" t="str">
        <x:v>Yes</x:v>
      </x:c>
      <x:c r="AB62" t="str">
        <x:v>No</x:v>
      </x:c>
      <x:c r="AC62" t="str">
        <x:f>IF(H62="Mean/SD","MD",IF(H62="Events/total","RR",""))</x:f>
        <x:v>MD</x:v>
      </x:c>
      <x:c r="AD62" t="n">
        <x:f>IF(H62="Mean/SD",M62-S62,IF(H62="Events/total",IFERROR((R62/K62)/(X62/L62),""),""))</x:f>
        <x:v>-4.259999999999998</x:v>
      </x:c>
      <x:c r="AE62" t="str">
        <x:v>No</x:v>
      </x:c>
      <x:c r="AF62" t="str">
        <x:v>No</x:v>
      </x:c>
      <x:c r="AG62" t="str">
        <x:v>Eligible for GI-recovery analysis</x:v>
      </x:c>
      <x:c r="AH62" t="str">
        <x:v>Yes</x:v>
      </x:c>
      <x:c r="AI62" t="str">
        <x:v>Three-arm study; use NTG vs NG for incremental TEAS effect</x:v>
      </x:c>
      <x:c r="AJ62" t="str">
        <x:v>Postoperative recovery results</x:v>
      </x:c>
      <x:c r="AK62" t="str">
        <x:v>https://drive.google.com/file/d/1h3IGpQ56nSh7H16xBEVyTzCBkWOXRSxK/view?usp=drivesdk</x:v>
      </x:c>
      <x:c r="AL62" t="str">
        <x:v>SOURCE-VERIFIED</x:v>
      </x:c>
    </x:row>
    <x:row r="63">
      <x:c r="A63" t="str">
        <x:v>Xing 2022</x:v>
      </x:c>
      <x:c r="B63" t="str">
        <x:v>XING22_NTG_vs_NG_PONV</x:v>
      </x:c>
      <x:c r="C63" t="str">
        <x:v>TEAS + active TAPB</x:v>
      </x:c>
      <x:c r="D63" t="str">
        <x:v>Sham TEAS + active TAPB</x:v>
      </x:c>
      <x:c r="E63" t="str">
        <x:v>PONV</x:v>
      </x:c>
      <x:c r="F63" t="str">
        <x:v>PONV incidence</x:v>
      </x:c>
      <x:c r="G63" t="str">
        <x:v>Postoperative</x:v>
      </x:c>
      <x:c r="H63" t="str">
        <x:v>Events/total</x:v>
      </x:c>
      <x:c r="I63" t="n">
        <x:v>30</x:v>
      </x:c>
      <x:c r="J63" t="n">
        <x:v>30</x:v>
      </x:c>
      <x:c r="K63" t="n">
        <x:v>29</x:v>
      </x:c>
      <x:c r="L63" t="n">
        <x:v>29</x:v>
      </x:c>
      <x:c r="M63"/>
      <x:c r="N63"/>
      <x:c r="O63"/>
      <x:c r="P63"/>
      <x:c r="Q63"/>
      <x:c r="R63" t="n">
        <x:v>5</x:v>
      </x:c>
      <x:c r="S63"/>
      <x:c r="T63"/>
      <x:c r="U63"/>
      <x:c r="V63"/>
      <x:c r="W63"/>
      <x:c r="X63" t="n">
        <x:v>11</x:v>
      </x:c>
      <x:c r="Y63" t="str">
        <x:v>participants</x:v>
      </x:c>
      <x:c r="Z63" t="str">
        <x:v>&lt;0.05 pairwise</x:v>
      </x:c>
      <x:c r="AA63" t="str">
        <x:v>Percentages reported; counts exactly reconstructed from 17.24% and 37.93%</x:v>
      </x:c>
      <x:c r="AB63" t="str">
        <x:v>Yes</x:v>
      </x:c>
      <x:c r="AC63" t="str">
        <x:f>IF(H63="Mean/SD","MD",IF(H63="Events/total","RR",""))</x:f>
        <x:v>RR</x:v>
      </x:c>
      <x:c r="AD63" t="n">
        <x:f>IF(H63="Mean/SD",M63-S63,IF(H63="Events/total",IFERROR((R63/K63)/(X63/L63),""),""))</x:f>
        <x:v>0.4545454545454546</x:v>
      </x:c>
      <x:c r="AE63" t="str">
        <x:v>No</x:v>
      </x:c>
      <x:c r="AF63" t="str">
        <x:v>No</x:v>
      </x:c>
      <x:c r="AG63" t="str">
        <x:v>Eligible for dichotomous PONV analysis</x:v>
      </x:c>
      <x:c r="AH63" t="str">
        <x:v>Yes</x:v>
      </x:c>
      <x:c r="AI63" t="str">
        <x:v>Counts reconstructed from n=29 analyzed per arm</x:v>
      </x:c>
      <x:c r="AJ63" t="str">
        <x:v>Postoperative complications</x:v>
      </x:c>
      <x:c r="AK63" t="str">
        <x:v>https://drive.google.com/file/d/1h3IGpQ56nSh7H16xBEVyTzCBkWOXRSxK/view?usp=drivesdk</x:v>
      </x:c>
      <x:c r="AL63" t="str">
        <x:v>SOURCE-VERIFIED / COUNTS DERIVED</x:v>
      </x:c>
    </x:row>
    <x:row r="64">
      <x:c r="A64" t="str">
        <x:v>Xing 2022</x:v>
      </x:c>
      <x:c r="B64" t="str">
        <x:v>XING22_NTG_vs_NG_RESTVAS24</x:v>
      </x:c>
      <x:c r="C64" t="str">
        <x:v>TEAS + active TAPB</x:v>
      </x:c>
      <x:c r="D64" t="str">
        <x:v>Sham TEAS + active TAPB</x:v>
      </x:c>
      <x:c r="E64" t="str">
        <x:v>Pain</x:v>
      </x:c>
      <x:c r="F64" t="str">
        <x:v>Rest pain VAS</x:v>
      </x:c>
      <x:c r="G64" t="str">
        <x:v>24 h</x:v>
      </x:c>
      <x:c r="H64" t="str">
        <x:v>Mean/SD</x:v>
      </x:c>
      <x:c r="I64" t="n">
        <x:v>30</x:v>
      </x:c>
      <x:c r="J64" t="n">
        <x:v>30</x:v>
      </x:c>
      <x:c r="K64" t="n">
        <x:v>29</x:v>
      </x:c>
      <x:c r="L64" t="n">
        <x:v>29</x:v>
      </x:c>
      <x:c r="M64" t="n">
        <x:v>1.18</x:v>
      </x:c>
      <x:c r="N64" t="n">
        <x:v>0.42</x:v>
      </x:c>
      <x:c r="O64"/>
      <x:c r="P64"/>
      <x:c r="Q64"/>
      <x:c r="R64"/>
      <x:c r="S64" t="n">
        <x:v>1.4</x:v>
      </x:c>
      <x:c r="T64" t="n">
        <x:v>0.52</x:v>
      </x:c>
      <x:c r="U64"/>
      <x:c r="V64"/>
      <x:c r="W64"/>
      <x:c r="X64"/>
      <x:c r="Y64" t="str">
        <x:v>VAS 0-10</x:v>
      </x:c>
      <x:c r="Z64" t="str">
        <x:v>NS for NTG vs NG at 24 h</x:v>
      </x:c>
      <x:c r="AA64" t="str">
        <x:v>Yes</x:v>
      </x:c>
      <x:c r="AB64" t="str">
        <x:v>No</x:v>
      </x:c>
      <x:c r="AC64" t="str">
        <x:f>IF(H64="Mean/SD","MD",IF(H64="Events/total","RR",""))</x:f>
        <x:v>MD</x:v>
      </x:c>
      <x:c r="AD64" t="n">
        <x:f>IF(H64="Mean/SD",M64-S64,IF(H64="Events/total",IFERROR((R64/K64)/(X64/L64),""),""))</x:f>
        <x:v>-0.21999999999999997</x:v>
      </x:c>
      <x:c r="AE64" t="str">
        <x:v>No</x:v>
      </x:c>
      <x:c r="AF64" t="str">
        <x:v>No</x:v>
      </x:c>
      <x:c r="AG64" t="str">
        <x:v>Eligible for 24-h pain analysis</x:v>
      </x:c>
      <x:c r="AH64" t="str">
        <x:v>Yes</x:v>
      </x:c>
      <x:c r="AI64" t="str">
        <x:v>At 24 h both TAPB groups improved versus G, but incremental NTG-vs-NG difference was not reported significant</x:v>
      </x:c>
      <x:c r="AJ64" t="str">
        <x:v>24-h pain result</x:v>
      </x:c>
      <x:c r="AK64" t="str">
        <x:v>https://drive.google.com/file/d/1h3IGpQ56nSh7H16xBEVyTzCBkWOXRSxK/view?usp=drivesdk</x:v>
      </x:c>
      <x:c r="AL64" t="str">
        <x:v>SOURCE-VERIFIED</x:v>
      </x:c>
    </x:row>
    <x:row r="65">
      <x:c r="A65" t="str">
        <x:v>Xing 2022</x:v>
      </x:c>
      <x:c r="B65" t="str">
        <x:v>XING22_NTG_vs_NG_PRESS</x:v>
      </x:c>
      <x:c r="C65" t="str">
        <x:v>TEAS + active TAPB</x:v>
      </x:c>
      <x:c r="D65" t="str">
        <x:v>Sham TEAS + active TAPB</x:v>
      </x:c>
      <x:c r="E65" t="str">
        <x:v>Opioid demand</x:v>
      </x:c>
      <x:c r="F65" t="str">
        <x:v>PCIA pump press count</x:v>
      </x:c>
      <x:c r="G65" t="str">
        <x:v>48-h / 2-day PCIA period</x:v>
      </x:c>
      <x:c r="H65" t="str">
        <x:v>Mean/SD</x:v>
      </x:c>
      <x:c r="I65" t="n">
        <x:v>30</x:v>
      </x:c>
      <x:c r="J65" t="n">
        <x:v>30</x:v>
      </x:c>
      <x:c r="K65" t="n">
        <x:v>29</x:v>
      </x:c>
      <x:c r="L65" t="n">
        <x:v>29</x:v>
      </x:c>
      <x:c r="M65" t="n">
        <x:v>6.55</x:v>
      </x:c>
      <x:c r="N65" t="n">
        <x:v>3.19</x:v>
      </x:c>
      <x:c r="O65"/>
      <x:c r="P65"/>
      <x:c r="Q65"/>
      <x:c r="R65"/>
      <x:c r="S65" t="n">
        <x:v>9.97</x:v>
      </x:c>
      <x:c r="T65" t="n">
        <x:v>3.8</x:v>
      </x:c>
      <x:c r="U65"/>
      <x:c r="V65"/>
      <x:c r="W65"/>
      <x:c r="X65"/>
      <x:c r="Y65" t="str">
        <x:v>presses</x:v>
      </x:c>
      <x:c r="Z65" t="str">
        <x:v>&lt;0.05 pairwise</x:v>
      </x:c>
      <x:c r="AA65" t="str">
        <x:v>Yes</x:v>
      </x:c>
      <x:c r="AB65" t="str">
        <x:v>No</x:v>
      </x:c>
      <x:c r="AC65" t="str">
        <x:f>IF(H65="Mean/SD","MD",IF(H65="Events/total","RR",""))</x:f>
        <x:v>MD</x:v>
      </x:c>
      <x:c r="AD65" t="n">
        <x:f>IF(H65="Mean/SD",M65-S65,IF(H65="Events/total",IFERROR((R65/K65)/(X65/L65),""),""))</x:f>
        <x:v>-3.420000000000001</x:v>
      </x:c>
      <x:c r="AE65" t="str">
        <x:v>No</x:v>
      </x:c>
      <x:c r="AF65" t="str">
        <x:v>No</x:v>
      </x:c>
      <x:c r="AG65" t="str">
        <x:v>Eligible only as PCA-demand outcome, not exact opioid consumption</x:v>
      </x:c>
      <x:c r="AH65" t="str">
        <x:v>Yes</x:v>
      </x:c>
      <x:c r="AI65" t="str">
        <x:v>Press attempts may not equal successful delivered boluses; do not multiply by 1 µg</x:v>
      </x:c>
      <x:c r="AJ65" t="str">
        <x:v>Table 3 / PCIA press count</x:v>
      </x:c>
      <x:c r="AK65" t="str">
        <x:v>https://drive.google.com/file/d/1h3IGpQ56nSh7H16xBEVyTzCBkWOXRSxK/view?usp=drivesdk</x:v>
      </x:c>
      <x:c r="AL65" t="str">
        <x:v>SOURCE-VERIFIED / DOSE NOT RECONSTRUCTABLE</x:v>
      </x:c>
    </x:row>
    <x:row r="66">
      <x:c r="A66" t="str">
        <x:v>Xing 2022</x:v>
      </x:c>
      <x:c r="B66" t="str">
        <x:v>XING22_NTG_vs_NG_OPIOID24</x:v>
      </x:c>
      <x:c r="C66" t="str">
        <x:v>TEAS + active TAPB</x:v>
      </x:c>
      <x:c r="D66" t="str">
        <x:v>Sham TEAS + active TAPB</x:v>
      </x:c>
      <x:c r="E66" t="str">
        <x:v>Opioid consumption</x:v>
      </x:c>
      <x:c r="F66" t="str">
        <x:v>Exact cumulative postoperative sufentanil delivered</x:v>
      </x:c>
      <x:c r="G66" t="str">
        <x:v>0-24 h</x:v>
      </x:c>
      <x:c r="H66" t="str">
        <x:v>Not reported</x:v>
      </x:c>
      <x:c r="I66" t="n">
        <x:v>30</x:v>
      </x:c>
      <x:c r="J66" t="n">
        <x:v>30</x:v>
      </x:c>
      <x:c r="K66" t="n">
        <x:v>29</x:v>
      </x:c>
      <x:c r="L66" t="n">
        <x:v>29</x:v>
      </x:c>
      <x:c r="M66"/>
      <x:c r="N66"/>
      <x:c r="O66"/>
      <x:c r="P66"/>
      <x:c r="Q66"/>
      <x:c r="R66"/>
      <x:c r="S66"/>
      <x:c r="T66"/>
      <x:c r="U66"/>
      <x:c r="V66"/>
      <x:c r="W66"/>
      <x:c r="X66"/>
      <x:c r="Y66" t="str">
        <x:v>µg sufentanil</x:v>
      </x:c>
      <x:c r="Z66" t="str"/>
      <x:c r="AA66" t="str">
        <x:v>No</x:v>
      </x:c>
      <x:c r="AB66" t="str">
        <x:v>No</x:v>
      </x:c>
      <x:c r="AC66" t="str">
        <x:f>IF(H66="Mean/SD","MD",IF(H66="Events/total","RR",""))</x:f>
      </x:c>
      <x:c r="AD66" t="str">
        <x:f>IF(H66="Mean/SD",M66-S66,IF(H66="Events/total",IFERROR((R66/K66)/(X66/L66),""),""))</x:f>
      </x:c>
      <x:c r="AE66" t="str">
        <x:v>No</x:v>
      </x:c>
      <x:c r="AF66" t="str">
        <x:v>No</x:v>
      </x:c>
      <x:c r="AG66" t="str">
        <x:v>Not eligible for continuous 24-h opioid meta-analysis without author data</x:v>
      </x:c>
      <x:c r="AH66" t="str">
        <x:v>Yes</x:v>
      </x:c>
      <x:c r="AI66" t="str">
        <x:v>PCIA wording is internally contradictory and only press counts are reported</x:v>
      </x:c>
      <x:c r="AJ66" t="str">
        <x:v>Exact 24-h endpoint absent</x:v>
      </x:c>
      <x:c r="AK66" t="str">
        <x:v>https://drive.google.com/file/d/1h3IGpQ56nSh7H16xBEVyTzCBkWOXRSxK/view?usp=drivesdk</x:v>
      </x:c>
      <x:c r="AL66" t="str">
        <x:v>MISSING / AUTHOR DATA NEEDED</x:v>
      </x:c>
    </x:row>
    <x:row r="67">
      <x:c r="A67" t="str">
        <x:v>Xie 2014</x:v>
      </x:c>
      <x:c r="B67" t="str">
        <x:v>XIE14_EAS_vs_SHAM_TOTALSUF</x:v>
      </x:c>
      <x:c r="C67" t="str">
        <x:v>Active EAS PC4/PC6</x:v>
      </x:c>
      <x:c r="D67" t="str">
        <x:v>Sham needling PC4/PC6</x:v>
      </x:c>
      <x:c r="E67" t="str">
        <x:v>Opioid consumption</x:v>
      </x:c>
      <x:c r="F67" t="str">
        <x:v>Total postoperative/perioperative sufentanil</x:v>
      </x:c>
      <x:c r="G67" t="str">
        <x:v>Study PCA period; exact fixed window unclear</x:v>
      </x:c>
      <x:c r="H67" t="str">
        <x:v>Mean/SD</x:v>
      </x:c>
      <x:c r="I67" t="n">
        <x:v>20</x:v>
      </x:c>
      <x:c r="J67" t="n">
        <x:v>20</x:v>
      </x:c>
      <x:c r="K67" t="n">
        <x:v>20</x:v>
      </x:c>
      <x:c r="L67" t="n">
        <x:v>20</x:v>
      </x:c>
      <x:c r="M67" t="n">
        <x:v>115</x:v>
      </x:c>
      <x:c r="N67" t="n">
        <x:v>6</x:v>
      </x:c>
      <x:c r="O67"/>
      <x:c r="P67"/>
      <x:c r="Q67"/>
      <x:c r="R67"/>
      <x:c r="S67" t="n">
        <x:v>133</x:v>
      </x:c>
      <x:c r="T67" t="n">
        <x:v>7</x:v>
      </x:c>
      <x:c r="U67"/>
      <x:c r="V67"/>
      <x:c r="W67"/>
      <x:c r="X67"/>
      <x:c r="Y67" t="str">
        <x:v>µg sufentanil</x:v>
      </x:c>
      <x:c r="Z67" t="str">
        <x:v>&lt;0.05</x:v>
      </x:c>
      <x:c r="AA67" t="str">
        <x:v>Yes</x:v>
      </x:c>
      <x:c r="AB67" t="str">
        <x:v>No</x:v>
      </x:c>
      <x:c r="AC67" t="str">
        <x:f>IF(H67="Mean/SD","MD",IF(H67="Events/total","RR",""))</x:f>
        <x:v>MD</x:v>
      </x:c>
      <x:c r="AD67" t="n">
        <x:f>IF(H67="Mean/SD",M67-S67,IF(H67="Events/total",IFERROR((R67/K67)/(X67/L67),""),""))</x:f>
        <x:v>-18</x:v>
      </x:c>
      <x:c r="AE67" t="str">
        <x:v>No</x:v>
      </x:c>
      <x:c r="AF67" t="str">
        <x:v>No</x:v>
      </x:c>
      <x:c r="AG67" t="str">
        <x:v>Potentially usable only for non-24-h opioid analysis after time-window adjudication</x:v>
      </x:c>
      <x:c r="AH67" t="str">
        <x:v>Yes</x:v>
      </x:c>
      <x:c r="AI67" t="str">
        <x:v>Infusion described through POD3; Discussion mentions lower use through 48 h; Table 2 does not define fixed window</x:v>
      </x:c>
      <x:c r="AJ67" t="str">
        <x:v>Table 2 / total sufentanil</x:v>
      </x:c>
      <x:c r="AK67" t="str">
        <x:v>https://drive.google.com/file/d/17faY_h0rMJTuhjPOC5PL_S59jYmHDPee/view?usp=drivesdk</x:v>
      </x:c>
      <x:c r="AL67" t="str">
        <x:v>SOURCE-VERIFIED / WINDOW QC</x:v>
      </x:c>
    </x:row>
    <x:row r="68">
      <x:c r="A68" t="str">
        <x:v>Xie 2014</x:v>
      </x:c>
      <x:c r="B68" t="str">
        <x:v>XIE14_EAS_vs_CONTROL_TOTALSUF</x:v>
      </x:c>
      <x:c r="C68" t="str">
        <x:v>Active EAS PC4/PC6</x:v>
      </x:c>
      <x:c r="D68" t="str">
        <x:v>General-anesthesia control</x:v>
      </x:c>
      <x:c r="E68" t="str">
        <x:v>Opioid consumption</x:v>
      </x:c>
      <x:c r="F68" t="str">
        <x:v>Total postoperative/perioperative sufentanil</x:v>
      </x:c>
      <x:c r="G68" t="str">
        <x:v>Study PCA period; exact fixed window unclear</x:v>
      </x:c>
      <x:c r="H68" t="str">
        <x:v>Mean/SD</x:v>
      </x:c>
      <x:c r="I68" t="n">
        <x:v>20</x:v>
      </x:c>
      <x:c r="J68" t="n">
        <x:v>20</x:v>
      </x:c>
      <x:c r="K68" t="n">
        <x:v>20</x:v>
      </x:c>
      <x:c r="L68" t="n">
        <x:v>20</x:v>
      </x:c>
      <x:c r="M68" t="n">
        <x:v>115</x:v>
      </x:c>
      <x:c r="N68" t="n">
        <x:v>6</x:v>
      </x:c>
      <x:c r="O68"/>
      <x:c r="P68"/>
      <x:c r="Q68"/>
      <x:c r="R68"/>
      <x:c r="S68" t="n">
        <x:v>134</x:v>
      </x:c>
      <x:c r="T68" t="n">
        <x:v>5.9</x:v>
      </x:c>
      <x:c r="U68"/>
      <x:c r="V68"/>
      <x:c r="W68"/>
      <x:c r="X68"/>
      <x:c r="Y68" t="str">
        <x:v>µg sufentanil</x:v>
      </x:c>
      <x:c r="Z68" t="str">
        <x:v>&lt;0.05</x:v>
      </x:c>
      <x:c r="AA68" t="str">
        <x:v>Yes</x:v>
      </x:c>
      <x:c r="AB68" t="str">
        <x:v>No</x:v>
      </x:c>
      <x:c r="AC68" t="str">
        <x:f>IF(H68="Mean/SD","MD",IF(H68="Events/total","RR",""))</x:f>
        <x:v>MD</x:v>
      </x:c>
      <x:c r="AD68" t="n">
        <x:f>IF(H68="Mean/SD",M68-S68,IF(H68="Events/total",IFERROR((R68/K68)/(X68/L68),""),""))</x:f>
        <x:v>-19</x:v>
      </x:c>
      <x:c r="AE68" t="str">
        <x:v>No</x:v>
      </x:c>
      <x:c r="AF68" t="str">
        <x:v>No</x:v>
      </x:c>
      <x:c r="AG68" t="str">
        <x:v>Potentially usable only for non-24-h opioid analysis after time-window adjudication</x:v>
      </x:c>
      <x:c r="AH68" t="str">
        <x:v>Yes</x:v>
      </x:c>
      <x:c r="AI68" t="str">
        <x:v>Three-arm shared-intervention structure; exact fixed observation window not established</x:v>
      </x:c>
      <x:c r="AJ68" t="str">
        <x:v>Table 2 / total sufentanil</x:v>
      </x:c>
      <x:c r="AK68" t="str">
        <x:v>https://drive.google.com/file/d/17faY_h0rMJTuhjPOC5PL_S59jYmHDPee/view?usp=drivesdk</x:v>
      </x:c>
      <x:c r="AL68" t="str">
        <x:v>SOURCE-VERIFIED / WINDOW QC</x:v>
      </x:c>
    </x:row>
    <x:row r="69">
      <x:c r="A69" t="str">
        <x:v>Xie 2014</x:v>
      </x:c>
      <x:c r="B69" t="str">
        <x:v>XIE14_EAS_vs_SHAM_PCADEMAND</x:v>
      </x:c>
      <x:c r="C69" t="str">
        <x:v>Active EAS PC4/PC6</x:v>
      </x:c>
      <x:c r="D69" t="str">
        <x:v>Sham needling PC4/PC6</x:v>
      </x:c>
      <x:c r="E69" t="str">
        <x:v>Opioid demand</x:v>
      </x:c>
      <x:c r="F69" t="str">
        <x:v>Patient-controlled analgesia demand count</x:v>
      </x:c>
      <x:c r="G69" t="str">
        <x:v>Study PCA period</x:v>
      </x:c>
      <x:c r="H69" t="str">
        <x:v>Mean/SD</x:v>
      </x:c>
      <x:c r="I69" t="n">
        <x:v>20</x:v>
      </x:c>
      <x:c r="J69" t="n">
        <x:v>20</x:v>
      </x:c>
      <x:c r="K69" t="n">
        <x:v>20</x:v>
      </x:c>
      <x:c r="L69" t="n">
        <x:v>20</x:v>
      </x:c>
      <x:c r="M69" t="n">
        <x:v>16</x:v>
      </x:c>
      <x:c r="N69" t="n">
        <x:v>3</x:v>
      </x:c>
      <x:c r="O69"/>
      <x:c r="P69"/>
      <x:c r="Q69"/>
      <x:c r="R69"/>
      <x:c r="S69" t="n">
        <x:v>43</x:v>
      </x:c>
      <x:c r="T69" t="n">
        <x:v>3</x:v>
      </x:c>
      <x:c r="U69"/>
      <x:c r="V69"/>
      <x:c r="W69"/>
      <x:c r="X69"/>
      <x:c r="Y69" t="str">
        <x:v>demands</x:v>
      </x:c>
      <x:c r="Z69" t="str">
        <x:v>&lt;0.05</x:v>
      </x:c>
      <x:c r="AA69" t="str">
        <x:v>Yes</x:v>
      </x:c>
      <x:c r="AB69" t="str">
        <x:v>No</x:v>
      </x:c>
      <x:c r="AC69" t="str">
        <x:f>IF(H69="Mean/SD","MD",IF(H69="Events/total","RR",""))</x:f>
        <x:v>MD</x:v>
      </x:c>
      <x:c r="AD69" t="n">
        <x:f>IF(H69="Mean/SD",M69-S69,IF(H69="Events/total",IFERROR((R69/K69)/(X69/L69),""),""))</x:f>
        <x:v>-27</x:v>
      </x:c>
      <x:c r="AE69" t="str">
        <x:v>No</x:v>
      </x:c>
      <x:c r="AF69" t="str">
        <x:v>No</x:v>
      </x:c>
      <x:c r="AG69" t="str">
        <x:v>Eligible as analgesic-demand outcome only</x:v>
      </x:c>
      <x:c r="AH69" t="str">
        <x:v>Yes</x:v>
      </x:c>
      <x:c r="AI69" t="str">
        <x:v>Demand count should not be converted into delivered sufentanil without confirmation</x:v>
      </x:c>
      <x:c r="AJ69" t="str">
        <x:v>Table 2 / patient demand</x:v>
      </x:c>
      <x:c r="AK69" t="str">
        <x:v>https://drive.google.com/file/d/17faY_h0rMJTuhjPOC5PL_S59jYmHDPee/view?usp=drivesdk</x:v>
      </x:c>
      <x:c r="AL69" t="str">
        <x:v>SOURCE-VERIFIED / DOSE NOT RECONSTRUCTABLE</x:v>
      </x:c>
    </x:row>
    <x:row r="70">
      <x:c r="A70" t="str">
        <x:v>Xie 2014</x:v>
      </x:c>
      <x:c r="B70" t="str">
        <x:v>XIE14_EAS_vs_SHAM_OPIOID24</x:v>
      </x:c>
      <x:c r="C70" t="str">
        <x:v>Active EAS PC4/PC6</x:v>
      </x:c>
      <x:c r="D70" t="str">
        <x:v>Sham needling PC4/PC6</x:v>
      </x:c>
      <x:c r="E70" t="str">
        <x:v>Opioid consumption</x:v>
      </x:c>
      <x:c r="F70" t="str">
        <x:v>Exact cumulative postoperative sufentanil</x:v>
      </x:c>
      <x:c r="G70" t="str">
        <x:v>0-24 h</x:v>
      </x:c>
      <x:c r="H70" t="str">
        <x:v>Not reported</x:v>
      </x:c>
      <x:c r="I70" t="n">
        <x:v>20</x:v>
      </x:c>
      <x:c r="J70" t="n">
        <x:v>20</x:v>
      </x:c>
      <x:c r="K70" t="n">
        <x:v>20</x:v>
      </x:c>
      <x:c r="L70" t="n">
        <x:v>20</x:v>
      </x:c>
      <x:c r="M70"/>
      <x:c r="N70"/>
      <x:c r="O70"/>
      <x:c r="P70"/>
      <x:c r="Q70"/>
      <x:c r="R70"/>
      <x:c r="S70"/>
      <x:c r="T70"/>
      <x:c r="U70"/>
      <x:c r="V70"/>
      <x:c r="W70"/>
      <x:c r="X70"/>
      <x:c r="Y70" t="str">
        <x:v>µg sufentanil</x:v>
      </x:c>
      <x:c r="Z70" t="str"/>
      <x:c r="AA70" t="str">
        <x:v>No</x:v>
      </x:c>
      <x:c r="AB70" t="str">
        <x:v>No</x:v>
      </x:c>
      <x:c r="AC70" t="str">
        <x:f>IF(H70="Mean/SD","MD",IF(H70="Events/total","RR",""))</x:f>
      </x:c>
      <x:c r="AD70" t="str">
        <x:f>IF(H70="Mean/SD",M70-S70,IF(H70="Events/total",IFERROR((R70/K70)/(X70/L70),""),""))</x:f>
      </x:c>
      <x:c r="AE70" t="str">
        <x:v>No</x:v>
      </x:c>
      <x:c r="AF70" t="str">
        <x:v>No</x:v>
      </x:c>
      <x:c r="AG70" t="str">
        <x:v>Not eligible for strict continuous 24-h opioid meta-analysis</x:v>
      </x:c>
      <x:c r="AH70" t="str">
        <x:v>Yes</x:v>
      </x:c>
      <x:c r="AI70" t="str">
        <x:v>Directly reported total cannot be assigned to a fixed 24-h window</x:v>
      </x:c>
      <x:c r="AJ70" t="str">
        <x:v>Exact 24-h endpoint absent</x:v>
      </x:c>
      <x:c r="AK70" t="str">
        <x:v>https://drive.google.com/file/d/17faY_h0rMJTuhjPOC5PL_S59jYmHDPee/view?usp=drivesdk</x:v>
      </x:c>
      <x:c r="AL70" t="str">
        <x:v>MISSING / TIME WINDOW UNRESOLVED</x:v>
      </x:c>
    </x:row>
    <x:row r="71">
      <x:c r="A71" t="str">
        <x:v>Wu 2022</x:v>
      </x:c>
      <x:c r="B71" t="str">
        <x:v>WU22_PTEAS_vs_CTRL_PAINPOD1</x:v>
      </x:c>
      <x:c r="C71" t="str">
        <x:v>Perioperative pTEAS</x:v>
      </x:c>
      <x:c r="D71" t="str">
        <x:v>No-current control</x:v>
      </x:c>
      <x:c r="E71" t="str">
        <x:v>Pain</x:v>
      </x:c>
      <x:c r="F71" t="str">
        <x:v>VAS pain intensity</x:v>
      </x:c>
      <x:c r="G71" t="str">
        <x:v>POD1</x:v>
      </x:c>
      <x:c r="H71" t="str">
        <x:v>Mean/SD</x:v>
      </x:c>
      <x:c r="I71" t="n">
        <x:v>45</x:v>
      </x:c>
      <x:c r="J71" t="n">
        <x:v>45</x:v>
      </x:c>
      <x:c r="K71" t="n">
        <x:v>44</x:v>
      </x:c>
      <x:c r="L71" t="n">
        <x:v>40</x:v>
      </x:c>
      <x:c r="M71" t="n">
        <x:v>1.77</x:v>
      </x:c>
      <x:c r="N71" t="n">
        <x:v>0.91</x:v>
      </x:c>
      <x:c r="O71"/>
      <x:c r="P71"/>
      <x:c r="Q71"/>
      <x:c r="R71"/>
      <x:c r="S71" t="n">
        <x:v>2.25</x:v>
      </x:c>
      <x:c r="T71" t="n">
        <x:v>0.71</x:v>
      </x:c>
      <x:c r="U71"/>
      <x:c r="V71"/>
      <x:c r="W71"/>
      <x:c r="X71"/>
      <x:c r="Y71" t="str">
        <x:v>VAS 0-10</x:v>
      </x:c>
      <x:c r="Z71" t="str">
        <x:v>0.009</x:v>
      </x:c>
      <x:c r="AA71" t="str">
        <x:v>Yes</x:v>
      </x:c>
      <x:c r="AB71" t="str">
        <x:v>No</x:v>
      </x:c>
      <x:c r="AC71" t="str">
        <x:f>IF(H71="Mean/SD","MD",IF(H71="Events/total","RR",""))</x:f>
        <x:v>MD</x:v>
      </x:c>
      <x:c r="AD71" t="n">
        <x:f>IF(H71="Mean/SD",M71-S71,IF(H71="Events/total",IFERROR((R71/K71)/(X71/L71),""),""))</x:f>
        <x:v>-0.48</x:v>
      </x:c>
      <x:c r="AE71" t="str">
        <x:v>No</x:v>
      </x:c>
      <x:c r="AF71" t="str">
        <x:v>No</x:v>
      </x:c>
      <x:c r="AG71" t="str">
        <x:v>Eligible for POD1 pain analysis</x:v>
      </x:c>
      <x:c r="AH71" t="str">
        <x:v>No</x:v>
      </x:c>
      <x:c r="AI71" t="str">
        <x:v>Asymmetric post-randomization exclusions: 1/45 pTEAS vs 5/45 control; participant sensory blinding not convincing</x:v>
      </x:c>
      <x:c r="AJ71" t="str">
        <x:v>Table 3 / POD1 pain</x:v>
      </x:c>
      <x:c r="AK71" t="str">
        <x:v>https://drive.google.com/file/d/1XR_8qmeHR7ulwV7NaaI0CeYbpwKdc_ym/view?usp=drivesdk</x:v>
      </x:c>
      <x:c r="AL71" t="str">
        <x:v>SOURCE-VERIFIED / ATTRITION QC</x:v>
      </x:c>
    </x:row>
    <x:row r="72">
      <x:c r="A72" t="str">
        <x:v>Wu 2022</x:v>
      </x:c>
      <x:c r="B72" t="str">
        <x:v>WU22_PTEAS_vs_CTRL_REMI</x:v>
      </x:c>
      <x:c r="C72" t="str">
        <x:v>Perioperative pTEAS</x:v>
      </x:c>
      <x:c r="D72" t="str">
        <x:v>No-current control</x:v>
      </x:c>
      <x:c r="E72" t="str">
        <x:v>Intraoperative opioid</x:v>
      </x:c>
      <x:c r="F72" t="str">
        <x:v>Cumulative remifentanil</x:v>
      </x:c>
      <x:c r="G72" t="str">
        <x:v>Intraoperative</x:v>
      </x:c>
      <x:c r="H72" t="str">
        <x:v>Mean/SD</x:v>
      </x:c>
      <x:c r="I72" t="n">
        <x:v>45</x:v>
      </x:c>
      <x:c r="J72" t="n">
        <x:v>45</x:v>
      </x:c>
      <x:c r="K72" t="n">
        <x:v>44</x:v>
      </x:c>
      <x:c r="L72" t="n">
        <x:v>40</x:v>
      </x:c>
      <x:c r="M72" t="n">
        <x:v>1383</x:v>
      </x:c>
      <x:c r="N72" t="n">
        <x:v>494</x:v>
      </x:c>
      <x:c r="O72"/>
      <x:c r="P72"/>
      <x:c r="Q72"/>
      <x:c r="R72"/>
      <x:c r="S72" t="n">
        <x:v>1637</x:v>
      </x:c>
      <x:c r="T72" t="n">
        <x:v>630</x:v>
      </x:c>
      <x:c r="U72"/>
      <x:c r="V72"/>
      <x:c r="W72"/>
      <x:c r="X72"/>
      <x:c r="Y72" t="str">
        <x:v>µg remifentanil</x:v>
      </x:c>
      <x:c r="Z72" t="str">
        <x:v>0.042</x:v>
      </x:c>
      <x:c r="AA72" t="str">
        <x:v>Yes</x:v>
      </x:c>
      <x:c r="AB72" t="str">
        <x:v>No</x:v>
      </x:c>
      <x:c r="AC72" t="str">
        <x:f>IF(H72="Mean/SD","MD",IF(H72="Events/total","RR",""))</x:f>
        <x:v>MD</x:v>
      </x:c>
      <x:c r="AD72" t="n">
        <x:f>IF(H72="Mean/SD",M72-S72,IF(H72="Events/total",IFERROR((R72/K72)/(X72/L72),""),""))</x:f>
        <x:v>-254</x:v>
      </x:c>
      <x:c r="AE72" t="str">
        <x:v>No</x:v>
      </x:c>
      <x:c r="AF72" t="str">
        <x:v>No</x:v>
      </x:c>
      <x:c r="AG72" t="str">
        <x:v>Eligible for intraoperative opioid-sparing analysis</x:v>
      </x:c>
      <x:c r="AH72" t="str">
        <x:v>No</x:v>
      </x:c>
      <x:c r="AI72" t="str">
        <x:v>Complete-case analysis with asymmetric attrition</x:v>
      </x:c>
      <x:c r="AJ72" t="str">
        <x:v>Table 2 / cumulative remifentanil</x:v>
      </x:c>
      <x:c r="AK72" t="str">
        <x:v>https://drive.google.com/file/d/1XR_8qmeHR7ulwV7NaaI0CeYbpwKdc_ym/view?usp=drivesdk</x:v>
      </x:c>
      <x:c r="AL72" t="str">
        <x:v>SOURCE-VERIFIED</x:v>
      </x:c>
    </x:row>
    <x:row r="73">
      <x:c r="A73" t="str">
        <x:v>Wu 2022</x:v>
      </x:c>
      <x:c r="B73" t="str">
        <x:v>WU22_PTEAS_vs_CTRL_REMIINDEX</x:v>
      </x:c>
      <x:c r="C73" t="str">
        <x:v>Perioperative pTEAS</x:v>
      </x:c>
      <x:c r="D73" t="str">
        <x:v>No-current control</x:v>
      </x:c>
      <x:c r="E73" t="str">
        <x:v>Intraoperative opioid</x:v>
      </x:c>
      <x:c r="F73" t="str">
        <x:v>Remifentanil dose index</x:v>
      </x:c>
      <x:c r="G73" t="str">
        <x:v>Intraoperative</x:v>
      </x:c>
      <x:c r="H73" t="str">
        <x:v>Mean/SD</x:v>
      </x:c>
      <x:c r="I73" t="n">
        <x:v>45</x:v>
      </x:c>
      <x:c r="J73" t="n">
        <x:v>45</x:v>
      </x:c>
      <x:c r="K73" t="n">
        <x:v>44</x:v>
      </x:c>
      <x:c r="L73" t="n">
        <x:v>40</x:v>
      </x:c>
      <x:c r="M73" t="n">
        <x:v>0.084</x:v>
      </x:c>
      <x:c r="N73" t="n">
        <x:v>0.018</x:v>
      </x:c>
      <x:c r="O73"/>
      <x:c r="P73"/>
      <x:c r="Q73"/>
      <x:c r="R73"/>
      <x:c r="S73" t="n">
        <x:v>0.114</x:v>
      </x:c>
      <x:c r="T73" t="n">
        <x:v>0.09</x:v>
      </x:c>
      <x:c r="U73"/>
      <x:c r="V73"/>
      <x:c r="W73"/>
      <x:c r="X73"/>
      <x:c r="Y73" t="str">
        <x:v>µg/min/kg</x:v>
      </x:c>
      <x:c r="Z73" t="str">
        <x:v>0.045</x:v>
      </x:c>
      <x:c r="AA73" t="str">
        <x:v>Yes</x:v>
      </x:c>
      <x:c r="AB73" t="str">
        <x:v>No</x:v>
      </x:c>
      <x:c r="AC73" t="str">
        <x:f>IF(H73="Mean/SD","MD",IF(H73="Events/total","RR",""))</x:f>
        <x:v>MD</x:v>
      </x:c>
      <x:c r="AD73" t="n">
        <x:f>IF(H73="Mean/SD",M73-S73,IF(H73="Events/total",IFERROR((R73/K73)/(X73/L73),""),""))</x:f>
        <x:v>-0.03</x:v>
      </x:c>
      <x:c r="AE73" t="str">
        <x:v>No</x:v>
      </x:c>
      <x:c r="AF73" t="str">
        <x:v>No</x:v>
      </x:c>
      <x:c r="AG73" t="str">
        <x:v>Eligible for intraoperative dose-index analysis</x:v>
      </x:c>
      <x:c r="AH73" t="str">
        <x:v>No</x:v>
      </x:c>
      <x:c r="AI73" t="str">
        <x:v>Preserve source units as reported</x:v>
      </x:c>
      <x:c r="AJ73" t="str">
        <x:v>Table 2 / remifentanil index</x:v>
      </x:c>
      <x:c r="AK73" t="str">
        <x:v>https://drive.google.com/file/d/1XR_8qmeHR7ulwV7NaaI0CeYbpwKdc_ym/view?usp=drivesdk</x:v>
      </x:c>
      <x:c r="AL73" t="str">
        <x:v>SOURCE-VERIFIED</x:v>
      </x:c>
    </x:row>
    <x:row r="74">
      <x:c r="A74" t="str">
        <x:v>Wu 2022</x:v>
      </x:c>
      <x:c r="B74" t="str">
        <x:v>WU22_PTEAS_vs_CTRL_OPIOID24</x:v>
      </x:c>
      <x:c r="C74" t="str">
        <x:v>Perioperative pTEAS</x:v>
      </x:c>
      <x:c r="D74" t="str">
        <x:v>No-current control</x:v>
      </x:c>
      <x:c r="E74" t="str">
        <x:v>Opioid consumption</x:v>
      </x:c>
      <x:c r="F74" t="str">
        <x:v>Exact cumulative postoperative opioid consumption</x:v>
      </x:c>
      <x:c r="G74" t="str">
        <x:v>0-24 h</x:v>
      </x:c>
      <x:c r="H74" t="str">
        <x:v>Not reported</x:v>
      </x:c>
      <x:c r="I74" t="n">
        <x:v>45</x:v>
      </x:c>
      <x:c r="J74" t="n">
        <x:v>45</x:v>
      </x:c>
      <x:c r="K74" t="n">
        <x:v>44</x:v>
      </x:c>
      <x:c r="L74" t="n">
        <x:v>40</x:v>
      </x:c>
      <x:c r="M74"/>
      <x:c r="N74"/>
      <x:c r="O74"/>
      <x:c r="P74"/>
      <x:c r="Q74"/>
      <x:c r="R74"/>
      <x:c r="S74"/>
      <x:c r="T74"/>
      <x:c r="U74"/>
      <x:c r="V74"/>
      <x:c r="W74"/>
      <x:c r="X74"/>
      <x:c r="Y74" t="str">
        <x:v>mg/µg</x:v>
      </x:c>
      <x:c r="Z74" t="str"/>
      <x:c r="AA74" t="str">
        <x:v>No</x:v>
      </x:c>
      <x:c r="AB74" t="str">
        <x:v>No</x:v>
      </x:c>
      <x:c r="AC74" t="str">
        <x:f>IF(H74="Mean/SD","MD",IF(H74="Events/total","RR",""))</x:f>
      </x:c>
      <x:c r="AD74" t="str">
        <x:f>IF(H74="Mean/SD",M74-S74,IF(H74="Events/total",IFERROR((R74/K74)/(X74/L74),""),""))</x:f>
      </x:c>
      <x:c r="AE74" t="str">
        <x:v>No</x:v>
      </x:c>
      <x:c r="AF74" t="str">
        <x:v>No</x:v>
      </x:c>
      <x:c r="AG74" t="str">
        <x:v>Not eligible for continuous 24-h postoperative opioid meta-analysis</x:v>
      </x:c>
      <x:c r="AH74" t="str">
        <x:v>No</x:v>
      </x:c>
      <x:c r="AI74" t="str">
        <x:v>Standard end-of-surgery tramadol/fentanyl are reported, but no randomized group-specific 0-24-h opioid total is provided</x:v>
      </x:c>
      <x:c r="AJ74" t="str">
        <x:v>Postoperative analgesia section</x:v>
      </x:c>
      <x:c r="AK74" t="str">
        <x:v>https://drive.google.com/file/d/1XR_8qmeHR7ulwV7NaaI0CeYbpwKdc_ym/view?usp=drivesdk</x:v>
      </x:c>
      <x:c r="AL74" t="str">
        <x:v>MISSING / NOT REPORTED</x:v>
      </x:c>
    </x:row>
    <x:row r="75">
      <x:c r="A75" t="str">
        <x:v>Wu 2025</x:v>
      </x:c>
      <x:c r="B75" t="str">
        <x:v>WU25_TEAS_vs_SHAM_VAS24</x:v>
      </x:c>
      <x:c r="C75" t="str">
        <x:v>PACU TEAS</x:v>
      </x:c>
      <x:c r="D75" t="str">
        <x:v>Sham/no current</x:v>
      </x:c>
      <x:c r="E75" t="str">
        <x:v>Pain</x:v>
      </x:c>
      <x:c r="F75" t="str">
        <x:v>VAS pain intensity</x:v>
      </x:c>
      <x:c r="G75" t="str">
        <x:v>24 h</x:v>
      </x:c>
      <x:c r="H75" t="str">
        <x:v>Mean/SD</x:v>
      </x:c>
      <x:c r="I75" t="n">
        <x:v>50</x:v>
      </x:c>
      <x:c r="J75" t="n">
        <x:v>50</x:v>
      </x:c>
      <x:c r="K75" t="n">
        <x:v>50</x:v>
      </x:c>
      <x:c r="L75" t="n">
        <x:v>50</x:v>
      </x:c>
      <x:c r="M75" t="n">
        <x:v>1.7</x:v>
      </x:c>
      <x:c r="N75" t="n">
        <x:v>0.9</x:v>
      </x:c>
      <x:c r="O75"/>
      <x:c r="P75"/>
      <x:c r="Q75"/>
      <x:c r="R75"/>
      <x:c r="S75" t="n">
        <x:v>4</x:v>
      </x:c>
      <x:c r="T75" t="n">
        <x:v>1.4</x:v>
      </x:c>
      <x:c r="U75"/>
      <x:c r="V75"/>
      <x:c r="W75"/>
      <x:c r="X75"/>
      <x:c r="Y75" t="str">
        <x:v>VAS 0-10</x:v>
      </x:c>
      <x:c r="Z75" t="str">
        <x:v>&lt;0.001</x:v>
      </x:c>
      <x:c r="AA75" t="str">
        <x:v>Yes</x:v>
      </x:c>
      <x:c r="AB75" t="str">
        <x:v>No</x:v>
      </x:c>
      <x:c r="AC75" t="str">
        <x:f>IF(H75="Mean/SD","MD",IF(H75="Events/total","RR",""))</x:f>
        <x:v>MD</x:v>
      </x:c>
      <x:c r="AD75" t="n">
        <x:f>IF(H75="Mean/SD",M75-S75,IF(H75="Events/total",IFERROR((R75/K75)/(X75/L75),""),""))</x:f>
        <x:v>-2.3</x:v>
      </x:c>
      <x:c r="AE75" t="str">
        <x:v>No</x:v>
      </x:c>
      <x:c r="AF75" t="str">
        <x:v>No</x:v>
      </x:c>
      <x:c r="AG75" t="str">
        <x:v>Eligible for 24-h pain meta-analysis</x:v>
      </x:c>
      <x:c r="AH75" t="str">
        <x:v>No</x:v>
      </x:c>
      <x:c r="AI75" t="str">
        <x:v>Three patients could not be contacted at 24 h, yet all 100 were included in ITT; imputation/handling method is not explained</x:v>
      </x:c>
      <x:c r="AJ75" t="str">
        <x:v>Table 2 / primary 24-h VAS</x:v>
      </x:c>
      <x:c r="AK75" t="str">
        <x:v>https://drive.google.com/file/d/1ZV6JFjevGSPqnISdX61KPdcC_yEtq3vf/view?usp=drivesdk</x:v>
      </x:c>
      <x:c r="AL75" t="str">
        <x:v>SOURCE-VERIFIED / MISSING-DATA METHOD QC</x:v>
      </x:c>
    </x:row>
    <x:row r="76">
      <x:c r="A76" t="str">
        <x:v>Wu 2025</x:v>
      </x:c>
      <x:c r="B76" t="str">
        <x:v>WU25_TEAS_vs_SHAM_MODPAIN12</x:v>
      </x:c>
      <x:c r="C76" t="str">
        <x:v>PACU TEAS</x:v>
      </x:c>
      <x:c r="D76" t="str">
        <x:v>Sham/no current</x:v>
      </x:c>
      <x:c r="E76" t="str">
        <x:v>Pain</x:v>
      </x:c>
      <x:c r="F76" t="str">
        <x:v>Moderate-to-severe pain (VAS &gt;4)</x:v>
      </x:c>
      <x:c r="G76" t="str">
        <x:v>Within 12 h</x:v>
      </x:c>
      <x:c r="H76" t="str">
        <x:v>Events/total</x:v>
      </x:c>
      <x:c r="I76" t="n">
        <x:v>50</x:v>
      </x:c>
      <x:c r="J76" t="n">
        <x:v>50</x:v>
      </x:c>
      <x:c r="K76" t="n">
        <x:v>50</x:v>
      </x:c>
      <x:c r="L76" t="n">
        <x:v>50</x:v>
      </x:c>
      <x:c r="M76"/>
      <x:c r="N76"/>
      <x:c r="O76"/>
      <x:c r="P76"/>
      <x:c r="Q76"/>
      <x:c r="R76" t="n">
        <x:v>6</x:v>
      </x:c>
      <x:c r="S76"/>
      <x:c r="T76"/>
      <x:c r="U76"/>
      <x:c r="V76"/>
      <x:c r="W76"/>
      <x:c r="X76" t="n">
        <x:v>37</x:v>
      </x:c>
      <x:c r="Y76" t="str">
        <x:v>participants</x:v>
      </x:c>
      <x:c r="Z76" t="str">
        <x:v>&lt;0.001</x:v>
      </x:c>
      <x:c r="AA76" t="str">
        <x:v>Yes</x:v>
      </x:c>
      <x:c r="AB76" t="str">
        <x:v>No</x:v>
      </x:c>
      <x:c r="AC76" t="str">
        <x:f>IF(H76="Mean/SD","MD",IF(H76="Events/total","RR",""))</x:f>
        <x:v>RR</x:v>
      </x:c>
      <x:c r="AD76" t="n">
        <x:f>IF(H76="Mean/SD",M76-S76,IF(H76="Events/total",IFERROR((R76/K76)/(X76/L76),""),""))</x:f>
        <x:v>0.16216216216216217</x:v>
      </x:c>
      <x:c r="AE76" t="str">
        <x:v>No</x:v>
      </x:c>
      <x:c r="AF76" t="str">
        <x:v>No</x:v>
      </x:c>
      <x:c r="AG76" t="str">
        <x:v>Eligible for dichotomous early postoperative pain analysis</x:v>
      </x:c>
      <x:c r="AH76" t="str">
        <x:v>No</x:v>
      </x:c>
      <x:c r="AI76" t="str">
        <x:v>Very large subjective effect; interpret with incomplete sensory blinding</x:v>
      </x:c>
      <x:c r="AJ76" t="str">
        <x:v>Moderate-to-severe pain outcome</x:v>
      </x:c>
      <x:c r="AK76" t="str">
        <x:v>https://drive.google.com/file/d/1ZV6JFjevGSPqnISdX61KPdcC_yEtq3vf/view?usp=drivesdk</x:v>
      </x:c>
      <x:c r="AL76" t="str">
        <x:v>SOURCE-VERIFIED</x:v>
      </x:c>
    </x:row>
    <x:row r="77">
      <x:c r="A77" t="str">
        <x:v>Wu 2025</x:v>
      </x:c>
      <x:c r="B77" t="str">
        <x:v>WU25_TEAS_vs_SHAM_INTRAOPSUF</x:v>
      </x:c>
      <x:c r="C77" t="str">
        <x:v>PACU TEAS</x:v>
      </x:c>
      <x:c r="D77" t="str">
        <x:v>Sham/no current</x:v>
      </x:c>
      <x:c r="E77" t="str">
        <x:v>Intraoperative opioid</x:v>
      </x:c>
      <x:c r="F77" t="str">
        <x:v>Sufentanil consumption</x:v>
      </x:c>
      <x:c r="G77" t="str">
        <x:v>Intraoperative</x:v>
      </x:c>
      <x:c r="H77" t="str">
        <x:v>Mean/SD</x:v>
      </x:c>
      <x:c r="I77" t="n">
        <x:v>50</x:v>
      </x:c>
      <x:c r="J77" t="n">
        <x:v>50</x:v>
      </x:c>
      <x:c r="K77" t="n">
        <x:v>50</x:v>
      </x:c>
      <x:c r="L77" t="n">
        <x:v>50</x:v>
      </x:c>
      <x:c r="M77" t="n">
        <x:v>24.2</x:v>
      </x:c>
      <x:c r="N77" t="n">
        <x:v>9.5</x:v>
      </x:c>
      <x:c r="O77"/>
      <x:c r="P77"/>
      <x:c r="Q77"/>
      <x:c r="R77"/>
      <x:c r="S77" t="n">
        <x:v>24.3</x:v>
      </x:c>
      <x:c r="T77" t="n">
        <x:v>10.9</x:v>
      </x:c>
      <x:c r="U77"/>
      <x:c r="V77"/>
      <x:c r="W77"/>
      <x:c r="X77"/>
      <x:c r="Y77" t="str">
        <x:v>µg sufentanil</x:v>
      </x:c>
      <x:c r="Z77" t="str">
        <x:v>0.953</x:v>
      </x:c>
      <x:c r="AA77" t="str">
        <x:v>Yes</x:v>
      </x:c>
      <x:c r="AB77" t="str">
        <x:v>No</x:v>
      </x:c>
      <x:c r="AC77" t="str">
        <x:f>IF(H77="Mean/SD","MD",IF(H77="Events/total","RR",""))</x:f>
        <x:v>MD</x:v>
      </x:c>
      <x:c r="AD77" t="n">
        <x:f>IF(H77="Mean/SD",M77-S77,IF(H77="Events/total",IFERROR((R77/K77)/(X77/L77),""),""))</x:f>
        <x:v>-0.10000000000000142</x:v>
      </x:c>
      <x:c r="AE77" t="str">
        <x:v>No</x:v>
      </x:c>
      <x:c r="AF77" t="str">
        <x:v>No</x:v>
      </x:c>
      <x:c r="AG77" t="str">
        <x:v>Eligible for intraoperative opioid analysis</x:v>
      </x:c>
      <x:c r="AH77" t="str">
        <x:v>No</x:v>
      </x:c>
      <x:c r="AI77" t="str">
        <x:v>No intraoperative opioid-sparing effect</x:v>
      </x:c>
      <x:c r="AJ77" t="str">
        <x:v>Table 1 / sufentanil</x:v>
      </x:c>
      <x:c r="AK77" t="str">
        <x:v>https://drive.google.com/file/d/1ZV6JFjevGSPqnISdX61KPdcC_yEtq3vf/view?usp=drivesdk</x:v>
      </x:c>
      <x:c r="AL77" t="str">
        <x:v>SOURCE-VERIFIED</x:v>
      </x:c>
    </x:row>
    <x:row r="78">
      <x:c r="A78" t="str">
        <x:v>Wu 2025</x:v>
      </x:c>
      <x:c r="B78" t="str">
        <x:v>WU25_TEAS_vs_SHAM_INTRAOPREMI</x:v>
      </x:c>
      <x:c r="C78" t="str">
        <x:v>PACU TEAS</x:v>
      </x:c>
      <x:c r="D78" t="str">
        <x:v>Sham/no current</x:v>
      </x:c>
      <x:c r="E78" t="str">
        <x:v>Intraoperative opioid</x:v>
      </x:c>
      <x:c r="F78" t="str">
        <x:v>Remifentanil consumption</x:v>
      </x:c>
      <x:c r="G78" t="str">
        <x:v>Intraoperative</x:v>
      </x:c>
      <x:c r="H78" t="str">
        <x:v>Mean/SD</x:v>
      </x:c>
      <x:c r="I78" t="n">
        <x:v>50</x:v>
      </x:c>
      <x:c r="J78" t="n">
        <x:v>50</x:v>
      </x:c>
      <x:c r="K78" t="n">
        <x:v>50</x:v>
      </x:c>
      <x:c r="L78" t="n">
        <x:v>50</x:v>
      </x:c>
      <x:c r="M78" t="n">
        <x:v>489.4</x:v>
      </x:c>
      <x:c r="N78" t="n">
        <x:v>226</x:v>
      </x:c>
      <x:c r="O78"/>
      <x:c r="P78"/>
      <x:c r="Q78"/>
      <x:c r="R78"/>
      <x:c r="S78" t="n">
        <x:v>533.8</x:v>
      </x:c>
      <x:c r="T78" t="n">
        <x:v>263.6</x:v>
      </x:c>
      <x:c r="U78"/>
      <x:c r="V78"/>
      <x:c r="W78"/>
      <x:c r="X78"/>
      <x:c r="Y78" t="str">
        <x:v>µg remifentanil</x:v>
      </x:c>
      <x:c r="Z78" t="str">
        <x:v>0.368</x:v>
      </x:c>
      <x:c r="AA78" t="str">
        <x:v>Yes</x:v>
      </x:c>
      <x:c r="AB78" t="str">
        <x:v>No</x:v>
      </x:c>
      <x:c r="AC78" t="str">
        <x:f>IF(H78="Mean/SD","MD",IF(H78="Events/total","RR",""))</x:f>
        <x:v>MD</x:v>
      </x:c>
      <x:c r="AD78" t="n">
        <x:f>IF(H78="Mean/SD",M78-S78,IF(H78="Events/total",IFERROR((R78/K78)/(X78/L78),""),""))</x:f>
        <x:v>-44.39999999999998</x:v>
      </x:c>
      <x:c r="AE78" t="str">
        <x:v>No</x:v>
      </x:c>
      <x:c r="AF78" t="str">
        <x:v>No</x:v>
      </x:c>
      <x:c r="AG78" t="str">
        <x:v>Eligible for intraoperative opioid analysis</x:v>
      </x:c>
      <x:c r="AH78" t="str">
        <x:v>No</x:v>
      </x:c>
      <x:c r="AI78" t="str">
        <x:v>No significant intraoperative opioid-sparing effect</x:v>
      </x:c>
      <x:c r="AJ78" t="str">
        <x:v>Table 1 / remifentanil</x:v>
      </x:c>
      <x:c r="AK78" t="str">
        <x:v>https://drive.google.com/file/d/1ZV6JFjevGSPqnISdX61KPdcC_yEtq3vf/view?usp=drivesdk</x:v>
      </x:c>
      <x:c r="AL78" t="str">
        <x:v>SOURCE-VERIFIED</x:v>
      </x:c>
    </x:row>
    <x:row r="79">
      <x:c r="A79" t="str">
        <x:v>Wu 2025</x:v>
      </x:c>
      <x:c r="B79" t="str">
        <x:v>WU25_TEAS_vs_SHAM_OPIOID24</x:v>
      </x:c>
      <x:c r="C79" t="str">
        <x:v>PACU TEAS</x:v>
      </x:c>
      <x:c r="D79" t="str">
        <x:v>Sham/no current</x:v>
      </x:c>
      <x:c r="E79" t="str">
        <x:v>Opioid consumption</x:v>
      </x:c>
      <x:c r="F79" t="str">
        <x:v>Exact postoperative opioid/MME consumption</x:v>
      </x:c>
      <x:c r="G79" t="str">
        <x:v>0-24 h</x:v>
      </x:c>
      <x:c r="H79" t="str">
        <x:v>Not calculable</x:v>
      </x:c>
      <x:c r="I79" t="n">
        <x:v>50</x:v>
      </x:c>
      <x:c r="J79" t="n">
        <x:v>50</x:v>
      </x:c>
      <x:c r="K79" t="n">
        <x:v>50</x:v>
      </x:c>
      <x:c r="L79" t="n">
        <x:v>50</x:v>
      </x:c>
      <x:c r="M79"/>
      <x:c r="N79"/>
      <x:c r="O79"/>
      <x:c r="P79"/>
      <x:c r="Q79"/>
      <x:c r="R79"/>
      <x:c r="S79"/>
      <x:c r="T79"/>
      <x:c r="U79"/>
      <x:c r="V79"/>
      <x:c r="W79"/>
      <x:c r="X79"/>
      <x:c r="Y79" t="str">
        <x:v>MME</x:v>
      </x:c>
      <x:c r="Z79" t="str"/>
      <x:c r="AA79" t="str">
        <x:v>No</x:v>
      </x:c>
      <x:c r="AB79" t="str">
        <x:v>No</x:v>
      </x:c>
      <x:c r="AC79" t="str">
        <x:f>IF(H79="Mean/SD","MD",IF(H79="Events/total","RR",""))</x:f>
      </x:c>
      <x:c r="AD79" t="str">
        <x:f>IF(H79="Mean/SD",M79-S79,IF(H79="Events/total",IFERROR((R79/K79)/(X79/L79),""),""))</x:f>
      </x:c>
      <x:c r="AE79" t="str">
        <x:v>No</x:v>
      </x:c>
      <x:c r="AF79" t="str">
        <x:v>No</x:v>
      </x:c>
      <x:c r="AG79" t="str">
        <x:v>Not eligible for continuous 24-h opioid meta-analysis</x:v>
      </x:c>
      <x:c r="AH79" t="str">
        <x:v>No</x:v>
      </x:c>
      <x:c r="AI79" t="str">
        <x:v>Oxycodone/acetaminophen rescue strength is not reported; rescue regimen is mixed opioid/non-opioid</x:v>
      </x:c>
      <x:c r="AJ79" t="str">
        <x:v>Postoperative rescue-analgesia section</x:v>
      </x:c>
      <x:c r="AK79" t="str">
        <x:v>https://drive.google.com/file/d/1ZV6JFjevGSPqnISdX61KPdcC_yEtq3vf/view?usp=drivesdk</x:v>
      </x:c>
      <x:c r="AL79" t="str">
        <x:v>MISSING / MME NOT CALCULABLE</x:v>
      </x:c>
    </x:row>
    <x:row r="80">
      <x:c r="A80" t="str">
        <x:v>Wang 2023</x:v>
      </x:c>
      <x:c r="B80" t="str">
        <x:v>WANG23_TEAS_vs_SHAM_SLEEPD1</x:v>
      </x:c>
      <x:c r="C80" t="str">
        <x:v>Nighttime TEAS</x:v>
      </x:c>
      <x:c r="D80" t="str">
        <x:v>Sham/no current</x:v>
      </x:c>
      <x:c r="E80" t="str">
        <x:v>Sleep quality</x:v>
      </x:c>
      <x:c r="F80" t="str">
        <x:v>PSQI and AIS postoperative sleep quality</x:v>
      </x:c>
      <x:c r="G80" t="str">
        <x:v>POD1</x:v>
      </x:c>
      <x:c r="H80" t="str">
        <x:v>Graph-only continuous data</x:v>
      </x:c>
      <x:c r="I80" t="n">
        <x:v>43</x:v>
      </x:c>
      <x:c r="J80" t="n">
        <x:v>45</x:v>
      </x:c>
      <x:c r="K80" t="n">
        <x:v>40</x:v>
      </x:c>
      <x:c r="L80" t="n">
        <x:v>43</x:v>
      </x:c>
      <x:c r="M80"/>
      <x:c r="N80"/>
      <x:c r="O80"/>
      <x:c r="P80"/>
      <x:c r="Q80"/>
      <x:c r="R80"/>
      <x:c r="S80"/>
      <x:c r="T80"/>
      <x:c r="U80"/>
      <x:c r="V80"/>
      <x:c r="W80"/>
      <x:c r="X80"/>
      <x:c r="Y80" t="str">
        <x:v>PSQI/AIS points</x:v>
      </x:c>
      <x:c r="Z80" t="str">
        <x:v>&lt;0.05 between groups</x:v>
      </x:c>
      <x:c r="AA80" t="str">
        <x:v>No</x:v>
      </x:c>
      <x:c r="AB80" t="str">
        <x:v>No</x:v>
      </x:c>
      <x:c r="AC80" t="str">
        <x:f>IF(H80="Mean/SD","MD",IF(H80="Events/total","RR",""))</x:f>
      </x:c>
      <x:c r="AD80" t="str">
        <x:f>IF(H80="Mean/SD",M80-S80,IF(H80="Events/total",IFERROR((R80/K80)/(X80/L80),""),""))</x:f>
      </x:c>
      <x:c r="AE80" t="str">
        <x:v>No</x:v>
      </x:c>
      <x:c r="AF80" t="str">
        <x:v>No</x:v>
      </x:c>
      <x:c r="AG80" t="str">
        <x:v>Not ready for continuous meta-analysis without formal graph digitization or author data</x:v>
      </x:c>
      <x:c r="AH80" t="str">
        <x:v>No</x:v>
      </x:c>
      <x:c r="AI80" t="str">
        <x:v>Exact POD1 means/SDs are figure-only; do not use fabricated exact AIS/PSQI values</x:v>
      </x:c>
      <x:c r="AJ80" t="str">
        <x:v>Figure 3, p8</x:v>
      </x:c>
      <x:c r="AK80" t="str">
        <x:v>https://drive.google.com/file/d/177A4aH42GD90DhsvvtD-VOBSChBBpIWL/view?usp=drivesdk</x:v>
      </x:c>
      <x:c r="AL80" t="str">
        <x:v>FIGURE ONLY / DIGITIZATION NEEDED</x:v>
      </x:c>
    </x:row>
    <x:row r="81">
      <x:c r="A81" t="str">
        <x:v>Wang 2023</x:v>
      </x:c>
      <x:c r="B81" t="str">
        <x:v>WANG23_TEAS_vs_SHAM_RESCUEDOSE</x:v>
      </x:c>
      <x:c r="C81" t="str">
        <x:v>Nighttime TEAS</x:v>
      </x:c>
      <x:c r="D81" t="str">
        <x:v>Sham/no current</x:v>
      </x:c>
      <x:c r="E81" t="str">
        <x:v>Rescue analgesia</x:v>
      </x:c>
      <x:c r="F81" t="str">
        <x:v>Cumulative number of additional rescue-analgesia doses</x:v>
      </x:c>
      <x:c r="G81" t="str">
        <x:v>0-72 h</x:v>
      </x:c>
      <x:c r="H81" t="str">
        <x:v>Mean/SD</x:v>
      </x:c>
      <x:c r="I81" t="n">
        <x:v>43</x:v>
      </x:c>
      <x:c r="J81" t="n">
        <x:v>45</x:v>
      </x:c>
      <x:c r="K81" t="n">
        <x:v>40</x:v>
      </x:c>
      <x:c r="L81" t="n">
        <x:v>43</x:v>
      </x:c>
      <x:c r="M81" t="n">
        <x:v>0.53</x:v>
      </x:c>
      <x:c r="N81" t="n">
        <x:v>0.55</x:v>
      </x:c>
      <x:c r="O81"/>
      <x:c r="P81"/>
      <x:c r="Q81"/>
      <x:c r="R81"/>
      <x:c r="S81" t="n">
        <x:v>0.98</x:v>
      </x:c>
      <x:c r="T81" t="n">
        <x:v>0.96</x:v>
      </x:c>
      <x:c r="U81"/>
      <x:c r="V81"/>
      <x:c r="W81"/>
      <x:c r="X81"/>
      <x:c r="Y81" t="str">
        <x:v>rescue doses</x:v>
      </x:c>
      <x:c r="Z81" t="str">
        <x:v>0.011</x:v>
      </x:c>
      <x:c r="AA81" t="str">
        <x:v>Yes</x:v>
      </x:c>
      <x:c r="AB81" t="str">
        <x:v>No</x:v>
      </x:c>
      <x:c r="AC81" t="str">
        <x:f>IF(H81="Mean/SD","MD",IF(H81="Events/total","RR",""))</x:f>
        <x:v>MD</x:v>
      </x:c>
      <x:c r="AD81" t="n">
        <x:f>IF(H81="Mean/SD",M81-S81,IF(H81="Events/total",IFERROR((R81/K81)/(X81/L81),""),""))</x:f>
        <x:v>-0.44999999999999996</x:v>
      </x:c>
      <x:c r="AE81" t="str">
        <x:v>No</x:v>
      </x:c>
      <x:c r="AF81" t="str">
        <x:v>No</x:v>
      </x:c>
      <x:c r="AG81" t="str">
        <x:v>Eligible as rescue-analgesia frequency outcome only</x:v>
      </x:c>
      <x:c r="AH81" t="str">
        <x:v>No</x:v>
      </x:c>
      <x:c r="AI81" t="str">
        <x:v>Rescue drug, dose, route and opioid/non-opioid identity are not specified in the main article</x:v>
      </x:c>
      <x:c r="AJ81" t="str">
        <x:v>Table 2 / rescue analgesia</x:v>
      </x:c>
      <x:c r="AK81" t="str">
        <x:v>https://drive.google.com/file/d/177A4aH42GD90DhsvvtD-VOBSChBBpIWL/view?usp=drivesdk</x:v>
      </x:c>
      <x:c r="AL81" t="str">
        <x:v>SOURCE-VERIFIED / DRUG IDENTITY MISSING</x:v>
      </x:c>
    </x:row>
    <x:row r="82">
      <x:c r="A82" t="str">
        <x:v>Wang 2023</x:v>
      </x:c>
      <x:c r="B82" t="str">
        <x:v>WANG23_TEAS_vs_SHAM_FLATUS</x:v>
      </x:c>
      <x:c r="C82" t="str">
        <x:v>Nighttime TEAS</x:v>
      </x:c>
      <x:c r="D82" t="str">
        <x:v>Sham/no current</x:v>
      </x:c>
      <x:c r="E82" t="str">
        <x:v>GI recovery</x:v>
      </x:c>
      <x:c r="F82" t="str">
        <x:v>Time to first flatus</x:v>
      </x:c>
      <x:c r="G82" t="str">
        <x:v>Postoperative</x:v>
      </x:c>
      <x:c r="H82" t="str">
        <x:v>Mean/SD</x:v>
      </x:c>
      <x:c r="I82" t="n">
        <x:v>43</x:v>
      </x:c>
      <x:c r="J82" t="n">
        <x:v>45</x:v>
      </x:c>
      <x:c r="K82" t="n">
        <x:v>40</x:v>
      </x:c>
      <x:c r="L82" t="n">
        <x:v>43</x:v>
      </x:c>
      <x:c r="M82" t="n">
        <x:v>54.57</x:v>
      </x:c>
      <x:c r="N82" t="n">
        <x:v>16.62</x:v>
      </x:c>
      <x:c r="O82"/>
      <x:c r="P82"/>
      <x:c r="Q82"/>
      <x:c r="R82"/>
      <x:c r="S82" t="n">
        <x:v>60.7</x:v>
      </x:c>
      <x:c r="T82" t="n">
        <x:v>19.1</x:v>
      </x:c>
      <x:c r="U82"/>
      <x:c r="V82"/>
      <x:c r="W82"/>
      <x:c r="X82"/>
      <x:c r="Y82" t="str">
        <x:v>hours</x:v>
      </x:c>
      <x:c r="Z82" t="str">
        <x:v>0.124</x:v>
      </x:c>
      <x:c r="AA82" t="str">
        <x:v>Yes</x:v>
      </x:c>
      <x:c r="AB82" t="str">
        <x:v>No</x:v>
      </x:c>
      <x:c r="AC82" t="str">
        <x:f>IF(H82="Mean/SD","MD",IF(H82="Events/total","RR",""))</x:f>
        <x:v>MD</x:v>
      </x:c>
      <x:c r="AD82" t="n">
        <x:f>IF(H82="Mean/SD",M82-S82,IF(H82="Events/total",IFERROR((R82/K82)/(X82/L82),""),""))</x:f>
        <x:v>-6.130000000000003</x:v>
      </x:c>
      <x:c r="AE82" t="str">
        <x:v>No</x:v>
      </x:c>
      <x:c r="AF82" t="str">
        <x:v>No</x:v>
      </x:c>
      <x:c r="AG82" t="str">
        <x:v>Eligible for GI-recovery analysis</x:v>
      </x:c>
      <x:c r="AH82" t="str">
        <x:v>No</x:v>
      </x:c>
      <x:c r="AI82" t="str">
        <x:v>5/88 randomized participants excluded for protocol breaches; no full ITT</x:v>
      </x:c>
      <x:c r="AJ82" t="str">
        <x:v>Table 1 / postoperative first flatus</x:v>
      </x:c>
      <x:c r="AK82" t="str">
        <x:v>https://drive.google.com/file/d/177A4aH42GD90DhsvvtD-VOBSChBBpIWL/view?usp=drivesdk</x:v>
      </x:c>
      <x:c r="AL82" t="str">
        <x:v>SOURCE-VERIFIED / ATTRITION QC</x:v>
      </x:c>
    </x:row>
    <x:row r="83">
      <x:c r="A83" t="str">
        <x:v>Wang 2023</x:v>
      </x:c>
      <x:c r="B83" t="str">
        <x:v>WANG23_TEAS_vs_SHAM_PAIN24</x:v>
      </x:c>
      <x:c r="C83" t="str">
        <x:v>Nighttime TEAS</x:v>
      </x:c>
      <x:c r="D83" t="str">
        <x:v>Sham/no current</x:v>
      </x:c>
      <x:c r="E83" t="str">
        <x:v>Pain</x:v>
      </x:c>
      <x:c r="F83" t="str">
        <x:v>Activity pain VAS</x:v>
      </x:c>
      <x:c r="G83" t="str">
        <x:v>24 h</x:v>
      </x:c>
      <x:c r="H83" t="str">
        <x:v>Graph-only mean/SD</x:v>
      </x:c>
      <x:c r="I83" t="n">
        <x:v>43</x:v>
      </x:c>
      <x:c r="J83" t="n">
        <x:v>45</x:v>
      </x:c>
      <x:c r="K83" t="n">
        <x:v>40</x:v>
      </x:c>
      <x:c r="L83" t="n">
        <x:v>43</x:v>
      </x:c>
      <x:c r="M83"/>
      <x:c r="N83"/>
      <x:c r="O83"/>
      <x:c r="P83"/>
      <x:c r="Q83"/>
      <x:c r="R83"/>
      <x:c r="S83"/>
      <x:c r="T83"/>
      <x:c r="U83"/>
      <x:c r="V83"/>
      <x:c r="W83"/>
      <x:c r="X83"/>
      <x:c r="Y83" t="str">
        <x:v>VAS 0-10</x:v>
      </x:c>
      <x:c r="Z83" t="str">
        <x:v>&lt;0.05</x:v>
      </x:c>
      <x:c r="AA83" t="str">
        <x:v>No</x:v>
      </x:c>
      <x:c r="AB83" t="str">
        <x:v>No</x:v>
      </x:c>
      <x:c r="AC83" t="str">
        <x:f>IF(H83="Mean/SD","MD",IF(H83="Events/total","RR",""))</x:f>
      </x:c>
      <x:c r="AD83" t="str">
        <x:f>IF(H83="Mean/SD",M83-S83,IF(H83="Events/total",IFERROR((R83/K83)/(X83/L83),""),""))</x:f>
      </x:c>
      <x:c r="AE83" t="str">
        <x:v>No</x:v>
      </x:c>
      <x:c r="AF83" t="str">
        <x:v>No</x:v>
      </x:c>
      <x:c r="AG83" t="str">
        <x:v>Not ready for quantitative pooling without formal digitization or author data</x:v>
      </x:c>
      <x:c r="AH83" t="str">
        <x:v>No</x:v>
      </x:c>
      <x:c r="AI83" t="str">
        <x:v>Exact 24-h activity VAS values are only shown graphically; stored derivative exact values were fabricated</x:v>
      </x:c>
      <x:c r="AJ83" t="str">
        <x:v>Figure 4, p8</x:v>
      </x:c>
      <x:c r="AK83" t="str">
        <x:v>https://drive.google.com/file/d/177A4aH42GD90DhsvvtD-VOBSChBBpIWL/view?usp=drivesdk</x:v>
      </x:c>
      <x:c r="AL83" t="str">
        <x:v>FIGURE ONLY / DIGITIZATION NEEDED</x:v>
      </x:c>
    </x:row>
    <x:row r="84">
      <x:c r="A84" t="str">
        <x:v>Wang 2023</x:v>
      </x:c>
      <x:c r="B84" t="str">
        <x:v>WANG23_TEAS_vs_SHAM_OPIOID24</x:v>
      </x:c>
      <x:c r="C84" t="str">
        <x:v>Nighttime TEAS</x:v>
      </x:c>
      <x:c r="D84" t="str">
        <x:v>Sham/no current</x:v>
      </x:c>
      <x:c r="E84" t="str">
        <x:v>Opioid consumption</x:v>
      </x:c>
      <x:c r="F84" t="str">
        <x:v>Exact cumulative postoperative opioid dose</x:v>
      </x:c>
      <x:c r="G84" t="str">
        <x:v>0-24 h</x:v>
      </x:c>
      <x:c r="H84" t="str">
        <x:v>Not reported</x:v>
      </x:c>
      <x:c r="I84" t="n">
        <x:v>43</x:v>
      </x:c>
      <x:c r="J84" t="n">
        <x:v>45</x:v>
      </x:c>
      <x:c r="K84" t="n">
        <x:v>40</x:v>
      </x:c>
      <x:c r="L84" t="n">
        <x:v>43</x:v>
      </x:c>
      <x:c r="M84"/>
      <x:c r="N84"/>
      <x:c r="O84"/>
      <x:c r="P84"/>
      <x:c r="Q84"/>
      <x:c r="R84"/>
      <x:c r="S84"/>
      <x:c r="T84"/>
      <x:c r="U84"/>
      <x:c r="V84"/>
      <x:c r="W84"/>
      <x:c r="X84"/>
      <x:c r="Y84" t="str">
        <x:v>mg/µg</x:v>
      </x:c>
      <x:c r="Z84" t="str"/>
      <x:c r="AA84" t="str">
        <x:v>No</x:v>
      </x:c>
      <x:c r="AB84" t="str">
        <x:v>No</x:v>
      </x:c>
      <x:c r="AC84" t="str">
        <x:f>IF(H84="Mean/SD","MD",IF(H84="Events/total","RR",""))</x:f>
      </x:c>
      <x:c r="AD84" t="str">
        <x:f>IF(H84="Mean/SD",M84-S84,IF(H84="Events/total",IFERROR((R84/K84)/(X84/L84),""),""))</x:f>
      </x:c>
      <x:c r="AE84" t="str">
        <x:v>No</x:v>
      </x:c>
      <x:c r="AF84" t="str">
        <x:v>No</x:v>
      </x:c>
      <x:c r="AG84" t="str">
        <x:v>Not eligible for continuous 24-h opioid meta-analysis</x:v>
      </x:c>
      <x:c r="AH84" t="str">
        <x:v>No</x:v>
      </x:c>
      <x:c r="AI84" t="str">
        <x:v>Only rescue-dose counts are reported and the rescue drug is not identified</x:v>
      </x:c>
      <x:c r="AJ84" t="str">
        <x:v>Postoperative analgesia outcomes</x:v>
      </x:c>
      <x:c r="AK84" t="str">
        <x:v>https://drive.google.com/file/d/177A4aH42GD90DhsvvtD-VOBSChBBpIWL/view?usp=drivesdk</x:v>
      </x:c>
      <x:c r="AL84" t="str">
        <x:v>MISSING / DRUG IDENTITY NOT REPORTED</x:v>
      </x:c>
    </x:row>
    <x:row r="85">
      <x:c r="A85" t="str">
        <x:v>Wang 2024</x:v>
      </x:c>
      <x:c r="B85" t="str">
        <x:v>WANG24_SNVP_ODT_vs_OD_PONV6_12</x:v>
      </x:c>
      <x:c r="C85" t="str">
        <x:v>SNVP: ondansetron+dexamethasone+TEAS</x:v>
      </x:c>
      <x:c r="D85" t="str">
        <x:v>SNVP: ondansetron+dexamethasone</x:v>
      </x:c>
      <x:c r="E85" t="str">
        <x:v>PONV</x:v>
      </x:c>
      <x:c r="F85" t="str">
        <x:v>PONV incidence</x:v>
      </x:c>
      <x:c r="G85" t="str">
        <x:v>6-12 h</x:v>
      </x:c>
      <x:c r="H85" t="str">
        <x:v>Events/total</x:v>
      </x:c>
      <x:c r="I85" t="n">
        <x:v>35</x:v>
      </x:c>
      <x:c r="J85" t="n">
        <x:v>35</x:v>
      </x:c>
      <x:c r="K85" t="n">
        <x:v>33</x:v>
      </x:c>
      <x:c r="L85" t="n">
        <x:v>35</x:v>
      </x:c>
      <x:c r="M85"/>
      <x:c r="N85"/>
      <x:c r="O85"/>
      <x:c r="P85"/>
      <x:c r="Q85"/>
      <x:c r="R85" t="n">
        <x:v>7</x:v>
      </x:c>
      <x:c r="S85"/>
      <x:c r="T85"/>
      <x:c r="U85"/>
      <x:c r="V85"/>
      <x:c r="W85"/>
      <x:c r="X85" t="n">
        <x:v>16</x:v>
      </x:c>
      <x:c r="Y85" t="str">
        <x:v>participants</x:v>
      </x:c>
      <x:c r="Z85" t="str">
        <x:v>0.033</x:v>
      </x:c>
      <x:c r="AA85" t="str">
        <x:v>Yes</x:v>
      </x:c>
      <x:c r="AB85" t="str">
        <x:v>No</x:v>
      </x:c>
      <x:c r="AC85" t="str">
        <x:f>IF(H85="Mean/SD","MD",IF(H85="Events/total","RR",""))</x:f>
        <x:v>RR</x:v>
      </x:c>
      <x:c r="AD85" t="n">
        <x:f>IF(H85="Mean/SD",M85-S85,IF(H85="Events/total",IFERROR((R85/K85)/(X85/L85),""),""))</x:f>
        <x:v>0.46401515151515155</x:v>
      </x:c>
      <x:c r="AE85" t="str">
        <x:v>No</x:v>
      </x:c>
      <x:c r="AF85" t="str">
        <x:v>No</x:v>
      </x:c>
      <x:c r="AG85" t="str">
        <x:v>Eligible for stratum-specific dichotomous PONV analysis</x:v>
      </x:c>
      <x:c r="AH85" t="str">
        <x:v>No</x:v>
      </x:c>
      <x:c r="AI85" t="str">
        <x:v>Do not pool across SNVP/MNVP as if strata were randomized; 2 ODT patients excluded after randomization due postoperative fever</x:v>
      </x:c>
      <x:c r="AJ85" t="str">
        <x:v>Table 3 / SNVP randomized contrast</x:v>
      </x:c>
      <x:c r="AK85" t="str">
        <x:v>https://drive.google.com/file/d/1U8tkq6mKFO0IkA2glfgLjN4Krwku3FZn/view?usp=drivesdk</x:v>
      </x:c>
      <x:c r="AL85" t="str">
        <x:v>SOURCE-VERIFIED / STRATIFIED RCT</x:v>
      </x:c>
    </x:row>
    <x:row r="86">
      <x:c r="A86" t="str">
        <x:v>Wang 2024</x:v>
      </x:c>
      <x:c r="B86" t="str">
        <x:v>WANG24_SNVP_ODT_vs_OD_PONV12_24</x:v>
      </x:c>
      <x:c r="C86" t="str">
        <x:v>SNVP: ondansetron+dexamethasone+TEAS</x:v>
      </x:c>
      <x:c r="D86" t="str">
        <x:v>SNVP: ondansetron+dexamethasone</x:v>
      </x:c>
      <x:c r="E86" t="str">
        <x:v>PONV</x:v>
      </x:c>
      <x:c r="F86" t="str">
        <x:v>PONV incidence</x:v>
      </x:c>
      <x:c r="G86" t="str">
        <x:v>12-24 h</x:v>
      </x:c>
      <x:c r="H86" t="str">
        <x:v>Events/total</x:v>
      </x:c>
      <x:c r="I86" t="n">
        <x:v>35</x:v>
      </x:c>
      <x:c r="J86" t="n">
        <x:v>35</x:v>
      </x:c>
      <x:c r="K86" t="n">
        <x:v>33</x:v>
      </x:c>
      <x:c r="L86" t="n">
        <x:v>35</x:v>
      </x:c>
      <x:c r="M86"/>
      <x:c r="N86"/>
      <x:c r="O86"/>
      <x:c r="P86"/>
      <x:c r="Q86"/>
      <x:c r="R86" t="n">
        <x:v>2</x:v>
      </x:c>
      <x:c r="S86"/>
      <x:c r="T86"/>
      <x:c r="U86"/>
      <x:c r="V86"/>
      <x:c r="W86"/>
      <x:c r="X86" t="n">
        <x:v>11</x:v>
      </x:c>
      <x:c r="Y86" t="str">
        <x:v>participants</x:v>
      </x:c>
      <x:c r="Z86" t="str">
        <x:v>0.008</x:v>
      </x:c>
      <x:c r="AA86" t="str">
        <x:v>Yes</x:v>
      </x:c>
      <x:c r="AB86" t="str">
        <x:v>No</x:v>
      </x:c>
      <x:c r="AC86" t="str">
        <x:f>IF(H86="Mean/SD","MD",IF(H86="Events/total","RR",""))</x:f>
        <x:v>RR</x:v>
      </x:c>
      <x:c r="AD86" t="n">
        <x:f>IF(H86="Mean/SD",M86-S86,IF(H86="Events/total",IFERROR((R86/K86)/(X86/L86),""),""))</x:f>
        <x:v>0.1928374655647383</x:v>
      </x:c>
      <x:c r="AE86" t="str">
        <x:v>No</x:v>
      </x:c>
      <x:c r="AF86" t="str">
        <x:v>No</x:v>
      </x:c>
      <x:c r="AG86" t="str">
        <x:v>Eligible for stratum-specific dichotomous PONV analysis</x:v>
      </x:c>
      <x:c r="AH86" t="str">
        <x:v>No</x:v>
      </x:c>
      <x:c r="AI86" t="str">
        <x:v>Two post-randomization ODT exclusions; marked surgical-procedure imbalance (radical mastectomy + axillary dissection 36.4% vs 71.4%)</x:v>
      </x:c>
      <x:c r="AJ86" t="str">
        <x:v>Table 3 / SNVP randomized contrast</x:v>
      </x:c>
      <x:c r="AK86" t="str">
        <x:v>https://drive.google.com/file/d/1U8tkq6mKFO0IkA2glfgLjN4Krwku3FZn/view?usp=drivesdk</x:v>
      </x:c>
      <x:c r="AL86" t="str">
        <x:v>SOURCE-VERIFIED / STRATIFIED RCT / ATTRITION QC</x:v>
      </x:c>
    </x:row>
    <x:row r="87">
      <x:c r="A87" t="str">
        <x:v>Wang 2024</x:v>
      </x:c>
      <x:c r="B87" t="str">
        <x:v>WANG24_SNVP_ODT_vs_OD_TOTALPONV</x:v>
      </x:c>
      <x:c r="C87" t="str">
        <x:v>SNVP: ondansetron+dexamethasone+TEAS</x:v>
      </x:c>
      <x:c r="D87" t="str">
        <x:v>SNVP: ondansetron+dexamethasone</x:v>
      </x:c>
      <x:c r="E87" t="str">
        <x:v>PONV</x:v>
      </x:c>
      <x:c r="F87" t="str">
        <x:v>Any PONV over reported follow-up</x:v>
      </x:c>
      <x:c r="G87" t="str">
        <x:v>0-36 h</x:v>
      </x:c>
      <x:c r="H87" t="str">
        <x:v>Events/total</x:v>
      </x:c>
      <x:c r="I87" t="n">
        <x:v>35</x:v>
      </x:c>
      <x:c r="J87" t="n">
        <x:v>35</x:v>
      </x:c>
      <x:c r="K87" t="n">
        <x:v>33</x:v>
      </x:c>
      <x:c r="L87" t="n">
        <x:v>35</x:v>
      </x:c>
      <x:c r="M87"/>
      <x:c r="N87"/>
      <x:c r="O87"/>
      <x:c r="P87"/>
      <x:c r="Q87"/>
      <x:c r="R87" t="n">
        <x:v>14</x:v>
      </x:c>
      <x:c r="S87"/>
      <x:c r="T87"/>
      <x:c r="U87"/>
      <x:c r="V87"/>
      <x:c r="W87"/>
      <x:c r="X87" t="n">
        <x:v>20</x:v>
      </x:c>
      <x:c r="Y87" t="str">
        <x:v>participants</x:v>
      </x:c>
      <x:c r="Z87" t="str">
        <x:v>0.225</x:v>
      </x:c>
      <x:c r="AA87" t="str">
        <x:v>Yes</x:v>
      </x:c>
      <x:c r="AB87" t="str">
        <x:v>No</x:v>
      </x:c>
      <x:c r="AC87" t="str">
        <x:f>IF(H87="Mean/SD","MD",IF(H87="Events/total","RR",""))</x:f>
        <x:v>RR</x:v>
      </x:c>
      <x:c r="AD87" t="n">
        <x:f>IF(H87="Mean/SD",M87-S87,IF(H87="Events/total",IFERROR((R87/K87)/(X87/L87),""),""))</x:f>
        <x:v>0.7424242424242424</x:v>
      </x:c>
      <x:c r="AE87" t="str">
        <x:v>No</x:v>
      </x:c>
      <x:c r="AF87" t="str">
        <x:v>No</x:v>
      </x:c>
      <x:c r="AG87" t="str">
        <x:v>Eligible for stratum-specific total-PONV analysis</x:v>
      </x:c>
      <x:c r="AH87" t="str">
        <x:v>No</x:v>
      </x:c>
      <x:c r="AI87" t="str">
        <x:v>No significant overall treatment effect despite time-specific benefits</x:v>
      </x:c>
      <x:c r="AJ87" t="str">
        <x:v>Table 3 / total PONV</x:v>
      </x:c>
      <x:c r="AK87" t="str">
        <x:v>https://drive.google.com/file/d/1U8tkq6mKFO0IkA2glfgLjN4Krwku3FZn/view?usp=drivesdk</x:v>
      </x:c>
      <x:c r="AL87" t="str">
        <x:v>SOURCE-VERIFIED / STRATIFIED RCT</x:v>
      </x:c>
    </x:row>
    <x:row r="88">
      <x:c r="A88" t="str">
        <x:v>Wang 2024</x:v>
      </x:c>
      <x:c r="B88" t="str">
        <x:v>WANG24_MNVP_ODT_vs_OD_PONV0_2</x:v>
      </x:c>
      <x:c r="C88" t="str">
        <x:v>MNVP: ondansetron+dexamethasone+TEAS</x:v>
      </x:c>
      <x:c r="D88" t="str">
        <x:v>MNVP: ondansetron+dexamethasone</x:v>
      </x:c>
      <x:c r="E88" t="str">
        <x:v>PONV</x:v>
      </x:c>
      <x:c r="F88" t="str">
        <x:v>PONV incidence</x:v>
      </x:c>
      <x:c r="G88" t="str">
        <x:v>0-2 h</x:v>
      </x:c>
      <x:c r="H88" t="str">
        <x:v>Events/total</x:v>
      </x:c>
      <x:c r="I88" t="n">
        <x:v>35</x:v>
      </x:c>
      <x:c r="J88" t="n">
        <x:v>35</x:v>
      </x:c>
      <x:c r="K88" t="n">
        <x:v>35</x:v>
      </x:c>
      <x:c r="L88" t="n">
        <x:v>35</x:v>
      </x:c>
      <x:c r="M88"/>
      <x:c r="N88"/>
      <x:c r="O88"/>
      <x:c r="P88"/>
      <x:c r="Q88"/>
      <x:c r="R88" t="n">
        <x:v>2</x:v>
      </x:c>
      <x:c r="S88"/>
      <x:c r="T88"/>
      <x:c r="U88"/>
      <x:c r="V88"/>
      <x:c r="W88"/>
      <x:c r="X88" t="n">
        <x:v>9</x:v>
      </x:c>
      <x:c r="Y88" t="str">
        <x:v>participants</x:v>
      </x:c>
      <x:c r="Z88" t="str">
        <x:v>0.022</x:v>
      </x:c>
      <x:c r="AA88" t="str">
        <x:v>Yes</x:v>
      </x:c>
      <x:c r="AB88" t="str">
        <x:v>No</x:v>
      </x:c>
      <x:c r="AC88" t="str">
        <x:f>IF(H88="Mean/SD","MD",IF(H88="Events/total","RR",""))</x:f>
        <x:v>RR</x:v>
      </x:c>
      <x:c r="AD88" t="n">
        <x:f>IF(H88="Mean/SD",M88-S88,IF(H88="Events/total",IFERROR((R88/K88)/(X88/L88),""),""))</x:f>
        <x:v>0.22222222222222224</x:v>
      </x:c>
      <x:c r="AE88" t="str">
        <x:v>No</x:v>
      </x:c>
      <x:c r="AF88" t="str">
        <x:v>No</x:v>
      </x:c>
      <x:c r="AG88" t="str">
        <x:v>Eligible for stratum-specific dichotomous PONV analysis</x:v>
      </x:c>
      <x:c r="AH88" t="str">
        <x:v>No</x:v>
      </x:c>
      <x:c r="AI88" t="str">
        <x:v>Keep separate from SNVP; MNVP-ODT had more segmental mastectomy + axillary dissection (20.0% vs 2.9%)</x:v>
      </x:c>
      <x:c r="AJ88" t="str">
        <x:v>Table 3 / MNVP randomized contrast</x:v>
      </x:c>
      <x:c r="AK88" t="str">
        <x:v>https://drive.google.com/file/d/1U8tkq6mKFO0IkA2glfgLjN4Krwku3FZn/view?usp=drivesdk</x:v>
      </x:c>
      <x:c r="AL88" t="str">
        <x:v>SOURCE-VERIFIED / STRATIFIED RCT</x:v>
      </x:c>
    </x:row>
    <x:row r="89">
      <x:c r="A89" t="str">
        <x:v>Wang 2024</x:v>
      </x:c>
      <x:c r="B89" t="str">
        <x:v>WANG24_MNVP_ODT_vs_OD_PONV2_6</x:v>
      </x:c>
      <x:c r="C89" t="str">
        <x:v>MNVP: ondansetron+dexamethasone+TEAS</x:v>
      </x:c>
      <x:c r="D89" t="str">
        <x:v>MNVP: ondansetron+dexamethasone</x:v>
      </x:c>
      <x:c r="E89" t="str">
        <x:v>PONV</x:v>
      </x:c>
      <x:c r="F89" t="str">
        <x:v>PONV incidence</x:v>
      </x:c>
      <x:c r="G89" t="str">
        <x:v>2-6 h</x:v>
      </x:c>
      <x:c r="H89" t="str">
        <x:v>Events/total</x:v>
      </x:c>
      <x:c r="I89" t="n">
        <x:v>35</x:v>
      </x:c>
      <x:c r="J89" t="n">
        <x:v>35</x:v>
      </x:c>
      <x:c r="K89" t="n">
        <x:v>35</x:v>
      </x:c>
      <x:c r="L89" t="n">
        <x:v>35</x:v>
      </x:c>
      <x:c r="M89"/>
      <x:c r="N89"/>
      <x:c r="O89"/>
      <x:c r="P89"/>
      <x:c r="Q89"/>
      <x:c r="R89" t="n">
        <x:v>2</x:v>
      </x:c>
      <x:c r="S89"/>
      <x:c r="T89"/>
      <x:c r="U89"/>
      <x:c r="V89"/>
      <x:c r="W89"/>
      <x:c r="X89" t="n">
        <x:v>8</x:v>
      </x:c>
      <x:c r="Y89" t="str">
        <x:v>participants</x:v>
      </x:c>
      <x:c r="Z89" t="str">
        <x:v>0.040</x:v>
      </x:c>
      <x:c r="AA89" t="str">
        <x:v>Yes</x:v>
      </x:c>
      <x:c r="AB89" t="str">
        <x:v>No</x:v>
      </x:c>
      <x:c r="AC89" t="str">
        <x:f>IF(H89="Mean/SD","MD",IF(H89="Events/total","RR",""))</x:f>
        <x:v>RR</x:v>
      </x:c>
      <x:c r="AD89" t="n">
        <x:f>IF(H89="Mean/SD",M89-S89,IF(H89="Events/total",IFERROR((R89/K89)/(X89/L89),""),""))</x:f>
        <x:v>0.25</x:v>
      </x:c>
      <x:c r="AE89" t="str">
        <x:v>No</x:v>
      </x:c>
      <x:c r="AF89" t="str">
        <x:v>No</x:v>
      </x:c>
      <x:c r="AG89" t="str">
        <x:v>Eligible for stratum-specific dichotomous PONV analysis</x:v>
      </x:c>
      <x:c r="AH89" t="str">
        <x:v>No</x:v>
      </x:c>
      <x:c r="AI89" t="str">
        <x:v>Keep separate from SNVP risk stratum</x:v>
      </x:c>
      <x:c r="AJ89" t="str">
        <x:v>Table 3 / MNVP randomized contrast</x:v>
      </x:c>
      <x:c r="AK89" t="str">
        <x:v>https://drive.google.com/file/d/1U8tkq6mKFO0IkA2glfgLjN4Krwku3FZn/view?usp=drivesdk</x:v>
      </x:c>
      <x:c r="AL89" t="str">
        <x:v>SOURCE-VERIFIED / STRATIFIED RCT</x:v>
      </x:c>
    </x:row>
    <x:row r="90">
      <x:c r="A90" t="str">
        <x:v>Wang 2024</x:v>
      </x:c>
      <x:c r="B90" t="str">
        <x:v>WANG24_MNVP_ODT_vs_OD_TOTALPONV</x:v>
      </x:c>
      <x:c r="C90" t="str">
        <x:v>MNVP: ondansetron+dexamethasone+TEAS</x:v>
      </x:c>
      <x:c r="D90" t="str">
        <x:v>MNVP: ondansetron+dexamethasone</x:v>
      </x:c>
      <x:c r="E90" t="str">
        <x:v>PONV</x:v>
      </x:c>
      <x:c r="F90" t="str">
        <x:v>Any PONV over reported follow-up</x:v>
      </x:c>
      <x:c r="G90" t="str">
        <x:v>0-36 h</x:v>
      </x:c>
      <x:c r="H90" t="str">
        <x:v>Events/total</x:v>
      </x:c>
      <x:c r="I90" t="n">
        <x:v>35</x:v>
      </x:c>
      <x:c r="J90" t="n">
        <x:v>35</x:v>
      </x:c>
      <x:c r="K90" t="n">
        <x:v>35</x:v>
      </x:c>
      <x:c r="L90" t="n">
        <x:v>35</x:v>
      </x:c>
      <x:c r="M90"/>
      <x:c r="N90"/>
      <x:c r="O90"/>
      <x:c r="P90"/>
      <x:c r="Q90"/>
      <x:c r="R90" t="n">
        <x:v>5</x:v>
      </x:c>
      <x:c r="S90"/>
      <x:c r="T90"/>
      <x:c r="U90"/>
      <x:c r="V90"/>
      <x:c r="W90"/>
      <x:c r="X90" t="n">
        <x:v>10</x:v>
      </x:c>
      <x:c r="Y90" t="str">
        <x:v>participants</x:v>
      </x:c>
      <x:c r="Z90" t="str">
        <x:v>0.145</x:v>
      </x:c>
      <x:c r="AA90" t="str">
        <x:v>Yes</x:v>
      </x:c>
      <x:c r="AB90" t="str">
        <x:v>No</x:v>
      </x:c>
      <x:c r="AC90" t="str">
        <x:f>IF(H90="Mean/SD","MD",IF(H90="Events/total","RR",""))</x:f>
        <x:v>RR</x:v>
      </x:c>
      <x:c r="AD90" t="n">
        <x:f>IF(H90="Mean/SD",M90-S90,IF(H90="Events/total",IFERROR((R90/K90)/(X90/L90),""),""))</x:f>
        <x:v>0.5</x:v>
      </x:c>
      <x:c r="AE90" t="str">
        <x:v>No</x:v>
      </x:c>
      <x:c r="AF90" t="str">
        <x:v>No</x:v>
      </x:c>
      <x:c r="AG90" t="str">
        <x:v>Eligible for stratum-specific total-PONV analysis</x:v>
      </x:c>
      <x:c r="AH90" t="str">
        <x:v>No</x:v>
      </x:c>
      <x:c r="AI90" t="str">
        <x:v>No significant overall treatment effect despite early time-specific benefit</x:v>
      </x:c>
      <x:c r="AJ90" t="str">
        <x:v>Table 3 / total PONV</x:v>
      </x:c>
      <x:c r="AK90" t="str">
        <x:v>https://drive.google.com/file/d/1U8tkq6mKFO0IkA2glfgLjN4Krwku3FZn/view?usp=drivesdk</x:v>
      </x:c>
      <x:c r="AL90" t="str">
        <x:v>SOURCE-VERIFIED / STRATIFIED RCT</x:v>
      </x:c>
    </x:row>
    <x:row r="91">
      <x:c r="A91" t="str">
        <x:v>Wang 2024</x:v>
      </x:c>
      <x:c r="B91" t="str">
        <x:v>WANG24_SNVP_ODT_vs_OD_INTRAOPSUF</x:v>
      </x:c>
      <x:c r="C91" t="str">
        <x:v>SNVP: ondansetron+dexamethasone+TEAS</x:v>
      </x:c>
      <x:c r="D91" t="str">
        <x:v>SNVP: ondansetron+dexamethasone</x:v>
      </x:c>
      <x:c r="E91" t="str">
        <x:v>Intraoperative opioid</x:v>
      </x:c>
      <x:c r="F91" t="str">
        <x:v>Total sufentanil</x:v>
      </x:c>
      <x:c r="G91" t="str">
        <x:v>Intraoperative</x:v>
      </x:c>
      <x:c r="H91" t="str">
        <x:v>Mean/SD</x:v>
      </x:c>
      <x:c r="I91" t="n">
        <x:v>35</x:v>
      </x:c>
      <x:c r="J91" t="n">
        <x:v>35</x:v>
      </x:c>
      <x:c r="K91" t="n">
        <x:v>33</x:v>
      </x:c>
      <x:c r="L91" t="n">
        <x:v>35</x:v>
      </x:c>
      <x:c r="M91" t="n">
        <x:v>21.2</x:v>
      </x:c>
      <x:c r="N91" t="n">
        <x:v>3.1</x:v>
      </x:c>
      <x:c r="O91"/>
      <x:c r="P91"/>
      <x:c r="Q91"/>
      <x:c r="R91"/>
      <x:c r="S91" t="n">
        <x:v>21.9</x:v>
      </x:c>
      <x:c r="T91" t="n">
        <x:v>3.2</x:v>
      </x:c>
      <x:c r="U91"/>
      <x:c r="V91"/>
      <x:c r="W91"/>
      <x:c r="X91"/>
      <x:c r="Y91" t="str">
        <x:v>µg sufentanil</x:v>
      </x:c>
      <x:c r="Z91" t="str">
        <x:v>0.402</x:v>
      </x:c>
      <x:c r="AA91" t="str">
        <x:v>Yes</x:v>
      </x:c>
      <x:c r="AB91" t="str">
        <x:v>No</x:v>
      </x:c>
      <x:c r="AC91" t="str">
        <x:f>IF(H91="Mean/SD","MD",IF(H91="Events/total","RR",""))</x:f>
        <x:v>MD</x:v>
      </x:c>
      <x:c r="AD91" t="n">
        <x:f>IF(H91="Mean/SD",M91-S91,IF(H91="Events/total",IFERROR((R91/K91)/(X91/L91),""),""))</x:f>
        <x:v>-0.6999999999999993</x:v>
      </x:c>
      <x:c r="AE91" t="str">
        <x:v>No</x:v>
      </x:c>
      <x:c r="AF91" t="str">
        <x:v>No</x:v>
      </x:c>
      <x:c r="AG91" t="str">
        <x:v>Eligible for intraoperative opioid analysis</x:v>
      </x:c>
      <x:c r="AH91" t="str">
        <x:v>No</x:v>
      </x:c>
      <x:c r="AI91" t="str">
        <x:v>No intraoperative opioid-sparing effect</x:v>
      </x:c>
      <x:c r="AJ91" t="str">
        <x:v>Table 1 / SNVP sufentanil</x:v>
      </x:c>
      <x:c r="AK91" t="str">
        <x:v>https://drive.google.com/file/d/1U8tkq6mKFO0IkA2glfgLjN4Krwku3FZn/view?usp=drivesdk</x:v>
      </x:c>
      <x:c r="AL91" t="str">
        <x:v>SOURCE-VERIFIED</x:v>
      </x:c>
    </x:row>
    <x:row r="92">
      <x:c r="A92" t="str">
        <x:v>Wang 2024</x:v>
      </x:c>
      <x:c r="B92" t="str">
        <x:v>WANG24_MNVP_ODT_vs_OD_INTRAOPSUF</x:v>
      </x:c>
      <x:c r="C92" t="str">
        <x:v>MNVP: ondansetron+dexamethasone+TEAS</x:v>
      </x:c>
      <x:c r="D92" t="str">
        <x:v>MNVP: ondansetron+dexamethasone</x:v>
      </x:c>
      <x:c r="E92" t="str">
        <x:v>Intraoperative opioid</x:v>
      </x:c>
      <x:c r="F92" t="str">
        <x:v>Total sufentanil</x:v>
      </x:c>
      <x:c r="G92" t="str">
        <x:v>Intraoperative</x:v>
      </x:c>
      <x:c r="H92" t="str">
        <x:v>Mean/SD</x:v>
      </x:c>
      <x:c r="I92" t="n">
        <x:v>35</x:v>
      </x:c>
      <x:c r="J92" t="n">
        <x:v>35</x:v>
      </x:c>
      <x:c r="K92" t="n">
        <x:v>35</x:v>
      </x:c>
      <x:c r="L92" t="n">
        <x:v>35</x:v>
      </x:c>
      <x:c r="M92" t="n">
        <x:v>21</x:v>
      </x:c>
      <x:c r="N92" t="n">
        <x:v>3.4</x:v>
      </x:c>
      <x:c r="O92"/>
      <x:c r="P92"/>
      <x:c r="Q92"/>
      <x:c r="R92"/>
      <x:c r="S92" t="n">
        <x:v>20.9</x:v>
      </x:c>
      <x:c r="T92" t="n">
        <x:v>3.1</x:v>
      </x:c>
      <x:c r="U92"/>
      <x:c r="V92"/>
      <x:c r="W92"/>
      <x:c r="X92"/>
      <x:c r="Y92" t="str">
        <x:v>µg sufentanil</x:v>
      </x:c>
      <x:c r="Z92" t="str">
        <x:v>0.854</x:v>
      </x:c>
      <x:c r="AA92" t="str">
        <x:v>Yes</x:v>
      </x:c>
      <x:c r="AB92" t="str">
        <x:v>No</x:v>
      </x:c>
      <x:c r="AC92" t="str">
        <x:f>IF(H92="Mean/SD","MD",IF(H92="Events/total","RR",""))</x:f>
        <x:v>MD</x:v>
      </x:c>
      <x:c r="AD92" t="n">
        <x:f>IF(H92="Mean/SD",M92-S92,IF(H92="Events/total",IFERROR((R92/K92)/(X92/L92),""),""))</x:f>
        <x:v>0.10000000000000142</x:v>
      </x:c>
      <x:c r="AE92" t="str">
        <x:v>No</x:v>
      </x:c>
      <x:c r="AF92" t="str">
        <x:v>No</x:v>
      </x:c>
      <x:c r="AG92" t="str">
        <x:v>Eligible for intraoperative opioid analysis</x:v>
      </x:c>
      <x:c r="AH92" t="str">
        <x:v>No</x:v>
      </x:c>
      <x:c r="AI92" t="str">
        <x:v>No intraoperative opioid-sparing effect</x:v>
      </x:c>
      <x:c r="AJ92" t="str">
        <x:v>Table 1 / MNVP sufentanil</x:v>
      </x:c>
      <x:c r="AK92" t="str">
        <x:v>https://drive.google.com/file/d/1U8tkq6mKFO0IkA2glfgLjN4Krwku3FZn/view?usp=drivesdk</x:v>
      </x:c>
      <x:c r="AL92" t="str">
        <x:v>SOURCE-VERIFIED</x:v>
      </x:c>
    </x:row>
    <x:row r="93">
      <x:c r="A93" t="str">
        <x:v>Wang 2024</x:v>
      </x:c>
      <x:c r="B93" t="str">
        <x:v>WANG24_POSTOP_OPIOID24</x:v>
      </x:c>
      <x:c r="C93" t="str">
        <x:v>TEAS within risk strata</x:v>
      </x:c>
      <x:c r="D93" t="str">
        <x:v>OD within risk strata</x:v>
      </x:c>
      <x:c r="E93" t="str">
        <x:v>Opioid consumption</x:v>
      </x:c>
      <x:c r="F93" t="str">
        <x:v>Postoperative opioid consumption</x:v>
      </x:c>
      <x:c r="G93" t="str">
        <x:v>0-24 h</x:v>
      </x:c>
      <x:c r="H93" t="str">
        <x:v>Not reported</x:v>
      </x:c>
      <x:c r="I93"/>
      <x:c r="J93"/>
      <x:c r="K93"/>
      <x:c r="L93"/>
      <x:c r="M93"/>
      <x:c r="N93"/>
      <x:c r="O93"/>
      <x:c r="P93"/>
      <x:c r="Q93"/>
      <x:c r="R93"/>
      <x:c r="S93"/>
      <x:c r="T93"/>
      <x:c r="U93"/>
      <x:c r="V93"/>
      <x:c r="W93"/>
      <x:c r="X93"/>
      <x:c r="Y93" t="str">
        <x:v>mg/µg</x:v>
      </x:c>
      <x:c r="Z93" t="str"/>
      <x:c r="AA93" t="str">
        <x:v>No</x:v>
      </x:c>
      <x:c r="AB93" t="str">
        <x:v>No</x:v>
      </x:c>
      <x:c r="AC93" t="str">
        <x:f>IF(H93="Mean/SD","MD",IF(H93="Events/total","RR",""))</x:f>
      </x:c>
      <x:c r="AD93" t="str">
        <x:f>IF(H93="Mean/SD",M93-S93,IF(H93="Events/total",IFERROR((R93/K93)/(X93/L93),""),""))</x:f>
      </x:c>
      <x:c r="AE93" t="str">
        <x:v>No</x:v>
      </x:c>
      <x:c r="AF93" t="str">
        <x:v>No</x:v>
      </x:c>
      <x:c r="AG93" t="str">
        <x:v>Not eligible for postoperative 24-h opioid meta-analysis</x:v>
      </x:c>
      <x:c r="AH93" t="str">
        <x:v>No</x:v>
      </x:c>
      <x:c r="AI93" t="str">
        <x:v>Postoperative rescue analgesia was non-opioid flurbiprofen; no postoperative opioid-consumption endpoint</x:v>
      </x:c>
      <x:c r="AJ93" t="str">
        <x:v>Postoperative analgesia section</x:v>
      </x:c>
      <x:c r="AK93" t="str">
        <x:v>https://drive.google.com/file/d/1U8tkq6mKFO0IkA2glfgLjN4Krwku3FZn/view?usp=drivesdk</x:v>
      </x:c>
      <x:c r="AL93" t="str">
        <x:v>NOT REPORTED / NO POSTOP OPIOID ENDPOINT</x:v>
      </x:c>
    </x:row>
    <x:row r="94">
      <x:c r="A94" t="str">
        <x:v>Tu 2024</x:v>
      </x:c>
      <x:c r="B94" t="str">
        <x:v>TU24_TEAS_vs_SHAM_VOMIT2_6</x:v>
      </x:c>
      <x:c r="C94" t="str">
        <x:v>Postoperative TEAS</x:v>
      </x:c>
      <x:c r="D94" t="str">
        <x:v>Sham/no current</x:v>
      </x:c>
      <x:c r="E94" t="str">
        <x:v>PONV</x:v>
      </x:c>
      <x:c r="F94" t="str">
        <x:v>Vomiting incidence</x:v>
      </x:c>
      <x:c r="G94" t="str">
        <x:v>2-6 h</x:v>
      </x:c>
      <x:c r="H94" t="str">
        <x:v>Events/total</x:v>
      </x:c>
      <x:c r="I94" t="n">
        <x:v>60</x:v>
      </x:c>
      <x:c r="J94" t="n">
        <x:v>60</x:v>
      </x:c>
      <x:c r="K94" t="n">
        <x:v>57</x:v>
      </x:c>
      <x:c r="L94" t="n">
        <x:v>58</x:v>
      </x:c>
      <x:c r="M94"/>
      <x:c r="N94"/>
      <x:c r="O94"/>
      <x:c r="P94"/>
      <x:c r="Q94"/>
      <x:c r="R94" t="n">
        <x:v>8</x:v>
      </x:c>
      <x:c r="S94"/>
      <x:c r="T94"/>
      <x:c r="U94"/>
      <x:c r="V94"/>
      <x:c r="W94"/>
      <x:c r="X94" t="n">
        <x:v>17</x:v>
      </x:c>
      <x:c r="Y94" t="str">
        <x:v>participants</x:v>
      </x:c>
      <x:c r="Z94" t="str">
        <x:v>0.047</x:v>
      </x:c>
      <x:c r="AA94" t="str">
        <x:v>Yes</x:v>
      </x:c>
      <x:c r="AB94" t="str">
        <x:v>No</x:v>
      </x:c>
      <x:c r="AC94" t="str">
        <x:f>IF(H94="Mean/SD","MD",IF(H94="Events/total","RR",""))</x:f>
        <x:v>RR</x:v>
      </x:c>
      <x:c r="AD94" t="n">
        <x:f>IF(H94="Mean/SD",M94-S94,IF(H94="Events/total",IFERROR((R94/K94)/(X94/L94),""),""))</x:f>
        <x:v>0.478844169246646</x:v>
      </x:c>
      <x:c r="AE94" t="str">
        <x:v>No</x:v>
      </x:c>
      <x:c r="AF94" t="str">
        <x:v>No</x:v>
      </x:c>
      <x:c r="AG94" t="str">
        <x:v>Eligible for dichotomous vomiting analysis</x:v>
      </x:c>
      <x:c r="AH94" t="str">
        <x:v>No</x:v>
      </x:c>
      <x:c r="AI94" t="str">
        <x:v>Five post-randomization exclusions include one sham participant excluded specifically for vomiting caused by intracranial hypertension</x:v>
      </x:c>
      <x:c r="AJ94" t="str">
        <x:v>Table 3 / vomiting 2-6 h</x:v>
      </x:c>
      <x:c r="AK94" t="str">
        <x:v>https://drive.google.com/file/d/1xQ9SbXVZblphUrb0-T9xpnAXk-_z5nBX/view?usp=drivesdk</x:v>
      </x:c>
      <x:c r="AL94" t="str">
        <x:v>SOURCE-VERIFIED / MISSINGNESS QC</x:v>
      </x:c>
    </x:row>
    <x:row r="95">
      <x:c r="A95" t="str">
        <x:v>Tu 2024</x:v>
      </x:c>
      <x:c r="B95" t="str">
        <x:v>TU24_TEAS_vs_SHAM_VOMIT6_24</x:v>
      </x:c>
      <x:c r="C95" t="str">
        <x:v>Postoperative TEAS</x:v>
      </x:c>
      <x:c r="D95" t="str">
        <x:v>Sham/no current</x:v>
      </x:c>
      <x:c r="E95" t="str">
        <x:v>PONV</x:v>
      </x:c>
      <x:c r="F95" t="str">
        <x:v>Vomiting incidence</x:v>
      </x:c>
      <x:c r="G95" t="str">
        <x:v>6-24 h</x:v>
      </x:c>
      <x:c r="H95" t="str">
        <x:v>Events/total</x:v>
      </x:c>
      <x:c r="I95" t="n">
        <x:v>60</x:v>
      </x:c>
      <x:c r="J95" t="n">
        <x:v>60</x:v>
      </x:c>
      <x:c r="K95" t="n">
        <x:v>57</x:v>
      </x:c>
      <x:c r="L95" t="n">
        <x:v>58</x:v>
      </x:c>
      <x:c r="M95"/>
      <x:c r="N95"/>
      <x:c r="O95"/>
      <x:c r="P95"/>
      <x:c r="Q95"/>
      <x:c r="R95" t="n">
        <x:v>11</x:v>
      </x:c>
      <x:c r="S95"/>
      <x:c r="T95"/>
      <x:c r="U95"/>
      <x:c r="V95"/>
      <x:c r="W95"/>
      <x:c r="X95" t="n">
        <x:v>15</x:v>
      </x:c>
      <x:c r="Y95" t="str">
        <x:v>participants</x:v>
      </x:c>
      <x:c r="Z95" t="str">
        <x:v>0.405</x:v>
      </x:c>
      <x:c r="AA95" t="str">
        <x:v>Yes</x:v>
      </x:c>
      <x:c r="AB95" t="str">
        <x:v>No</x:v>
      </x:c>
      <x:c r="AC95" t="str">
        <x:f>IF(H95="Mean/SD","MD",IF(H95="Events/total","RR",""))</x:f>
        <x:v>RR</x:v>
      </x:c>
      <x:c r="AD95" t="n">
        <x:f>IF(H95="Mean/SD",M95-S95,IF(H95="Events/total",IFERROR((R95/K95)/(X95/L95),""),""))</x:f>
        <x:v>0.7461988304093566</x:v>
      </x:c>
      <x:c r="AE95" t="str">
        <x:v>No</x:v>
      </x:c>
      <x:c r="AF95" t="str">
        <x:v>No</x:v>
      </x:c>
      <x:c r="AG95" t="str">
        <x:v>Eligible for dichotomous vomiting analysis</x:v>
      </x:c>
      <x:c r="AH95" t="str">
        <x:v>No</x:v>
      </x:c>
      <x:c r="AI95" t="str">
        <x:v>Same post-randomization exclusion concern</x:v>
      </x:c>
      <x:c r="AJ95" t="str">
        <x:v>Table 3 / vomiting 6-24 h</x:v>
      </x:c>
      <x:c r="AK95" t="str">
        <x:v>https://drive.google.com/file/d/1xQ9SbXVZblphUrb0-T9xpnAXk-_z5nBX/view?usp=drivesdk</x:v>
      </x:c>
      <x:c r="AL95" t="str">
        <x:v>SOURCE-VERIFIED / MISSINGNESS QC</x:v>
      </x:c>
    </x:row>
    <x:row r="96">
      <x:c r="A96" t="str">
        <x:v>Tu 2024</x:v>
      </x:c>
      <x:c r="B96" t="str">
        <x:v>TU24_TEAS_vs_SHAM_PAIN6_24</x:v>
      </x:c>
      <x:c r="C96" t="str">
        <x:v>Postoperative TEAS</x:v>
      </x:c>
      <x:c r="D96" t="str">
        <x:v>Sham/no current</x:v>
      </x:c>
      <x:c r="E96" t="str">
        <x:v>Pain</x:v>
      </x:c>
      <x:c r="F96" t="str">
        <x:v>VAS pain intensity</x:v>
      </x:c>
      <x:c r="G96" t="str">
        <x:v>6-24 h</x:v>
      </x:c>
      <x:c r="H96" t="str">
        <x:v>Median/IQR</x:v>
      </x:c>
      <x:c r="I96" t="n">
        <x:v>60</x:v>
      </x:c>
      <x:c r="J96" t="n">
        <x:v>60</x:v>
      </x:c>
      <x:c r="K96" t="n">
        <x:v>57</x:v>
      </x:c>
      <x:c r="L96" t="n">
        <x:v>58</x:v>
      </x:c>
      <x:c r="M96"/>
      <x:c r="N96"/>
      <x:c r="O96" t="n">
        <x:v>2</x:v>
      </x:c>
      <x:c r="P96" t="n">
        <x:v>0.5</x:v>
      </x:c>
      <x:c r="Q96" t="n">
        <x:v>3</x:v>
      </x:c>
      <x:c r="R96"/>
      <x:c r="S96"/>
      <x:c r="T96"/>
      <x:c r="U96" t="n">
        <x:v>4</x:v>
      </x:c>
      <x:c r="V96" t="n">
        <x:v>3</x:v>
      </x:c>
      <x:c r="W96" t="n">
        <x:v>4</x:v>
      </x:c>
      <x:c r="X96"/>
      <x:c r="Y96" t="str">
        <x:v>VAS 0-10</x:v>
      </x:c>
      <x:c r="Z96" t="str">
        <x:v>0.001</x:v>
      </x:c>
      <x:c r="AA96" t="str">
        <x:v>Yes</x:v>
      </x:c>
      <x:c r="AB96" t="str">
        <x:v>No</x:v>
      </x:c>
      <x:c r="AC96" t="str">
        <x:f>IF(H96="Mean/SD","MD",IF(H96="Events/total","RR",""))</x:f>
      </x:c>
      <x:c r="AD96" t="str">
        <x:f>IF(H96="Mean/SD",M96-S96,IF(H96="Events/total",IFERROR((R96/K96)/(X96/L96),""),""))</x:f>
      </x:c>
      <x:c r="AE96" t="str">
        <x:v>No</x:v>
      </x:c>
      <x:c r="AF96" t="str">
        <x:v>No</x:v>
      </x:c>
      <x:c r="AG96" t="str">
        <x:v>Eligible for pain analysis using median/IQR methods</x:v>
      </x:c>
      <x:c r="AH96" t="str">
        <x:v>No</x:v>
      </x:c>
      <x:c r="AI96" t="str">
        <x:v>Subjective outcome; sensory difference between active de qi and no-current sham may affect participant masking</x:v>
      </x:c>
      <x:c r="AJ96" t="str">
        <x:v>Pain outcome 6-24 h</x:v>
      </x:c>
      <x:c r="AK96" t="str">
        <x:v>https://drive.google.com/file/d/1xQ9SbXVZblphUrb0-T9xpnAXk-_z5nBX/view?usp=drivesdk</x:v>
      </x:c>
      <x:c r="AL96" t="str">
        <x:v>SOURCE-VERIFIED / SUBJECTIVE OUTCOME QC</x:v>
      </x:c>
    </x:row>
    <x:row r="97">
      <x:c r="A97" t="str">
        <x:v>Tu 2024</x:v>
      </x:c>
      <x:c r="B97" t="str">
        <x:v>TU24_TEAS_vs_SHAM_TRAMADOL</x:v>
      </x:c>
      <x:c r="C97" t="str">
        <x:v>Postoperative TEAS</x:v>
      </x:c>
      <x:c r="D97" t="str">
        <x:v>Sham/no current</x:v>
      </x:c>
      <x:c r="E97" t="str">
        <x:v>Rescue opioid use</x:v>
      </x:c>
      <x:c r="F97" t="str">
        <x:v>Any rescue tramadol use</x:v>
      </x:c>
      <x:c r="G97" t="str">
        <x:v>Within 24 h</x:v>
      </x:c>
      <x:c r="H97" t="str">
        <x:v>Events/total</x:v>
      </x:c>
      <x:c r="I97" t="n">
        <x:v>60</x:v>
      </x:c>
      <x:c r="J97" t="n">
        <x:v>60</x:v>
      </x:c>
      <x:c r="K97" t="n">
        <x:v>57</x:v>
      </x:c>
      <x:c r="L97" t="n">
        <x:v>58</x:v>
      </x:c>
      <x:c r="M97"/>
      <x:c r="N97"/>
      <x:c r="O97"/>
      <x:c r="P97"/>
      <x:c r="Q97"/>
      <x:c r="R97" t="n">
        <x:v>3</x:v>
      </x:c>
      <x:c r="S97"/>
      <x:c r="T97"/>
      <x:c r="U97"/>
      <x:c r="V97"/>
      <x:c r="W97"/>
      <x:c r="X97" t="n">
        <x:v>6</x:v>
      </x:c>
      <x:c r="Y97" t="str">
        <x:v>participants</x:v>
      </x:c>
      <x:c r="Z97" t="str">
        <x:v>0.315</x:v>
      </x:c>
      <x:c r="AA97" t="str">
        <x:v>Yes</x:v>
      </x:c>
      <x:c r="AB97" t="str">
        <x:v>No</x:v>
      </x:c>
      <x:c r="AC97" t="str">
        <x:f>IF(H97="Mean/SD","MD",IF(H97="Events/total","RR",""))</x:f>
        <x:v>RR</x:v>
      </x:c>
      <x:c r="AD97" t="n">
        <x:f>IF(H97="Mean/SD",M97-S97,IF(H97="Events/total",IFERROR((R97/K97)/(X97/L97),""),""))</x:f>
        <x:v>0.5087719298245614</x:v>
      </x:c>
      <x:c r="AE97" t="str">
        <x:v>No</x:v>
      </x:c>
      <x:c r="AF97" t="str">
        <x:v>No</x:v>
      </x:c>
      <x:c r="AG97" t="str">
        <x:v>Eligible only for binary rescue-opioid-use analysis</x:v>
      </x:c>
      <x:c r="AH97" t="str">
        <x:v>No</x:v>
      </x:c>
      <x:c r="AI97" t="str">
        <x:v>Tramadol was 10 mg IM for VAS &gt;6; number of doses/cumulative tramadol per patient is not reported</x:v>
      </x:c>
      <x:c r="AJ97" t="str">
        <x:v>Rescue analgesia outcome</x:v>
      </x:c>
      <x:c r="AK97" t="str">
        <x:v>https://drive.google.com/file/d/1xQ9SbXVZblphUrb0-T9xpnAXk-_z5nBX/view?usp=drivesdk</x:v>
      </x:c>
      <x:c r="AL97" t="str">
        <x:v>SOURCE-VERIFIED / DOSE MISSING</x:v>
      </x:c>
    </x:row>
    <x:row r="98">
      <x:c r="A98" t="str">
        <x:v>Tu 2024</x:v>
      </x:c>
      <x:c r="B98" t="str">
        <x:v>TU24_TEAS_vs_SHAM_OPIOID24</x:v>
      </x:c>
      <x:c r="C98" t="str">
        <x:v>Postoperative TEAS</x:v>
      </x:c>
      <x:c r="D98" t="str">
        <x:v>Sham/no current</x:v>
      </x:c>
      <x:c r="E98" t="str">
        <x:v>Opioid consumption</x:v>
      </x:c>
      <x:c r="F98" t="str">
        <x:v>Cumulative rescue tramadol consumption</x:v>
      </x:c>
      <x:c r="G98" t="str">
        <x:v>0-24 h</x:v>
      </x:c>
      <x:c r="H98" t="str">
        <x:v>Not reported</x:v>
      </x:c>
      <x:c r="I98" t="n">
        <x:v>60</x:v>
      </x:c>
      <x:c r="J98" t="n">
        <x:v>60</x:v>
      </x:c>
      <x:c r="K98" t="n">
        <x:v>57</x:v>
      </x:c>
      <x:c r="L98" t="n">
        <x:v>58</x:v>
      </x:c>
      <x:c r="M98"/>
      <x:c r="N98"/>
      <x:c r="O98"/>
      <x:c r="P98"/>
      <x:c r="Q98"/>
      <x:c r="R98"/>
      <x:c r="S98"/>
      <x:c r="T98"/>
      <x:c r="U98"/>
      <x:c r="V98"/>
      <x:c r="W98"/>
      <x:c r="X98"/>
      <x:c r="Y98" t="str">
        <x:v>mg tramadol</x:v>
      </x:c>
      <x:c r="Z98" t="str"/>
      <x:c r="AA98" t="str">
        <x:v>No</x:v>
      </x:c>
      <x:c r="AB98" t="str">
        <x:v>No</x:v>
      </x:c>
      <x:c r="AC98" t="str">
        <x:f>IF(H98="Mean/SD","MD",IF(H98="Events/total","RR",""))</x:f>
      </x:c>
      <x:c r="AD98" t="str">
        <x:f>IF(H98="Mean/SD",M98-S98,IF(H98="Events/total",IFERROR((R98/K98)/(X98/L98),""),""))</x:f>
      </x:c>
      <x:c r="AE98" t="str">
        <x:v>No</x:v>
      </x:c>
      <x:c r="AF98" t="str">
        <x:v>No</x:v>
      </x:c>
      <x:c r="AG98" t="str">
        <x:v>Not eligible for continuous 24-h opioid meta-analysis</x:v>
      </x:c>
      <x:c r="AH98" t="str">
        <x:v>No</x:v>
      </x:c>
      <x:c r="AI98" t="str">
        <x:v>Only number of patients receiving rescue tramadol is reported; cumulative dose is unavailable</x:v>
      </x:c>
      <x:c r="AJ98" t="str">
        <x:v>Rescue analgesia section</x:v>
      </x:c>
      <x:c r="AK98" t="str">
        <x:v>https://drive.google.com/file/d/1xQ9SbXVZblphUrb0-T9xpnAXk-_z5nBX/view?usp=drivesdk</x:v>
      </x:c>
      <x:c r="AL98" t="str">
        <x:v>MISSING / CUMULATIVE DOSE NOT REPORTED</x:v>
      </x:c>
    </x:row>
    <x:row r="99">
      <x:c r="A99" t="str">
        <x:v>Sun 2017</x:v>
      </x:c>
      <x:c r="B99" t="str">
        <x:v>SUN17_TSS_vs_SSS_ACTIVITY24</x:v>
      </x:c>
      <x:c r="C99" t="str">
        <x:v>Preoperative true TEAS only</x:v>
      </x:c>
      <x:c r="D99" t="str">
        <x:v>All-period sham TEAS (SSS)</x:v>
      </x:c>
      <x:c r="E99" t="str">
        <x:v>Pain</x:v>
      </x:c>
      <x:c r="F99" t="str">
        <x:v>Activity-evoked VAS</x:v>
      </x:c>
      <x:c r="G99" t="str">
        <x:v>24 h</x:v>
      </x:c>
      <x:c r="H99" t="str">
        <x:v>Median/IQR</x:v>
      </x:c>
      <x:c r="I99" t="n">
        <x:v>95</x:v>
      </x:c>
      <x:c r="J99" t="n">
        <x:v>95</x:v>
      </x:c>
      <x:c r="K99" t="n">
        <x:v>91</x:v>
      </x:c>
      <x:c r="L99" t="n">
        <x:v>90</x:v>
      </x:c>
      <x:c r="M99"/>
      <x:c r="N99"/>
      <x:c r="O99" t="n">
        <x:v>4</x:v>
      </x:c>
      <x:c r="P99" t="n">
        <x:v>4</x:v>
      </x:c>
      <x:c r="Q99" t="n">
        <x:v>5</x:v>
      </x:c>
      <x:c r="R99"/>
      <x:c r="S99"/>
      <x:c r="T99"/>
      <x:c r="U99" t="n">
        <x:v>4</x:v>
      </x:c>
      <x:c r="V99" t="n">
        <x:v>3.8</x:v>
      </x:c>
      <x:c r="W99" t="n">
        <x:v>5</x:v>
      </x:c>
      <x:c r="X99"/>
      <x:c r="Y99" t="str">
        <x:v>VAS 0-10</x:v>
      </x:c>
      <x:c r="Z99" t="str">
        <x:v>&lt;0.001 reported comparisons</x:v>
      </x:c>
      <x:c r="AA99" t="str">
        <x:v>Yes</x:v>
      </x:c>
      <x:c r="AB99" t="str">
        <x:v>No</x:v>
      </x:c>
      <x:c r="AC99" t="str">
        <x:f>IF(H99="Mean/SD","MD",IF(H99="Events/total","RR",""))</x:f>
      </x:c>
      <x:c r="AD99" t="str">
        <x:f>IF(H99="Mean/SD",M99-S99,IF(H99="Events/total",IFERROR((R99/K99)/(X99/L99),""),""))</x:f>
      </x:c>
      <x:c r="AE99" t="str">
        <x:v>No</x:v>
      </x:c>
      <x:c r="AF99" t="str">
        <x:v>No</x:v>
      </x:c>
      <x:c r="AG99" t="str">
        <x:v>Eligible for 24-h movement-pain analysis with multi-arm/shared-control adjustment</x:v>
      </x:c>
      <x:c r="AH99" t="str">
        <x:v>Yes</x:v>
      </x:c>
      <x:c r="AI99" t="str">
        <x:v>Four-arm timing trial; sham received 5 min perceptible low-current stimulation, not electrically inert</x:v>
      </x:c>
      <x:c r="AJ99" t="str">
        <x:v>Primary activity-pain outcome, 24 h</x:v>
      </x:c>
      <x:c r="AK99" t="str">
        <x:v>https://drive.google.com/file/d/1lELlw0IpkhqoB8OuintAI22fxKfNEcEd/view?usp=drivesdk</x:v>
      </x:c>
      <x:c r="AL99" t="str">
        <x:v>SOURCE-VERIFIED</x:v>
      </x:c>
    </x:row>
    <x:row r="100">
      <x:c r="A100" t="str">
        <x:v>Sun 2017</x:v>
      </x:c>
      <x:c r="B100" t="str">
        <x:v>SUN17_TTS_vs_SSS_ACTIVITY24</x:v>
      </x:c>
      <x:c r="C100" t="str">
        <x:v>Preoperative + intraoperative true TEAS</x:v>
      </x:c>
      <x:c r="D100" t="str">
        <x:v>All-period sham TEAS (SSS)</x:v>
      </x:c>
      <x:c r="E100" t="str">
        <x:v>Pain</x:v>
      </x:c>
      <x:c r="F100" t="str">
        <x:v>Activity-evoked VAS</x:v>
      </x:c>
      <x:c r="G100" t="str">
        <x:v>24 h</x:v>
      </x:c>
      <x:c r="H100" t="str">
        <x:v>Median/IQR</x:v>
      </x:c>
      <x:c r="I100" t="n">
        <x:v>95</x:v>
      </x:c>
      <x:c r="J100" t="n">
        <x:v>95</x:v>
      </x:c>
      <x:c r="K100" t="n">
        <x:v>91</x:v>
      </x:c>
      <x:c r="L100" t="n">
        <x:v>90</x:v>
      </x:c>
      <x:c r="M100"/>
      <x:c r="N100"/>
      <x:c r="O100" t="n">
        <x:v>4</x:v>
      </x:c>
      <x:c r="P100" t="n">
        <x:v>3</x:v>
      </x:c>
      <x:c r="Q100" t="n">
        <x:v>4</x:v>
      </x:c>
      <x:c r="R100"/>
      <x:c r="S100"/>
      <x:c r="T100"/>
      <x:c r="U100" t="n">
        <x:v>4</x:v>
      </x:c>
      <x:c r="V100" t="n">
        <x:v>3.8</x:v>
      </x:c>
      <x:c r="W100" t="n">
        <x:v>5</x:v>
      </x:c>
      <x:c r="X100"/>
      <x:c r="Y100" t="str">
        <x:v>VAS 0-10</x:v>
      </x:c>
      <x:c r="Z100" t="str">
        <x:v>&lt;0.001 reported comparisons</x:v>
      </x:c>
      <x:c r="AA100" t="str">
        <x:v>Yes</x:v>
      </x:c>
      <x:c r="AB100" t="str">
        <x:v>No</x:v>
      </x:c>
      <x:c r="AC100" t="str">
        <x:f>IF(H100="Mean/SD","MD",IF(H100="Events/total","RR",""))</x:f>
      </x:c>
      <x:c r="AD100" t="str">
        <x:f>IF(H100="Mean/SD",M100-S100,IF(H100="Events/total",IFERROR((R100/K100)/(X100/L100),""),""))</x:f>
      </x:c>
      <x:c r="AE100" t="str">
        <x:v>No</x:v>
      </x:c>
      <x:c r="AF100" t="str">
        <x:v>No</x:v>
      </x:c>
      <x:c r="AG100" t="str">
        <x:v>Eligible for 24-h movement-pain analysis with multi-arm/shared-control adjustment</x:v>
      </x:c>
      <x:c r="AH100" t="str">
        <x:v>Yes</x:v>
      </x:c>
      <x:c r="AI100" t="str">
        <x:v>Four-arm timing trial; sham received 5 min perceptible low-current stimulation, not electrically inert</x:v>
      </x:c>
      <x:c r="AJ100" t="str">
        <x:v>Primary activity-pain outcome, 24 h</x:v>
      </x:c>
      <x:c r="AK100" t="str">
        <x:v>https://drive.google.com/file/d/1lELlw0IpkhqoB8OuintAI22fxKfNEcEd/view?usp=drivesdk</x:v>
      </x:c>
      <x:c r="AL100" t="str">
        <x:v>SOURCE-VERIFIED</x:v>
      </x:c>
    </x:row>
    <x:row r="101">
      <x:c r="A101" t="str">
        <x:v>Sun 2017</x:v>
      </x:c>
      <x:c r="B101" t="str">
        <x:v>SUN17_TST_vs_SSS_ACTIVITY24</x:v>
      </x:c>
      <x:c r="C101" t="str">
        <x:v>Preoperative + postoperative true TEAS</x:v>
      </x:c>
      <x:c r="D101" t="str">
        <x:v>All-period sham TEAS (SSS)</x:v>
      </x:c>
      <x:c r="E101" t="str">
        <x:v>Pain</x:v>
      </x:c>
      <x:c r="F101" t="str">
        <x:v>Activity-evoked VAS</x:v>
      </x:c>
      <x:c r="G101" t="str">
        <x:v>24 h</x:v>
      </x:c>
      <x:c r="H101" t="str">
        <x:v>Median/IQR</x:v>
      </x:c>
      <x:c r="I101" t="n">
        <x:v>95</x:v>
      </x:c>
      <x:c r="J101" t="n">
        <x:v>95</x:v>
      </x:c>
      <x:c r="K101" t="n">
        <x:v>89</x:v>
      </x:c>
      <x:c r="L101" t="n">
        <x:v>90</x:v>
      </x:c>
      <x:c r="M101"/>
      <x:c r="N101"/>
      <x:c r="O101" t="n">
        <x:v>3</x:v>
      </x:c>
      <x:c r="P101" t="n">
        <x:v>3</x:v>
      </x:c>
      <x:c r="Q101" t="n">
        <x:v>4</x:v>
      </x:c>
      <x:c r="R101"/>
      <x:c r="S101"/>
      <x:c r="T101"/>
      <x:c r="U101" t="n">
        <x:v>4</x:v>
      </x:c>
      <x:c r="V101" t="n">
        <x:v>3.8</x:v>
      </x:c>
      <x:c r="W101" t="n">
        <x:v>5</x:v>
      </x:c>
      <x:c r="X101"/>
      <x:c r="Y101" t="str">
        <x:v>VAS 0-10</x:v>
      </x:c>
      <x:c r="Z101" t="str">
        <x:v>&lt;0.001 reported comparisons</x:v>
      </x:c>
      <x:c r="AA101" t="str">
        <x:v>Yes</x:v>
      </x:c>
      <x:c r="AB101" t="str">
        <x:v>No</x:v>
      </x:c>
      <x:c r="AC101" t="str">
        <x:f>IF(H101="Mean/SD","MD",IF(H101="Events/total","RR",""))</x:f>
      </x:c>
      <x:c r="AD101" t="str">
        <x:f>IF(H101="Mean/SD",M101-S101,IF(H101="Events/total",IFERROR((R101/K101)/(X101/L101),""),""))</x:f>
      </x:c>
      <x:c r="AE101" t="str">
        <x:v>No</x:v>
      </x:c>
      <x:c r="AF101" t="str">
        <x:v>No</x:v>
      </x:c>
      <x:c r="AG101" t="str">
        <x:v>Eligible for 24-h movement-pain analysis with multi-arm/shared-control adjustment</x:v>
      </x:c>
      <x:c r="AH101" t="str">
        <x:v>Yes</x:v>
      </x:c>
      <x:c r="AI101" t="str">
        <x:v>Four-arm timing trial; sham received 5 min perceptible low-current stimulation, not electrically inert</x:v>
      </x:c>
      <x:c r="AJ101" t="str">
        <x:v>Primary activity-pain outcome, 24 h</x:v>
      </x:c>
      <x:c r="AK101" t="str">
        <x:v>https://drive.google.com/file/d/1lELlw0IpkhqoB8OuintAI22fxKfNEcEd/view?usp=drivesdk</x:v>
      </x:c>
      <x:c r="AL101" t="str">
        <x:v>SOURCE-VERIFIED</x:v>
      </x:c>
    </x:row>
    <x:row r="102">
      <x:c r="A102" t="str">
        <x:v>Sun 2017</x:v>
      </x:c>
      <x:c r="B102" t="str">
        <x:v>SUN17_TSS_vs_SSS_NSAID48</x:v>
      </x:c>
      <x:c r="C102" t="str">
        <x:v>Preoperative true TEAS only</x:v>
      </x:c>
      <x:c r="D102" t="str">
        <x:v>All-period sham TEAS (SSS)</x:v>
      </x:c>
      <x:c r="E102" t="str">
        <x:v>Rescue analgesia</x:v>
      </x:c>
      <x:c r="F102" t="str">
        <x:v>Supplemental flurbiprofen axetil requirement</x:v>
      </x:c>
      <x:c r="G102" t="str">
        <x:v>Within 48 h</x:v>
      </x:c>
      <x:c r="H102" t="str">
        <x:v>Published percentage</x:v>
      </x:c>
      <x:c r="I102" t="n">
        <x:v>95</x:v>
      </x:c>
      <x:c r="J102" t="n">
        <x:v>95</x:v>
      </x:c>
      <x:c r="K102" t="n">
        <x:v>91</x:v>
      </x:c>
      <x:c r="L102" t="n">
        <x:v>90</x:v>
      </x:c>
      <x:c r="M102"/>
      <x:c r="N102"/>
      <x:c r="O102"/>
      <x:c r="P102"/>
      <x:c r="Q102"/>
      <x:c r="R102"/>
      <x:c r="S102"/>
      <x:c r="T102"/>
      <x:c r="U102"/>
      <x:c r="V102"/>
      <x:c r="W102"/>
      <x:c r="X102"/>
      <x:c r="Y102" t="str">
        <x:v>11.0% intervention vs 23.3% SSS</x:v>
      </x:c>
      <x:c r="Z102" t="str">
        <x:v>0.020 overall; TST vs SSS significant</x:v>
      </x:c>
      <x:c r="AA102" t="str">
        <x:v>Yes</x:v>
      </x:c>
      <x:c r="AB102" t="str">
        <x:v>No</x:v>
      </x:c>
      <x:c r="AC102" t="str">
        <x:f>IF(H102="Mean/SD","MD",IF(H102="Events/total","RR",""))</x:f>
      </x:c>
      <x:c r="AD102" t="str">
        <x:f>IF(H102="Mean/SD",M102-S102,IF(H102="Events/total",IFERROR((R102/K102)/(X102/L102),""),""))</x:f>
      </x:c>
      <x:c r="AE102" t="str">
        <x:v>No</x:v>
      </x:c>
      <x:c r="AF102" t="str">
        <x:v>No</x:v>
      </x:c>
      <x:c r="AG102" t="str">
        <x:v>Eligible for 48-h non-opioid rescue-analgesia analysis; not an opioid outcome</x:v>
      </x:c>
      <x:c r="AH102" t="str">
        <x:v>Yes</x:v>
      </x:c>
      <x:c r="AI102" t="str">
        <x:v>Do not convert printed percentages to exact event counts without confirmation</x:v>
      </x:c>
      <x:c r="AJ102" t="str">
        <x:v>Table 2 / supplemental analgesic requirement</x:v>
      </x:c>
      <x:c r="AK102" t="str">
        <x:v>https://drive.google.com/file/d/1lELlw0IpkhqoB8OuintAI22fxKfNEcEd/view?usp=drivesdk</x:v>
      </x:c>
      <x:c r="AL102" t="str">
        <x:v>SOURCE-VERIFIED / PERCENTAGES ONLY</x:v>
      </x:c>
    </x:row>
    <x:row r="103">
      <x:c r="A103" t="str">
        <x:v>Sun 2017</x:v>
      </x:c>
      <x:c r="B103" t="str">
        <x:v>SUN17_TTS_vs_SSS_NSAID48</x:v>
      </x:c>
      <x:c r="C103" t="str">
        <x:v>Preoperative + intraoperative true TEAS</x:v>
      </x:c>
      <x:c r="D103" t="str">
        <x:v>All-period sham TEAS (SSS)</x:v>
      </x:c>
      <x:c r="E103" t="str">
        <x:v>Rescue analgesia</x:v>
      </x:c>
      <x:c r="F103" t="str">
        <x:v>Supplemental flurbiprofen axetil requirement</x:v>
      </x:c>
      <x:c r="G103" t="str">
        <x:v>Within 48 h</x:v>
      </x:c>
      <x:c r="H103" t="str">
        <x:v>Published percentage</x:v>
      </x:c>
      <x:c r="I103" t="n">
        <x:v>95</x:v>
      </x:c>
      <x:c r="J103" t="n">
        <x:v>95</x:v>
      </x:c>
      <x:c r="K103" t="n">
        <x:v>91</x:v>
      </x:c>
      <x:c r="L103" t="n">
        <x:v>90</x:v>
      </x:c>
      <x:c r="M103"/>
      <x:c r="N103"/>
      <x:c r="O103"/>
      <x:c r="P103"/>
      <x:c r="Q103"/>
      <x:c r="R103"/>
      <x:c r="S103"/>
      <x:c r="T103"/>
      <x:c r="U103"/>
      <x:c r="V103"/>
      <x:c r="W103"/>
      <x:c r="X103"/>
      <x:c r="Y103" t="str">
        <x:v>15.4% intervention vs 23.3% SSS</x:v>
      </x:c>
      <x:c r="Z103" t="str">
        <x:v>0.020 overall; TST vs SSS significant</x:v>
      </x:c>
      <x:c r="AA103" t="str">
        <x:v>Yes</x:v>
      </x:c>
      <x:c r="AB103" t="str">
        <x:v>No</x:v>
      </x:c>
      <x:c r="AC103" t="str">
        <x:f>IF(H103="Mean/SD","MD",IF(H103="Events/total","RR",""))</x:f>
      </x:c>
      <x:c r="AD103" t="str">
        <x:f>IF(H103="Mean/SD",M103-S103,IF(H103="Events/total",IFERROR((R103/K103)/(X103/L103),""),""))</x:f>
      </x:c>
      <x:c r="AE103" t="str">
        <x:v>No</x:v>
      </x:c>
      <x:c r="AF103" t="str">
        <x:v>No</x:v>
      </x:c>
      <x:c r="AG103" t="str">
        <x:v>Eligible for 48-h non-opioid rescue-analgesia analysis; not an opioid outcome</x:v>
      </x:c>
      <x:c r="AH103" t="str">
        <x:v>Yes</x:v>
      </x:c>
      <x:c r="AI103" t="str">
        <x:v>Do not convert printed percentages to exact event counts without confirmation</x:v>
      </x:c>
      <x:c r="AJ103" t="str">
        <x:v>Table 2 / supplemental analgesic requirement</x:v>
      </x:c>
      <x:c r="AK103" t="str">
        <x:v>https://drive.google.com/file/d/1lELlw0IpkhqoB8OuintAI22fxKfNEcEd/view?usp=drivesdk</x:v>
      </x:c>
      <x:c r="AL103" t="str">
        <x:v>SOURCE-VERIFIED / PERCENTAGES ONLY</x:v>
      </x:c>
    </x:row>
    <x:row r="104">
      <x:c r="A104" t="str">
        <x:v>Sun 2017</x:v>
      </x:c>
      <x:c r="B104" t="str">
        <x:v>SUN17_TST_vs_SSS_NSAID48</x:v>
      </x:c>
      <x:c r="C104" t="str">
        <x:v>Preoperative + postoperative true TEAS</x:v>
      </x:c>
      <x:c r="D104" t="str">
        <x:v>All-period sham TEAS (SSS)</x:v>
      </x:c>
      <x:c r="E104" t="str">
        <x:v>Rescue analgesia</x:v>
      </x:c>
      <x:c r="F104" t="str">
        <x:v>Supplemental flurbiprofen axetil requirement</x:v>
      </x:c>
      <x:c r="G104" t="str">
        <x:v>Within 48 h</x:v>
      </x:c>
      <x:c r="H104" t="str">
        <x:v>Published percentage</x:v>
      </x:c>
      <x:c r="I104" t="n">
        <x:v>95</x:v>
      </x:c>
      <x:c r="J104" t="n">
        <x:v>95</x:v>
      </x:c>
      <x:c r="K104" t="n">
        <x:v>89</x:v>
      </x:c>
      <x:c r="L104" t="n">
        <x:v>90</x:v>
      </x:c>
      <x:c r="M104"/>
      <x:c r="N104"/>
      <x:c r="O104"/>
      <x:c r="P104"/>
      <x:c r="Q104"/>
      <x:c r="R104"/>
      <x:c r="S104"/>
      <x:c r="T104"/>
      <x:c r="U104"/>
      <x:c r="V104"/>
      <x:c r="W104"/>
      <x:c r="X104"/>
      <x:c r="Y104" t="str">
        <x:v>7.9% intervention vs 23.3% SSS</x:v>
      </x:c>
      <x:c r="Z104" t="str">
        <x:v>0.020 overall; TST vs SSS significant</x:v>
      </x:c>
      <x:c r="AA104" t="str">
        <x:v>Yes</x:v>
      </x:c>
      <x:c r="AB104" t="str">
        <x:v>No</x:v>
      </x:c>
      <x:c r="AC104" t="str">
        <x:f>IF(H104="Mean/SD","MD",IF(H104="Events/total","RR",""))</x:f>
      </x:c>
      <x:c r="AD104" t="str">
        <x:f>IF(H104="Mean/SD",M104-S104,IF(H104="Events/total",IFERROR((R104/K104)/(X104/L104),""),""))</x:f>
      </x:c>
      <x:c r="AE104" t="str">
        <x:v>No</x:v>
      </x:c>
      <x:c r="AF104" t="str">
        <x:v>No</x:v>
      </x:c>
      <x:c r="AG104" t="str">
        <x:v>Eligible for 48-h non-opioid rescue-analgesia analysis; not an opioid outcome</x:v>
      </x:c>
      <x:c r="AH104" t="str">
        <x:v>Yes</x:v>
      </x:c>
      <x:c r="AI104" t="str">
        <x:v>Do not convert printed percentages to exact event counts without confirmation</x:v>
      </x:c>
      <x:c r="AJ104" t="str">
        <x:v>Table 2 / supplemental analgesic requirement</x:v>
      </x:c>
      <x:c r="AK104" t="str">
        <x:v>https://drive.google.com/file/d/1lELlw0IpkhqoB8OuintAI22fxKfNEcEd/view?usp=drivesdk</x:v>
      </x:c>
      <x:c r="AL104" t="str">
        <x:v>SOURCE-VERIFIED / PERCENTAGES ONLY</x:v>
      </x:c>
    </x:row>
    <x:row r="105">
      <x:c r="A105" t="str">
        <x:v>Sun 2017</x:v>
      </x:c>
      <x:c r="B105" t="str">
        <x:v>SUN17_INTRAOP_MORPH_EQUIV</x:v>
      </x:c>
      <x:c r="C105" t="str">
        <x:v>Pre/intraoperative TEAS timing arms</x:v>
      </x:c>
      <x:c r="D105" t="str">
        <x:v>All-period sham TEAS</x:v>
      </x:c>
      <x:c r="E105" t="str">
        <x:v>Intraoperative opioid</x:v>
      </x:c>
      <x:c r="F105" t="str">
        <x:v>Author-defined intraoperative morphine-equivalent exposure</x:v>
      </x:c>
      <x:c r="G105" t="str">
        <x:v>Intraoperative</x:v>
      </x:c>
      <x:c r="H105" t="str">
        <x:v>Study-defined converted metric</x:v>
      </x:c>
      <x:c r="I105" t="n">
        <x:v>95</x:v>
      </x:c>
      <x:c r="J105" t="n">
        <x:v>95</x:v>
      </x:c>
      <x:c r="K105" t="n">
        <x:v>91</x:v>
      </x:c>
      <x:c r="L105" t="n">
        <x:v>90</x:v>
      </x:c>
      <x:c r="M105"/>
      <x:c r="N105"/>
      <x:c r="O105"/>
      <x:c r="P105"/>
      <x:c r="Q105"/>
      <x:c r="R105"/>
      <x:c r="S105"/>
      <x:c r="T105"/>
      <x:c r="U105"/>
      <x:c r="V105"/>
      <x:c r="W105"/>
      <x:c r="X105"/>
      <x:c r="Y105" t="str">
        <x:v>mg/kg morphine-equivalent</x:v>
      </x:c>
      <x:c r="Z105" t="str">
        <x:v>0.303</x:v>
      </x:c>
      <x:c r="AA105" t="str">
        <x:v>Yes</x:v>
      </x:c>
      <x:c r="AB105" t="str">
        <x:v>Yes</x:v>
      </x:c>
      <x:c r="AC105" t="str">
        <x:f>IF(H105="Mean/SD","MD",IF(H105="Events/total","RR",""))</x:f>
      </x:c>
      <x:c r="AD105" t="str">
        <x:f>IF(H105="Mean/SD",M105-S105,IF(H105="Events/total",IFERROR((R105/K105)/(X105/L105),""),""))</x:f>
      </x:c>
      <x:c r="AE105" t="str">
        <x:v>No</x:v>
      </x:c>
      <x:c r="AF105" t="str">
        <x:v>No</x:v>
      </x:c>
      <x:c r="AG105" t="str">
        <x:v>Not directly harmonized to review MME until conversion method is adjudicated</x:v>
      </x:c>
      <x:c r="AH105" t="str">
        <x:v>Yes</x:v>
      </x:c>
      <x:c r="AI105" t="str">
        <x:v>Values ~1.5-1.6 mg/kg across all four groups; study-specific conversion of sufentanil/remifentanil</x:v>
      </x:c>
      <x:c r="AJ105" t="str">
        <x:v>Table 2 / intraoperative anesthetic consumption</x:v>
      </x:c>
      <x:c r="AK105" t="str">
        <x:v>https://drive.google.com/file/d/1lELlw0IpkhqoB8OuintAI22fxKfNEcEd/view?usp=drivesdk</x:v>
      </x:c>
      <x:c r="AL105" t="str">
        <x:v>SOURCE-VERIFIED / STUDY-DEFINED CONVERSION</x:v>
      </x:c>
    </x:row>
    <x:row r="106">
      <x:c r="A106" t="str">
        <x:v>Sun 2017</x:v>
      </x:c>
      <x:c r="B106" t="str">
        <x:v>SUN17_POSTOP_OPIOID24</x:v>
      </x:c>
      <x:c r="C106" t="str">
        <x:v>True TEAS timing arms</x:v>
      </x:c>
      <x:c r="D106" t="str">
        <x:v>All-period sham TEAS</x:v>
      </x:c>
      <x:c r="E106" t="str">
        <x:v>Opioid consumption</x:v>
      </x:c>
      <x:c r="F106" t="str">
        <x:v>Postoperative opioid consumption</x:v>
      </x:c>
      <x:c r="G106" t="str">
        <x:v>0-24 h</x:v>
      </x:c>
      <x:c r="H106" t="str">
        <x:v>Not applicable / not reported</x:v>
      </x:c>
      <x:c r="I106" t="n">
        <x:v>95</x:v>
      </x:c>
      <x:c r="J106" t="n">
        <x:v>95</x:v>
      </x:c>
      <x:c r="K106"/>
      <x:c r="L106"/>
      <x:c r="M106"/>
      <x:c r="N106"/>
      <x:c r="O106"/>
      <x:c r="P106"/>
      <x:c r="Q106"/>
      <x:c r="R106"/>
      <x:c r="S106"/>
      <x:c r="T106"/>
      <x:c r="U106"/>
      <x:c r="V106"/>
      <x:c r="W106"/>
      <x:c r="X106"/>
      <x:c r="Y106" t="str">
        <x:v>mg/µg</x:v>
      </x:c>
      <x:c r="Z106" t="str"/>
      <x:c r="AA106" t="str">
        <x:v>No</x:v>
      </x:c>
      <x:c r="AB106" t="str">
        <x:v>No</x:v>
      </x:c>
      <x:c r="AC106" t="str">
        <x:f>IF(H106="Mean/SD","MD",IF(H106="Events/total","RR",""))</x:f>
      </x:c>
      <x:c r="AD106" t="str">
        <x:f>IF(H106="Mean/SD",M106-S106,IF(H106="Events/total",IFERROR((R106/K106)/(X106/L106),""),""))</x:f>
      </x:c>
      <x:c r="AE106" t="str">
        <x:v>No</x:v>
      </x:c>
      <x:c r="AF106" t="str">
        <x:v>No</x:v>
      </x:c>
      <x:c r="AG106" t="str">
        <x:v>Not eligible for postoperative opioid meta-analysis</x:v>
      </x:c>
      <x:c r="AH106" t="str">
        <x:v>Yes</x:v>
      </x:c>
      <x:c r="AI106" t="str">
        <x:v>Postoperative rescue analgesia was flurbiprofen axetil (NSAID), not an opioid</x:v>
      </x:c>
      <x:c r="AJ106" t="str">
        <x:v>Postoperative analgesia protocol</x:v>
      </x:c>
      <x:c r="AK106" t="str">
        <x:v>https://drive.google.com/file/d/1lELlw0IpkhqoB8OuintAI22fxKfNEcEd/view?usp=drivesdk</x:v>
      </x:c>
      <x:c r="AL106" t="str">
        <x:v>NO POSTOPERATIVE OPIOID OUTCOME</x:v>
      </x:c>
    </x:row>
    <x:row r="107">
      <x:c r="A107" t="str">
        <x:v>Sim 2002</x:v>
      </x:c>
      <x:c r="B107" t="str">
        <x:v>SIM02_PREOP_vs_PLACEBO_MORPH24</x:v>
      </x:c>
      <x:c r="C107" t="str">
        <x:v>Preoperative EA</x:v>
      </x:c>
      <x:c r="D107" t="str">
        <x:v>Placebo EA</x:v>
      </x:c>
      <x:c r="E107" t="str">
        <x:v>Opioid consumption</x:v>
      </x:c>
      <x:c r="F107" t="str">
        <x:v>Cumulative postoperative IV PCA morphine</x:v>
      </x:c>
      <x:c r="G107" t="str">
        <x:v>0-24 h</x:v>
      </x:c>
      <x:c r="H107" t="str">
        <x:v>Mean/SD</x:v>
      </x:c>
      <x:c r="I107" t="n">
        <x:v>30</x:v>
      </x:c>
      <x:c r="J107" t="n">
        <x:v>30</x:v>
      </x:c>
      <x:c r="K107" t="n">
        <x:v>30</x:v>
      </x:c>
      <x:c r="L107" t="n">
        <x:v>30</x:v>
      </x:c>
      <x:c r="M107" t="n">
        <x:v>0.52</x:v>
      </x:c>
      <x:c r="N107" t="n">
        <x:v>0.19</x:v>
      </x:c>
      <x:c r="O107"/>
      <x:c r="P107"/>
      <x:c r="Q107"/>
      <x:c r="R107"/>
      <x:c r="S107" t="n">
        <x:v>0.68</x:v>
      </x:c>
      <x:c r="T107" t="n">
        <x:v>0.38</x:v>
      </x:c>
      <x:c r="U107"/>
      <x:c r="V107"/>
      <x:c r="W107"/>
      <x:c r="X107"/>
      <x:c r="Y107" t="str">
        <x:v>mg/kg morphine</x:v>
      </x:c>
      <x:c r="Z107" t="str">
        <x:v>NS overall 24-h cumulative comparison</x:v>
      </x:c>
      <x:c r="AA107" t="str">
        <x:v>Yes</x:v>
      </x:c>
      <x:c r="AB107" t="str">
        <x:v>No</x:v>
      </x:c>
      <x:c r="AC107" t="str">
        <x:f>IF(H107="Mean/SD","MD",IF(H107="Events/total","RR",""))</x:f>
        <x:v>MD</x:v>
      </x:c>
      <x:c r="AD107" t="n">
        <x:f>IF(H107="Mean/SD",M107-S107,IF(H107="Events/total",IFERROR((R107/K107)/(X107/L107),""),""))</x:f>
        <x:v>-0.16000000000000003</x:v>
      </x:c>
      <x:c r="AE107" t="str">
        <x:v>Yes</x:v>
      </x:c>
      <x:c r="AF107" t="str">
        <x:v>Conditional</x:v>
      </x:c>
      <x:c r="AG107" t="str">
        <x:v>Direct weight-normalized 24-h morphine endpoint; pool only if protocol permits mg/kg or a prespecified standardization method</x:v>
      </x:c>
      <x:c r="AH107" t="str">
        <x:v>Yes</x:v>
      </x:c>
      <x:c r="AI107" t="str">
        <x:v>Do not convert mg/kg to absolute mg using group mean body weight; aggregate means cannot reconstruct individual absolute dose</x:v>
      </x:c>
      <x:c r="AJ107" t="str">
        <x:v>Figure 4 / cumulative 24-h morphine</x:v>
      </x:c>
      <x:c r="AK107" t="str">
        <x:v>https://drive.google.com/file/d/1YsNHL-J3Kgfu8mCanRrNu_bHk_roj0w6/view?usp=drivesdk</x:v>
      </x:c>
      <x:c r="AL107" t="str">
        <x:v>SOURCE-VERIFIED</x:v>
      </x:c>
    </x:row>
    <x:row r="108">
      <x:c r="A108" t="str">
        <x:v>Sim 2002</x:v>
      </x:c>
      <x:c r="B108" t="str">
        <x:v>SIM02_POSTOP_vs_PLACEBO_MORPH24</x:v>
      </x:c>
      <x:c r="C108" t="str">
        <x:v>Postoperative EA</x:v>
      </x:c>
      <x:c r="D108" t="str">
        <x:v>Placebo EA</x:v>
      </x:c>
      <x:c r="E108" t="str">
        <x:v>Opioid consumption</x:v>
      </x:c>
      <x:c r="F108" t="str">
        <x:v>Cumulative postoperative IV PCA morphine</x:v>
      </x:c>
      <x:c r="G108" t="str">
        <x:v>0-24 h</x:v>
      </x:c>
      <x:c r="H108" t="str">
        <x:v>Mean/SD</x:v>
      </x:c>
      <x:c r="I108" t="n">
        <x:v>30</x:v>
      </x:c>
      <x:c r="J108" t="n">
        <x:v>30</x:v>
      </x:c>
      <x:c r="K108" t="n">
        <x:v>30</x:v>
      </x:c>
      <x:c r="L108" t="n">
        <x:v>30</x:v>
      </x:c>
      <x:c r="M108" t="n">
        <x:v>0.58</x:v>
      </x:c>
      <x:c r="N108" t="n">
        <x:v>0.27</x:v>
      </x:c>
      <x:c r="O108"/>
      <x:c r="P108"/>
      <x:c r="Q108"/>
      <x:c r="R108"/>
      <x:c r="S108" t="n">
        <x:v>0.68</x:v>
      </x:c>
      <x:c r="T108" t="n">
        <x:v>0.38</x:v>
      </x:c>
      <x:c r="U108"/>
      <x:c r="V108"/>
      <x:c r="W108"/>
      <x:c r="X108"/>
      <x:c r="Y108" t="str">
        <x:v>mg/kg morphine</x:v>
      </x:c>
      <x:c r="Z108" t="str">
        <x:v>NS overall 24-h cumulative comparison</x:v>
      </x:c>
      <x:c r="AA108" t="str">
        <x:v>Yes</x:v>
      </x:c>
      <x:c r="AB108" t="str">
        <x:v>No</x:v>
      </x:c>
      <x:c r="AC108" t="str">
        <x:f>IF(H108="Mean/SD","MD",IF(H108="Events/total","RR",""))</x:f>
        <x:v>MD</x:v>
      </x:c>
      <x:c r="AD108" t="n">
        <x:f>IF(H108="Mean/SD",M108-S108,IF(H108="Events/total",IFERROR((R108/K108)/(X108/L108),""),""))</x:f>
        <x:v>-0.10000000000000009</x:v>
      </x:c>
      <x:c r="AE108" t="str">
        <x:v>Yes</x:v>
      </x:c>
      <x:c r="AF108" t="str">
        <x:v>Conditional</x:v>
      </x:c>
      <x:c r="AG108" t="str">
        <x:v>Timing-comparator 24-h morphine endpoint</x:v>
      </x:c>
      <x:c r="AH108" t="str">
        <x:v>Yes</x:v>
      </x:c>
      <x:c r="AI108" t="str">
        <x:v>Postoperative EA is a distinct randomized timing arm and must not be merged with preoperative EA</x:v>
      </x:c>
      <x:c r="AJ108" t="str">
        <x:v>Figure 4 / cumulative 24-h morphine</x:v>
      </x:c>
      <x:c r="AK108" t="str">
        <x:v>https://drive.google.com/file/d/1YsNHL-J3Kgfu8mCanRrNu_bHk_roj0w6/view?usp=drivesdk</x:v>
      </x:c>
      <x:c r="AL108" t="str">
        <x:v>SOURCE-VERIFIED</x:v>
      </x:c>
    </x:row>
    <x:row r="109">
      <x:c r="A109" t="str">
        <x:v>Sim 2002</x:v>
      </x:c>
      <x:c r="B109" t="str">
        <x:v>SIM02_PREOP_vs_PLACEBO_MORPH6_12</x:v>
      </x:c>
      <x:c r="C109" t="str">
        <x:v>Preoperative EA</x:v>
      </x:c>
      <x:c r="D109" t="str">
        <x:v>Placebo EA</x:v>
      </x:c>
      <x:c r="E109" t="str">
        <x:v>Opioid consumption</x:v>
      </x:c>
      <x:c r="F109" t="str">
        <x:v>Postoperative IV PCA morphine</x:v>
      </x:c>
      <x:c r="G109" t="str">
        <x:v>6-12 h</x:v>
      </x:c>
      <x:c r="H109" t="str">
        <x:v>Median/IQR</x:v>
      </x:c>
      <x:c r="I109" t="n">
        <x:v>30</x:v>
      </x:c>
      <x:c r="J109" t="n">
        <x:v>30</x:v>
      </x:c>
      <x:c r="K109" t="n">
        <x:v>30</x:v>
      </x:c>
      <x:c r="L109" t="n">
        <x:v>30</x:v>
      </x:c>
      <x:c r="M109"/>
      <x:c r="N109"/>
      <x:c r="O109" t="n">
        <x:v>0.03</x:v>
      </x:c>
      <x:c r="P109"/>
      <x:c r="Q109"/>
      <x:c r="R109"/>
      <x:c r="S109"/>
      <x:c r="T109"/>
      <x:c r="U109" t="n">
        <x:v>0.1</x:v>
      </x:c>
      <x:c r="V109"/>
      <x:c r="W109"/>
      <x:c r="X109"/>
      <x:c r="Y109" t="str">
        <x:v>mg/kg morphine</x:v>
      </x:c>
      <x:c r="Z109" t="str">
        <x:v>0.015</x:v>
      </x:c>
      <x:c r="AA109" t="str">
        <x:v>Yes</x:v>
      </x:c>
      <x:c r="AB109" t="str">
        <x:v>No</x:v>
      </x:c>
      <x:c r="AC109" t="str">
        <x:f>IF(H109="Mean/SD","MD",IF(H109="Events/total","RR",""))</x:f>
      </x:c>
      <x:c r="AD109" t="str">
        <x:f>IF(H109="Mean/SD",M109-S109,IF(H109="Events/total",IFERROR((R109/K109)/(X109/L109),""),""))</x:f>
      </x:c>
      <x:c r="AE109" t="str">
        <x:v>No</x:v>
      </x:c>
      <x:c r="AF109" t="str">
        <x:v>No</x:v>
      </x:c>
      <x:c r="AG109" t="str">
        <x:v>Eligible for interval-specific opioid analysis only</x:v>
      </x:c>
      <x:c r="AH109" t="str">
        <x:v>Yes</x:v>
      </x:c>
      <x:c r="AI109" t="str">
        <x:v>Source reports median (IQR) as 0.03 (0.05) vs 0.10 (0.11); IQR is reported as a single width rather than Q1/Q3</x:v>
      </x:c>
      <x:c r="AJ109" t="str">
        <x:v>6-12-h morphine interval</x:v>
      </x:c>
      <x:c r="AK109" t="str">
        <x:v>https://drive.google.com/file/d/1YsNHL-J3Kgfu8mCanRrNu_bHk_roj0w6/view?usp=drivesdk</x:v>
      </x:c>
      <x:c r="AL109" t="str">
        <x:v>SOURCE-VERIFIED / IQR FORMAT QC</x:v>
      </x:c>
    </x:row>
    <x:row r="110">
      <x:c r="A110" t="str">
        <x:v>Sim 2002</x:v>
      </x:c>
      <x:c r="B110" t="str">
        <x:v>SIM02_PREOP_vs_PLACEBO_ALFENT</x:v>
      </x:c>
      <x:c r="C110" t="str">
        <x:v>Preoperative EA</x:v>
      </x:c>
      <x:c r="D110" t="str">
        <x:v>Placebo EA</x:v>
      </x:c>
      <x:c r="E110" t="str">
        <x:v>Intraoperative opioid</x:v>
      </x:c>
      <x:c r="F110" t="str">
        <x:v>Alfentanil requirement rate</x:v>
      </x:c>
      <x:c r="G110" t="str">
        <x:v>Intraoperative</x:v>
      </x:c>
      <x:c r="H110" t="str">
        <x:v>Mean/SD</x:v>
      </x:c>
      <x:c r="I110" t="n">
        <x:v>30</x:v>
      </x:c>
      <x:c r="J110" t="n">
        <x:v>30</x:v>
      </x:c>
      <x:c r="K110" t="n">
        <x:v>30</x:v>
      </x:c>
      <x:c r="L110" t="n">
        <x:v>30</x:v>
      </x:c>
      <x:c r="M110" t="n">
        <x:v>0.44</x:v>
      </x:c>
      <x:c r="N110" t="n">
        <x:v>0.15</x:v>
      </x:c>
      <x:c r="O110"/>
      <x:c r="P110"/>
      <x:c r="Q110"/>
      <x:c r="R110"/>
      <x:c r="S110" t="n">
        <x:v>0.51</x:v>
      </x:c>
      <x:c r="T110" t="n">
        <x:v>0.21</x:v>
      </x:c>
      <x:c r="U110"/>
      <x:c r="V110"/>
      <x:c r="W110"/>
      <x:c r="X110"/>
      <x:c r="Y110" t="str">
        <x:v>µg/kg/min</x:v>
      </x:c>
      <x:c r="Z110" t="str">
        <x:v>0.472</x:v>
      </x:c>
      <x:c r="AA110" t="str">
        <x:v>Yes</x:v>
      </x:c>
      <x:c r="AB110" t="str">
        <x:v>No</x:v>
      </x:c>
      <x:c r="AC110" t="str">
        <x:f>IF(H110="Mean/SD","MD",IF(H110="Events/total","RR",""))</x:f>
        <x:v>MD</x:v>
      </x:c>
      <x:c r="AD110" t="n">
        <x:f>IF(H110="Mean/SD",M110-S110,IF(H110="Events/total",IFERROR((R110/K110)/(X110/L110),""),""))</x:f>
        <x:v>-0.07</x:v>
      </x:c>
      <x:c r="AE110" t="str">
        <x:v>No</x:v>
      </x:c>
      <x:c r="AF110" t="str">
        <x:v>No</x:v>
      </x:c>
      <x:c r="AG110" t="str">
        <x:v>Eligible for intraoperative opioid analysis</x:v>
      </x:c>
      <x:c r="AH110" t="str">
        <x:v>Yes</x:v>
      </x:c>
      <x:c r="AI110" t="str">
        <x:v>No significant placebo-controlled intraoperative opioid-sparing effect</x:v>
      </x:c>
      <x:c r="AJ110" t="str">
        <x:v>Figure 2 / alfentanil requirement</x:v>
      </x:c>
      <x:c r="AK110" t="str">
        <x:v>https://drive.google.com/file/d/1YsNHL-J3Kgfu8mCanRrNu_bHk_roj0w6/view?usp=drivesdk</x:v>
      </x:c>
      <x:c r="AL110" t="str">
        <x:v>SOURCE-VERIFIED</x:v>
      </x:c>
    </x:row>
    <x:row r="111">
      <x:c r="A111" t="str">
        <x:v>Ntritsou 2014</x:v>
      </x:c>
      <x:c r="B111" t="str">
        <x:v>NTRI14_EA_vs_SHAM_TRAMSUM</x:v>
      </x:c>
      <x:c r="C111" t="str">
        <x:v>Perioperative EA + tramadol/ketamine</x:v>
      </x:c>
      <x:c r="D111" t="str">
        <x:v>Sham + tramadol/ketamine</x:v>
      </x:c>
      <x:c r="E111" t="str">
        <x:v>Opioid consumption</x:v>
      </x:c>
      <x:c r="F111" t="str">
        <x:v>Total tramadol exposure</x:v>
      </x:c>
      <x:c r="G111" t="str">
        <x:v>Perioperative / first 24 h most consistent with protocol; table does not restate window</x:v>
      </x:c>
      <x:c r="H111" t="str">
        <x:v>Mean/SD</x:v>
      </x:c>
      <x:c r="I111" t="n">
        <x:v>37</x:v>
      </x:c>
      <x:c r="J111" t="n">
        <x:v>38</x:v>
      </x:c>
      <x:c r="K111" t="n">
        <x:v>35</x:v>
      </x:c>
      <x:c r="L111" t="n">
        <x:v>35</x:v>
      </x:c>
      <x:c r="M111" t="n">
        <x:v>443.7</x:v>
      </x:c>
      <x:c r="N111" t="n">
        <x:v>67.4</x:v>
      </x:c>
      <x:c r="O111"/>
      <x:c r="P111"/>
      <x:c r="Q111"/>
      <x:c r="R111"/>
      <x:c r="S111" t="n">
        <x:v>461.5</x:v>
      </x:c>
      <x:c r="T111" t="n">
        <x:v>63.2</x:v>
      </x:c>
      <x:c r="U111"/>
      <x:c r="V111"/>
      <x:c r="W111"/>
      <x:c r="X111"/>
      <x:c r="Y111" t="str">
        <x:v>mg tramadol</x:v>
      </x:c>
      <x:c r="Z111" t="str">
        <x:v>0.257</x:v>
      </x:c>
      <x:c r="AA111" t="str">
        <x:v>Yes</x:v>
      </x:c>
      <x:c r="AB111" t="str">
        <x:v>No</x:v>
      </x:c>
      <x:c r="AC111" t="str">
        <x:f>IF(H111="Mean/SD","MD",IF(H111="Events/total","RR",""))</x:f>
        <x:v>MD</x:v>
      </x:c>
      <x:c r="AD111" t="n">
        <x:f>IF(H111="Mean/SD",M111-S111,IF(H111="Events/total",IFERROR((R111/K111)/(X111/L111),""),""))</x:f>
        <x:v>-17.80000000000001</x:v>
      </x:c>
      <x:c r="AE111" t="str">
        <x:v>Conditional</x:v>
      </x:c>
      <x:c r="AF111" t="str">
        <x:v>No</x:v>
      </x:c>
      <x:c r="AG111" t="str">
        <x:v>Continuous opioid-related quantity available, but not suitable as complete 24-h MME without confirming window and rescue morphine</x:v>
      </x:c>
      <x:c r="AH111" t="str">
        <x:v>No</x:v>
      </x:c>
      <x:c r="AI111" t="str">
        <x:v>Includes scheduled/background tramadol and likely rescue tramadol; rescue morphine quantity not reported</x:v>
      </x:c>
      <x:c r="AJ111" t="str">
        <x:v>Table 1 / tramadol sum</x:v>
      </x:c>
      <x:c r="AK111" t="str">
        <x:v>https://drive.google.com/file/d/1u_kNuuXF8upB3gJA2aDq8NldYDfhnWy3/view?usp=drivesdk</x:v>
      </x:c>
      <x:c r="AL111" t="str">
        <x:v>SOURCE-VERIFIED / WINDOW + CO-OPIOID QC</x:v>
      </x:c>
    </x:row>
    <x:row r="112">
      <x:c r="A112" t="str">
        <x:v>Ntritsou 2014</x:v>
      </x:c>
      <x:c r="B112" t="str">
        <x:v>NTRI14_EA_vs_SHAM_REMI</x:v>
      </x:c>
      <x:c r="C112" t="str">
        <x:v>Perioperative EA + tramadol/ketamine</x:v>
      </x:c>
      <x:c r="D112" t="str">
        <x:v>Sham + tramadol/ketamine</x:v>
      </x:c>
      <x:c r="E112" t="str">
        <x:v>Intraoperative opioid</x:v>
      </x:c>
      <x:c r="F112" t="str">
        <x:v>Remifentanil consumption</x:v>
      </x:c>
      <x:c r="G112" t="str">
        <x:v>Intraoperative</x:v>
      </x:c>
      <x:c r="H112" t="str">
        <x:v>Mean/SD</x:v>
      </x:c>
      <x:c r="I112" t="n">
        <x:v>37</x:v>
      </x:c>
      <x:c r="J112" t="n">
        <x:v>38</x:v>
      </x:c>
      <x:c r="K112" t="n">
        <x:v>35</x:v>
      </x:c>
      <x:c r="L112" t="n">
        <x:v>35</x:v>
      </x:c>
      <x:c r="M112" t="n">
        <x:v>1003.6</x:v>
      </x:c>
      <x:c r="N112" t="n">
        <x:v>522.7</x:v>
      </x:c>
      <x:c r="O112"/>
      <x:c r="P112"/>
      <x:c r="Q112"/>
      <x:c r="R112"/>
      <x:c r="S112" t="n">
        <x:v>1041.9</x:v>
      </x:c>
      <x:c r="T112" t="n">
        <x:v>631.9</x:v>
      </x:c>
      <x:c r="U112"/>
      <x:c r="V112"/>
      <x:c r="W112"/>
      <x:c r="X112"/>
      <x:c r="Y112" t="str">
        <x:v>µg remifentanil</x:v>
      </x:c>
      <x:c r="Z112" t="str">
        <x:v>0.783</x:v>
      </x:c>
      <x:c r="AA112" t="str">
        <x:v>Yes</x:v>
      </x:c>
      <x:c r="AB112" t="str">
        <x:v>No</x:v>
      </x:c>
      <x:c r="AC112" t="str">
        <x:f>IF(H112="Mean/SD","MD",IF(H112="Events/total","RR",""))</x:f>
        <x:v>MD</x:v>
      </x:c>
      <x:c r="AD112" t="n">
        <x:f>IF(H112="Mean/SD",M112-S112,IF(H112="Events/total",IFERROR((R112/K112)/(X112/L112),""),""))</x:f>
        <x:v>-38.30000000000007</x:v>
      </x:c>
      <x:c r="AE112" t="str">
        <x:v>No</x:v>
      </x:c>
      <x:c r="AF112" t="str">
        <x:v>No</x:v>
      </x:c>
      <x:c r="AG112" t="str">
        <x:v>Eligible for intraoperative opioid analysis</x:v>
      </x:c>
      <x:c r="AH112" t="str">
        <x:v>No</x:v>
      </x:c>
      <x:c r="AI112" t="str">
        <x:v>No significant intraoperative opioid-sparing effect</x:v>
      </x:c>
      <x:c r="AJ112" t="str">
        <x:v>Table 1 / remifentanil</x:v>
      </x:c>
      <x:c r="AK112" t="str">
        <x:v>https://drive.google.com/file/d/1u_kNuuXF8upB3gJA2aDq8NldYDfhnWy3/view?usp=drivesdk</x:v>
      </x:c>
      <x:c r="AL112" t="str">
        <x:v>SOURCE-VERIFIED</x:v>
      </x:c>
    </x:row>
    <x:row r="113">
      <x:c r="A113" t="str">
        <x:v>Ntritsou 2014</x:v>
      </x:c>
      <x:c r="B113" t="str">
        <x:v>NTRI14_EA_vs_SHAM_RESCUE</x:v>
      </x:c>
      <x:c r="C113" t="str">
        <x:v>Perioperative EA + tramadol/ketamine</x:v>
      </x:c>
      <x:c r="D113" t="str">
        <x:v>Sham + tramadol/ketamine</x:v>
      </x:c>
      <x:c r="E113" t="str">
        <x:v>Rescue opioid use</x:v>
      </x:c>
      <x:c r="F113" t="str">
        <x:v>Total rescue analgesia</x:v>
      </x:c>
      <x:c r="G113" t="str">
        <x:v>First 24 h</x:v>
      </x:c>
      <x:c r="H113" t="str">
        <x:v>Qualitative / exact quantities unavailable</x:v>
      </x:c>
      <x:c r="I113" t="n">
        <x:v>37</x:v>
      </x:c>
      <x:c r="J113" t="n">
        <x:v>38</x:v>
      </x:c>
      <x:c r="K113" t="n">
        <x:v>35</x:v>
      </x:c>
      <x:c r="L113" t="n">
        <x:v>35</x:v>
      </x:c>
      <x:c r="M113"/>
      <x:c r="N113"/>
      <x:c r="O113"/>
      <x:c r="P113"/>
      <x:c r="Q113"/>
      <x:c r="R113"/>
      <x:c r="S113"/>
      <x:c r="T113"/>
      <x:c r="U113"/>
      <x:c r="V113"/>
      <x:c r="W113"/>
      <x:c r="X113"/>
      <x:c r="Y113" t="str">
        <x:v>tramadol 50 mg IV then morphine 2 mg IV as needed</x:v>
      </x:c>
      <x:c r="Z113" t="str">
        <x:v>P&lt;0.001 reported</x:v>
      </x:c>
      <x:c r="AA113" t="str">
        <x:v>No</x:v>
      </x:c>
      <x:c r="AB113" t="str">
        <x:v>No</x:v>
      </x:c>
      <x:c r="AC113" t="str">
        <x:f>IF(H113="Mean/SD","MD",IF(H113="Events/total","RR",""))</x:f>
      </x:c>
      <x:c r="AD113" t="str">
        <x:f>IF(H113="Mean/SD",M113-S113,IF(H113="Events/total",IFERROR((R113/K113)/(X113/L113),""),""))</x:f>
      </x:c>
      <x:c r="AE113" t="str">
        <x:v>No</x:v>
      </x:c>
      <x:c r="AF113" t="str">
        <x:v>No</x:v>
      </x:c>
      <x:c r="AG113" t="str">
        <x:v>Not quantitatively poolable from main article</x:v>
      </x:c>
      <x:c r="AH113" t="str">
        <x:v>No</x:v>
      </x:c>
      <x:c r="AI113" t="str">
        <x:v>Main article reports significantly less total rescue analgesia but does not tabulate exact rescue tramadol/morphine quantities</x:v>
      </x:c>
      <x:c r="AJ113" t="str">
        <x:v>Rescue analgesia results</x:v>
      </x:c>
      <x:c r="AK113" t="str">
        <x:v>https://drive.google.com/file/d/1u_kNuuXF8upB3gJA2aDq8NldYDfhnWy3/view?usp=drivesdk</x:v>
      </x:c>
      <x:c r="AL113" t="str">
        <x:v>MISSING / EXACT RESCUE DOSES NOT REPORTED</x:v>
      </x:c>
    </x:row>
    <x:row r="114">
      <x:c r="A114" t="str">
        <x:v>Ntritsou 2014</x:v>
      </x:c>
      <x:c r="B114" t="str">
        <x:v>NTRI14_EA_vs_SHAM_MME24</x:v>
      </x:c>
      <x:c r="C114" t="str">
        <x:v>Perioperative EA + tramadol/ketamine</x:v>
      </x:c>
      <x:c r="D114" t="str">
        <x:v>Sham + tramadol/ketamine</x:v>
      </x:c>
      <x:c r="E114" t="str">
        <x:v>Opioid consumption</x:v>
      </x:c>
      <x:c r="F114" t="str">
        <x:v>Complete 24-h opioid/MME exposure</x:v>
      </x:c>
      <x:c r="G114" t="str">
        <x:v>0-24 h</x:v>
      </x:c>
      <x:c r="H114" t="str">
        <x:v>Not calculable</x:v>
      </x:c>
      <x:c r="I114" t="n">
        <x:v>37</x:v>
      </x:c>
      <x:c r="J114" t="n">
        <x:v>38</x:v>
      </x:c>
      <x:c r="K114" t="n">
        <x:v>35</x:v>
      </x:c>
      <x:c r="L114" t="n">
        <x:v>35</x:v>
      </x:c>
      <x:c r="M114"/>
      <x:c r="N114"/>
      <x:c r="O114"/>
      <x:c r="P114"/>
      <x:c r="Q114"/>
      <x:c r="R114"/>
      <x:c r="S114"/>
      <x:c r="T114"/>
      <x:c r="U114"/>
      <x:c r="V114"/>
      <x:c r="W114"/>
      <x:c r="X114"/>
      <x:c r="Y114" t="str">
        <x:v>MME</x:v>
      </x:c>
      <x:c r="Z114" t="str"/>
      <x:c r="AA114" t="str">
        <x:v>No</x:v>
      </x:c>
      <x:c r="AB114" t="str">
        <x:v>No</x:v>
      </x:c>
      <x:c r="AC114" t="str">
        <x:f>IF(H114="Mean/SD","MD",IF(H114="Events/total","RR",""))</x:f>
      </x:c>
      <x:c r="AD114" t="str">
        <x:f>IF(H114="Mean/SD",M114-S114,IF(H114="Events/total",IFERROR((R114/K114)/(X114/L114),""),""))</x:f>
      </x:c>
      <x:c r="AE114" t="str">
        <x:v>No</x:v>
      </x:c>
      <x:c r="AF114" t="str">
        <x:v>No</x:v>
      </x:c>
      <x:c r="AG114" t="str">
        <x:v>Not eligible for final 24-h MME until rescue morphine and tramadol-sum window are confirmed</x:v>
      </x:c>
      <x:c r="AH114" t="str">
        <x:v>No</x:v>
      </x:c>
      <x:c r="AI114" t="str">
        <x:v>Do not equate lower rescue use with significantly lower total opioid exposure</x:v>
      </x:c>
      <x:c r="AJ114" t="str">
        <x:v>Combined opioid exposure</x:v>
      </x:c>
      <x:c r="AK114" t="str">
        <x:v>https://drive.google.com/file/d/1u_kNuuXF8upB3gJA2aDq8NldYDfhnWy3/view?usp=drivesdk</x:v>
      </x:c>
      <x:c r="AL114" t="str">
        <x:v>MISSING / AUTHOR DATA NEEDED</x:v>
      </x:c>
    </x:row>
    <x:row r="115">
      <x:c r="A115" t="str">
        <x:v>Ng 2013</x:v>
      </x:c>
      <x:c r="B115" t="str">
        <x:v>NG13_EA_vs_SHAM_BOWEL</x:v>
      </x:c>
      <x:c r="C115" t="str">
        <x:v>Electroacupuncture</x:v>
      </x:c>
      <x:c r="D115" t="str">
        <x:v>Sham acupuncture</x:v>
      </x:c>
      <x:c r="E115" t="str">
        <x:v>GI recovery</x:v>
      </x:c>
      <x:c r="F115" t="str">
        <x:v>Time to first bowel motion / defecation</x:v>
      </x:c>
      <x:c r="G115" t="str">
        <x:v>Postoperative</x:v>
      </x:c>
      <x:c r="H115" t="str">
        <x:v>Mean/SD</x:v>
      </x:c>
      <x:c r="I115" t="n">
        <x:v>55</x:v>
      </x:c>
      <x:c r="J115" t="n">
        <x:v>55</x:v>
      </x:c>
      <x:c r="K115" t="n">
        <x:v>55</x:v>
      </x:c>
      <x:c r="L115" t="n">
        <x:v>55</x:v>
      </x:c>
      <x:c r="M115" t="n">
        <x:v>85.9</x:v>
      </x:c>
      <x:c r="N115" t="n">
        <x:v>36.1</x:v>
      </x:c>
      <x:c r="O115"/>
      <x:c r="P115"/>
      <x:c r="Q115"/>
      <x:c r="R115"/>
      <x:c r="S115" t="n">
        <x:v>107.5</x:v>
      </x:c>
      <x:c r="T115" t="n">
        <x:v>46.2</x:v>
      </x:c>
      <x:c r="U115"/>
      <x:c r="V115"/>
      <x:c r="W115"/>
      <x:c r="X115"/>
      <x:c r="Y115" t="str">
        <x:v>hours</x:v>
      </x:c>
      <x:c r="Z115" t="str">
        <x:v>0.007</x:v>
      </x:c>
      <x:c r="AA115" t="str">
        <x:v>Yes</x:v>
      </x:c>
      <x:c r="AB115" t="str">
        <x:v>No</x:v>
      </x:c>
      <x:c r="AC115" t="str">
        <x:f>IF(H115="Mean/SD","MD",IF(H115="Events/total","RR",""))</x:f>
        <x:v>MD</x:v>
      </x:c>
      <x:c r="AD115" t="n">
        <x:f>IF(H115="Mean/SD",M115-S115,IF(H115="Events/total",IFERROR((R115/K115)/(X115/L115),""),""))</x:f>
        <x:v>-21.599999999999994</x:v>
      </x:c>
      <x:c r="AE115" t="str">
        <x:v>No</x:v>
      </x:c>
      <x:c r="AF115" t="str">
        <x:v>No</x:v>
      </x:c>
      <x:c r="AG115" t="str">
        <x:v>Eligible for GI-recovery meta-analysis</x:v>
      </x:c>
      <x:c r="AH115" t="str">
        <x:v>Yes</x:v>
      </x:c>
      <x:c r="AI115" t="str">
        <x:v>Allocation used sealed nonopaque envelopes; EA-vs-sham participants and outcome assessors were blinded</x:v>
      </x:c>
      <x:c r="AJ115" t="str">
        <x:v>Primary outcome / first bowel motion</x:v>
      </x:c>
      <x:c r="AK115" t="str">
        <x:v>https://drive.google.com/file/d/1R1zCiyfWvuSp99Hi2U_K1__8kgdi90gd/view?usp=drivesdk</x:v>
      </x:c>
      <x:c r="AL115" t="str">
        <x:v>SOURCE-VERIFIED / ALLOCATION-CONCEALMENT QC</x:v>
      </x:c>
    </x:row>
    <x:row r="116">
      <x:c r="A116" t="str">
        <x:v>Ng 2013</x:v>
      </x:c>
      <x:c r="B116" t="str">
        <x:v>NG13_EA_vs_NOACU_BOWEL</x:v>
      </x:c>
      <x:c r="C116" t="str">
        <x:v>Electroacupuncture</x:v>
      </x:c>
      <x:c r="D116" t="str">
        <x:v>No acupuncture</x:v>
      </x:c>
      <x:c r="E116" t="str">
        <x:v>GI recovery</x:v>
      </x:c>
      <x:c r="F116" t="str">
        <x:v>Time to first bowel motion / defecation</x:v>
      </x:c>
      <x:c r="G116" t="str">
        <x:v>Postoperative</x:v>
      </x:c>
      <x:c r="H116" t="str">
        <x:v>Mean/SD</x:v>
      </x:c>
      <x:c r="I116" t="n">
        <x:v>55</x:v>
      </x:c>
      <x:c r="J116" t="n">
        <x:v>55</x:v>
      </x:c>
      <x:c r="K116" t="n">
        <x:v>55</x:v>
      </x:c>
      <x:c r="L116" t="n">
        <x:v>55</x:v>
      </x:c>
      <x:c r="M116" t="n">
        <x:v>85.9</x:v>
      </x:c>
      <x:c r="N116" t="n">
        <x:v>36.1</x:v>
      </x:c>
      <x:c r="O116"/>
      <x:c r="P116"/>
      <x:c r="Q116"/>
      <x:c r="R116"/>
      <x:c r="S116" t="n">
        <x:v>122.1</x:v>
      </x:c>
      <x:c r="T116" t="n">
        <x:v>53.5</x:v>
      </x:c>
      <x:c r="U116"/>
      <x:c r="V116"/>
      <x:c r="W116"/>
      <x:c r="X116"/>
      <x:c r="Y116" t="str">
        <x:v>hours</x:v>
      </x:c>
      <x:c r="Z116" t="str">
        <x:v>&lt;0.001</x:v>
      </x:c>
      <x:c r="AA116" t="str">
        <x:v>Yes</x:v>
      </x:c>
      <x:c r="AB116" t="str">
        <x:v>No</x:v>
      </x:c>
      <x:c r="AC116" t="str">
        <x:f>IF(H116="Mean/SD","MD",IF(H116="Events/total","RR",""))</x:f>
        <x:v>MD</x:v>
      </x:c>
      <x:c r="AD116" t="n">
        <x:f>IF(H116="Mean/SD",M116-S116,IF(H116="Events/total",IFERROR((R116/K116)/(X116/L116),""),""))</x:f>
        <x:v>-36.19999999999999</x:v>
      </x:c>
      <x:c r="AE116" t="str">
        <x:v>No</x:v>
      </x:c>
      <x:c r="AF116" t="str">
        <x:v>No</x:v>
      </x:c>
      <x:c r="AG116" t="str">
        <x:v>Eligible for GI-recovery meta-analysis as active-vs-usual-care contrast</x:v>
      </x:c>
      <x:c r="AH116" t="str">
        <x:v>Yes</x:v>
      </x:c>
      <x:c r="AI116" t="str">
        <x:v>No-acupuncture group could not be participant blinded</x:v>
      </x:c>
      <x:c r="AJ116" t="str">
        <x:v>Primary outcome / first bowel motion</x:v>
      </x:c>
      <x:c r="AK116" t="str">
        <x:v>https://drive.google.com/file/d/1R1zCiyfWvuSp99Hi2U_K1__8kgdi90gd/view?usp=drivesdk</x:v>
      </x:c>
      <x:c r="AL116" t="str">
        <x:v>SOURCE-VERIFIED</x:v>
      </x:c>
    </x:row>
    <x:row r="117">
      <x:c r="A117" t="str">
        <x:v>Ng 2013</x:v>
      </x:c>
      <x:c r="B117" t="str">
        <x:v>NG13_EA_vs_SHAM_FLATUS</x:v>
      </x:c>
      <x:c r="C117" t="str">
        <x:v>Electroacupuncture</x:v>
      </x:c>
      <x:c r="D117" t="str">
        <x:v>Sham acupuncture</x:v>
      </x:c>
      <x:c r="E117" t="str">
        <x:v>GI recovery</x:v>
      </x:c>
      <x:c r="F117" t="str">
        <x:v>Time to first flatus</x:v>
      </x:c>
      <x:c r="G117" t="str">
        <x:v>Postoperative</x:v>
      </x:c>
      <x:c r="H117" t="str">
        <x:v>Mean/SD</x:v>
      </x:c>
      <x:c r="I117" t="n">
        <x:v>55</x:v>
      </x:c>
      <x:c r="J117" t="n">
        <x:v>55</x:v>
      </x:c>
      <x:c r="K117" t="n">
        <x:v>55</x:v>
      </x:c>
      <x:c r="L117" t="n">
        <x:v>55</x:v>
      </x:c>
      <x:c r="M117" t="n">
        <x:v>2</x:v>
      </x:c>
      <x:c r="N117" t="n">
        <x:v>0.9</x:v>
      </x:c>
      <x:c r="O117"/>
      <x:c r="P117"/>
      <x:c r="Q117"/>
      <x:c r="R117"/>
      <x:c r="S117" t="n">
        <x:v>2.3</x:v>
      </x:c>
      <x:c r="T117" t="n">
        <x:v>1.1</x:v>
      </x:c>
      <x:c r="U117"/>
      <x:c r="V117"/>
      <x:c r="W117"/>
      <x:c r="X117"/>
      <x:c r="Y117" t="str">
        <x:v>days</x:v>
      </x:c>
      <x:c r="Z117" t="str">
        <x:v>0.095</x:v>
      </x:c>
      <x:c r="AA117" t="str">
        <x:v>Yes</x:v>
      </x:c>
      <x:c r="AB117" t="str">
        <x:v>No</x:v>
      </x:c>
      <x:c r="AC117" t="str">
        <x:f>IF(H117="Mean/SD","MD",IF(H117="Events/total","RR",""))</x:f>
        <x:v>MD</x:v>
      </x:c>
      <x:c r="AD117" t="n">
        <x:f>IF(H117="Mean/SD",M117-S117,IF(H117="Events/total",IFERROR((R117/K117)/(X117/L117),""),""))</x:f>
        <x:v>-0.2999999999999998</x:v>
      </x:c>
      <x:c r="AE117" t="str">
        <x:v>No</x:v>
      </x:c>
      <x:c r="AF117" t="str">
        <x:v>No</x:v>
      </x:c>
      <x:c r="AG117" t="str">
        <x:v>Eligible for GI-recovery analysis</x:v>
      </x:c>
      <x:c r="AH117" t="str">
        <x:v>Yes</x:v>
      </x:c>
      <x:c r="AI117" t="str">
        <x:v>No statistically significant EA-vs-sham difference</x:v>
      </x:c>
      <x:c r="AJ117" t="str">
        <x:v>Secondary outcome / first flatus</x:v>
      </x:c>
      <x:c r="AK117" t="str">
        <x:v>https://drive.google.com/file/d/1R1zCiyfWvuSp99Hi2U_K1__8kgdi90gd/view?usp=drivesdk</x:v>
      </x:c>
      <x:c r="AL117" t="str">
        <x:v>SOURCE-VERIFIED</x:v>
      </x:c>
    </x:row>
    <x:row r="118">
      <x:c r="A118" t="str">
        <x:v>Ng 2013</x:v>
      </x:c>
      <x:c r="B118" t="str">
        <x:v>NG13_EA_vs_SHAM_PAINPOD1</x:v>
      </x:c>
      <x:c r="C118" t="str">
        <x:v>Electroacupuncture</x:v>
      </x:c>
      <x:c r="D118" t="str">
        <x:v>Sham acupuncture</x:v>
      </x:c>
      <x:c r="E118" t="str">
        <x:v>Pain</x:v>
      </x:c>
      <x:c r="F118" t="str">
        <x:v>VAS pain intensity</x:v>
      </x:c>
      <x:c r="G118" t="str">
        <x:v>POD1</x:v>
      </x:c>
      <x:c r="H118" t="str">
        <x:v>Mean/SD</x:v>
      </x:c>
      <x:c r="I118" t="n">
        <x:v>55</x:v>
      </x:c>
      <x:c r="J118" t="n">
        <x:v>55</x:v>
      </x:c>
      <x:c r="K118" t="n">
        <x:v>55</x:v>
      </x:c>
      <x:c r="L118" t="n">
        <x:v>55</x:v>
      </x:c>
      <x:c r="M118" t="n">
        <x:v>5.6</x:v>
      </x:c>
      <x:c r="N118" t="n">
        <x:v>2</x:v>
      </x:c>
      <x:c r="O118"/>
      <x:c r="P118"/>
      <x:c r="Q118"/>
      <x:c r="R118"/>
      <x:c r="S118" t="n">
        <x:v>5.8</x:v>
      </x:c>
      <x:c r="T118" t="n">
        <x:v>1.9</x:v>
      </x:c>
      <x:c r="U118"/>
      <x:c r="V118"/>
      <x:c r="W118"/>
      <x:c r="X118"/>
      <x:c r="Y118" t="str">
        <x:v>VAS 0-10</x:v>
      </x:c>
      <x:c r="Z118" t="str">
        <x:v>0.655</x:v>
      </x:c>
      <x:c r="AA118" t="str">
        <x:v>Yes</x:v>
      </x:c>
      <x:c r="AB118" t="str">
        <x:v>No</x:v>
      </x:c>
      <x:c r="AC118" t="str">
        <x:f>IF(H118="Mean/SD","MD",IF(H118="Events/total","RR",""))</x:f>
        <x:v>MD</x:v>
      </x:c>
      <x:c r="AD118" t="n">
        <x:f>IF(H118="Mean/SD",M118-S118,IF(H118="Events/total",IFERROR((R118/K118)/(X118/L118),""),""))</x:f>
        <x:v>-0.20000000000000018</x:v>
      </x:c>
      <x:c r="AE118" t="str">
        <x:v>No</x:v>
      </x:c>
      <x:c r="AF118" t="str">
        <x:v>No</x:v>
      </x:c>
      <x:c r="AG118" t="str">
        <x:v>Eligible for POD1 pain analysis if POD1 timing meets protocol</x:v>
      </x:c>
      <x:c r="AH118" t="str">
        <x:v>Yes</x:v>
      </x:c>
      <x:c r="AI118" t="str">
        <x:v>POD1 is not an exact clock-defined 24-h point</x:v>
      </x:c>
      <x:c r="AJ118" t="str">
        <x:v>Pain outcome / POD1</x:v>
      </x:c>
      <x:c r="AK118" t="str">
        <x:v>https://drive.google.com/file/d/1R1zCiyfWvuSp99Hi2U_K1__8kgdi90gd/view?usp=drivesdk</x:v>
      </x:c>
      <x:c r="AL118" t="str">
        <x:v>SOURCE-VERIFIED / POD LABEL</x:v>
      </x:c>
    </x:row>
    <x:row r="119">
      <x:c r="A119" t="str">
        <x:v>Ng 2013</x:v>
      </x:c>
      <x:c r="B119" t="str">
        <x:v>NG13_EA_vs_SHAM_PETHCOUNT</x:v>
      </x:c>
      <x:c r="C119" t="str">
        <x:v>Electroacupuncture</x:v>
      </x:c>
      <x:c r="D119" t="str">
        <x:v>Sham acupuncture</x:v>
      </x:c>
      <x:c r="E119" t="str">
        <x:v>Opioid demand</x:v>
      </x:c>
      <x:c r="F119" t="str">
        <x:v>Number of postoperative pethidine injections</x:v>
      </x:c>
      <x:c r="G119" t="str">
        <x:v>Postoperative; exact window NR</x:v>
      </x:c>
      <x:c r="H119" t="str">
        <x:v>Mean/SD</x:v>
      </x:c>
      <x:c r="I119" t="n">
        <x:v>55</x:v>
      </x:c>
      <x:c r="J119" t="n">
        <x:v>55</x:v>
      </x:c>
      <x:c r="K119" t="n">
        <x:v>55</x:v>
      </x:c>
      <x:c r="L119" t="n">
        <x:v>55</x:v>
      </x:c>
      <x:c r="M119" t="n">
        <x:v>2.7</x:v>
      </x:c>
      <x:c r="N119" t="n">
        <x:v>2.3</x:v>
      </x:c>
      <x:c r="O119"/>
      <x:c r="P119"/>
      <x:c r="Q119"/>
      <x:c r="R119"/>
      <x:c r="S119" t="n">
        <x:v>5.2</x:v>
      </x:c>
      <x:c r="T119" t="n">
        <x:v>4.7</x:v>
      </x:c>
      <x:c r="U119"/>
      <x:c r="V119"/>
      <x:c r="W119"/>
      <x:c r="X119"/>
      <x:c r="Y119" t="str">
        <x:v>number of injections</x:v>
      </x:c>
      <x:c r="Z119" t="str">
        <x:v>NR</x:v>
      </x:c>
      <x:c r="AA119" t="str">
        <x:v>Yes</x:v>
      </x:c>
      <x:c r="AB119" t="str">
        <x:v>No</x:v>
      </x:c>
      <x:c r="AC119" t="str">
        <x:f>IF(H119="Mean/SD","MD",IF(H119="Events/total","RR",""))</x:f>
        <x:v>MD</x:v>
      </x:c>
      <x:c r="AD119" t="n">
        <x:f>IF(H119="Mean/SD",M119-S119,IF(H119="Events/total",IFERROR((R119/K119)/(X119/L119),""),""))</x:f>
        <x:v>-2.5</x:v>
      </x:c>
      <x:c r="AE119" t="str">
        <x:v>No</x:v>
      </x:c>
      <x:c r="AF119" t="str">
        <x:v>No</x:v>
      </x:c>
      <x:c r="AG119" t="str">
        <x:v>Eligible only as opioid-injection-count outcome after time-window clarification</x:v>
      </x:c>
      <x:c r="AH119" t="str">
        <x:v>Yes</x:v>
      </x:c>
      <x:c r="AI119" t="str">
        <x:v>Methods say 1 mg/kg q4h PRN, tables say 50-mg injections; exact observation window and route not clearly defined</x:v>
      </x:c>
      <x:c r="AJ119" t="str">
        <x:v>Analgesic requirement tables</x:v>
      </x:c>
      <x:c r="AK119" t="str">
        <x:v>https://drive.google.com/file/d/1R1zCiyfWvuSp99Hi2U_K1__8kgdi90gd/view?usp=drivesdk</x:v>
      </x:c>
      <x:c r="AL119" t="str">
        <x:v>SOURCE-VERIFIED / DOSE + WINDOW QC</x:v>
      </x:c>
    </x:row>
    <x:row r="120">
      <x:c r="A120" t="str">
        <x:v>Ng 2013</x:v>
      </x:c>
      <x:c r="B120" t="str">
        <x:v>NG13_EA_vs_SHAM_OPIOID24</x:v>
      </x:c>
      <x:c r="C120" t="str">
        <x:v>Electroacupuncture</x:v>
      </x:c>
      <x:c r="D120" t="str">
        <x:v>Sham acupuncture</x:v>
      </x:c>
      <x:c r="E120" t="str">
        <x:v>Opioid consumption</x:v>
      </x:c>
      <x:c r="F120" t="str">
        <x:v>Cumulative pethidine consumption</x:v>
      </x:c>
      <x:c r="G120" t="str">
        <x:v>0-24 h</x:v>
      </x:c>
      <x:c r="H120" t="str">
        <x:v>Not reported</x:v>
      </x:c>
      <x:c r="I120" t="n">
        <x:v>55</x:v>
      </x:c>
      <x:c r="J120" t="n">
        <x:v>55</x:v>
      </x:c>
      <x:c r="K120" t="n">
        <x:v>55</x:v>
      </x:c>
      <x:c r="L120" t="n">
        <x:v>55</x:v>
      </x:c>
      <x:c r="M120"/>
      <x:c r="N120"/>
      <x:c r="O120"/>
      <x:c r="P120"/>
      <x:c r="Q120"/>
      <x:c r="R120"/>
      <x:c r="S120"/>
      <x:c r="T120"/>
      <x:c r="U120"/>
      <x:c r="V120"/>
      <x:c r="W120"/>
      <x:c r="X120"/>
      <x:c r="Y120" t="str">
        <x:v>mg pethidine</x:v>
      </x:c>
      <x:c r="Z120" t="str"/>
      <x:c r="AA120" t="str">
        <x:v>No</x:v>
      </x:c>
      <x:c r="AB120" t="str">
        <x:v>No</x:v>
      </x:c>
      <x:c r="AC120" t="str">
        <x:f>IF(H120="Mean/SD","MD",IF(H120="Events/total","RR",""))</x:f>
      </x:c>
      <x:c r="AD120" t="str">
        <x:f>IF(H120="Mean/SD",M120-S120,IF(H120="Events/total",IFERROR((R120/K120)/(X120/L120),""),""))</x:f>
      </x:c>
      <x:c r="AE120" t="str">
        <x:v>No</x:v>
      </x:c>
      <x:c r="AF120" t="str">
        <x:v>No</x:v>
      </x:c>
      <x:c r="AG120" t="str">
        <x:v>Not eligible for strict continuous 24-h opioid meta-analysis without author data</x:v>
      </x:c>
      <x:c r="AH120" t="str">
        <x:v>Yes</x:v>
      </x:c>
      <x:c r="AI120" t="str">
        <x:v>Do not multiply injection counts by 50 mg and call it a 24-h dose; source time window/dosing statement is ambiguous</x:v>
      </x:c>
      <x:c r="AJ120" t="str">
        <x:v>Exact 24-h opioid endpoint absent</x:v>
      </x:c>
      <x:c r="AK120" t="str">
        <x:v>https://drive.google.com/file/d/1R1zCiyfWvuSp99Hi2U_K1__8kgdi90gd/view?usp=drivesdk</x:v>
      </x:c>
      <x:c r="AL120" t="str">
        <x:v>MISSING / AUTHOR DATA NEEDED</x:v>
      </x:c>
    </x:row>
    <x:row r="121">
      <x:c r="A121" t="str">
        <x:v>Ma 2026</x:v>
      </x:c>
      <x:c r="B121" t="str">
        <x:v>MA26_T_vs_S_PAIN24</x:v>
      </x:c>
      <x:c r="C121" t="str">
        <x:v>Group T: sleep disturbance + preop TEAS</x:v>
      </x:c>
      <x:c r="D121" t="str">
        <x:v>Group S: sleep disturbance, no TEAS</x:v>
      </x:c>
      <x:c r="E121" t="str">
        <x:v>Pain</x:v>
      </x:c>
      <x:c r="F121" t="str">
        <x:v>Resting NRS pain</x:v>
      </x:c>
      <x:c r="G121" t="str">
        <x:v>24 h</x:v>
      </x:c>
      <x:c r="H121" t="str">
        <x:v>Graph-only continuous data</x:v>
      </x:c>
      <x:c r="I121" t="n">
        <x:v>18</x:v>
      </x:c>
      <x:c r="J121" t="n">
        <x:v>17</x:v>
      </x:c>
      <x:c r="K121" t="n">
        <x:v>17</x:v>
      </x:c>
      <x:c r="L121" t="n">
        <x:v>16</x:v>
      </x:c>
      <x:c r="M121"/>
      <x:c r="N121"/>
      <x:c r="O121"/>
      <x:c r="P121"/>
      <x:c r="Q121"/>
      <x:c r="R121"/>
      <x:c r="S121"/>
      <x:c r="T121"/>
      <x:c r="U121"/>
      <x:c r="V121"/>
      <x:c r="W121"/>
      <x:c r="X121"/>
      <x:c r="Y121" t="str">
        <x:v>NRS 0-10</x:v>
      </x:c>
      <x:c r="Z121" t="str">
        <x:v>P&lt;0.05 T vs S</x:v>
      </x:c>
      <x:c r="AA121" t="str">
        <x:v>No</x:v>
      </x:c>
      <x:c r="AB121" t="str">
        <x:v>No</x:v>
      </x:c>
      <x:c r="AC121" t="str">
        <x:f>IF(H121="Mean/SD","MD",IF(H121="Events/total","RR",""))</x:f>
      </x:c>
      <x:c r="AD121" t="str">
        <x:f>IF(H121="Mean/SD",M121-S121,IF(H121="Events/total",IFERROR((R121/K121)/(X121/L121),""),""))</x:f>
      </x:c>
      <x:c r="AE121" t="str">
        <x:v>No</x:v>
      </x:c>
      <x:c r="AF121" t="str">
        <x:v>No</x:v>
      </x:c>
      <x:c r="AG121" t="str">
        <x:v>Not ready for continuous meta-analysis without formal graph digitization or author data</x:v>
      </x:c>
      <x:c r="AH121" t="str">
        <x:v>No</x:v>
      </x:c>
      <x:c r="AI121" t="str">
        <x:v>Partially randomized trial: only T vs S is randomized. Exact 24-h means/SDs are graph-only and must not be inferred from Antigravity candidate values</x:v>
      </x:c>
      <x:c r="AJ121" t="str">
        <x:v>Figure / 24-h postoperative NRS</x:v>
      </x:c>
      <x:c r="AK121" t="str">
        <x:v>https://drive.google.com/file/d/1tMEOwvRWIMeEmBmKfeHEt7YF10yxslUe/view?usp=drivesdk</x:v>
      </x:c>
      <x:c r="AL121" t="str">
        <x:v>FIGURE ONLY / DIGITIZATION NEEDED</x:v>
      </x:c>
    </x:row>
    <x:row r="122">
      <x:c r="A122" t="str">
        <x:v>Ma 2026</x:v>
      </x:c>
      <x:c r="B122" t="str">
        <x:v>MA26_T_vs_S_AISPOD1</x:v>
      </x:c>
      <x:c r="C122" t="str">
        <x:v>Group T: sleep disturbance + preop TEAS</x:v>
      </x:c>
      <x:c r="D122" t="str">
        <x:v>Group S: sleep disturbance, no TEAS</x:v>
      </x:c>
      <x:c r="E122" t="str">
        <x:v>Sleep quality</x:v>
      </x:c>
      <x:c r="F122" t="str">
        <x:v>Athens Insomnia Scale</x:v>
      </x:c>
      <x:c r="G122" t="str">
        <x:v>POD1</x:v>
      </x:c>
      <x:c r="H122" t="str">
        <x:v>Graph-only continuous data</x:v>
      </x:c>
      <x:c r="I122" t="n">
        <x:v>18</x:v>
      </x:c>
      <x:c r="J122" t="n">
        <x:v>17</x:v>
      </x:c>
      <x:c r="K122" t="n">
        <x:v>17</x:v>
      </x:c>
      <x:c r="L122" t="n">
        <x:v>16</x:v>
      </x:c>
      <x:c r="M122"/>
      <x:c r="N122"/>
      <x:c r="O122"/>
      <x:c r="P122"/>
      <x:c r="Q122"/>
      <x:c r="R122"/>
      <x:c r="S122"/>
      <x:c r="T122"/>
      <x:c r="U122"/>
      <x:c r="V122"/>
      <x:c r="W122"/>
      <x:c r="X122"/>
      <x:c r="Y122" t="str">
        <x:v>AIS points</x:v>
      </x:c>
      <x:c r="Z122" t="str">
        <x:v>P&lt;0.05 T vs S</x:v>
      </x:c>
      <x:c r="AA122" t="str">
        <x:v>No</x:v>
      </x:c>
      <x:c r="AB122" t="str">
        <x:v>No</x:v>
      </x:c>
      <x:c r="AC122" t="str">
        <x:f>IF(H122="Mean/SD","MD",IF(H122="Events/total","RR",""))</x:f>
      </x:c>
      <x:c r="AD122" t="str">
        <x:f>IF(H122="Mean/SD",M122-S122,IF(H122="Events/total",IFERROR((R122/K122)/(X122/L122),""),""))</x:f>
      </x:c>
      <x:c r="AE122" t="str">
        <x:v>No</x:v>
      </x:c>
      <x:c r="AF122" t="str">
        <x:v>No</x:v>
      </x:c>
      <x:c r="AG122" t="str">
        <x:v>Not ready for continuous meta-analysis without formal graph digitization or author data</x:v>
      </x:c>
      <x:c r="AH122" t="str">
        <x:v>No</x:v>
      </x:c>
      <x:c r="AI122" t="str">
        <x:v>Exact postoperative AIS means/SDs are graph-only; Group C is non-randomized and must not be used as a randomized comparator</x:v>
      </x:c>
      <x:c r="AJ122" t="str">
        <x:v>Figure 4 / POD1 AIS</x:v>
      </x:c>
      <x:c r="AK122" t="str">
        <x:v>https://drive.google.com/file/d/1tMEOwvRWIMeEmBmKfeHEt7YF10yxslUe/view?usp=drivesdk</x:v>
      </x:c>
      <x:c r="AL122" t="str">
        <x:v>FIGURE ONLY / DIGITIZATION NEEDED</x:v>
      </x:c>
    </x:row>
    <x:row r="123">
      <x:c r="A123" t="str">
        <x:v>Ma 2026</x:v>
      </x:c>
      <x:c r="B123" t="str">
        <x:v>MA26_T_vs_S_NAUSEA24</x:v>
      </x:c>
      <x:c r="C123" t="str">
        <x:v>Group T: sleep disturbance + preop TEAS</x:v>
      </x:c>
      <x:c r="D123" t="str">
        <x:v>Group S: sleep disturbance, no TEAS</x:v>
      </x:c>
      <x:c r="E123" t="str">
        <x:v>PONV</x:v>
      </x:c>
      <x:c r="F123" t="str">
        <x:v>Nausea</x:v>
      </x:c>
      <x:c r="G123" t="str">
        <x:v>24 h</x:v>
      </x:c>
      <x:c r="H123" t="str">
        <x:v>Events/total</x:v>
      </x:c>
      <x:c r="I123" t="n">
        <x:v>18</x:v>
      </x:c>
      <x:c r="J123" t="n">
        <x:v>17</x:v>
      </x:c>
      <x:c r="K123" t="n">
        <x:v>17</x:v>
      </x:c>
      <x:c r="L123" t="n">
        <x:v>16</x:v>
      </x:c>
      <x:c r="M123"/>
      <x:c r="N123"/>
      <x:c r="O123"/>
      <x:c r="P123"/>
      <x:c r="Q123"/>
      <x:c r="R123" t="n">
        <x:v>6</x:v>
      </x:c>
      <x:c r="S123"/>
      <x:c r="T123"/>
      <x:c r="U123"/>
      <x:c r="V123"/>
      <x:c r="W123"/>
      <x:c r="X123" t="n">
        <x:v>8</x:v>
      </x:c>
      <x:c r="Y123" t="str">
        <x:v>participants</x:v>
      </x:c>
      <x:c r="Z123" t="str">
        <x:v>Overall 3-group P=0.590; randomized T-vs-S pairwise NR</x:v>
      </x:c>
      <x:c r="AA123" t="str">
        <x:v>Yes</x:v>
      </x:c>
      <x:c r="AB123" t="str">
        <x:v>No</x:v>
      </x:c>
      <x:c r="AC123" t="str">
        <x:f>IF(H123="Mean/SD","MD",IF(H123="Events/total","RR",""))</x:f>
        <x:v>RR</x:v>
      </x:c>
      <x:c r="AD123" t="n">
        <x:f>IF(H123="Mean/SD",M123-S123,IF(H123="Events/total",IFERROR((R123/K123)/(X123/L123),""),""))</x:f>
        <x:v>0.7058823529411765</x:v>
      </x:c>
      <x:c r="AE123" t="str">
        <x:v>No</x:v>
      </x:c>
      <x:c r="AF123" t="str">
        <x:v>No</x:v>
      </x:c>
      <x:c r="AG123" t="str">
        <x:v>Eligible for dichotomous 24-h nausea analysis using randomized T vs S contrast</x:v>
      </x:c>
      <x:c r="AH123" t="str">
        <x:v>No</x:v>
      </x:c>
      <x:c r="AI123" t="str">
        <x:v>Overall P-value includes non-randomized Group C; do not treat it as the randomized pairwise P-value</x:v>
      </x:c>
      <x:c r="AJ123" t="str">
        <x:v>24-h PONV table</x:v>
      </x:c>
      <x:c r="AK123" t="str">
        <x:v>https://drive.google.com/file/d/1tMEOwvRWIMeEmBmKfeHEt7YF10yxslUe/view?usp=drivesdk</x:v>
      </x:c>
      <x:c r="AL123" t="str">
        <x:v>SOURCE-VERIFIED</x:v>
      </x:c>
    </x:row>
    <x:row r="124">
      <x:c r="A124" t="str">
        <x:v>Ma 2026</x:v>
      </x:c>
      <x:c r="B124" t="str">
        <x:v>MA26_T_vs_S_VOMIT24</x:v>
      </x:c>
      <x:c r="C124" t="str">
        <x:v>Group T: sleep disturbance + preop TEAS</x:v>
      </x:c>
      <x:c r="D124" t="str">
        <x:v>Group S: sleep disturbance, no TEAS</x:v>
      </x:c>
      <x:c r="E124" t="str">
        <x:v>PONV</x:v>
      </x:c>
      <x:c r="F124" t="str">
        <x:v>Vomiting</x:v>
      </x:c>
      <x:c r="G124" t="str">
        <x:v>24 h</x:v>
      </x:c>
      <x:c r="H124" t="str">
        <x:v>Events/total</x:v>
      </x:c>
      <x:c r="I124" t="n">
        <x:v>18</x:v>
      </x:c>
      <x:c r="J124" t="n">
        <x:v>17</x:v>
      </x:c>
      <x:c r="K124" t="n">
        <x:v>17</x:v>
      </x:c>
      <x:c r="L124" t="n">
        <x:v>16</x:v>
      </x:c>
      <x:c r="M124"/>
      <x:c r="N124"/>
      <x:c r="O124"/>
      <x:c r="P124"/>
      <x:c r="Q124"/>
      <x:c r="R124" t="n">
        <x:v>6</x:v>
      </x:c>
      <x:c r="S124"/>
      <x:c r="T124"/>
      <x:c r="U124"/>
      <x:c r="V124"/>
      <x:c r="W124"/>
      <x:c r="X124" t="n">
        <x:v>7</x:v>
      </x:c>
      <x:c r="Y124" t="str">
        <x:v>participants</x:v>
      </x:c>
      <x:c r="Z124" t="str">
        <x:v>Overall 3-group P=0.863; randomized T-vs-S pairwise NR</x:v>
      </x:c>
      <x:c r="AA124" t="str">
        <x:v>Yes</x:v>
      </x:c>
      <x:c r="AB124" t="str">
        <x:v>No</x:v>
      </x:c>
      <x:c r="AC124" t="str">
        <x:f>IF(H124="Mean/SD","MD",IF(H124="Events/total","RR",""))</x:f>
        <x:v>RR</x:v>
      </x:c>
      <x:c r="AD124" t="n">
        <x:f>IF(H124="Mean/SD",M124-S124,IF(H124="Events/total",IFERROR((R124/K124)/(X124/L124),""),""))</x:f>
        <x:v>0.8067226890756303</x:v>
      </x:c>
      <x:c r="AE124" t="str">
        <x:v>No</x:v>
      </x:c>
      <x:c r="AF124" t="str">
        <x:v>No</x:v>
      </x:c>
      <x:c r="AG124" t="str">
        <x:v>Eligible for dichotomous 24-h vomiting analysis using randomized T vs S contrast</x:v>
      </x:c>
      <x:c r="AH124" t="str">
        <x:v>No</x:v>
      </x:c>
      <x:c r="AI124" t="str">
        <x:v>Overall P-value includes non-randomized Group C</x:v>
      </x:c>
      <x:c r="AJ124" t="str">
        <x:v>24-h PONV table</x:v>
      </x:c>
      <x:c r="AK124" t="str">
        <x:v>https://drive.google.com/file/d/1tMEOwvRWIMeEmBmKfeHEt7YF10yxslUe/view?usp=drivesdk</x:v>
      </x:c>
      <x:c r="AL124" t="str">
        <x:v>SOURCE-VERIFIED</x:v>
      </x:c>
    </x:row>
    <x:row r="125">
      <x:c r="A125" t="str">
        <x:v>Ma 2026</x:v>
      </x:c>
      <x:c r="B125" t="str">
        <x:v>MA26_T_vs_S_OPIOID24</x:v>
      </x:c>
      <x:c r="C125" t="str">
        <x:v>Group T: sleep disturbance + preop TEAS</x:v>
      </x:c>
      <x:c r="D125" t="str">
        <x:v>Group S: sleep disturbance, no TEAS</x:v>
      </x:c>
      <x:c r="E125" t="str">
        <x:v>Opioid consumption</x:v>
      </x:c>
      <x:c r="F125" t="str">
        <x:v>Cumulative postoperative opioid consumption</x:v>
      </x:c>
      <x:c r="G125" t="str">
        <x:v>0-24 h</x:v>
      </x:c>
      <x:c r="H125" t="str">
        <x:v>Not reported</x:v>
      </x:c>
      <x:c r="I125" t="n">
        <x:v>18</x:v>
      </x:c>
      <x:c r="J125" t="n">
        <x:v>17</x:v>
      </x:c>
      <x:c r="K125" t="n">
        <x:v>17</x:v>
      </x:c>
      <x:c r="L125" t="n">
        <x:v>16</x:v>
      </x:c>
      <x:c r="M125"/>
      <x:c r="N125"/>
      <x:c r="O125"/>
      <x:c r="P125"/>
      <x:c r="Q125"/>
      <x:c r="R125"/>
      <x:c r="S125"/>
      <x:c r="T125"/>
      <x:c r="U125"/>
      <x:c r="V125"/>
      <x:c r="W125"/>
      <x:c r="X125"/>
      <x:c r="Y125" t="str">
        <x:v>mg/µg</x:v>
      </x:c>
      <x:c r="Z125" t="str"/>
      <x:c r="AA125" t="str">
        <x:v>No</x:v>
      </x:c>
      <x:c r="AB125" t="str">
        <x:v>No</x:v>
      </x:c>
      <x:c r="AC125" t="str">
        <x:f>IF(H125="Mean/SD","MD",IF(H125="Events/total","RR",""))</x:f>
      </x:c>
      <x:c r="AD125" t="str">
        <x:f>IF(H125="Mean/SD",M125-S125,IF(H125="Events/total",IFERROR((R125/K125)/(X125/L125),""),""))</x:f>
      </x:c>
      <x:c r="AE125" t="str">
        <x:v>No</x:v>
      </x:c>
      <x:c r="AF125" t="str">
        <x:v>No</x:v>
      </x:c>
      <x:c r="AG125" t="str">
        <x:v>Not eligible for continuous 24-h opioid meta-analysis</x:v>
      </x:c>
      <x:c r="AH125" t="str">
        <x:v>No</x:v>
      </x:c>
      <x:c r="AI125" t="str">
        <x:v>Routine postoperative analgesia was non-opioid flurbiprofen; whether any postoperative opioid was given is not reported</x:v>
      </x:c>
      <x:c r="AJ125" t="str">
        <x:v>Postoperative analgesia section</x:v>
      </x:c>
      <x:c r="AK125" t="str">
        <x:v>https://drive.google.com/file/d/1tMEOwvRWIMeEmBmKfeHEt7YF10yxslUe/view?usp=drivesdk</x:v>
      </x:c>
      <x:c r="AL125" t="str">
        <x:v>MISSING / POSTOP OPIOID USE NR</x:v>
      </x:c>
    </x:row>
    <x:row r="126">
      <x:c r="A126" t="str">
        <x:v>Lu 2021</x:v>
      </x:c>
      <x:c r="B126" t="str">
        <x:v>LU21_COMB_vs_SHAM_CHRONIC6M</x:v>
      </x:c>
      <x:c r="C126" t="str">
        <x:v>Combined PC6+CV17 TEAS</x:v>
      </x:c>
      <x:c r="D126" t="str">
        <x:v>Sham/no current</x:v>
      </x:c>
      <x:c r="E126" t="str">
        <x:v>Chronic pain</x:v>
      </x:c>
      <x:c r="F126" t="str">
        <x:v>Post-mastectomy chronic pain incidence</x:v>
      </x:c>
      <x:c r="G126" t="str">
        <x:v>6 months</x:v>
      </x:c>
      <x:c r="H126" t="str">
        <x:v>Events/total</x:v>
      </x:c>
      <x:c r="I126" t="n">
        <x:v>190</x:v>
      </x:c>
      <x:c r="J126" t="n">
        <x:v>188</x:v>
      </x:c>
      <x:c r="K126" t="n">
        <x:v>190</x:v>
      </x:c>
      <x:c r="L126" t="n">
        <x:v>188</x:v>
      </x:c>
      <x:c r="M126"/>
      <x:c r="N126"/>
      <x:c r="O126"/>
      <x:c r="P126"/>
      <x:c r="Q126"/>
      <x:c r="R126" t="n">
        <x:v>42</x:v>
      </x:c>
      <x:c r="S126"/>
      <x:c r="T126"/>
      <x:c r="U126"/>
      <x:c r="V126"/>
      <x:c r="W126"/>
      <x:c r="X126" t="n">
        <x:v>65</x:v>
      </x:c>
      <x:c r="Y126" t="str">
        <x:v>participants</x:v>
      </x:c>
      <x:c r="Z126" t="str">
        <x:v>Overall P=0.005; combined vs sham pairwise P varies by article section</x:v>
      </x:c>
      <x:c r="AA126" t="str">
        <x:v>Yes</x:v>
      </x:c>
      <x:c r="AB126" t="str">
        <x:v>No</x:v>
      </x:c>
      <x:c r="AC126" t="str">
        <x:f>IF(H126="Mean/SD","MD",IF(H126="Events/total","RR",""))</x:f>
        <x:v>RR</x:v>
      </x:c>
      <x:c r="AD126" t="n">
        <x:f>IF(H126="Mean/SD",M126-S126,IF(H126="Events/total",IFERROR((R126/K126)/(X126/L126),""),""))</x:f>
        <x:v>0.6393522267206477</x:v>
      </x:c>
      <x:c r="AE126" t="str">
        <x:v>No</x:v>
      </x:c>
      <x:c r="AF126" t="str">
        <x:v>No</x:v>
      </x:c>
      <x:c r="AG126" t="str">
        <x:v>Eligible for dichotomous chronic-pain analysis using raw event counts</x:v>
      </x:c>
      <x:c r="AH126" t="str">
        <x:v>Yes</x:v>
      </x:c>
      <x:c r="AI126" t="str">
        <x:v>Printed RR/P-values conflict across abstract, Results and Table 2; raw counts 42/190 vs 65/188 are the stable source facts</x:v>
      </x:c>
      <x:c r="AJ126" t="str">
        <x:v>Table 2 / primary 6-month chronic pain</x:v>
      </x:c>
      <x:c r="AK126" t="str">
        <x:v>https://drive.google.com/file/d/1MgD_OucfiyNEDdDe3osh8W01U1yYZs08/view?usp=drivesdk</x:v>
      </x:c>
      <x:c r="AL126" t="str">
        <x:v>SOURCE-VERIFIED / PUBLISHED EFFECT QC</x:v>
      </x:c>
    </x:row>
    <x:row r="127">
      <x:c r="A127" t="str">
        <x:v>Lu 2021</x:v>
      </x:c>
      <x:c r="B127" t="str">
        <x:v>LU21_SINGLE_vs_SHAM_CHRONIC6M</x:v>
      </x:c>
      <x:c r="C127" t="str">
        <x:v>Single PC6 TEAS</x:v>
      </x:c>
      <x:c r="D127" t="str">
        <x:v>Sham/no current</x:v>
      </x:c>
      <x:c r="E127" t="str">
        <x:v>Chronic pain</x:v>
      </x:c>
      <x:c r="F127" t="str">
        <x:v>Post-mastectomy chronic pain incidence</x:v>
      </x:c>
      <x:c r="G127" t="str">
        <x:v>6 months</x:v>
      </x:c>
      <x:c r="H127" t="str">
        <x:v>Events/total</x:v>
      </x:c>
      <x:c r="I127" t="n">
        <x:v>198</x:v>
      </x:c>
      <x:c r="J127" t="n">
        <x:v>188</x:v>
      </x:c>
      <x:c r="K127" t="n">
        <x:v>198</x:v>
      </x:c>
      <x:c r="L127" t="n">
        <x:v>188</x:v>
      </x:c>
      <x:c r="M127"/>
      <x:c r="N127"/>
      <x:c r="O127"/>
      <x:c r="P127"/>
      <x:c r="Q127"/>
      <x:c r="R127" t="n">
        <x:v>72</x:v>
      </x:c>
      <x:c r="S127"/>
      <x:c r="T127"/>
      <x:c r="U127"/>
      <x:c r="V127"/>
      <x:c r="W127"/>
      <x:c r="X127" t="n">
        <x:v>65</x:v>
      </x:c>
      <x:c r="Y127" t="str">
        <x:v>participants</x:v>
      </x:c>
      <x:c r="Z127" t="str">
        <x:v>Overall P=0.005; single vs sham pairwise P reported 0.71 in Table 2</x:v>
      </x:c>
      <x:c r="AA127" t="str">
        <x:v>Yes</x:v>
      </x:c>
      <x:c r="AB127" t="str">
        <x:v>No</x:v>
      </x:c>
      <x:c r="AC127" t="str">
        <x:f>IF(H127="Mean/SD","MD",IF(H127="Events/total","RR",""))</x:f>
        <x:v>RR</x:v>
      </x:c>
      <x:c r="AD127" t="n">
        <x:f>IF(H127="Mean/SD",M127-S127,IF(H127="Events/total",IFERROR((R127/K127)/(X127/L127),""),""))</x:f>
        <x:v>1.0517482517482517</x:v>
      </x:c>
      <x:c r="AE127" t="str">
        <x:v>No</x:v>
      </x:c>
      <x:c r="AF127" t="str">
        <x:v>No</x:v>
      </x:c>
      <x:c r="AG127" t="str">
        <x:v>Eligible only with explicit source-conflict sensitivity handling</x:v>
      </x:c>
      <x:c r="AH127" t="str">
        <x:v>Yes</x:v>
      </x:c>
      <x:c r="AI127" t="str">
        <x:v>Table 2 gives 72/198; Results prose gives 79/196. Preserve Table 2 here and flag conflict rather than silently reconcile</x:v>
      </x:c>
      <x:c r="AJ127" t="str">
        <x:v>Table 2 / primary 6-month chronic pain</x:v>
      </x:c>
      <x:c r="AK127" t="str">
        <x:v>https://drive.google.com/file/d/1MgD_OucfiyNEDdDe3osh8W01U1yYZs08/view?usp=drivesdk</x:v>
      </x:c>
      <x:c r="AL127" t="str">
        <x:v>SOURCE-VERIFIED / DENOMINATOR CONFLICT</x:v>
      </x:c>
    </x:row>
    <x:row r="128">
      <x:c r="A128" t="str">
        <x:v>Lu 2021</x:v>
      </x:c>
      <x:c r="B128" t="str">
        <x:v>LU21_COMB_vs_SHAM_REMI</x:v>
      </x:c>
      <x:c r="C128" t="str">
        <x:v>Combined PC6+CV17 TEAS</x:v>
      </x:c>
      <x:c r="D128" t="str">
        <x:v>Sham/no current</x:v>
      </x:c>
      <x:c r="E128" t="str">
        <x:v>Intraoperative opioid</x:v>
      </x:c>
      <x:c r="F128" t="str">
        <x:v>Total remifentanil</x:v>
      </x:c>
      <x:c r="G128" t="str">
        <x:v>Intraoperative</x:v>
      </x:c>
      <x:c r="H128" t="str">
        <x:v>Mean/SD</x:v>
      </x:c>
      <x:c r="I128" t="n">
        <x:v>190</x:v>
      </x:c>
      <x:c r="J128" t="n">
        <x:v>188</x:v>
      </x:c>
      <x:c r="K128" t="n">
        <x:v>190</x:v>
      </x:c>
      <x:c r="L128" t="n">
        <x:v>188</x:v>
      </x:c>
      <x:c r="M128" t="n">
        <x:v>1.2</x:v>
      </x:c>
      <x:c r="N128" t="n">
        <x:v>0.5</x:v>
      </x:c>
      <x:c r="O128"/>
      <x:c r="P128"/>
      <x:c r="Q128"/>
      <x:c r="R128"/>
      <x:c r="S128" t="n">
        <x:v>1.4</x:v>
      </x:c>
      <x:c r="T128" t="n">
        <x:v>0.7</x:v>
      </x:c>
      <x:c r="U128"/>
      <x:c r="V128"/>
      <x:c r="W128"/>
      <x:c r="X128"/>
      <x:c r="Y128" t="str">
        <x:v>mg remifentanil</x:v>
      </x:c>
      <x:c r="Z128" t="str">
        <x:v>P&lt;0.001 combined vs sham</x:v>
      </x:c>
      <x:c r="AA128" t="str">
        <x:v>Yes</x:v>
      </x:c>
      <x:c r="AB128" t="str">
        <x:v>No</x:v>
      </x:c>
      <x:c r="AC128" t="str">
        <x:f>IF(H128="Mean/SD","MD",IF(H128="Events/total","RR",""))</x:f>
        <x:v>MD</x:v>
      </x:c>
      <x:c r="AD128" t="n">
        <x:f>IF(H128="Mean/SD",M128-S128,IF(H128="Events/total",IFERROR((R128/K128)/(X128/L128),""),""))</x:f>
        <x:v>-0.19999999999999996</x:v>
      </x:c>
      <x:c r="AE128" t="str">
        <x:v>No</x:v>
      </x:c>
      <x:c r="AF128" t="str">
        <x:v>No</x:v>
      </x:c>
      <x:c r="AG128" t="str">
        <x:v>Eligible for intraoperative opioid-sparing analysis</x:v>
      </x:c>
      <x:c r="AH128" t="str">
        <x:v>Yes</x:v>
      </x:c>
      <x:c r="AI128" t="str">
        <x:v>Three-arm trial; sham is a shared comparator</x:v>
      </x:c>
      <x:c r="AJ128" t="str">
        <x:v>Table 3 / intraoperative remifentanil</x:v>
      </x:c>
      <x:c r="AK128" t="str">
        <x:v>https://drive.google.com/file/d/1MgD_OucfiyNEDdDe3osh8W01U1yYZs08/view?usp=drivesdk</x:v>
      </x:c>
      <x:c r="AL128" t="str">
        <x:v>SOURCE-VERIFIED</x:v>
      </x:c>
    </x:row>
    <x:row r="129">
      <x:c r="A129" t="str">
        <x:v>Lu 2021</x:v>
      </x:c>
      <x:c r="B129" t="str">
        <x:v>LU21_SINGLE_vs_SHAM_REMI</x:v>
      </x:c>
      <x:c r="C129" t="str">
        <x:v>Single PC6 TEAS</x:v>
      </x:c>
      <x:c r="D129" t="str">
        <x:v>Sham/no current</x:v>
      </x:c>
      <x:c r="E129" t="str">
        <x:v>Intraoperative opioid</x:v>
      </x:c>
      <x:c r="F129" t="str">
        <x:v>Total remifentanil</x:v>
      </x:c>
      <x:c r="G129" t="str">
        <x:v>Intraoperative</x:v>
      </x:c>
      <x:c r="H129" t="str">
        <x:v>Mean/SD</x:v>
      </x:c>
      <x:c r="I129" t="n">
        <x:v>198</x:v>
      </x:c>
      <x:c r="J129" t="n">
        <x:v>188</x:v>
      </x:c>
      <x:c r="K129" t="n">
        <x:v>198</x:v>
      </x:c>
      <x:c r="L129" t="n">
        <x:v>188</x:v>
      </x:c>
      <x:c r="M129" t="n">
        <x:v>1.3</x:v>
      </x:c>
      <x:c r="N129" t="n">
        <x:v>0.6</x:v>
      </x:c>
      <x:c r="O129"/>
      <x:c r="P129"/>
      <x:c r="Q129"/>
      <x:c r="R129"/>
      <x:c r="S129" t="n">
        <x:v>1.4</x:v>
      </x:c>
      <x:c r="T129" t="n">
        <x:v>0.7</x:v>
      </x:c>
      <x:c r="U129"/>
      <x:c r="V129"/>
      <x:c r="W129"/>
      <x:c r="X129"/>
      <x:c r="Y129" t="str">
        <x:v>mg remifentanil</x:v>
      </x:c>
      <x:c r="Z129" t="str">
        <x:v>P=0.04 single vs sham; not significant after Bonferroni alpha 0.0125</x:v>
      </x:c>
      <x:c r="AA129" t="str">
        <x:v>Yes</x:v>
      </x:c>
      <x:c r="AB129" t="str">
        <x:v>No</x:v>
      </x:c>
      <x:c r="AC129" t="str">
        <x:f>IF(H129="Mean/SD","MD",IF(H129="Events/total","RR",""))</x:f>
        <x:v>MD</x:v>
      </x:c>
      <x:c r="AD129" t="n">
        <x:f>IF(H129="Mean/SD",M129-S129,IF(H129="Events/total",IFERROR((R129/K129)/(X129/L129),""),""))</x:f>
        <x:v>-0.09999999999999987</x:v>
      </x:c>
      <x:c r="AE129" t="str">
        <x:v>No</x:v>
      </x:c>
      <x:c r="AF129" t="str">
        <x:v>No</x:v>
      </x:c>
      <x:c r="AG129" t="str">
        <x:v>Eligible for intraoperative opioid analysis with multiplicity-aware interpretation</x:v>
      </x:c>
      <x:c r="AH129" t="str">
        <x:v>Yes</x:v>
      </x:c>
      <x:c r="AI129" t="str">
        <x:v>Three-arm trial; do not describe P=0.04 as multiplicity-adjusted significant</x:v>
      </x:c>
      <x:c r="AJ129" t="str">
        <x:v>Table 3 / intraoperative remifentanil</x:v>
      </x:c>
      <x:c r="AK129" t="str">
        <x:v>https://drive.google.com/file/d/1MgD_OucfiyNEDdDe3osh8W01U1yYZs08/view?usp=drivesdk</x:v>
      </x:c>
      <x:c r="AL129" t="str">
        <x:v>SOURCE-VERIFIED</x:v>
      </x:c>
    </x:row>
    <x:row r="130">
      <x:c r="A130" t="str">
        <x:v>Lu 2021</x:v>
      </x:c>
      <x:c r="B130" t="str">
        <x:v>LU21_COMB_vs_SHAM_PONV24</x:v>
      </x:c>
      <x:c r="C130" t="str">
        <x:v>Combined PC6+CV17 TEAS</x:v>
      </x:c>
      <x:c r="D130" t="str">
        <x:v>Sham/no current</x:v>
      </x:c>
      <x:c r="E130" t="str">
        <x:v>PONV</x:v>
      </x:c>
      <x:c r="F130" t="str">
        <x:v>Any PONV</x:v>
      </x:c>
      <x:c r="G130" t="str">
        <x:v>24 h</x:v>
      </x:c>
      <x:c r="H130" t="str">
        <x:v>Events/total</x:v>
      </x:c>
      <x:c r="I130" t="n">
        <x:v>190</x:v>
      </x:c>
      <x:c r="J130" t="n">
        <x:v>188</x:v>
      </x:c>
      <x:c r="K130" t="n">
        <x:v>190</x:v>
      </x:c>
      <x:c r="L130" t="n">
        <x:v>188</x:v>
      </x:c>
      <x:c r="M130"/>
      <x:c r="N130"/>
      <x:c r="O130"/>
      <x:c r="P130"/>
      <x:c r="Q130"/>
      <x:c r="R130" t="n">
        <x:v>35</x:v>
      </x:c>
      <x:c r="S130"/>
      <x:c r="T130"/>
      <x:c r="U130"/>
      <x:c r="V130"/>
      <x:c r="W130"/>
      <x:c r="X130" t="n">
        <x:v>68</x:v>
      </x:c>
      <x:c r="Y130" t="str">
        <x:v>participants</x:v>
      </x:c>
      <x:c r="Z130" t="str">
        <x:v>Overall P=0.0001</x:v>
      </x:c>
      <x:c r="AA130" t="str">
        <x:v>Yes</x:v>
      </x:c>
      <x:c r="AB130" t="str">
        <x:v>No</x:v>
      </x:c>
      <x:c r="AC130" t="str">
        <x:f>IF(H130="Mean/SD","MD",IF(H130="Events/total","RR",""))</x:f>
        <x:v>RR</x:v>
      </x:c>
      <x:c r="AD130" t="n">
        <x:f>IF(H130="Mean/SD",M130-S130,IF(H130="Events/total",IFERROR((R130/K130)/(X130/L130),""),""))</x:f>
        <x:v>0.5092879256965943</x:v>
      </x:c>
      <x:c r="AE130" t="str">
        <x:v>No</x:v>
      </x:c>
      <x:c r="AF130" t="str">
        <x:v>No</x:v>
      </x:c>
      <x:c r="AG130" t="str">
        <x:v>Eligible for dichotomous 24-h PONV analysis</x:v>
      </x:c>
      <x:c r="AH130" t="str">
        <x:v>Yes</x:v>
      </x:c>
      <x:c r="AI130" t="str">
        <x:v>Use raw event counts; three-arm shared sham comparator</x:v>
      </x:c>
      <x:c r="AJ130" t="str">
        <x:v>24-h PONV table</x:v>
      </x:c>
      <x:c r="AK130" t="str">
        <x:v>https://drive.google.com/file/d/1MgD_OucfiyNEDdDe3osh8W01U1yYZs08/view?usp=drivesdk</x:v>
      </x:c>
      <x:c r="AL130" t="str">
        <x:v>SOURCE-VERIFIED</x:v>
      </x:c>
    </x:row>
    <x:row r="131">
      <x:c r="A131" t="str">
        <x:v>Lu 2021</x:v>
      </x:c>
      <x:c r="B131" t="str">
        <x:v>LU21_SINGLE_vs_SHAM_PONV24</x:v>
      </x:c>
      <x:c r="C131" t="str">
        <x:v>Single PC6 TEAS</x:v>
      </x:c>
      <x:c r="D131" t="str">
        <x:v>Sham/no current</x:v>
      </x:c>
      <x:c r="E131" t="str">
        <x:v>PONV</x:v>
      </x:c>
      <x:c r="F131" t="str">
        <x:v>Any PONV</x:v>
      </x:c>
      <x:c r="G131" t="str">
        <x:v>24 h</x:v>
      </x:c>
      <x:c r="H131" t="str">
        <x:v>Events/total</x:v>
      </x:c>
      <x:c r="I131" t="n">
        <x:v>198</x:v>
      </x:c>
      <x:c r="J131" t="n">
        <x:v>188</x:v>
      </x:c>
      <x:c r="K131" t="n">
        <x:v>198</x:v>
      </x:c>
      <x:c r="L131" t="n">
        <x:v>188</x:v>
      </x:c>
      <x:c r="M131"/>
      <x:c r="N131"/>
      <x:c r="O131"/>
      <x:c r="P131"/>
      <x:c r="Q131"/>
      <x:c r="R131" t="n">
        <x:v>59</x:v>
      </x:c>
      <x:c r="S131"/>
      <x:c r="T131"/>
      <x:c r="U131"/>
      <x:c r="V131"/>
      <x:c r="W131"/>
      <x:c r="X131" t="n">
        <x:v>68</x:v>
      </x:c>
      <x:c r="Y131" t="str">
        <x:v>participants</x:v>
      </x:c>
      <x:c r="Z131" t="str">
        <x:v>Overall P=0.0001</x:v>
      </x:c>
      <x:c r="AA131" t="str">
        <x:v>Yes</x:v>
      </x:c>
      <x:c r="AB131" t="str">
        <x:v>No</x:v>
      </x:c>
      <x:c r="AC131" t="str">
        <x:f>IF(H131="Mean/SD","MD",IF(H131="Events/total","RR",""))</x:f>
        <x:v>RR</x:v>
      </x:c>
      <x:c r="AD131" t="n">
        <x:f>IF(H131="Mean/SD",M131-S131,IF(H131="Events/total",IFERROR((R131/K131)/(X131/L131),""),""))</x:f>
        <x:v>0.8238265002970884</x:v>
      </x:c>
      <x:c r="AE131" t="str">
        <x:v>No</x:v>
      </x:c>
      <x:c r="AF131" t="str">
        <x:v>No</x:v>
      </x:c>
      <x:c r="AG131" t="str">
        <x:v>Eligible for dichotomous 24-h PONV analysis with multi-arm adjustment</x:v>
      </x:c>
      <x:c r="AH131" t="str">
        <x:v>Yes</x:v>
      </x:c>
      <x:c r="AI131" t="str">
        <x:v>Overall P is three-group; pairwise significance should not be inferred unless directly reported</x:v>
      </x:c>
      <x:c r="AJ131" t="str">
        <x:v>24-h PONV table</x:v>
      </x:c>
      <x:c r="AK131" t="str">
        <x:v>https://drive.google.com/file/d/1MgD_OucfiyNEDdDe3osh8W01U1yYZs08/view?usp=drivesdk</x:v>
      </x:c>
      <x:c r="AL131" t="str">
        <x:v>SOURCE-VERIFIED</x:v>
      </x:c>
    </x:row>
    <x:row r="132">
      <x:c r="A132" t="str">
        <x:v>Lu 2021</x:v>
      </x:c>
      <x:c r="B132" t="str">
        <x:v>LU21_POSTOP_OPIOID24</x:v>
      </x:c>
      <x:c r="C132" t="str">
        <x:v>TEAS arms</x:v>
      </x:c>
      <x:c r="D132" t="str">
        <x:v>Sham/no current</x:v>
      </x:c>
      <x:c r="E132" t="str">
        <x:v>Opioid consumption</x:v>
      </x:c>
      <x:c r="F132" t="str">
        <x:v>Cumulative postoperative sufentanil PCA consumption</x:v>
      </x:c>
      <x:c r="G132" t="str">
        <x:v>0-24 h</x:v>
      </x:c>
      <x:c r="H132" t="str">
        <x:v>Not reported</x:v>
      </x:c>
      <x:c r="I132"/>
      <x:c r="J132"/>
      <x:c r="K132"/>
      <x:c r="L132"/>
      <x:c r="M132"/>
      <x:c r="N132"/>
      <x:c r="O132"/>
      <x:c r="P132"/>
      <x:c r="Q132"/>
      <x:c r="R132"/>
      <x:c r="S132"/>
      <x:c r="T132"/>
      <x:c r="U132"/>
      <x:c r="V132"/>
      <x:c r="W132"/>
      <x:c r="X132"/>
      <x:c r="Y132" t="str">
        <x:v>µg sufentanil</x:v>
      </x:c>
      <x:c r="Z132" t="str"/>
      <x:c r="AA132" t="str">
        <x:v>No</x:v>
      </x:c>
      <x:c r="AB132" t="str">
        <x:v>No</x:v>
      </x:c>
      <x:c r="AC132" t="str">
        <x:f>IF(H132="Mean/SD","MD",IF(H132="Events/total","RR",""))</x:f>
      </x:c>
      <x:c r="AD132" t="str">
        <x:f>IF(H132="Mean/SD",M132-S132,IF(H132="Events/total",IFERROR((R132/K132)/(X132/L132),""),""))</x:f>
      </x:c>
      <x:c r="AE132" t="str">
        <x:v>No</x:v>
      </x:c>
      <x:c r="AF132" t="str">
        <x:v>No</x:v>
      </x:c>
      <x:c r="AG132" t="str">
        <x:v>Not eligible for continuous 24-h postoperative opioid meta-analysis</x:v>
      </x:c>
      <x:c r="AH132" t="str">
        <x:v>Yes</x:v>
      </x:c>
      <x:c r="AI132" t="str">
        <x:v>PCA opioid is sufentanil but prescription and cumulative 24-h consumption are not reported</x:v>
      </x:c>
      <x:c r="AJ132" t="str">
        <x:v>Postoperative PCA section</x:v>
      </x:c>
      <x:c r="AK132" t="str">
        <x:v>https://drive.google.com/file/d/1MgD_OucfiyNEDdDe3osh8W01U1yYZs08/view?usp=drivesdk</x:v>
      </x:c>
      <x:c r="AL132" t="str">
        <x:v>MISSING / AUTHOR DATA NEEDED</x:v>
      </x:c>
    </x:row>
    <x:row r="133">
      <x:c r="A133" t="str">
        <x:v>Lu 2022</x:v>
      </x:c>
      <x:c r="B133" t="str">
        <x:v>LU22_TEAS_vs_CTRL_DISCHARGE</x:v>
      </x:c>
      <x:c r="C133" t="str">
        <x:v>TEAS + ERAS</x:v>
      </x:c>
      <x:c r="D133" t="str">
        <x:v>No-current control + ERAS</x:v>
      </x:c>
      <x:c r="E133" t="str">
        <x:v>Recovery</x:v>
      </x:c>
      <x:c r="F133" t="str">
        <x:v>Time to meet discharge criteria</x:v>
      </x:c>
      <x:c r="G133" t="str">
        <x:v>Postoperative</x:v>
      </x:c>
      <x:c r="H133" t="str">
        <x:v>Mean/SD</x:v>
      </x:c>
      <x:c r="I133" t="n">
        <x:v>50</x:v>
      </x:c>
      <x:c r="J133" t="n">
        <x:v>50</x:v>
      </x:c>
      <x:c r="K133" t="n">
        <x:v>47</x:v>
      </x:c>
      <x:c r="L133" t="n">
        <x:v>47</x:v>
      </x:c>
      <x:c r="M133" t="n">
        <x:v>6</x:v>
      </x:c>
      <x:c r="N133" t="n">
        <x:v>1.8</x:v>
      </x:c>
      <x:c r="O133"/>
      <x:c r="P133"/>
      <x:c r="Q133"/>
      <x:c r="R133"/>
      <x:c r="S133" t="n">
        <x:v>7</x:v>
      </x:c>
      <x:c r="T133" t="n">
        <x:v>2.4</x:v>
      </x:c>
      <x:c r="U133"/>
      <x:c r="V133"/>
      <x:c r="W133"/>
      <x:c r="X133"/>
      <x:c r="Y133" t="str">
        <x:v>days</x:v>
      </x:c>
      <x:c r="Z133" t="str">
        <x:v>0.02</x:v>
      </x:c>
      <x:c r="AA133" t="str">
        <x:v>Yes</x:v>
      </x:c>
      <x:c r="AB133" t="str">
        <x:v>No</x:v>
      </x:c>
      <x:c r="AC133" t="str">
        <x:f>IF(H133="Mean/SD","MD",IF(H133="Events/total","RR",""))</x:f>
        <x:v>MD</x:v>
      </x:c>
      <x:c r="AD133" t="n">
        <x:f>IF(H133="Mean/SD",M133-S133,IF(H133="Events/total",IFERROR((R133/K133)/(X133/L133),""),""))</x:f>
        <x:v>-1</x:v>
      </x:c>
      <x:c r="AE133" t="str">
        <x:v>No</x:v>
      </x:c>
      <x:c r="AF133" t="str">
        <x:v>No</x:v>
      </x:c>
      <x:c r="AG133" t="str">
        <x:v>Eligible for recovery-time meta-analysis</x:v>
      </x:c>
      <x:c r="AH133" t="str">
        <x:v>No</x:v>
      </x:c>
      <x:c r="AI133" t="str">
        <x:v>Six randomized patients were excluded because they did not receive allocated intervention; open conversion is plausibly related to discharge time</x:v>
      </x:c>
      <x:c r="AJ133" t="str">
        <x:v>Primary outcome / time to discharge</x:v>
      </x:c>
      <x:c r="AK133" t="str">
        <x:v>https://drive.google.com/file/d/12Y86huNMuLC8cPH-L2vwlEd7r1X1Qela/view?usp=drivesdk</x:v>
      </x:c>
      <x:c r="AL133" t="str">
        <x:v>SOURCE-VERIFIED / ATTRITION QC</x:v>
      </x:c>
    </x:row>
    <x:row r="134">
      <x:c r="A134" t="str">
        <x:v>Lu 2022</x:v>
      </x:c>
      <x:c r="B134" t="str">
        <x:v>LU22_TEAS_vs_CTRL_FLATUS</x:v>
      </x:c>
      <x:c r="C134" t="str">
        <x:v>TEAS + ERAS</x:v>
      </x:c>
      <x:c r="D134" t="str">
        <x:v>No-current control + ERAS</x:v>
      </x:c>
      <x:c r="E134" t="str">
        <x:v>GI recovery</x:v>
      </x:c>
      <x:c r="F134" t="str">
        <x:v>Time to first flatus</x:v>
      </x:c>
      <x:c r="G134" t="str">
        <x:v>Postoperative</x:v>
      </x:c>
      <x:c r="H134" t="str">
        <x:v>Mean/SD</x:v>
      </x:c>
      <x:c r="I134" t="n">
        <x:v>50</x:v>
      </x:c>
      <x:c r="J134" t="n">
        <x:v>50</x:v>
      </x:c>
      <x:c r="K134" t="n">
        <x:v>47</x:v>
      </x:c>
      <x:c r="L134" t="n">
        <x:v>47</x:v>
      </x:c>
      <x:c r="M134" t="n">
        <x:v>34.5</x:v>
      </x:c>
      <x:c r="N134" t="n">
        <x:v>16.7</x:v>
      </x:c>
      <x:c r="O134"/>
      <x:c r="P134"/>
      <x:c r="Q134"/>
      <x:c r="R134"/>
      <x:c r="S134" t="n">
        <x:v>42.4</x:v>
      </x:c>
      <x:c r="T134" t="n">
        <x:v>22.9</x:v>
      </x:c>
      <x:c r="U134"/>
      <x:c r="V134"/>
      <x:c r="W134"/>
      <x:c r="X134"/>
      <x:c r="Y134" t="str">
        <x:v>hours</x:v>
      </x:c>
      <x:c r="Z134" t="str">
        <x:v>0.03</x:v>
      </x:c>
      <x:c r="AA134" t="str">
        <x:v>Yes</x:v>
      </x:c>
      <x:c r="AB134" t="str">
        <x:v>No</x:v>
      </x:c>
      <x:c r="AC134" t="str">
        <x:f>IF(H134="Mean/SD","MD",IF(H134="Events/total","RR",""))</x:f>
        <x:v>MD</x:v>
      </x:c>
      <x:c r="AD134" t="n">
        <x:f>IF(H134="Mean/SD",M134-S134,IF(H134="Events/total",IFERROR((R134/K134)/(X134/L134),""),""))</x:f>
        <x:v>-7.899999999999999</x:v>
      </x:c>
      <x:c r="AE134" t="str">
        <x:v>No</x:v>
      </x:c>
      <x:c r="AF134" t="str">
        <x:v>No</x:v>
      </x:c>
      <x:c r="AG134" t="str">
        <x:v>Eligible for GI-recovery meta-analysis</x:v>
      </x:c>
      <x:c r="AH134" t="str">
        <x:v>No</x:v>
      </x:c>
      <x:c r="AI134" t="str">
        <x:v>Same 6 post-randomization exclusions apply</x:v>
      </x:c>
      <x:c r="AJ134" t="str">
        <x:v>First flatus result</x:v>
      </x:c>
      <x:c r="AK134" t="str">
        <x:v>https://drive.google.com/file/d/12Y86huNMuLC8cPH-L2vwlEd7r1X1Qela/view?usp=drivesdk</x:v>
      </x:c>
      <x:c r="AL134" t="str">
        <x:v>SOURCE-VERIFIED / ATTRITION QC</x:v>
      </x:c>
    </x:row>
    <x:row r="135">
      <x:c r="A135" t="str">
        <x:v>Lu 2022</x:v>
      </x:c>
      <x:c r="B135" t="str">
        <x:v>LU22_TEAS_vs_CTRL_DEFEC</x:v>
      </x:c>
      <x:c r="C135" t="str">
        <x:v>TEAS + ERAS</x:v>
      </x:c>
      <x:c r="D135" t="str">
        <x:v>No-current control + ERAS</x:v>
      </x:c>
      <x:c r="E135" t="str">
        <x:v>GI recovery</x:v>
      </x:c>
      <x:c r="F135" t="str">
        <x:v>Time to first defecation</x:v>
      </x:c>
      <x:c r="G135" t="str">
        <x:v>Postoperative</x:v>
      </x:c>
      <x:c r="H135" t="str">
        <x:v>Mean/SD</x:v>
      </x:c>
      <x:c r="I135" t="n">
        <x:v>50</x:v>
      </x:c>
      <x:c r="J135" t="n">
        <x:v>50</x:v>
      </x:c>
      <x:c r="K135" t="n">
        <x:v>47</x:v>
      </x:c>
      <x:c r="L135" t="n">
        <x:v>47</x:v>
      </x:c>
      <x:c r="M135" t="n">
        <x:v>42</x:v>
      </x:c>
      <x:c r="N135" t="n">
        <x:v>25</x:v>
      </x:c>
      <x:c r="O135"/>
      <x:c r="P135"/>
      <x:c r="Q135"/>
      <x:c r="R135"/>
      <x:c r="S135" t="n">
        <x:v>55.4</x:v>
      </x:c>
      <x:c r="T135" t="n">
        <x:v>29.7</x:v>
      </x:c>
      <x:c r="U135"/>
      <x:c r="V135"/>
      <x:c r="W135"/>
      <x:c r="X135"/>
      <x:c r="Y135" t="str">
        <x:v>hours</x:v>
      </x:c>
      <x:c r="Z135" t="str">
        <x:v>0.03</x:v>
      </x:c>
      <x:c r="AA135" t="str">
        <x:v>Yes</x:v>
      </x:c>
      <x:c r="AB135" t="str">
        <x:v>No</x:v>
      </x:c>
      <x:c r="AC135" t="str">
        <x:f>IF(H135="Mean/SD","MD",IF(H135="Events/total","RR",""))</x:f>
        <x:v>MD</x:v>
      </x:c>
      <x:c r="AD135" t="n">
        <x:f>IF(H135="Mean/SD",M135-S135,IF(H135="Events/total",IFERROR((R135/K135)/(X135/L135),""),""))</x:f>
        <x:v>-13.399999999999999</x:v>
      </x:c>
      <x:c r="AE135" t="str">
        <x:v>No</x:v>
      </x:c>
      <x:c r="AF135" t="str">
        <x:v>No</x:v>
      </x:c>
      <x:c r="AG135" t="str">
        <x:v>Eligible for GI-recovery meta-analysis</x:v>
      </x:c>
      <x:c r="AH135" t="str">
        <x:v>No</x:v>
      </x:c>
      <x:c r="AI135" t="str">
        <x:v>Same 6 post-randomization exclusions apply</x:v>
      </x:c>
      <x:c r="AJ135" t="str">
        <x:v>First defecation result</x:v>
      </x:c>
      <x:c r="AK135" t="str">
        <x:v>https://drive.google.com/file/d/12Y86huNMuLC8cPH-L2vwlEd7r1X1Qela/view?usp=drivesdk</x:v>
      </x:c>
      <x:c r="AL135" t="str">
        <x:v>SOURCE-VERIFIED / ATTRITION QC</x:v>
      </x:c>
    </x:row>
    <x:row r="136">
      <x:c r="A136" t="str">
        <x:v>Lu 2022</x:v>
      </x:c>
      <x:c r="B136" t="str">
        <x:v>LU22_TEAS_vs_CTRL_PCAATTEMPT24</x:v>
      </x:c>
      <x:c r="C136" t="str">
        <x:v>TEAS + ERAS</x:v>
      </x:c>
      <x:c r="D136" t="str">
        <x:v>No-current control + ERAS</x:v>
      </x:c>
      <x:c r="E136" t="str">
        <x:v>Opioid demand</x:v>
      </x:c>
      <x:c r="F136" t="str">
        <x:v>PCA attempts</x:v>
      </x:c>
      <x:c r="G136" t="str">
        <x:v>24 h</x:v>
      </x:c>
      <x:c r="H136" t="str">
        <x:v>Median/IQR</x:v>
      </x:c>
      <x:c r="I136" t="n">
        <x:v>50</x:v>
      </x:c>
      <x:c r="J136" t="n">
        <x:v>50</x:v>
      </x:c>
      <x:c r="K136" t="n">
        <x:v>47</x:v>
      </x:c>
      <x:c r="L136" t="n">
        <x:v>47</x:v>
      </x:c>
      <x:c r="M136"/>
      <x:c r="N136"/>
      <x:c r="O136" t="n">
        <x:v>8</x:v>
      </x:c>
      <x:c r="P136" t="n">
        <x:v>3</x:v>
      </x:c>
      <x:c r="Q136" t="n">
        <x:v>18</x:v>
      </x:c>
      <x:c r="R136"/>
      <x:c r="S136"/>
      <x:c r="T136"/>
      <x:c r="U136" t="n">
        <x:v>16.5</x:v>
      </x:c>
      <x:c r="V136" t="n">
        <x:v>8</x:v>
      </x:c>
      <x:c r="W136" t="n">
        <x:v>38</x:v>
      </x:c>
      <x:c r="X136"/>
      <x:c r="Y136" t="str">
        <x:v>attempts</x:v>
      </x:c>
      <x:c r="Z136" t="str">
        <x:v>0.001</x:v>
      </x:c>
      <x:c r="AA136" t="str">
        <x:v>Yes</x:v>
      </x:c>
      <x:c r="AB136" t="str">
        <x:v>No</x:v>
      </x:c>
      <x:c r="AC136" t="str">
        <x:f>IF(H136="Mean/SD","MD",IF(H136="Events/total","RR",""))</x:f>
      </x:c>
      <x:c r="AD136" t="str">
        <x:f>IF(H136="Mean/SD",M136-S136,IF(H136="Events/total",IFERROR((R136/K136)/(X136/L136),""),""))</x:f>
      </x:c>
      <x:c r="AE136" t="str">
        <x:v>No</x:v>
      </x:c>
      <x:c r="AF136" t="str">
        <x:v>No</x:v>
      </x:c>
      <x:c r="AG136" t="str">
        <x:v>Eligible as 24-h PCA-demand proxy only</x:v>
      </x:c>
      <x:c r="AH136" t="str">
        <x:v>No</x:v>
      </x:c>
      <x:c r="AI136" t="str">
        <x:v>PCA drug, bolus dose, concentration, basal infusion and lockout are not reported</x:v>
      </x:c>
      <x:c r="AJ136" t="str">
        <x:v>PCA table / 24-h attempts</x:v>
      </x:c>
      <x:c r="AK136" t="str">
        <x:v>https://drive.google.com/file/d/12Y86huNMuLC8cPH-L2vwlEd7r1X1Qela/view?usp=drivesdk</x:v>
      </x:c>
      <x:c r="AL136" t="str">
        <x:v>SOURCE-VERIFIED / DOSE NOT RECONSTRUCTABLE</x:v>
      </x:c>
    </x:row>
    <x:row r="137">
      <x:c r="A137" t="str">
        <x:v>Lu 2022</x:v>
      </x:c>
      <x:c r="B137" t="str">
        <x:v>LU22_TEAS_vs_CTRL_PCADELIV24</x:v>
      </x:c>
      <x:c r="C137" t="str">
        <x:v>TEAS + ERAS</x:v>
      </x:c>
      <x:c r="D137" t="str">
        <x:v>No-current control + ERAS</x:v>
      </x:c>
      <x:c r="E137" t="str">
        <x:v>Opioid demand</x:v>
      </x:c>
      <x:c r="F137" t="str">
        <x:v>Successful PCA deliveries</x:v>
      </x:c>
      <x:c r="G137" t="str">
        <x:v>24 h</x:v>
      </x:c>
      <x:c r="H137" t="str">
        <x:v>Median/IQR</x:v>
      </x:c>
      <x:c r="I137" t="n">
        <x:v>50</x:v>
      </x:c>
      <x:c r="J137" t="n">
        <x:v>50</x:v>
      </x:c>
      <x:c r="K137" t="n">
        <x:v>47</x:v>
      </x:c>
      <x:c r="L137" t="n">
        <x:v>47</x:v>
      </x:c>
      <x:c r="M137"/>
      <x:c r="N137"/>
      <x:c r="O137" t="n">
        <x:v>5</x:v>
      </x:c>
      <x:c r="P137" t="n">
        <x:v>2</x:v>
      </x:c>
      <x:c r="Q137" t="n">
        <x:v>12</x:v>
      </x:c>
      <x:c r="R137"/>
      <x:c r="S137"/>
      <x:c r="T137"/>
      <x:c r="U137" t="n">
        <x:v>12</x:v>
      </x:c>
      <x:c r="V137" t="n">
        <x:v>6</x:v>
      </x:c>
      <x:c r="W137" t="n">
        <x:v>22</x:v>
      </x:c>
      <x:c r="X137"/>
      <x:c r="Y137" t="str">
        <x:v>deliveries</x:v>
      </x:c>
      <x:c r="Z137" t="str">
        <x:v>0.001</x:v>
      </x:c>
      <x:c r="AA137" t="str">
        <x:v>Yes</x:v>
      </x:c>
      <x:c r="AB137" t="str">
        <x:v>No</x:v>
      </x:c>
      <x:c r="AC137" t="str">
        <x:f>IF(H137="Mean/SD","MD",IF(H137="Events/total","RR",""))</x:f>
      </x:c>
      <x:c r="AD137" t="str">
        <x:f>IF(H137="Mean/SD",M137-S137,IF(H137="Events/total",IFERROR((R137/K137)/(X137/L137),""),""))</x:f>
      </x:c>
      <x:c r="AE137" t="str">
        <x:v>No</x:v>
      </x:c>
      <x:c r="AF137" t="str">
        <x:v>No</x:v>
      </x:c>
      <x:c r="AG137" t="str">
        <x:v>Eligible as 24-h PCA-delivery proxy only</x:v>
      </x:c>
      <x:c r="AH137" t="str">
        <x:v>No</x:v>
      </x:c>
      <x:c r="AI137" t="str">
        <x:v>Do not convert successful deliveries into opioid dose because the PCA prescription is absent</x:v>
      </x:c>
      <x:c r="AJ137" t="str">
        <x:v>PCA table / 24-h deliveries</x:v>
      </x:c>
      <x:c r="AK137" t="str">
        <x:v>https://drive.google.com/file/d/12Y86huNMuLC8cPH-L2vwlEd7r1X1Qela/view?usp=drivesdk</x:v>
      </x:c>
      <x:c r="AL137" t="str">
        <x:v>SOURCE-VERIFIED / DOSE NOT RECONSTRUCTABLE</x:v>
      </x:c>
    </x:row>
    <x:row r="138">
      <x:c r="A138" t="str">
        <x:v>Lu 2022</x:v>
      </x:c>
      <x:c r="B138" t="str">
        <x:v>LU22_TEAS_vs_CTRL_OPIOID24</x:v>
      </x:c>
      <x:c r="C138" t="str">
        <x:v>TEAS + ERAS</x:v>
      </x:c>
      <x:c r="D138" t="str">
        <x:v>No-current control + ERAS</x:v>
      </x:c>
      <x:c r="E138" t="str">
        <x:v>Opioid consumption</x:v>
      </x:c>
      <x:c r="F138" t="str">
        <x:v>Exact cumulative PCA opioid consumption</x:v>
      </x:c>
      <x:c r="G138" t="str">
        <x:v>0-24 h</x:v>
      </x:c>
      <x:c r="H138" t="str">
        <x:v>Not reported</x:v>
      </x:c>
      <x:c r="I138" t="n">
        <x:v>50</x:v>
      </x:c>
      <x:c r="J138" t="n">
        <x:v>50</x:v>
      </x:c>
      <x:c r="K138" t="n">
        <x:v>47</x:v>
      </x:c>
      <x:c r="L138" t="n">
        <x:v>47</x:v>
      </x:c>
      <x:c r="M138"/>
      <x:c r="N138"/>
      <x:c r="O138"/>
      <x:c r="P138"/>
      <x:c r="Q138"/>
      <x:c r="R138"/>
      <x:c r="S138"/>
      <x:c r="T138"/>
      <x:c r="U138"/>
      <x:c r="V138"/>
      <x:c r="W138"/>
      <x:c r="X138"/>
      <x:c r="Y138" t="str">
        <x:v>mg/µg</x:v>
      </x:c>
      <x:c r="Z138" t="str"/>
      <x:c r="AA138" t="str">
        <x:v>No</x:v>
      </x:c>
      <x:c r="AB138" t="str">
        <x:v>No</x:v>
      </x:c>
      <x:c r="AC138" t="str">
        <x:f>IF(H138="Mean/SD","MD",IF(H138="Events/total","RR",""))</x:f>
      </x:c>
      <x:c r="AD138" t="str">
        <x:f>IF(H138="Mean/SD",M138-S138,IF(H138="Events/total",IFERROR((R138/K138)/(X138/L138),""),""))</x:f>
      </x:c>
      <x:c r="AE138" t="str">
        <x:v>No</x:v>
      </x:c>
      <x:c r="AF138" t="str">
        <x:v>No</x:v>
      </x:c>
      <x:c r="AG138" t="str">
        <x:v>Not eligible for continuous 24-h opioid meta-analysis without supplementary/author data</x:v>
      </x:c>
      <x:c r="AH138" t="str">
        <x:v>No</x:v>
      </x:c>
      <x:c r="AI138" t="str">
        <x:v>The main article never identifies the PCA drug or dose</x:v>
      </x:c>
      <x:c r="AJ138" t="str">
        <x:v>Postoperative PCA section</x:v>
      </x:c>
      <x:c r="AK138" t="str">
        <x:v>https://drive.google.com/file/d/12Y86huNMuLC8cPH-L2vwlEd7r1X1Qela/view?usp=drivesdk</x:v>
      </x:c>
      <x:c r="AL138" t="str">
        <x:v>MISSING / PCA DRUG AND DOSE NR</x:v>
      </x:c>
    </x:row>
    <x:row r="139">
      <x:c r="A139" t="str">
        <x:v>Luo 2026</x:v>
      </x:c>
      <x:c r="B139" t="str">
        <x:v>LUO26_TEAS_vs_SHAM_NAUSEA48</x:v>
      </x:c>
      <x:c r="C139" t="str">
        <x:v>Intraoperative PC6 TEAS + standard antiemetics</x:v>
      </x:c>
      <x:c r="D139" t="str">
        <x:v>Sham/no current + standard antiemetics</x:v>
      </x:c>
      <x:c r="E139" t="str">
        <x:v>PONV</x:v>
      </x:c>
      <x:c r="F139" t="str">
        <x:v>Cumulative postoperative nausea</x:v>
      </x:c>
      <x:c r="G139" t="str">
        <x:v>0-48 h</x:v>
      </x:c>
      <x:c r="H139" t="str">
        <x:v>Events/total</x:v>
      </x:c>
      <x:c r="I139" t="n">
        <x:v>138</x:v>
      </x:c>
      <x:c r="J139" t="n">
        <x:v>139</x:v>
      </x:c>
      <x:c r="K139" t="n">
        <x:v>138</x:v>
      </x:c>
      <x:c r="L139" t="n">
        <x:v>139</x:v>
      </x:c>
      <x:c r="M139"/>
      <x:c r="N139"/>
      <x:c r="O139"/>
      <x:c r="P139"/>
      <x:c r="Q139"/>
      <x:c r="R139" t="n">
        <x:v>24</x:v>
      </x:c>
      <x:c r="S139"/>
      <x:c r="T139"/>
      <x:c r="U139"/>
      <x:c r="V139"/>
      <x:c r="W139"/>
      <x:c r="X139" t="n">
        <x:v>53</x:v>
      </x:c>
      <x:c r="Y139" t="str">
        <x:v>participants</x:v>
      </x:c>
      <x:c r="Z139" t="str">
        <x:v>&lt;0.01</x:v>
      </x:c>
      <x:c r="AA139" t="str">
        <x:v>Yes</x:v>
      </x:c>
      <x:c r="AB139" t="str">
        <x:v>No</x:v>
      </x:c>
      <x:c r="AC139" t="str">
        <x:f>IF(H139="Mean/SD","MD",IF(H139="Events/total","RR",""))</x:f>
        <x:v>RR</x:v>
      </x:c>
      <x:c r="AD139" t="n">
        <x:f>IF(H139="Mean/SD",M139-S139,IF(H139="Events/total",IFERROR((R139/K139)/(X139/L139),""),""))</x:f>
        <x:v>0.45611156685808035</x:v>
      </x:c>
      <x:c r="AE139" t="str">
        <x:v>No</x:v>
      </x:c>
      <x:c r="AF139" t="str">
        <x:v>No</x:v>
      </x:c>
      <x:c r="AG139" t="str">
        <x:v>Eligible for dichotomous 48-h nausea analysis</x:v>
      </x:c>
      <x:c r="AH139" t="str">
        <x:v>No</x:v>
      </x:c>
      <x:c r="AI139" t="str">
        <x:v>Participant blinding was empirically poor: 77.5% of TEAS and 66.2% of sham participants correctly guessed allocation</x:v>
      </x:c>
      <x:c r="AJ139" t="str">
        <x:v>Primary outcome / cumulative nausea</x:v>
      </x:c>
      <x:c r="AK139" t="str">
        <x:v>https://drive.google.com/file/d/1xxZle6mPpcnmHLblJbsy1kA4CyQHpvm2/view?usp=drivesdk</x:v>
      </x:c>
      <x:c r="AL139" t="str">
        <x:v>SOURCE-VERIFIED</x:v>
      </x:c>
    </x:row>
    <x:row r="140">
      <x:c r="A140" t="str">
        <x:v>Luo 2026</x:v>
      </x:c>
      <x:c r="B140" t="str">
        <x:v>LUO26_TEAS_vs_SHAM_VOMIT48</x:v>
      </x:c>
      <x:c r="C140" t="str">
        <x:v>Intraoperative PC6 TEAS + standard antiemetics</x:v>
      </x:c>
      <x:c r="D140" t="str">
        <x:v>Sham/no current + standard antiemetics</x:v>
      </x:c>
      <x:c r="E140" t="str">
        <x:v>PONV</x:v>
      </x:c>
      <x:c r="F140" t="str">
        <x:v>Cumulative postoperative vomiting</x:v>
      </x:c>
      <x:c r="G140" t="str">
        <x:v>0-48 h</x:v>
      </x:c>
      <x:c r="H140" t="str">
        <x:v>Events/total</x:v>
      </x:c>
      <x:c r="I140" t="n">
        <x:v>138</x:v>
      </x:c>
      <x:c r="J140" t="n">
        <x:v>139</x:v>
      </x:c>
      <x:c r="K140" t="n">
        <x:v>138</x:v>
      </x:c>
      <x:c r="L140" t="n">
        <x:v>139</x:v>
      </x:c>
      <x:c r="M140"/>
      <x:c r="N140"/>
      <x:c r="O140"/>
      <x:c r="P140"/>
      <x:c r="Q140"/>
      <x:c r="R140" t="n">
        <x:v>9</x:v>
      </x:c>
      <x:c r="S140"/>
      <x:c r="T140"/>
      <x:c r="U140"/>
      <x:c r="V140"/>
      <x:c r="W140"/>
      <x:c r="X140" t="n">
        <x:v>27</x:v>
      </x:c>
      <x:c r="Y140" t="str">
        <x:v>participants</x:v>
      </x:c>
      <x:c r="Z140" t="str">
        <x:v>&lt;0.01</x:v>
      </x:c>
      <x:c r="AA140" t="str">
        <x:v>Yes</x:v>
      </x:c>
      <x:c r="AB140" t="str">
        <x:v>No</x:v>
      </x:c>
      <x:c r="AC140" t="str">
        <x:f>IF(H140="Mean/SD","MD",IF(H140="Events/total","RR",""))</x:f>
        <x:v>RR</x:v>
      </x:c>
      <x:c r="AD140" t="n">
        <x:f>IF(H140="Mean/SD",M140-S140,IF(H140="Events/total",IFERROR((R140/K140)/(X140/L140),""),""))</x:f>
        <x:v>0.3357487922705314</x:v>
      </x:c>
      <x:c r="AE140" t="str">
        <x:v>No</x:v>
      </x:c>
      <x:c r="AF140" t="str">
        <x:v>No</x:v>
      </x:c>
      <x:c r="AG140" t="str">
        <x:v>Eligible for dichotomous 48-h vomiting analysis</x:v>
      </x:c>
      <x:c r="AH140" t="str">
        <x:v>No</x:v>
      </x:c>
      <x:c r="AI140" t="str">
        <x:v>Vomiting is more objective than nausea, but participant masking was incomplete</x:v>
      </x:c>
      <x:c r="AJ140" t="str">
        <x:v>Primary outcome / cumulative vomiting</x:v>
      </x:c>
      <x:c r="AK140" t="str">
        <x:v>https://drive.google.com/file/d/1xxZle6mPpcnmHLblJbsy1kA4CyQHpvm2/view?usp=drivesdk</x:v>
      </x:c>
      <x:c r="AL140" t="str">
        <x:v>SOURCE-VERIFIED</x:v>
      </x:c>
    </x:row>
    <x:row r="141">
      <x:c r="A141" t="str">
        <x:v>Luo 2026</x:v>
      </x:c>
      <x:c r="B141" t="str">
        <x:v>LUO26_TEAS_vs_SHAM_COMPLETE48</x:v>
      </x:c>
      <x:c r="C141" t="str">
        <x:v>Intraoperative PC6 TEAS + standard antiemetics</x:v>
      </x:c>
      <x:c r="D141" t="str">
        <x:v>Sham/no current + standard antiemetics</x:v>
      </x:c>
      <x:c r="E141" t="str">
        <x:v>PONV</x:v>
      </x:c>
      <x:c r="F141" t="str">
        <x:v>Complete response: no vomiting and no rescue antiemetic</x:v>
      </x:c>
      <x:c r="G141" t="str">
        <x:v>0-48 h</x:v>
      </x:c>
      <x:c r="H141" t="str">
        <x:v>Events/total</x:v>
      </x:c>
      <x:c r="I141" t="n">
        <x:v>138</x:v>
      </x:c>
      <x:c r="J141" t="n">
        <x:v>139</x:v>
      </x:c>
      <x:c r="K141" t="n">
        <x:v>138</x:v>
      </x:c>
      <x:c r="L141" t="n">
        <x:v>139</x:v>
      </x:c>
      <x:c r="M141"/>
      <x:c r="N141"/>
      <x:c r="O141"/>
      <x:c r="P141"/>
      <x:c r="Q141"/>
      <x:c r="R141" t="n">
        <x:v>112</x:v>
      </x:c>
      <x:c r="S141"/>
      <x:c r="T141"/>
      <x:c r="U141"/>
      <x:c r="V141"/>
      <x:c r="W141"/>
      <x:c r="X141" t="n">
        <x:v>83</x:v>
      </x:c>
      <x:c r="Y141" t="str">
        <x:v>participants</x:v>
      </x:c>
      <x:c r="Z141" t="str">
        <x:v>&lt;0.01</x:v>
      </x:c>
      <x:c r="AA141" t="str">
        <x:v>Yes</x:v>
      </x:c>
      <x:c r="AB141" t="str">
        <x:v>No</x:v>
      </x:c>
      <x:c r="AC141" t="str">
        <x:f>IF(H141="Mean/SD","MD",IF(H141="Events/total","RR",""))</x:f>
        <x:v>RR</x:v>
      </x:c>
      <x:c r="AD141" t="n">
        <x:f>IF(H141="Mean/SD",M141-S141,IF(H141="Events/total",IFERROR((R141/K141)/(X141/L141),""),""))</x:f>
        <x:v>1.3591758337698623</x:v>
      </x:c>
      <x:c r="AE141" t="str">
        <x:v>No</x:v>
      </x:c>
      <x:c r="AF141" t="str">
        <x:v>No</x:v>
      </x:c>
      <x:c r="AG141" t="str">
        <x:v>Eligible for dichotomous complete-response analysis</x:v>
      </x:c>
      <x:c r="AH141" t="str">
        <x:v>No</x:v>
      </x:c>
      <x:c r="AI141" t="str">
        <x:v>Abstract percentage differs slightly from table-derived 112/138; use raw counts</x:v>
      </x:c>
      <x:c r="AJ141" t="str">
        <x:v>Complete-response result</x:v>
      </x:c>
      <x:c r="AK141" t="str">
        <x:v>https://drive.google.com/file/d/1xxZle6mPpcnmHLblJbsy1kA4CyQHpvm2/view?usp=drivesdk</x:v>
      </x:c>
      <x:c r="AL141" t="str">
        <x:v>SOURCE-VERIFIED / ABSTRACT % QC</x:v>
      </x:c>
    </x:row>
    <x:row r="142">
      <x:c r="A142" t="str">
        <x:v>Luo 2026</x:v>
      </x:c>
      <x:c r="B142" t="str">
        <x:v>LUO26_TEAS_vs_SHAM_NRS24</x:v>
      </x:c>
      <x:c r="C142" t="str">
        <x:v>Intraoperative PC6 TEAS + standard antiemetics</x:v>
      </x:c>
      <x:c r="D142" t="str">
        <x:v>Sham/no current + standard antiemetics</x:v>
      </x:c>
      <x:c r="E142" t="str">
        <x:v>Pain</x:v>
      </x:c>
      <x:c r="F142" t="str">
        <x:v>Postoperative NRS pain</x:v>
      </x:c>
      <x:c r="G142" t="str">
        <x:v>24 h</x:v>
      </x:c>
      <x:c r="H142" t="str">
        <x:v>Mean/SD</x:v>
      </x:c>
      <x:c r="I142" t="n">
        <x:v>138</x:v>
      </x:c>
      <x:c r="J142" t="n">
        <x:v>139</x:v>
      </x:c>
      <x:c r="K142" t="n">
        <x:v>138</x:v>
      </x:c>
      <x:c r="L142" t="n">
        <x:v>139</x:v>
      </x:c>
      <x:c r="M142" t="n">
        <x:v>1.3</x:v>
      </x:c>
      <x:c r="N142" t="n">
        <x:v>0.92</x:v>
      </x:c>
      <x:c r="O142"/>
      <x:c r="P142"/>
      <x:c r="Q142"/>
      <x:c r="R142"/>
      <x:c r="S142" t="n">
        <x:v>1.65</x:v>
      </x:c>
      <x:c r="T142" t="n">
        <x:v>0.95</x:v>
      </x:c>
      <x:c r="U142"/>
      <x:c r="V142"/>
      <x:c r="W142"/>
      <x:c r="X142"/>
      <x:c r="Y142" t="str">
        <x:v>NRS 0-10</x:v>
      </x:c>
      <x:c r="Z142" t="str">
        <x:v>&lt;0.01</x:v>
      </x:c>
      <x:c r="AA142" t="str">
        <x:v>Yes</x:v>
      </x:c>
      <x:c r="AB142" t="str">
        <x:v>No</x:v>
      </x:c>
      <x:c r="AC142" t="str">
        <x:f>IF(H142="Mean/SD","MD",IF(H142="Events/total","RR",""))</x:f>
        <x:v>MD</x:v>
      </x:c>
      <x:c r="AD142" t="n">
        <x:f>IF(H142="Mean/SD",M142-S142,IF(H142="Events/total",IFERROR((R142/K142)/(X142/L142),""),""))</x:f>
        <x:v>-0.34999999999999987</x:v>
      </x:c>
      <x:c r="AE142" t="str">
        <x:v>No</x:v>
      </x:c>
      <x:c r="AF142" t="str">
        <x:v>No</x:v>
      </x:c>
      <x:c r="AG142" t="str">
        <x:v>Eligible for 24-h pain analysis</x:v>
      </x:c>
      <x:c r="AH142" t="str">
        <x:v>No</x:v>
      </x:c>
      <x:c r="AI142" t="str">
        <x:v>Rest-versus-movement condition is not reported; participant masking was incomplete</x:v>
      </x:c>
      <x:c r="AJ142" t="str">
        <x:v>Postoperative pain table / 24 h</x:v>
      </x:c>
      <x:c r="AK142" t="str">
        <x:v>https://drive.google.com/file/d/1xxZle6mPpcnmHLblJbsy1kA4CyQHpvm2/view?usp=drivesdk</x:v>
      </x:c>
      <x:c r="AL142" t="str">
        <x:v>SOURCE-VERIFIED</x:v>
      </x:c>
    </x:row>
    <x:row r="143">
      <x:c r="A143" t="str">
        <x:v>Luo 2026</x:v>
      </x:c>
      <x:c r="B143" t="str">
        <x:v>LUO26_TEAS_vs_SHAM_OPIOIDEQUIV</x:v>
      </x:c>
      <x:c r="C143" t="str">
        <x:v>Intraoperative PC6 TEAS + standard antiemetics</x:v>
      </x:c>
      <x:c r="D143" t="str">
        <x:v>Sham/no current + standard antiemetics</x:v>
      </x:c>
      <x:c r="E143" t="str">
        <x:v>Perioperative opioid</x:v>
      </x:c>
      <x:c r="F143" t="str">
        <x:v>Published 'sufentanil equivalents' metric</x:v>
      </x:c>
      <x:c r="G143" t="str">
        <x:v>Perioperative</x:v>
      </x:c>
      <x:c r="H143" t="str">
        <x:v>Mean/SD</x:v>
      </x:c>
      <x:c r="I143" t="n">
        <x:v>138</x:v>
      </x:c>
      <x:c r="J143" t="n">
        <x:v>139</x:v>
      </x:c>
      <x:c r="K143" t="n">
        <x:v>138</x:v>
      </x:c>
      <x:c r="L143" t="n">
        <x:v>139</x:v>
      </x:c>
      <x:c r="M143" t="n">
        <x:v>15.86</x:v>
      </x:c>
      <x:c r="N143" t="n">
        <x:v>5.11</x:v>
      </x:c>
      <x:c r="O143"/>
      <x:c r="P143"/>
      <x:c r="Q143"/>
      <x:c r="R143"/>
      <x:c r="S143" t="n">
        <x:v>15.18</x:v>
      </x:c>
      <x:c r="T143" t="n">
        <x:v>4.95</x:v>
      </x:c>
      <x:c r="U143"/>
      <x:c r="V143"/>
      <x:c r="W143"/>
      <x:c r="X143"/>
      <x:c r="Y143" t="str">
        <x:v>published as mg; definition/unit unresolved</x:v>
      </x:c>
      <x:c r="Z143" t="str">
        <x:v>0.27</x:v>
      </x:c>
      <x:c r="AA143" t="str">
        <x:v>Yes</x:v>
      </x:c>
      <x:c r="AB143" t="str">
        <x:v>No</x:v>
      </x:c>
      <x:c r="AC143" t="str">
        <x:f>IF(H143="Mean/SD","MD",IF(H143="Events/total","RR",""))</x:f>
        <x:v>MD</x:v>
      </x:c>
      <x:c r="AD143" t="n">
        <x:f>IF(H143="Mean/SD",M143-S143,IF(H143="Events/total",IFERROR((R143/K143)/(X143/L143),""),""))</x:f>
        <x:v>0.6799999999999997</x:v>
      </x:c>
      <x:c r="AE143" t="str">
        <x:v>No</x:v>
      </x:c>
      <x:c r="AF143" t="str">
        <x:v>No</x:v>
      </x:c>
      <x:c r="AG143" t="str">
        <x:v>Do not harmonize to MME or actual sufentanil mass until authors clarify conversion and unit</x:v>
      </x:c>
      <x:c r="AH143" t="str">
        <x:v>No</x:v>
      </x:c>
      <x:c r="AI143" t="str">
        <x:v>Source labels approximately 15-16 as 'sufentanil equivalents (mg)' without explaining conversion; preserve verbatim</x:v>
      </x:c>
      <x:c r="AJ143" t="str">
        <x:v>Table 1 / perioperative opioid metric</x:v>
      </x:c>
      <x:c r="AK143" t="str">
        <x:v>https://drive.google.com/file/d/1xxZle6mPpcnmHLblJbsy1kA4CyQHpvm2/view?usp=drivesdk</x:v>
      </x:c>
      <x:c r="AL143" t="str">
        <x:v>SOURCE-VERIFIED / UNIT UNRESOLVED</x:v>
      </x:c>
    </x:row>
    <x:row r="144">
      <x:c r="A144" t="str">
        <x:v>Luo 2026</x:v>
      </x:c>
      <x:c r="B144" t="str">
        <x:v>LUO26_TEAS_vs_SHAM_OPIOID24</x:v>
      </x:c>
      <x:c r="C144" t="str">
        <x:v>Intraoperative PC6 TEAS + standard antiemetics</x:v>
      </x:c>
      <x:c r="D144" t="str">
        <x:v>Sham/no current + standard antiemetics</x:v>
      </x:c>
      <x:c r="E144" t="str">
        <x:v>Opioid consumption</x:v>
      </x:c>
      <x:c r="F144" t="str">
        <x:v>Cumulative postoperative oxycodone consumption</x:v>
      </x:c>
      <x:c r="G144" t="str">
        <x:v>0-24 h</x:v>
      </x:c>
      <x:c r="H144" t="str">
        <x:v>Not reported</x:v>
      </x:c>
      <x:c r="I144" t="n">
        <x:v>138</x:v>
      </x:c>
      <x:c r="J144" t="n">
        <x:v>139</x:v>
      </x:c>
      <x:c r="K144" t="n">
        <x:v>138</x:v>
      </x:c>
      <x:c r="L144" t="n">
        <x:v>139</x:v>
      </x:c>
      <x:c r="M144"/>
      <x:c r="N144"/>
      <x:c r="O144"/>
      <x:c r="P144"/>
      <x:c r="Q144"/>
      <x:c r="R144"/>
      <x:c r="S144"/>
      <x:c r="T144"/>
      <x:c r="U144"/>
      <x:c r="V144"/>
      <x:c r="W144"/>
      <x:c r="X144"/>
      <x:c r="Y144" t="str">
        <x:v>mg oxycodone</x:v>
      </x:c>
      <x:c r="Z144" t="str"/>
      <x:c r="AA144" t="str">
        <x:v>No</x:v>
      </x:c>
      <x:c r="AB144" t="str">
        <x:v>No</x:v>
      </x:c>
      <x:c r="AC144" t="str">
        <x:f>IF(H144="Mean/SD","MD",IF(H144="Events/total","RR",""))</x:f>
      </x:c>
      <x:c r="AD144" t="str">
        <x:f>IF(H144="Mean/SD",M144-S144,IF(H144="Events/total",IFERROR((R144/K144)/(X144/L144),""),""))</x:f>
      </x:c>
      <x:c r="AE144" t="str">
        <x:v>No</x:v>
      </x:c>
      <x:c r="AF144" t="str">
        <x:v>No</x:v>
      </x:c>
      <x:c r="AG144" t="str">
        <x:v>Not eligible for continuous 24-h opioid/MME meta-analysis</x:v>
      </x:c>
      <x:c r="AH144" t="str">
        <x:v>No</x:v>
      </x:c>
      <x:c r="AI144" t="str">
        <x:v>Postoperative IV oxycodone is described, but schedule and group-specific cumulative 24-h consumption are not reported</x:v>
      </x:c>
      <x:c r="AJ144" t="str">
        <x:v>Postoperative analgesia / exact 24-h endpoint absent</x:v>
      </x:c>
      <x:c r="AK144" t="str">
        <x:v>https://drive.google.com/file/d/1xxZle6mPpcnmHLblJbsy1kA4CyQHpvm2/view?usp=drivesdk</x:v>
      </x:c>
      <x:c r="AL144" t="str">
        <x:v>MISSING / AUTHOR DATA NEEDED</x:v>
      </x:c>
    </x:row>
    <x:row r="145">
      <x:c r="A145" t="str">
        <x:v>Long 2025</x:v>
      </x:c>
      <x:c r="B145" t="str">
        <x:v>LONG25_TEAS_vs_CTRL_PND1</x:v>
      </x:c>
      <x:c r="C145" t="str">
        <x:v>Perioperative electrical acupoint stimulation</x:v>
      </x:c>
      <x:c r="D145" t="str">
        <x:v>Electrodes/no current</x:v>
      </x:c>
      <x:c r="E145" t="str">
        <x:v>Neurocognitive</x:v>
      </x:c>
      <x:c r="F145" t="str">
        <x:v>Perioperative neurocognitive disorder (PND)</x:v>
      </x:c>
      <x:c r="G145" t="str">
        <x:v>POD1</x:v>
      </x:c>
      <x:c r="H145" t="str">
        <x:v>Published event count + percentage; denominator inconsistent</x:v>
      </x:c>
      <x:c r="I145" t="n">
        <x:v>30</x:v>
      </x:c>
      <x:c r="J145" t="n">
        <x:v>30</x:v>
      </x:c>
      <x:c r="K145" t="n">
        <x:v>27</x:v>
      </x:c>
      <x:c r="L145" t="n">
        <x:v>26</x:v>
      </x:c>
      <x:c r="M145"/>
      <x:c r="N145"/>
      <x:c r="O145"/>
      <x:c r="P145"/>
      <x:c r="Q145"/>
      <x:c r="R145" t="n">
        <x:v>7</x:v>
      </x:c>
      <x:c r="S145"/>
      <x:c r="T145"/>
      <x:c r="U145"/>
      <x:c r="V145"/>
      <x:c r="W145"/>
      <x:c r="X145" t="n">
        <x:v>14</x:v>
      </x:c>
      <x:c r="Y145" t="str">
        <x:v>Active: 7 cases (25.0%); Control: 14 cases (56.0%)</x:v>
      </x:c>
      <x:c r="Z145" t="str">
        <x:v>NR</x:v>
      </x:c>
      <x:c r="AA145" t="str">
        <x:v>Yes</x:v>
      </x:c>
      <x:c r="AB145" t="str">
        <x:v>No</x:v>
      </x:c>
      <x:c r="AC145" t="str">
        <x:f>IF(H145="Mean/SD","MD",IF(H145="Events/total","RR",""))</x:f>
      </x:c>
      <x:c r="AD145" t="str">
        <x:f>IF(H145="Mean/SD",M145-S145,IF(H145="Events/total",IFERROR((R145/K145)/(X145/L145),""),""))</x:f>
      </x:c>
      <x:c r="AE145" t="str">
        <x:v>No</x:v>
      </x:c>
      <x:c r="AF145" t="str">
        <x:v>No</x:v>
      </x:c>
      <x:c r="AG145" t="str">
        <x:v>Not meta-analysis-ready until event denominators are clarified</x:v>
      </x:c>
      <x:c r="AH145" t="str">
        <x:v>No</x:v>
      </x:c>
      <x:c r="AI145" t="str">
        <x:v>Published percentages do not reconcile with final analyzed n=27 active/26 control; do not back-calculate denominators</x:v>
      </x:c>
      <x:c r="AJ145" t="str">
        <x:v>PND incidence table / POD1</x:v>
      </x:c>
      <x:c r="AK145" t="str">
        <x:v>https://drive.google.com/file/d/1LDqtQLq9-kZLP0Vv_G3iiK8QKjy4pRXP/view?usp=drivesdk</x:v>
      </x:c>
      <x:c r="AL145" t="str">
        <x:v>SOURCE-VERIFIED / DENOMINATOR INCONSISTENT</x:v>
      </x:c>
    </x:row>
    <x:row r="146">
      <x:c r="A146" t="str">
        <x:v>Long 2025</x:v>
      </x:c>
      <x:c r="B146" t="str">
        <x:v>LONG25_TEAS_vs_CTRL_PND3</x:v>
      </x:c>
      <x:c r="C146" t="str">
        <x:v>Perioperative electrical acupoint stimulation</x:v>
      </x:c>
      <x:c r="D146" t="str">
        <x:v>Electrodes/no current</x:v>
      </x:c>
      <x:c r="E146" t="str">
        <x:v>Neurocognitive</x:v>
      </x:c>
      <x:c r="F146" t="str">
        <x:v>Perioperative neurocognitive disorder (PND)</x:v>
      </x:c>
      <x:c r="G146" t="str">
        <x:v>POD3</x:v>
      </x:c>
      <x:c r="H146" t="str">
        <x:v>Published event count + percentage; denominator inconsistent</x:v>
      </x:c>
      <x:c r="I146" t="n">
        <x:v>30</x:v>
      </x:c>
      <x:c r="J146" t="n">
        <x:v>30</x:v>
      </x:c>
      <x:c r="K146" t="n">
        <x:v>27</x:v>
      </x:c>
      <x:c r="L146" t="n">
        <x:v>26</x:v>
      </x:c>
      <x:c r="M146"/>
      <x:c r="N146"/>
      <x:c r="O146"/>
      <x:c r="P146"/>
      <x:c r="Q146"/>
      <x:c r="R146" t="n">
        <x:v>4</x:v>
      </x:c>
      <x:c r="S146"/>
      <x:c r="T146"/>
      <x:c r="U146"/>
      <x:c r="V146"/>
      <x:c r="W146"/>
      <x:c r="X146" t="n">
        <x:v>12</x:v>
      </x:c>
      <x:c r="Y146" t="str">
        <x:v>Active: 4 cases (14.3%); Control: 12 cases (48.0%)</x:v>
      </x:c>
      <x:c r="Z146" t="str">
        <x:v>NR</x:v>
      </x:c>
      <x:c r="AA146" t="str">
        <x:v>Yes</x:v>
      </x:c>
      <x:c r="AB146" t="str">
        <x:v>No</x:v>
      </x:c>
      <x:c r="AC146" t="str">
        <x:f>IF(H146="Mean/SD","MD",IF(H146="Events/total","RR",""))</x:f>
      </x:c>
      <x:c r="AD146" t="str">
        <x:f>IF(H146="Mean/SD",M146-S146,IF(H146="Events/total",IFERROR((R146/K146)/(X146/L146),""),""))</x:f>
      </x:c>
      <x:c r="AE146" t="str">
        <x:v>No</x:v>
      </x:c>
      <x:c r="AF146" t="str">
        <x:v>No</x:v>
      </x:c>
      <x:c r="AG146" t="str">
        <x:v>Not meta-analysis-ready until event denominators are clarified</x:v>
      </x:c>
      <x:c r="AH146" t="str">
        <x:v>No</x:v>
      </x:c>
      <x:c r="AI146" t="str">
        <x:v>Published percentages do not reconcile with reported analyzed denominators</x:v>
      </x:c>
      <x:c r="AJ146" t="str">
        <x:v>PND incidence table / POD3</x:v>
      </x:c>
      <x:c r="AK146" t="str">
        <x:v>https://drive.google.com/file/d/1LDqtQLq9-kZLP0Vv_G3iiK8QKjy4pRXP/view?usp=drivesdk</x:v>
      </x:c>
      <x:c r="AL146" t="str">
        <x:v>SOURCE-VERIFIED / DENOMINATOR INCONSISTENT</x:v>
      </x:c>
    </x:row>
    <x:row r="147">
      <x:c r="A147" t="str">
        <x:v>Long 2025</x:v>
      </x:c>
      <x:c r="B147" t="str">
        <x:v>LONG25_TEAS_vs_CTRL_VAS24</x:v>
      </x:c>
      <x:c r="C147" t="str">
        <x:v>Perioperative electrical acupoint stimulation</x:v>
      </x:c>
      <x:c r="D147" t="str">
        <x:v>Electrodes/no current</x:v>
      </x:c>
      <x:c r="E147" t="str">
        <x:v>Pain</x:v>
      </x:c>
      <x:c r="F147" t="str">
        <x:v>VAS pain intensity</x:v>
      </x:c>
      <x:c r="G147" t="str">
        <x:v>24 h</x:v>
      </x:c>
      <x:c r="H147" t="str">
        <x:v>Mean/SD</x:v>
      </x:c>
      <x:c r="I147" t="n">
        <x:v>30</x:v>
      </x:c>
      <x:c r="J147" t="n">
        <x:v>30</x:v>
      </x:c>
      <x:c r="K147" t="n">
        <x:v>27</x:v>
      </x:c>
      <x:c r="L147" t="n">
        <x:v>26</x:v>
      </x:c>
      <x:c r="M147" t="n">
        <x:v>2.78</x:v>
      </x:c>
      <x:c r="N147" t="n">
        <x:v>0.97</x:v>
      </x:c>
      <x:c r="O147"/>
      <x:c r="P147"/>
      <x:c r="Q147"/>
      <x:c r="R147"/>
      <x:c r="S147" t="n">
        <x:v>3.96</x:v>
      </x:c>
      <x:c r="T147" t="n">
        <x:v>0.96</x:v>
      </x:c>
      <x:c r="U147"/>
      <x:c r="V147"/>
      <x:c r="W147"/>
      <x:c r="X147"/>
      <x:c r="Y147" t="str">
        <x:v>VAS 0-10</x:v>
      </x:c>
      <x:c r="Z147" t="str">
        <x:v>&lt;0.001</x:v>
      </x:c>
      <x:c r="AA147" t="str">
        <x:v>Yes</x:v>
      </x:c>
      <x:c r="AB147" t="str">
        <x:v>No</x:v>
      </x:c>
      <x:c r="AC147" t="str">
        <x:f>IF(H147="Mean/SD","MD",IF(H147="Events/total","RR",""))</x:f>
        <x:v>MD</x:v>
      </x:c>
      <x:c r="AD147" t="n">
        <x:f>IF(H147="Mean/SD",M147-S147,IF(H147="Events/total",IFERROR((R147/K147)/(X147/L147),""),""))</x:f>
        <x:v>-1.1800000000000002</x:v>
      </x:c>
      <x:c r="AE147" t="str">
        <x:v>No</x:v>
      </x:c>
      <x:c r="AF147" t="str">
        <x:v>No</x:v>
      </x:c>
      <x:c r="AG147" t="str">
        <x:v>Eligible for 24-h pain analysis using Table 7 value</x:v>
      </x:c>
      <x:c r="AH147" t="str">
        <x:v>No</x:v>
      </x:c>
      <x:c r="AI147" t="str">
        <x:v>Abstract/Results prose gives active 2.65 ± 0.94; Table 7/Figure 9 gives 2.78 ± 0.97. Master uses the directly tabulated Table 7 value and retains discrepancy</x:v>
      </x:c>
      <x:c r="AJ147" t="str">
        <x:v>Table 7 / Figure 9</x:v>
      </x:c>
      <x:c r="AK147" t="str">
        <x:v>https://drive.google.com/file/d/1LDqtQLq9-kZLP0Vv_G3iiK8QKjy4pRXP/view?usp=drivesdk</x:v>
      </x:c>
      <x:c r="AL147" t="str">
        <x:v>SOURCE-VERIFIED / SOURCE VALUE CONFLICT</x:v>
      </x:c>
    </x:row>
    <x:row r="148">
      <x:c r="A148" t="str">
        <x:v>Long 2025</x:v>
      </x:c>
      <x:c r="B148" t="str">
        <x:v>LONG25_TEAS_vs_CTRL_PCIA48VOL</x:v>
      </x:c>
      <x:c r="C148" t="str">
        <x:v>Perioperative electrical acupoint stimulation</x:v>
      </x:c>
      <x:c r="D148" t="str">
        <x:v>Electrodes/no current</x:v>
      </x:c>
      <x:c r="E148" t="str">
        <x:v>Opioid demand</x:v>
      </x:c>
      <x:c r="F148" t="str">
        <x:v>PCIA solution consumption</x:v>
      </x:c>
      <x:c r="G148" t="str">
        <x:v>48 h</x:v>
      </x:c>
      <x:c r="H148" t="str">
        <x:v>Mean/SD</x:v>
      </x:c>
      <x:c r="I148" t="n">
        <x:v>30</x:v>
      </x:c>
      <x:c r="J148" t="n">
        <x:v>30</x:v>
      </x:c>
      <x:c r="K148" t="n">
        <x:v>27</x:v>
      </x:c>
      <x:c r="L148" t="n">
        <x:v>26</x:v>
      </x:c>
      <x:c r="M148" t="n">
        <x:v>86.22</x:v>
      </x:c>
      <x:c r="N148" t="n">
        <x:v>4.27</x:v>
      </x:c>
      <x:c r="O148"/>
      <x:c r="P148"/>
      <x:c r="Q148"/>
      <x:c r="R148"/>
      <x:c r="S148" t="n">
        <x:v>89.23</x:v>
      </x:c>
      <x:c r="T148" t="n">
        <x:v>3.67</x:v>
      </x:c>
      <x:c r="U148"/>
      <x:c r="V148"/>
      <x:c r="W148"/>
      <x:c r="X148"/>
      <x:c r="Y148" t="str">
        <x:v>mL of weight-based sufentanil solution</x:v>
      </x:c>
      <x:c r="Z148" t="str">
        <x:v>0.008</x:v>
      </x:c>
      <x:c r="AA148" t="str">
        <x:v>Yes</x:v>
      </x:c>
      <x:c r="AB148" t="str">
        <x:v>No</x:v>
      </x:c>
      <x:c r="AC148" t="str">
        <x:f>IF(H148="Mean/SD","MD",IF(H148="Events/total","RR",""))</x:f>
        <x:v>MD</x:v>
      </x:c>
      <x:c r="AD148" t="n">
        <x:f>IF(H148="Mean/SD",M148-S148,IF(H148="Events/total",IFERROR((R148/K148)/(X148/L148),""),""))</x:f>
        <x:v>-3.010000000000005</x:v>
      </x:c>
      <x:c r="AE148" t="str">
        <x:v>No</x:v>
      </x:c>
      <x:c r="AF148" t="str">
        <x:v>No</x:v>
      </x:c>
      <x:c r="AG148" t="str">
        <x:v>Eligible only as 48-h pump-volume outcome, not as sufentanil mass</x:v>
      </x:c>
      <x:c r="AH148" t="str">
        <x:v>No</x:v>
      </x:c>
      <x:c r="AI148" t="str">
        <x:v>Reservoir contains 2 µg/kg sufentanil in 100 mL; group body weight is unavailable, so solution volume cannot be converted to group mean opioid mass</x:v>
      </x:c>
      <x:c r="AJ148" t="str">
        <x:v>Table 7 / Figure 9</x:v>
      </x:c>
      <x:c r="AK148" t="str">
        <x:v>https://drive.google.com/file/d/1LDqtQLq9-kZLP0Vv_G3iiK8QKjy4pRXP/view?usp=drivesdk</x:v>
      </x:c>
      <x:c r="AL148" t="str">
        <x:v>SOURCE-VERIFIED / DOSE NOT RECONSTRUCTABLE</x:v>
      </x:c>
    </x:row>
    <x:row r="149">
      <x:c r="A149" t="str">
        <x:v>Long 2025</x:v>
      </x:c>
      <x:c r="B149" t="str">
        <x:v>LONG25_TEAS_vs_CTRL_PCIAPRESS48</x:v>
      </x:c>
      <x:c r="C149" t="str">
        <x:v>Perioperative electrical acupoint stimulation</x:v>
      </x:c>
      <x:c r="D149" t="str">
        <x:v>Electrodes/no current</x:v>
      </x:c>
      <x:c r="E149" t="str">
        <x:v>Opioid demand</x:v>
      </x:c>
      <x:c r="F149" t="str">
        <x:v>PCIA compression count</x:v>
      </x:c>
      <x:c r="G149" t="str">
        <x:v>48 h</x:v>
      </x:c>
      <x:c r="H149" t="str">
        <x:v>Mean/SD</x:v>
      </x:c>
      <x:c r="I149" t="n">
        <x:v>30</x:v>
      </x:c>
      <x:c r="J149" t="n">
        <x:v>30</x:v>
      </x:c>
      <x:c r="K149" t="n">
        <x:v>27</x:v>
      </x:c>
      <x:c r="L149" t="n">
        <x:v>26</x:v>
      </x:c>
      <x:c r="M149" t="n">
        <x:v>7.11</x:v>
      </x:c>
      <x:c r="N149" t="n">
        <x:v>2.14</x:v>
      </x:c>
      <x:c r="O149"/>
      <x:c r="P149"/>
      <x:c r="Q149"/>
      <x:c r="R149"/>
      <x:c r="S149" t="n">
        <x:v>8.62</x:v>
      </x:c>
      <x:c r="T149" t="n">
        <x:v>1.84</x:v>
      </x:c>
      <x:c r="U149"/>
      <x:c r="V149"/>
      <x:c r="W149"/>
      <x:c r="X149"/>
      <x:c r="Y149" t="str">
        <x:v>presses</x:v>
      </x:c>
      <x:c r="Z149" t="str">
        <x:v>0.008</x:v>
      </x:c>
      <x:c r="AA149" t="str">
        <x:v>Yes</x:v>
      </x:c>
      <x:c r="AB149" t="str">
        <x:v>No</x:v>
      </x:c>
      <x:c r="AC149" t="str">
        <x:f>IF(H149="Mean/SD","MD",IF(H149="Events/total","RR",""))</x:f>
        <x:v>MD</x:v>
      </x:c>
      <x:c r="AD149" t="n">
        <x:f>IF(H149="Mean/SD",M149-S149,IF(H149="Events/total",IFERROR((R149/K149)/(X149/L149),""),""))</x:f>
        <x:v>-1.509999999999999</x:v>
      </x:c>
      <x:c r="AE149" t="str">
        <x:v>No</x:v>
      </x:c>
      <x:c r="AF149" t="str">
        <x:v>No</x:v>
      </x:c>
      <x:c r="AG149" t="str">
        <x:v>Eligible as 48-h PCA-demand outcome only</x:v>
      </x:c>
      <x:c r="AH149" t="str">
        <x:v>No</x:v>
      </x:c>
      <x:c r="AI149" t="str">
        <x:v>Do not translate compression count into delivered sufentanil mass</x:v>
      </x:c>
      <x:c r="AJ149" t="str">
        <x:v>Table 7 / Figure 9</x:v>
      </x:c>
      <x:c r="AK149" t="str">
        <x:v>https://drive.google.com/file/d/1LDqtQLq9-kZLP0Vv_G3iiK8QKjy4pRXP/view?usp=drivesdk</x:v>
      </x:c>
      <x:c r="AL149" t="str">
        <x:v>SOURCE-VERIFIED</x:v>
      </x:c>
    </x:row>
    <x:row r="150">
      <x:c r="A150" t="str">
        <x:v>Long 2025</x:v>
      </x:c>
      <x:c r="B150" t="str">
        <x:v>LONG25_TEAS_vs_CTRL_PONV</x:v>
      </x:c>
      <x:c r="C150" t="str">
        <x:v>Perioperative electrical acupoint stimulation</x:v>
      </x:c>
      <x:c r="D150" t="str">
        <x:v>Electrodes/no current</x:v>
      </x:c>
      <x:c r="E150" t="str">
        <x:v>PONV</x:v>
      </x:c>
      <x:c r="F150" t="str">
        <x:v>PONV incidence</x:v>
      </x:c>
      <x:c r="G150" t="str">
        <x:v>Postoperative</x:v>
      </x:c>
      <x:c r="H150" t="str">
        <x:v>Events/total</x:v>
      </x:c>
      <x:c r="I150" t="n">
        <x:v>30</x:v>
      </x:c>
      <x:c r="J150" t="n">
        <x:v>30</x:v>
      </x:c>
      <x:c r="K150" t="n">
        <x:v>27</x:v>
      </x:c>
      <x:c r="L150" t="n">
        <x:v>26</x:v>
      </x:c>
      <x:c r="M150"/>
      <x:c r="N150"/>
      <x:c r="O150"/>
      <x:c r="P150"/>
      <x:c r="Q150"/>
      <x:c r="R150" t="n">
        <x:v>1</x:v>
      </x:c>
      <x:c r="S150"/>
      <x:c r="T150"/>
      <x:c r="U150"/>
      <x:c r="V150"/>
      <x:c r="W150"/>
      <x:c r="X150" t="n">
        <x:v>8</x:v>
      </x:c>
      <x:c r="Y150" t="str">
        <x:v>participants</x:v>
      </x:c>
      <x:c r="Z150" t="str">
        <x:v>NR</x:v>
      </x:c>
      <x:c r="AA150" t="str">
        <x:v>Yes</x:v>
      </x:c>
      <x:c r="AB150" t="str">
        <x:v>No</x:v>
      </x:c>
      <x:c r="AC150" t="str">
        <x:f>IF(H150="Mean/SD","MD",IF(H150="Events/total","RR",""))</x:f>
        <x:v>RR</x:v>
      </x:c>
      <x:c r="AD150" t="n">
        <x:f>IF(H150="Mean/SD",M150-S150,IF(H150="Events/total",IFERROR((R150/K150)/(X150/L150),""),""))</x:f>
        <x:v>0.12037037037037036</x:v>
      </x:c>
      <x:c r="AE150" t="str">
        <x:v>No</x:v>
      </x:c>
      <x:c r="AF150" t="str">
        <x:v>No</x:v>
      </x:c>
      <x:c r="AG150" t="str">
        <x:v>Eligible for dichotomous PONV analysis using final analyzed denominators</x:v>
      </x:c>
      <x:c r="AH150" t="str">
        <x:v>No</x:v>
      </x:c>
      <x:c r="AI150" t="str">
        <x:v>Adverse-event percentages elsewhere are internally inconsistent; raw 1/27 vs 8/26 is retained</x:v>
      </x:c>
      <x:c r="AJ150" t="str">
        <x:v>Adverse events / PONV</x:v>
      </x:c>
      <x:c r="AK150" t="str">
        <x:v>https://drive.google.com/file/d/1LDqtQLq9-kZLP0Vv_G3iiK8QKjy4pRXP/view?usp=drivesdk</x:v>
      </x:c>
      <x:c r="AL150" t="str">
        <x:v>SOURCE-VERIFIED / PERCENTAGE QC</x:v>
      </x:c>
    </x:row>
    <x:row r="151">
      <x:c r="A151" t="str">
        <x:v>Long 2025</x:v>
      </x:c>
      <x:c r="B151" t="str">
        <x:v>LONG25_TEAS_vs_CTRL_OPIOID24</x:v>
      </x:c>
      <x:c r="C151" t="str">
        <x:v>Perioperative electrical acupoint stimulation</x:v>
      </x:c>
      <x:c r="D151" t="str">
        <x:v>Electrodes/no current</x:v>
      </x:c>
      <x:c r="E151" t="str">
        <x:v>Opioid consumption</x:v>
      </x:c>
      <x:c r="F151" t="str">
        <x:v>Exact cumulative postoperative sufentanil consumption</x:v>
      </x:c>
      <x:c r="G151" t="str">
        <x:v>0-24 h</x:v>
      </x:c>
      <x:c r="H151" t="str">
        <x:v>Not reported</x:v>
      </x:c>
      <x:c r="I151" t="n">
        <x:v>30</x:v>
      </x:c>
      <x:c r="J151" t="n">
        <x:v>30</x:v>
      </x:c>
      <x:c r="K151" t="n">
        <x:v>27</x:v>
      </x:c>
      <x:c r="L151" t="n">
        <x:v>26</x:v>
      </x:c>
      <x:c r="M151"/>
      <x:c r="N151"/>
      <x:c r="O151"/>
      <x:c r="P151"/>
      <x:c r="Q151"/>
      <x:c r="R151"/>
      <x:c r="S151"/>
      <x:c r="T151"/>
      <x:c r="U151"/>
      <x:c r="V151"/>
      <x:c r="W151"/>
      <x:c r="X151"/>
      <x:c r="Y151" t="str">
        <x:v>µg sufentanil</x:v>
      </x:c>
      <x:c r="Z151" t="str"/>
      <x:c r="AA151" t="str">
        <x:v>No</x:v>
      </x:c>
      <x:c r="AB151" t="str">
        <x:v>No</x:v>
      </x:c>
      <x:c r="AC151" t="str">
        <x:f>IF(H151="Mean/SD","MD",IF(H151="Events/total","RR",""))</x:f>
      </x:c>
      <x:c r="AD151" t="str">
        <x:f>IF(H151="Mean/SD",M151-S151,IF(H151="Events/total",IFERROR((R151/K151)/(X151/L151),""),""))</x:f>
      </x:c>
      <x:c r="AE151" t="str">
        <x:v>No</x:v>
      </x:c>
      <x:c r="AF151" t="str">
        <x:v>No</x:v>
      </x:c>
      <x:c r="AG151" t="str">
        <x:v>Not eligible for continuous 24-h opioid/MME meta-analysis</x:v>
      </x:c>
      <x:c r="AH151" t="str">
        <x:v>No</x:v>
      </x:c>
      <x:c r="AI151" t="str">
        <x:v>24-h PCIA volume/compressions are not reported; even 48-h volume cannot be converted exactly to sufentanil mass without body weight</x:v>
      </x:c>
      <x:c r="AJ151" t="str">
        <x:v>Exact 24-h opioid endpoint absent</x:v>
      </x:c>
      <x:c r="AK151" t="str">
        <x:v>https://drive.google.com/file/d/1LDqtQLq9-kZLP0Vv_G3iiK8QKjy4pRXP/view?usp=drivesdk</x:v>
      </x:c>
      <x:c r="AL151" t="str">
        <x:v>MISSING / AUTHOR DATA NEEDED</x:v>
      </x:c>
    </x:row>
    <x:row r="152">
      <x:c r="A152" t="str">
        <x:v>Li 2021</x:v>
      </x:c>
      <x:c r="B152" t="str">
        <x:v>LI21_TEAS_vs_SHAM_BOWEL</x:v>
      </x:c>
      <x:c r="C152" t="str">
        <x:v>Perioperative TEAS</x:v>
      </x:c>
      <x:c r="D152" t="str">
        <x:v>Sham-point/no current</x:v>
      </x:c>
      <x:c r="E152" t="str">
        <x:v>GI recovery</x:v>
      </x:c>
      <x:c r="F152" t="str">
        <x:v>Time to first bowel motion by auscultation</x:v>
      </x:c>
      <x:c r="G152" t="str">
        <x:v>Postoperative</x:v>
      </x:c>
      <x:c r="H152" t="str">
        <x:v>Median/IQR</x:v>
      </x:c>
      <x:c r="I152" t="n">
        <x:v>154</x:v>
      </x:c>
      <x:c r="J152" t="n">
        <x:v>152</x:v>
      </x:c>
      <x:c r="K152" t="n">
        <x:v>140</x:v>
      </x:c>
      <x:c r="L152" t="n">
        <x:v>140</x:v>
      </x:c>
      <x:c r="M152"/>
      <x:c r="N152"/>
      <x:c r="O152" t="n">
        <x:v>31</x:v>
      </x:c>
      <x:c r="P152" t="n">
        <x:v>18.8</x:v>
      </x:c>
      <x:c r="Q152" t="n">
        <x:v>45.3</x:v>
      </x:c>
      <x:c r="R152"/>
      <x:c r="S152"/>
      <x:c r="T152"/>
      <x:c r="U152" t="n">
        <x:v>42</x:v>
      </x:c>
      <x:c r="V152" t="n">
        <x:v>22.1</x:v>
      </x:c>
      <x:c r="W152" t="n">
        <x:v>52.4</x:v>
      </x:c>
      <x:c r="X152"/>
      <x:c r="Y152" t="str">
        <x:v>hours</x:v>
      </x:c>
      <x:c r="Z152" t="str">
        <x:v>&lt;0.01</x:v>
      </x:c>
      <x:c r="AA152" t="str">
        <x:v>Yes</x:v>
      </x:c>
      <x:c r="AB152" t="str">
        <x:v>No</x:v>
      </x:c>
      <x:c r="AC152" t="str">
        <x:f>IF(H152="Mean/SD","MD",IF(H152="Events/total","RR",""))</x:f>
      </x:c>
      <x:c r="AD152" t="str">
        <x:f>IF(H152="Mean/SD",M152-S152,IF(H152="Events/total",IFERROR((R152/K152)/(X152/L152),""),""))</x:f>
      </x:c>
      <x:c r="AE152" t="str">
        <x:v>No</x:v>
      </x:c>
      <x:c r="AF152" t="str">
        <x:v>No</x:v>
      </x:c>
      <x:c r="AG152" t="str">
        <x:v>Eligible for GI-recovery meta-analysis using median/IQR methods</x:v>
      </x:c>
      <x:c r="AH152" t="str">
        <x:v>No</x:v>
      </x:c>
      <x:c r="AI152" t="str">
        <x:v>26/306 randomized patients excluded in per-protocol analysis; exclusions include ICU transfer and operation cancellation</x:v>
      </x:c>
      <x:c r="AJ152" t="str">
        <x:v>Primary outcome / first bowel motion</x:v>
      </x:c>
      <x:c r="AK152" t="str">
        <x:v>https://drive.google.com/file/d/1NvcLlsb17N6EMhtHs_L_WBnf40wsrtRz/view?usp=drivesdk</x:v>
      </x:c>
      <x:c r="AL152" t="str">
        <x:v>SOURCE-VERIFIED / ATTRITION QC</x:v>
      </x:c>
    </x:row>
    <x:row r="153">
      <x:c r="A153" t="str">
        <x:v>Li 2021</x:v>
      </x:c>
      <x:c r="B153" t="str">
        <x:v>LI21_TEAS_vs_SHAM_FLATUS</x:v>
      </x:c>
      <x:c r="C153" t="str">
        <x:v>Perioperative TEAS</x:v>
      </x:c>
      <x:c r="D153" t="str">
        <x:v>Sham-point/no current</x:v>
      </x:c>
      <x:c r="E153" t="str">
        <x:v>GI recovery</x:v>
      </x:c>
      <x:c r="F153" t="str">
        <x:v>Time to first flatus</x:v>
      </x:c>
      <x:c r="G153" t="str">
        <x:v>Postoperative</x:v>
      </x:c>
      <x:c r="H153" t="str">
        <x:v>Median/IQR</x:v>
      </x:c>
      <x:c r="I153" t="n">
        <x:v>154</x:v>
      </x:c>
      <x:c r="J153" t="n">
        <x:v>152</x:v>
      </x:c>
      <x:c r="K153" t="n">
        <x:v>140</x:v>
      </x:c>
      <x:c r="L153" t="n">
        <x:v>140</x:v>
      </x:c>
      <x:c r="M153"/>
      <x:c r="N153"/>
      <x:c r="O153" t="n">
        <x:v>44</x:v>
      </x:c>
      <x:c r="P153" t="n">
        <x:v>26.5</x:v>
      </x:c>
      <x:c r="Q153" t="n">
        <x:v>63.9</x:v>
      </x:c>
      <x:c r="R153"/>
      <x:c r="S153"/>
      <x:c r="T153"/>
      <x:c r="U153" t="n">
        <x:v>64</x:v>
      </x:c>
      <x:c r="V153" t="n">
        <x:v>30</x:v>
      </x:c>
      <x:c r="W153" t="n">
        <x:v>70.6</x:v>
      </x:c>
      <x:c r="X153"/>
      <x:c r="Y153" t="str">
        <x:v>hours</x:v>
      </x:c>
      <x:c r="Z153" t="str">
        <x:v>&lt;0.01</x:v>
      </x:c>
      <x:c r="AA153" t="str">
        <x:v>Yes</x:v>
      </x:c>
      <x:c r="AB153" t="str">
        <x:v>No</x:v>
      </x:c>
      <x:c r="AC153" t="str">
        <x:f>IF(H153="Mean/SD","MD",IF(H153="Events/total","RR",""))</x:f>
      </x:c>
      <x:c r="AD153" t="str">
        <x:f>IF(H153="Mean/SD",M153-S153,IF(H153="Events/total",IFERROR((R153/K153)/(X153/L153),""),""))</x:f>
      </x:c>
      <x:c r="AE153" t="str">
        <x:v>No</x:v>
      </x:c>
      <x:c r="AF153" t="str">
        <x:v>No</x:v>
      </x:c>
      <x:c r="AG153" t="str">
        <x:v>Eligible for GI-recovery meta-analysis using median/IQR methods</x:v>
      </x:c>
      <x:c r="AH153" t="str">
        <x:v>No</x:v>
      </x:c>
      <x:c r="AI153" t="str">
        <x:v>Use PP analyzed denominators explicitly; do not fabricate mean/SD</x:v>
      </x:c>
      <x:c r="AJ153" t="str">
        <x:v>First-flatus result</x:v>
      </x:c>
      <x:c r="AK153" t="str">
        <x:v>https://drive.google.com/file/d/1NvcLlsb17N6EMhtHs_L_WBnf40wsrtRz/view?usp=drivesdk</x:v>
      </x:c>
      <x:c r="AL153" t="str">
        <x:v>SOURCE-VERIFIED / ATTRITION QC</x:v>
      </x:c>
    </x:row>
    <x:row r="154">
      <x:c r="A154" t="str">
        <x:v>Li 2021</x:v>
      </x:c>
      <x:c r="B154" t="str">
        <x:v>LI21_TEAS_vs_SHAM_PGD</x:v>
      </x:c>
      <x:c r="C154" t="str">
        <x:v>Perioperative TEAS</x:v>
      </x:c>
      <x:c r="D154" t="str">
        <x:v>Sham-point/no current</x:v>
      </x:c>
      <x:c r="E154" t="str">
        <x:v>GI recovery</x:v>
      </x:c>
      <x:c r="F154" t="str">
        <x:v>Postoperative gastrointestinal dysfunction: no bowel sounds &gt;48 h</x:v>
      </x:c>
      <x:c r="G154" t="str">
        <x:v>Postoperative</x:v>
      </x:c>
      <x:c r="H154" t="str">
        <x:v>Events/total</x:v>
      </x:c>
      <x:c r="I154" t="n">
        <x:v>154</x:v>
      </x:c>
      <x:c r="J154" t="n">
        <x:v>152</x:v>
      </x:c>
      <x:c r="K154" t="n">
        <x:v>140</x:v>
      </x:c>
      <x:c r="L154" t="n">
        <x:v>140</x:v>
      </x:c>
      <x:c r="M154"/>
      <x:c r="N154"/>
      <x:c r="O154"/>
      <x:c r="P154"/>
      <x:c r="Q154"/>
      <x:c r="R154" t="n">
        <x:v>26</x:v>
      </x:c>
      <x:c r="S154"/>
      <x:c r="T154"/>
      <x:c r="U154"/>
      <x:c r="V154"/>
      <x:c r="W154"/>
      <x:c r="X154" t="n">
        <x:v>44</x:v>
      </x:c>
      <x:c r="Y154" t="str">
        <x:v>participants</x:v>
      </x:c>
      <x:c r="Z154" t="str">
        <x:v>NR</x:v>
      </x:c>
      <x:c r="AA154" t="str">
        <x:v>Yes</x:v>
      </x:c>
      <x:c r="AB154" t="str">
        <x:v>No</x:v>
      </x:c>
      <x:c r="AC154" t="str">
        <x:f>IF(H154="Mean/SD","MD",IF(H154="Events/total","RR",""))</x:f>
        <x:v>RR</x:v>
      </x:c>
      <x:c r="AD154" t="n">
        <x:f>IF(H154="Mean/SD",M154-S154,IF(H154="Events/total",IFERROR((R154/K154)/(X154/L154),""),""))</x:f>
        <x:v>0.5909090909090909</x:v>
      </x:c>
      <x:c r="AE154" t="str">
        <x:v>No</x:v>
      </x:c>
      <x:c r="AF154" t="str">
        <x:v>No</x:v>
      </x:c>
      <x:c r="AG154" t="str">
        <x:v>Eligible for dichotomous PGD analysis</x:v>
      </x:c>
      <x:c r="AH154" t="str">
        <x:v>No</x:v>
      </x:c>
      <x:c r="AI154" t="str">
        <x:v>Study-specific PGD definition; majority of events were in colorectal stratum</x:v>
      </x:c>
      <x:c r="AJ154" t="str">
        <x:v>PGD incidence</x:v>
      </x:c>
      <x:c r="AK154" t="str">
        <x:v>https://drive.google.com/file/d/1NvcLlsb17N6EMhtHs_L_WBnf40wsrtRz/view?usp=drivesdk</x:v>
      </x:c>
      <x:c r="AL154" t="str">
        <x:v>SOURCE-VERIFIED</x:v>
      </x:c>
    </x:row>
    <x:row r="155">
      <x:c r="A155" t="str">
        <x:v>Li 2021</x:v>
      </x:c>
      <x:c r="B155" t="str">
        <x:v>LI21_TEAS_vs_SHAM_PAIN6</x:v>
      </x:c>
      <x:c r="C155" t="str">
        <x:v>Perioperative TEAS</x:v>
      </x:c>
      <x:c r="D155" t="str">
        <x:v>Sham-point/no current</x:v>
      </x:c>
      <x:c r="E155" t="str">
        <x:v>Pain</x:v>
      </x:c>
      <x:c r="F155" t="str">
        <x:v>VAS ≥4</x:v>
      </x:c>
      <x:c r="G155" t="str">
        <x:v>6 h</x:v>
      </x:c>
      <x:c r="H155" t="str">
        <x:v>Events/total</x:v>
      </x:c>
      <x:c r="I155" t="n">
        <x:v>154</x:v>
      </x:c>
      <x:c r="J155" t="n">
        <x:v>152</x:v>
      </x:c>
      <x:c r="K155" t="n">
        <x:v>140</x:v>
      </x:c>
      <x:c r="L155" t="n">
        <x:v>140</x:v>
      </x:c>
      <x:c r="M155"/>
      <x:c r="N155"/>
      <x:c r="O155"/>
      <x:c r="P155"/>
      <x:c r="Q155"/>
      <x:c r="R155" t="n">
        <x:v>30</x:v>
      </x:c>
      <x:c r="S155"/>
      <x:c r="T155"/>
      <x:c r="U155"/>
      <x:c r="V155"/>
      <x:c r="W155"/>
      <x:c r="X155" t="n">
        <x:v>50</x:v>
      </x:c>
      <x:c r="Y155" t="str">
        <x:v>participants</x:v>
      </x:c>
      <x:c r="Z155" t="str">
        <x:v>0.008</x:v>
      </x:c>
      <x:c r="AA155" t="str">
        <x:v>Yes</x:v>
      </x:c>
      <x:c r="AB155" t="str">
        <x:v>No</x:v>
      </x:c>
      <x:c r="AC155" t="str">
        <x:f>IF(H155="Mean/SD","MD",IF(H155="Events/total","RR",""))</x:f>
        <x:v>RR</x:v>
      </x:c>
      <x:c r="AD155" t="n">
        <x:f>IF(H155="Mean/SD",M155-S155,IF(H155="Events/total",IFERROR((R155/K155)/(X155/L155),""),""))</x:f>
        <x:v>0.6</x:v>
      </x:c>
      <x:c r="AE155" t="str">
        <x:v>No</x:v>
      </x:c>
      <x:c r="AF155" t="str">
        <x:v>No</x:v>
      </x:c>
      <x:c r="AG155" t="str">
        <x:v>Eligible for dichotomous 6-h significant-pain analysis</x:v>
      </x:c>
      <x:c r="AH155" t="str">
        <x:v>No</x:v>
      </x:c>
      <x:c r="AI155" t="str">
        <x:v>Pain is reported as binary VAS ≥4 rather than continuous score</x:v>
      </x:c>
      <x:c r="AJ155" t="str">
        <x:v>Postoperative pain table / 6 h</x:v>
      </x:c>
      <x:c r="AK155" t="str">
        <x:v>https://drive.google.com/file/d/1NvcLlsb17N6EMhtHs_L_WBnf40wsrtRz/view?usp=drivesdk</x:v>
      </x:c>
      <x:c r="AL155" t="str">
        <x:v>SOURCE-VERIFIED</x:v>
      </x:c>
    </x:row>
    <x:row r="156">
      <x:c r="A156" t="str">
        <x:v>Li 2021</x:v>
      </x:c>
      <x:c r="B156" t="str">
        <x:v>LI21_TEAS_vs_SHAM_OPIOID24</x:v>
      </x:c>
      <x:c r="C156" t="str">
        <x:v>Perioperative TEAS</x:v>
      </x:c>
      <x:c r="D156" t="str">
        <x:v>Sham-point/no current</x:v>
      </x:c>
      <x:c r="E156" t="str">
        <x:v>Opioid consumption</x:v>
      </x:c>
      <x:c r="F156" t="str">
        <x:v>Cumulative postoperative sufentanil consumption</x:v>
      </x:c>
      <x:c r="G156" t="str">
        <x:v>0-24 h</x:v>
      </x:c>
      <x:c r="H156" t="str">
        <x:v>Not reported</x:v>
      </x:c>
      <x:c r="I156" t="n">
        <x:v>154</x:v>
      </x:c>
      <x:c r="J156" t="n">
        <x:v>152</x:v>
      </x:c>
      <x:c r="K156" t="n">
        <x:v>140</x:v>
      </x:c>
      <x:c r="L156" t="n">
        <x:v>140</x:v>
      </x:c>
      <x:c r="M156"/>
      <x:c r="N156"/>
      <x:c r="O156"/>
      <x:c r="P156"/>
      <x:c r="Q156"/>
      <x:c r="R156"/>
      <x:c r="S156"/>
      <x:c r="T156"/>
      <x:c r="U156"/>
      <x:c r="V156"/>
      <x:c r="W156"/>
      <x:c r="X156"/>
      <x:c r="Y156" t="str">
        <x:v>published pump formulation says 250 mg sufentanil/250 mL</x:v>
      </x:c>
      <x:c r="Z156" t="str"/>
      <x:c r="AA156" t="str">
        <x:v>No</x:v>
      </x:c>
      <x:c r="AB156" t="str">
        <x:v>No</x:v>
      </x:c>
      <x:c r="AC156" t="str">
        <x:f>IF(H156="Mean/SD","MD",IF(H156="Events/total","RR",""))</x:f>
      </x:c>
      <x:c r="AD156" t="str">
        <x:f>IF(H156="Mean/SD",M156-S156,IF(H156="Events/total",IFERROR((R156/K156)/(X156/L156),""),""))</x:f>
      </x:c>
      <x:c r="AE156" t="str">
        <x:v>No</x:v>
      </x:c>
      <x:c r="AF156" t="str">
        <x:v>No</x:v>
      </x:c>
      <x:c r="AG156" t="str">
        <x:v>Not eligible for continuous 24-h opioid/MME meta-analysis</x:v>
      </x:c>
      <x:c r="AH156" t="str">
        <x:v>No</x:v>
      </x:c>
      <x:c r="AI156" t="str">
        <x:v>Printed pump unit is clinically implausible, programming is missing, and actual 24-h delivered dose is not reported; do not silently change mg to µg</x:v>
      </x:c>
      <x:c r="AJ156" t="str">
        <x:v>Postoperative analgesia pump / exact 24-h endpoint absent</x:v>
      </x:c>
      <x:c r="AK156" t="str">
        <x:v>https://drive.google.com/file/d/1NvcLlsb17N6EMhtHs_L_WBnf40wsrtRz/view?usp=drivesdk</x:v>
      </x:c>
      <x:c r="AL156" t="str">
        <x:v>MISSING / UNIT + DOSE UNRESOLVED</x:v>
      </x:c>
    </x:row>
    <x:row r="157">
      <x:c r="A157" t="str">
        <x:v>Liu 2026 (ESD)</x:v>
      </x:c>
      <x:c r="B157" t="str">
        <x:v>LIU26ESD_TEAS_vs_SHAM_MODPAIN24</x:v>
      </x:c>
      <x:c r="C157" t="str">
        <x:v>Perioperative TEAS</x:v>
      </x:c>
      <x:c r="D157" t="str">
        <x:v>Sham-point/no current</x:v>
      </x:c>
      <x:c r="E157" t="str">
        <x:v>Pain</x:v>
      </x:c>
      <x:c r="F157" t="str">
        <x:v>Moderate-to-severe pain (NRS ≥4)</x:v>
      </x:c>
      <x:c r="G157" t="str">
        <x:v>Within 24 h</x:v>
      </x:c>
      <x:c r="H157" t="str">
        <x:v>Events/total</x:v>
      </x:c>
      <x:c r="I157" t="n">
        <x:v>64</x:v>
      </x:c>
      <x:c r="J157" t="n">
        <x:v>65</x:v>
      </x:c>
      <x:c r="K157" t="n">
        <x:v>58</x:v>
      </x:c>
      <x:c r="L157" t="n">
        <x:v>62</x:v>
      </x:c>
      <x:c r="M157"/>
      <x:c r="N157"/>
      <x:c r="O157"/>
      <x:c r="P157"/>
      <x:c r="Q157"/>
      <x:c r="R157" t="n">
        <x:v>22</x:v>
      </x:c>
      <x:c r="S157"/>
      <x:c r="T157"/>
      <x:c r="U157"/>
      <x:c r="V157"/>
      <x:c r="W157"/>
      <x:c r="X157" t="n">
        <x:v>40</x:v>
      </x:c>
      <x:c r="Y157" t="str">
        <x:v>participants</x:v>
      </x:c>
      <x:c r="Z157" t="str">
        <x:v>0.004</x:v>
      </x:c>
      <x:c r="AA157" t="str">
        <x:v>Yes</x:v>
      </x:c>
      <x:c r="AB157" t="str">
        <x:v>No</x:v>
      </x:c>
      <x:c r="AC157" t="str">
        <x:f>IF(H157="Mean/SD","MD",IF(H157="Events/total","RR",""))</x:f>
        <x:v>RR</x:v>
      </x:c>
      <x:c r="AD157" t="n">
        <x:f>IF(H157="Mean/SD",M157-S157,IF(H157="Events/total",IFERROR((R157/K157)/(X157/L157),""),""))</x:f>
        <x:v>0.5879310344827586</x:v>
      </x:c>
      <x:c r="AE157" t="str">
        <x:v>No</x:v>
      </x:c>
      <x:c r="AF157" t="str">
        <x:v>No</x:v>
      </x:c>
      <x:c r="AG157" t="str">
        <x:v>Eligible for dichotomous 24-h moderate-to-severe pain analysis</x:v>
      </x:c>
      <x:c r="AH157" t="str">
        <x:v>No</x:v>
      </x:c>
      <x:c r="AI157" t="str">
        <x:v>9/129 randomized participants excluded after randomization, including postoperative bleeding and conversion to laparotomy; no ITT sensitivity analysis</x:v>
      </x:c>
      <x:c r="AJ157" t="str">
        <x:v>Primary outcome / NRS ≥4 within 24 h</x:v>
      </x:c>
      <x:c r="AK157" t="str">
        <x:v>https://drive.google.com/file/d/1Hp7pCBP8iXkGGYVhlFY0BHTeaaM7bhdY/view?usp=drivesdk</x:v>
      </x:c>
      <x:c r="AL157" t="str">
        <x:v>SOURCE-VERIFIED / ATTRITION QC</x:v>
      </x:c>
    </x:row>
    <x:row r="158">
      <x:c r="A158" t="str">
        <x:v>Liu 2026 (ESD)</x:v>
      </x:c>
      <x:c r="B158" t="str">
        <x:v>LIU26ESD_TEAS_vs_SHAM_NRS24</x:v>
      </x:c>
      <x:c r="C158" t="str">
        <x:v>Perioperative TEAS</x:v>
      </x:c>
      <x:c r="D158" t="str">
        <x:v>Sham-point/no current</x:v>
      </x:c>
      <x:c r="E158" t="str">
        <x:v>Pain</x:v>
      </x:c>
      <x:c r="F158" t="str">
        <x:v>NRS pain intensity</x:v>
      </x:c>
      <x:c r="G158" t="str">
        <x:v>24 h</x:v>
      </x:c>
      <x:c r="H158" t="str">
        <x:v>Mean/SD</x:v>
      </x:c>
      <x:c r="I158" t="n">
        <x:v>64</x:v>
      </x:c>
      <x:c r="J158" t="n">
        <x:v>65</x:v>
      </x:c>
      <x:c r="K158" t="n">
        <x:v>58</x:v>
      </x:c>
      <x:c r="L158" t="n">
        <x:v>62</x:v>
      </x:c>
      <x:c r="M158" t="n">
        <x:v>1.2</x:v>
      </x:c>
      <x:c r="N158" t="n">
        <x:v>1.3</x:v>
      </x:c>
      <x:c r="O158"/>
      <x:c r="P158"/>
      <x:c r="Q158"/>
      <x:c r="R158"/>
      <x:c r="S158" t="n">
        <x:v>2.8</x:v>
      </x:c>
      <x:c r="T158" t="n">
        <x:v>1.9</x:v>
      </x:c>
      <x:c r="U158"/>
      <x:c r="V158"/>
      <x:c r="W158"/>
      <x:c r="X158"/>
      <x:c r="Y158" t="str">
        <x:v>NRS 0-10</x:v>
      </x:c>
      <x:c r="Z158" t="str">
        <x:v>0.001</x:v>
      </x:c>
      <x:c r="AA158" t="str">
        <x:v>Yes</x:v>
      </x:c>
      <x:c r="AB158" t="str">
        <x:v>No</x:v>
      </x:c>
      <x:c r="AC158" t="str">
        <x:f>IF(H158="Mean/SD","MD",IF(H158="Events/total","RR",""))</x:f>
        <x:v>MD</x:v>
      </x:c>
      <x:c r="AD158" t="n">
        <x:f>IF(H158="Mean/SD",M158-S158,IF(H158="Events/total",IFERROR((R158/K158)/(X158/L158),""),""))</x:f>
        <x:v>-1.5999999999999999</x:v>
      </x:c>
      <x:c r="AE158" t="str">
        <x:v>No</x:v>
      </x:c>
      <x:c r="AF158" t="str">
        <x:v>No</x:v>
      </x:c>
      <x:c r="AG158" t="str">
        <x:v>Eligible for 24-h pain meta-analysis</x:v>
      </x:c>
      <x:c r="AH158" t="str">
        <x:v>No</x:v>
      </x:c>
      <x:c r="AI158" t="str">
        <x:v>Active TEAS at maximum tolerated intensity vs sham no current; sensory blinding success was not tested</x:v>
      </x:c>
      <x:c r="AJ158" t="str">
        <x:v>Serial NRS results / 24 h</x:v>
      </x:c>
      <x:c r="AK158" t="str">
        <x:v>https://drive.google.com/file/d/1Hp7pCBP8iXkGGYVhlFY0BHTeaaM7bhdY/view?usp=drivesdk</x:v>
      </x:c>
      <x:c r="AL158" t="str">
        <x:v>SOURCE-VERIFIED</x:v>
      </x:c>
    </x:row>
    <x:row r="159">
      <x:c r="A159" t="str">
        <x:v>Liu 2026 (ESD)</x:v>
      </x:c>
      <x:c r="B159" t="str">
        <x:v>LIU26ESD_TEAS_vs_SHAM_ANYMORPH</x:v>
      </x:c>
      <x:c r="C159" t="str">
        <x:v>Perioperative TEAS</x:v>
      </x:c>
      <x:c r="D159" t="str">
        <x:v>Sham-point/no current</x:v>
      </x:c>
      <x:c r="E159" t="str">
        <x:v>Rescue opioid use</x:v>
      </x:c>
      <x:c r="F159" t="str">
        <x:v>Any rescue IV morphine use</x:v>
      </x:c>
      <x:c r="G159" t="str">
        <x:v>Through 48 h</x:v>
      </x:c>
      <x:c r="H159" t="str">
        <x:v>Events/total</x:v>
      </x:c>
      <x:c r="I159" t="n">
        <x:v>64</x:v>
      </x:c>
      <x:c r="J159" t="n">
        <x:v>65</x:v>
      </x:c>
      <x:c r="K159" t="n">
        <x:v>58</x:v>
      </x:c>
      <x:c r="L159" t="n">
        <x:v>62</x:v>
      </x:c>
      <x:c r="M159"/>
      <x:c r="N159"/>
      <x:c r="O159"/>
      <x:c r="P159"/>
      <x:c r="Q159"/>
      <x:c r="R159" t="n">
        <x:v>19</x:v>
      </x:c>
      <x:c r="S159"/>
      <x:c r="T159"/>
      <x:c r="U159"/>
      <x:c r="V159"/>
      <x:c r="W159"/>
      <x:c r="X159" t="n">
        <x:v>40</x:v>
      </x:c>
      <x:c r="Y159" t="str">
        <x:v>participants</x:v>
      </x:c>
      <x:c r="Z159" t="str">
        <x:v>&lt;0.001</x:v>
      </x:c>
      <x:c r="AA159" t="str">
        <x:v>Yes</x:v>
      </x:c>
      <x:c r="AB159" t="str">
        <x:v>No</x:v>
      </x:c>
      <x:c r="AC159" t="str">
        <x:f>IF(H159="Mean/SD","MD",IF(H159="Events/total","RR",""))</x:f>
        <x:v>RR</x:v>
      </x:c>
      <x:c r="AD159" t="n">
        <x:f>IF(H159="Mean/SD",M159-S159,IF(H159="Events/total",IFERROR((R159/K159)/(X159/L159),""),""))</x:f>
        <x:v>0.5077586206896552</x:v>
      </x:c>
      <x:c r="AE159" t="str">
        <x:v>No</x:v>
      </x:c>
      <x:c r="AF159" t="str">
        <x:v>No</x:v>
      </x:c>
      <x:c r="AG159" t="str">
        <x:v>Eligible for binary rescue-opioid-use analysis</x:v>
      </x:c>
      <x:c r="AH159" t="str">
        <x:v>No</x:v>
      </x:c>
      <x:c r="AI159" t="str">
        <x:v>Morphine was 1 mg IV per administration, but number of administrations and cumulative dose per patient are not reported</x:v>
      </x:c>
      <x:c r="AJ159" t="str">
        <x:v>Postoperative rescue analgesia</x:v>
      </x:c>
      <x:c r="AK159" t="str">
        <x:v>https://drive.google.com/file/d/1Hp7pCBP8iXkGGYVhlFY0BHTeaaM7bhdY/view?usp=drivesdk</x:v>
      </x:c>
      <x:c r="AL159" t="str">
        <x:v>SOURCE-VERIFIED</x:v>
      </x:c>
    </x:row>
    <x:row r="160">
      <x:c r="A160" t="str">
        <x:v>Liu 2026 (ESD)</x:v>
      </x:c>
      <x:c r="B160" t="str">
        <x:v>LIU26ESD_TEAS_vs_SHAM_PONV</x:v>
      </x:c>
      <x:c r="C160" t="str">
        <x:v>Perioperative TEAS</x:v>
      </x:c>
      <x:c r="D160" t="str">
        <x:v>Sham-point/no current</x:v>
      </x:c>
      <x:c r="E160" t="str">
        <x:v>PONV</x:v>
      </x:c>
      <x:c r="F160" t="str">
        <x:v>PONV incidence</x:v>
      </x:c>
      <x:c r="G160" t="str">
        <x:v>Postoperative follow-up</x:v>
      </x:c>
      <x:c r="H160" t="str">
        <x:v>Events/total</x:v>
      </x:c>
      <x:c r="I160" t="n">
        <x:v>64</x:v>
      </x:c>
      <x:c r="J160" t="n">
        <x:v>65</x:v>
      </x:c>
      <x:c r="K160" t="n">
        <x:v>58</x:v>
      </x:c>
      <x:c r="L160" t="n">
        <x:v>62</x:v>
      </x:c>
      <x:c r="M160"/>
      <x:c r="N160"/>
      <x:c r="O160"/>
      <x:c r="P160"/>
      <x:c r="Q160"/>
      <x:c r="R160" t="n">
        <x:v>4</x:v>
      </x:c>
      <x:c r="S160"/>
      <x:c r="T160"/>
      <x:c r="U160"/>
      <x:c r="V160"/>
      <x:c r="W160"/>
      <x:c r="X160" t="n">
        <x:v>14</x:v>
      </x:c>
      <x:c r="Y160" t="str">
        <x:v>participants</x:v>
      </x:c>
      <x:c r="Z160" t="str">
        <x:v>Published P/RR internally inconsistent</x:v>
      </x:c>
      <x:c r="AA160" t="str">
        <x:v>Yes</x:v>
      </x:c>
      <x:c r="AB160" t="str">
        <x:v>No</x:v>
      </x:c>
      <x:c r="AC160" t="str">
        <x:f>IF(H160="Mean/SD","MD",IF(H160="Events/total","RR",""))</x:f>
        <x:v>RR</x:v>
      </x:c>
      <x:c r="AD160" t="n">
        <x:f>IF(H160="Mean/SD",M160-S160,IF(H160="Events/total",IFERROR((R160/K160)/(X160/L160),""),""))</x:f>
        <x:v>0.3054187192118227</x:v>
      </x:c>
      <x:c r="AE160" t="str">
        <x:v>No</x:v>
      </x:c>
      <x:c r="AF160" t="str">
        <x:v>No</x:v>
      </x:c>
      <x:c r="AG160" t="str">
        <x:v>Eligible using raw event counts with source-statistic QC</x:v>
      </x:c>
      <x:c r="AH160" t="str">
        <x:v>No</x:v>
      </x:c>
      <x:c r="AI160" t="str">
        <x:v>Published RR/P-value for PONV are internally inconsistent; use raw 4/58 vs 14/62</x:v>
      </x:c>
      <x:c r="AJ160" t="str">
        <x:v>Postoperative complication table</x:v>
      </x:c>
      <x:c r="AK160" t="str">
        <x:v>https://drive.google.com/file/d/1Hp7pCBP8iXkGGYVhlFY0BHTeaaM7bhdY/view?usp=drivesdk</x:v>
      </x:c>
      <x:c r="AL160" t="str">
        <x:v>SOURCE-VERIFIED / PUBLISHED EFFECT QC</x:v>
      </x:c>
    </x:row>
    <x:row r="161">
      <x:c r="A161" t="str">
        <x:v>Liu 2026 (ESD)</x:v>
      </x:c>
      <x:c r="B161" t="str">
        <x:v>LIU26ESD_TEAS_vs_SHAM_MORPH24</x:v>
      </x:c>
      <x:c r="C161" t="str">
        <x:v>Perioperative TEAS</x:v>
      </x:c>
      <x:c r="D161" t="str">
        <x:v>Sham-point/no current</x:v>
      </x:c>
      <x:c r="E161" t="str">
        <x:v>Opioid consumption</x:v>
      </x:c>
      <x:c r="F161" t="str">
        <x:v>Cumulative postoperative morphine consumption</x:v>
      </x:c>
      <x:c r="G161" t="str">
        <x:v>0-24 h</x:v>
      </x:c>
      <x:c r="H161" t="str">
        <x:v>Not reported</x:v>
      </x:c>
      <x:c r="I161" t="n">
        <x:v>64</x:v>
      </x:c>
      <x:c r="J161" t="n">
        <x:v>65</x:v>
      </x:c>
      <x:c r="K161" t="n">
        <x:v>58</x:v>
      </x:c>
      <x:c r="L161" t="n">
        <x:v>62</x:v>
      </x:c>
      <x:c r="M161"/>
      <x:c r="N161"/>
      <x:c r="O161"/>
      <x:c r="P161"/>
      <x:c r="Q161"/>
      <x:c r="R161"/>
      <x:c r="S161"/>
      <x:c r="T161"/>
      <x:c r="U161"/>
      <x:c r="V161"/>
      <x:c r="W161"/>
      <x:c r="X161"/>
      <x:c r="Y161" t="str">
        <x:v>mg IV morphine</x:v>
      </x:c>
      <x:c r="Z161" t="str"/>
      <x:c r="AA161" t="str">
        <x:v>No</x:v>
      </x:c>
      <x:c r="AB161" t="str">
        <x:v>No</x:v>
      </x:c>
      <x:c r="AC161" t="str">
        <x:f>IF(H161="Mean/SD","MD",IF(H161="Events/total","RR",""))</x:f>
      </x:c>
      <x:c r="AD161" t="str">
        <x:f>IF(H161="Mean/SD",M161-S161,IF(H161="Events/total",IFERROR((R161/K161)/(X161/L161),""),""))</x:f>
      </x:c>
      <x:c r="AE161" t="str">
        <x:v>No</x:v>
      </x:c>
      <x:c r="AF161" t="str">
        <x:v>No</x:v>
      </x:c>
      <x:c r="AG161" t="str">
        <x:v>Not eligible for continuous 24-h morphine/MME meta-analysis without author data</x:v>
      </x:c>
      <x:c r="AH161" t="str">
        <x:v>No</x:v>
      </x:c>
      <x:c r="AI161" t="str">
        <x:v>Binary morphine use is reported, but administration counts and cumulative dose are not</x:v>
      </x:c>
      <x:c r="AJ161" t="str">
        <x:v>Exact 24-h opioid dose absent</x:v>
      </x:c>
      <x:c r="AK161" t="str">
        <x:v>https://drive.google.com/file/d/1Hp7pCBP8iXkGGYVhlFY0BHTeaaM7bhdY/view?usp=drivesdk</x:v>
      </x:c>
      <x:c r="AL161" t="str">
        <x:v>MISSING / AUTHOR DATA NEEDED</x:v>
      </x:c>
    </x:row>
    <x:row r="162">
      <x:c r="A162" t="str">
        <x:v>Liu 2021</x:v>
      </x:c>
      <x:c r="B162" t="str">
        <x:v>LIU21_TEAS_vs_CTRL_POCD1</x:v>
      </x:c>
      <x:c r="C162" t="str">
        <x:v>Perioperative TEAS</x:v>
      </x:c>
      <x:c r="D162" t="str">
        <x:v>Electrodes/no current</x:v>
      </x:c>
      <x:c r="E162" t="str">
        <x:v>Neurocognitive</x:v>
      </x:c>
      <x:c r="F162" t="str">
        <x:v>Postoperative cognitive decline (MMSE Z-score ≤ -2)</x:v>
      </x:c>
      <x:c r="G162" t="str">
        <x:v>POD1</x:v>
      </x:c>
      <x:c r="H162" t="str">
        <x:v>Events/total</x:v>
      </x:c>
      <x:c r="I162" t="n">
        <x:v>50</x:v>
      </x:c>
      <x:c r="J162" t="n">
        <x:v>50</x:v>
      </x:c>
      <x:c r="K162" t="n">
        <x:v>50</x:v>
      </x:c>
      <x:c r="L162" t="n">
        <x:v>50</x:v>
      </x:c>
      <x:c r="M162"/>
      <x:c r="N162"/>
      <x:c r="O162"/>
      <x:c r="P162"/>
      <x:c r="Q162"/>
      <x:c r="R162" t="n">
        <x:v>5</x:v>
      </x:c>
      <x:c r="S162"/>
      <x:c r="T162"/>
      <x:c r="U162"/>
      <x:c r="V162"/>
      <x:c r="W162"/>
      <x:c r="X162" t="n">
        <x:v>11</x:v>
      </x:c>
      <x:c r="Y162" t="str">
        <x:v>participants</x:v>
      </x:c>
      <x:c r="Z162" t="str">
        <x:v>0.102</x:v>
      </x:c>
      <x:c r="AA162" t="str">
        <x:v>Yes</x:v>
      </x:c>
      <x:c r="AB162" t="str">
        <x:v>No</x:v>
      </x:c>
      <x:c r="AC162" t="str">
        <x:f>IF(H162="Mean/SD","MD",IF(H162="Events/total","RR",""))</x:f>
        <x:v>RR</x:v>
      </x:c>
      <x:c r="AD162" t="n">
        <x:f>IF(H162="Mean/SD",M162-S162,IF(H162="Events/total",IFERROR((R162/K162)/(X162/L162),""),""))</x:f>
        <x:v>0.4545454545454546</x:v>
      </x:c>
      <x:c r="AE162" t="str">
        <x:v>No</x:v>
      </x:c>
      <x:c r="AF162" t="str">
        <x:v>No</x:v>
      </x:c>
      <x:c r="AG162" t="str">
        <x:v>Eligible for dichotomous POD1 POCD analysis</x:v>
      </x:c>
      <x:c r="AH162" t="str">
        <x:v>No</x:v>
      </x:c>
      <x:c r="AI162" t="str">
        <x:v>Control prose prints 11 cases as 25%, but 11/50 = 22%; preserve count as authoritative</x:v>
      </x:c>
      <x:c r="AJ162" t="str">
        <x:v>POCD incidence table / POD1</x:v>
      </x:c>
      <x:c r="AK162" t="str">
        <x:v>https://drive.google.com/file/d/1TA4BstaUWY3EdQbDNEvvGxF35ekGanrm/view?usp=drivesdk</x:v>
      </x:c>
      <x:c r="AL162" t="str">
        <x:v>SOURCE-VERIFIED / PERCENTAGE QC</x:v>
      </x:c>
    </x:row>
    <x:row r="163">
      <x:c r="A163" t="str">
        <x:v>Liu 2021</x:v>
      </x:c>
      <x:c r="B163" t="str">
        <x:v>LIU21_TEAS_vs_CTRL_VASREST24</x:v>
      </x:c>
      <x:c r="C163" t="str">
        <x:v>Perioperative TEAS</x:v>
      </x:c>
      <x:c r="D163" t="str">
        <x:v>Electrodes/no current</x:v>
      </x:c>
      <x:c r="E163" t="str">
        <x:v>Pain</x:v>
      </x:c>
      <x:c r="F163" t="str">
        <x:v>VAS at rest</x:v>
      </x:c>
      <x:c r="G163" t="str">
        <x:v>24 h</x:v>
      </x:c>
      <x:c r="H163" t="str">
        <x:v>Mean/SD</x:v>
      </x:c>
      <x:c r="I163" t="n">
        <x:v>50</x:v>
      </x:c>
      <x:c r="J163" t="n">
        <x:v>50</x:v>
      </x:c>
      <x:c r="K163" t="n">
        <x:v>50</x:v>
      </x:c>
      <x:c r="L163" t="n">
        <x:v>50</x:v>
      </x:c>
      <x:c r="M163" t="n">
        <x:v>2.52</x:v>
      </x:c>
      <x:c r="N163" t="n">
        <x:v>0.505</x:v>
      </x:c>
      <x:c r="O163"/>
      <x:c r="P163"/>
      <x:c r="Q163"/>
      <x:c r="R163"/>
      <x:c r="S163" t="n">
        <x:v>2.66</x:v>
      </x:c>
      <x:c r="T163" t="n">
        <x:v>0.626</x:v>
      </x:c>
      <x:c r="U163"/>
      <x:c r="V163"/>
      <x:c r="W163"/>
      <x:c r="X163"/>
      <x:c r="Y163" t="str">
        <x:v>VAS</x:v>
      </x:c>
      <x:c r="Z163" t="str">
        <x:v>0.221</x:v>
      </x:c>
      <x:c r="AA163" t="str">
        <x:v>Yes</x:v>
      </x:c>
      <x:c r="AB163" t="str">
        <x:v>No</x:v>
      </x:c>
      <x:c r="AC163" t="str">
        <x:f>IF(H163="Mean/SD","MD",IF(H163="Events/total","RR",""))</x:f>
        <x:v>MD</x:v>
      </x:c>
      <x:c r="AD163" t="n">
        <x:f>IF(H163="Mean/SD",M163-S163,IF(H163="Events/total",IFERROR((R163/K163)/(X163/L163),""),""))</x:f>
        <x:v>-0.14000000000000012</x:v>
      </x:c>
      <x:c r="AE163" t="str">
        <x:v>No</x:v>
      </x:c>
      <x:c r="AF163" t="str">
        <x:v>No</x:v>
      </x:c>
      <x:c r="AG163" t="str">
        <x:v>Eligible for 24-h rest-pain analysis</x:v>
      </x:c>
      <x:c r="AH163" t="str">
        <x:v>No</x:v>
      </x:c>
      <x:c r="AI163" t="str">
        <x:v>Participant blinding is unclear because active stimulation was maximum tolerated and control received no current</x:v>
      </x:c>
      <x:c r="AJ163" t="str">
        <x:v>Table 2 / 24-h rest VAS</x:v>
      </x:c>
      <x:c r="AK163" t="str">
        <x:v>https://drive.google.com/file/d/1TA4BstaUWY3EdQbDNEvvGxF35ekGanrm/view?usp=drivesdk</x:v>
      </x:c>
      <x:c r="AL163" t="str">
        <x:v>SOURCE-VERIFIED</x:v>
      </x:c>
    </x:row>
    <x:row r="164">
      <x:c r="A164" t="str">
        <x:v>Liu 2021</x:v>
      </x:c>
      <x:c r="B164" t="str">
        <x:v>LIU21_TEAS_vs_CTRL_VASCOUGH24</x:v>
      </x:c>
      <x:c r="C164" t="str">
        <x:v>Perioperative TEAS</x:v>
      </x:c>
      <x:c r="D164" t="str">
        <x:v>Electrodes/no current</x:v>
      </x:c>
      <x:c r="E164" t="str">
        <x:v>Pain</x:v>
      </x:c>
      <x:c r="F164" t="str">
        <x:v>VAS with coughing</x:v>
      </x:c>
      <x:c r="G164" t="str">
        <x:v>24 h</x:v>
      </x:c>
      <x:c r="H164" t="str">
        <x:v>Mean/SD</x:v>
      </x:c>
      <x:c r="I164" t="n">
        <x:v>50</x:v>
      </x:c>
      <x:c r="J164" t="n">
        <x:v>50</x:v>
      </x:c>
      <x:c r="K164" t="n">
        <x:v>50</x:v>
      </x:c>
      <x:c r="L164" t="n">
        <x:v>50</x:v>
      </x:c>
      <x:c r="M164" t="n">
        <x:v>3.2</x:v>
      </x:c>
      <x:c r="N164" t="n">
        <x:v>0.571</x:v>
      </x:c>
      <x:c r="O164"/>
      <x:c r="P164"/>
      <x:c r="Q164"/>
      <x:c r="R164"/>
      <x:c r="S164" t="n">
        <x:v>3.16</x:v>
      </x:c>
      <x:c r="T164" t="n">
        <x:v>0.681</x:v>
      </x:c>
      <x:c r="U164"/>
      <x:c r="V164"/>
      <x:c r="W164"/>
      <x:c r="X164"/>
      <x:c r="Y164" t="str">
        <x:v>VAS</x:v>
      </x:c>
      <x:c r="Z164" t="str">
        <x:v>0.751</x:v>
      </x:c>
      <x:c r="AA164" t="str">
        <x:v>Yes</x:v>
      </x:c>
      <x:c r="AB164" t="str">
        <x:v>No</x:v>
      </x:c>
      <x:c r="AC164" t="str">
        <x:f>IF(H164="Mean/SD","MD",IF(H164="Events/total","RR",""))</x:f>
        <x:v>MD</x:v>
      </x:c>
      <x:c r="AD164" t="n">
        <x:f>IF(H164="Mean/SD",M164-S164,IF(H164="Events/total",IFERROR((R164/K164)/(X164/L164),""),""))</x:f>
        <x:v>0.040000000000000036</x:v>
      </x:c>
      <x:c r="AE164" t="str">
        <x:v>No</x:v>
      </x:c>
      <x:c r="AF164" t="str">
        <x:v>No</x:v>
      </x:c>
      <x:c r="AG164" t="str">
        <x:v>Eligible for 24-h movement/evoked-pain analysis</x:v>
      </x:c>
      <x:c r="AH164" t="str">
        <x:v>No</x:v>
      </x:c>
      <x:c r="AI164" t="str">
        <x:v>No evidence of analgesic benefit at 24 h</x:v>
      </x:c>
      <x:c r="AJ164" t="str">
        <x:v>Table 2 / 24-h coughing VAS</x:v>
      </x:c>
      <x:c r="AK164" t="str">
        <x:v>https://drive.google.com/file/d/1TA4BstaUWY3EdQbDNEvvGxF35ekGanrm/view?usp=drivesdk</x:v>
      </x:c>
      <x:c r="AL164" t="str">
        <x:v>SOURCE-VERIFIED</x:v>
      </x:c>
    </x:row>
    <x:row r="165">
      <x:c r="A165" t="str">
        <x:v>Liu 2021</x:v>
      </x:c>
      <x:c r="B165" t="str">
        <x:v>LIU21_TEAS_vs_CTRL_PCAPRESS24</x:v>
      </x:c>
      <x:c r="C165" t="str">
        <x:v>Perioperative TEAS</x:v>
      </x:c>
      <x:c r="D165" t="str">
        <x:v>Electrodes/no current</x:v>
      </x:c>
      <x:c r="E165" t="str">
        <x:v>Opioid demand</x:v>
      </x:c>
      <x:c r="F165" t="str">
        <x:v>PCA pump compressions</x:v>
      </x:c>
      <x:c r="G165" t="str">
        <x:v>0-24 h</x:v>
      </x:c>
      <x:c r="H165" t="str">
        <x:v>Mean/SD</x:v>
      </x:c>
      <x:c r="I165" t="n">
        <x:v>50</x:v>
      </x:c>
      <x:c r="J165" t="n">
        <x:v>50</x:v>
      </x:c>
      <x:c r="K165" t="n">
        <x:v>50</x:v>
      </x:c>
      <x:c r="L165" t="n">
        <x:v>50</x:v>
      </x:c>
      <x:c r="M165" t="n">
        <x:v>17.62</x:v>
      </x:c>
      <x:c r="N165" t="n">
        <x:v>2.687</x:v>
      </x:c>
      <x:c r="O165"/>
      <x:c r="P165"/>
      <x:c r="Q165"/>
      <x:c r="R165"/>
      <x:c r="S165" t="n">
        <x:v>17.38</x:v>
      </x:c>
      <x:c r="T165" t="n">
        <x:v>3.801</x:v>
      </x:c>
      <x:c r="U165"/>
      <x:c r="V165"/>
      <x:c r="W165"/>
      <x:c r="X165"/>
      <x:c r="Y165" t="str">
        <x:v>presses</x:v>
      </x:c>
      <x:c r="Z165" t="str">
        <x:v>0.716</x:v>
      </x:c>
      <x:c r="AA165" t="str">
        <x:v>Yes</x:v>
      </x:c>
      <x:c r="AB165" t="str">
        <x:v>No</x:v>
      </x:c>
      <x:c r="AC165" t="str">
        <x:f>IF(H165="Mean/SD","MD",IF(H165="Events/total","RR",""))</x:f>
        <x:v>MD</x:v>
      </x:c>
      <x:c r="AD165" t="n">
        <x:f>IF(H165="Mean/SD",M165-S165,IF(H165="Events/total",IFERROR((R165/K165)/(X165/L165),""),""))</x:f>
        <x:v>0.240000000000002</x:v>
      </x:c>
      <x:c r="AE165" t="str">
        <x:v>No</x:v>
      </x:c>
      <x:c r="AF165" t="str">
        <x:v>No</x:v>
      </x:c>
      <x:c r="AG165" t="str">
        <x:v>Eligible as 24-h PCA-demand outcome only</x:v>
      </x:c>
      <x:c r="AH165" t="str">
        <x:v>No</x:v>
      </x:c>
      <x:c r="AI165" t="str">
        <x:v>Compressions may represent demands rather than successful boluses; do not convert to sufentanil mass</x:v>
      </x:c>
      <x:c r="AJ165" t="str">
        <x:v>24-h PCA compression result</x:v>
      </x:c>
      <x:c r="AK165" t="str">
        <x:v>https://drive.google.com/file/d/1TA4BstaUWY3EdQbDNEvvGxF35ekGanrm/view?usp=drivesdk</x:v>
      </x:c>
      <x:c r="AL165" t="str">
        <x:v>SOURCE-VERIFIED / DOSE NOT RECONSTRUCTABLE</x:v>
      </x:c>
    </x:row>
    <x:row r="166">
      <x:c r="A166" t="str">
        <x:v>Liu 2021</x:v>
      </x:c>
      <x:c r="B166" t="str">
        <x:v>LIU21_TEAS_vs_CTRL_OPIOID24</x:v>
      </x:c>
      <x:c r="C166" t="str">
        <x:v>Perioperative TEAS</x:v>
      </x:c>
      <x:c r="D166" t="str">
        <x:v>Electrodes/no current</x:v>
      </x:c>
      <x:c r="E166" t="str">
        <x:v>Opioid consumption</x:v>
      </x:c>
      <x:c r="F166" t="str">
        <x:v>Cumulative postoperative sufentanil consumption</x:v>
      </x:c>
      <x:c r="G166" t="str">
        <x:v>0-24 h</x:v>
      </x:c>
      <x:c r="H166" t="str">
        <x:v>Not calculable</x:v>
      </x:c>
      <x:c r="I166" t="n">
        <x:v>50</x:v>
      </x:c>
      <x:c r="J166" t="n">
        <x:v>50</x:v>
      </x:c>
      <x:c r="K166" t="n">
        <x:v>50</x:v>
      </x:c>
      <x:c r="L166" t="n">
        <x:v>50</x:v>
      </x:c>
      <x:c r="M166"/>
      <x:c r="N166"/>
      <x:c r="O166"/>
      <x:c r="P166"/>
      <x:c r="Q166"/>
      <x:c r="R166"/>
      <x:c r="S166"/>
      <x:c r="T166"/>
      <x:c r="U166"/>
      <x:c r="V166"/>
      <x:c r="W166"/>
      <x:c r="X166"/>
      <x:c r="Y166" t="str">
        <x:v>published formulation 0.15 µg/kg in 100 mL</x:v>
      </x:c>
      <x:c r="Z166" t="str"/>
      <x:c r="AA166" t="str">
        <x:v>No</x:v>
      </x:c>
      <x:c r="AB166" t="str">
        <x:v>No</x:v>
      </x:c>
      <x:c r="AC166" t="str">
        <x:f>IF(H166="Mean/SD","MD",IF(H166="Events/total","RR",""))</x:f>
      </x:c>
      <x:c r="AD166" t="str">
        <x:f>IF(H166="Mean/SD",M166-S166,IF(H166="Events/total",IFERROR((R166/K166)/(X166/L166),""),""))</x:f>
      </x:c>
      <x:c r="AE166" t="str">
        <x:v>No</x:v>
      </x:c>
      <x:c r="AF166" t="str">
        <x:v>No</x:v>
      </x:c>
      <x:c r="AG166" t="str">
        <x:v>Not eligible for continuous 24-h opioid/MME meta-analysis</x:v>
      </x:c>
      <x:c r="AH166" t="str">
        <x:v>No</x:v>
      </x:c>
      <x:c r="AI166" t="str">
        <x:v>Published PCA formulation is ambiguous/implausibly low, successful delivered boluses are not reported, and actual cumulative sufentanil is unavailable</x:v>
      </x:c>
      <x:c r="AJ166" t="str">
        <x:v>Postoperative PCIA section</x:v>
      </x:c>
      <x:c r="AK166" t="str">
        <x:v>https://drive.google.com/file/d/1TA4BstaUWY3EdQbDNEvvGxF35ekGanrm/view?usp=drivesdk</x:v>
      </x:c>
      <x:c r="AL166" t="str">
        <x:v>MISSING / FORMULATION + DELIVERY UNRESOLVED</x:v>
      </x:c>
    </x:row>
    <x:row r="167">
      <x:c r="A167" t="str">
        <x:v>Liu 2026 (burn)</x:v>
      </x:c>
      <x:c r="B167" t="str">
        <x:v>LIU26BURN_TEAS_vs_SHAM_REMI</x:v>
      </x:c>
      <x:c r="C167" t="str">
        <x:v>Pre-induction TEAS</x:v>
      </x:c>
      <x:c r="D167" t="str">
        <x:v>Placebo/sham TEAS</x:v>
      </x:c>
      <x:c r="E167" t="str">
        <x:v>Intraoperative opioid</x:v>
      </x:c>
      <x:c r="F167" t="str">
        <x:v>Remifentanil consumption</x:v>
      </x:c>
      <x:c r="G167" t="str">
        <x:v>Intraoperative</x:v>
      </x:c>
      <x:c r="H167" t="str">
        <x:v>Median/IQR</x:v>
      </x:c>
      <x:c r="I167" t="n">
        <x:v>44</x:v>
      </x:c>
      <x:c r="J167" t="n">
        <x:v>44</x:v>
      </x:c>
      <x:c r="K167" t="n">
        <x:v>43</x:v>
      </x:c>
      <x:c r="L167" t="n">
        <x:v>43</x:v>
      </x:c>
      <x:c r="M167"/>
      <x:c r="N167"/>
      <x:c r="O167" t="n">
        <x:v>0.7</x:v>
      </x:c>
      <x:c r="P167" t="n">
        <x:v>0.5</x:v>
      </x:c>
      <x:c r="Q167" t="n">
        <x:v>1.1</x:v>
      </x:c>
      <x:c r="R167"/>
      <x:c r="S167"/>
      <x:c r="T167"/>
      <x:c r="U167" t="n">
        <x:v>0.9</x:v>
      </x:c>
      <x:c r="V167" t="n">
        <x:v>0.65</x:v>
      </x:c>
      <x:c r="W167" t="n">
        <x:v>1.25</x:v>
      </x:c>
      <x:c r="X167"/>
      <x:c r="Y167" t="str">
        <x:v>mg remifentanil</x:v>
      </x:c>
      <x:c r="Z167" t="str">
        <x:v>0.039</x:v>
      </x:c>
      <x:c r="AA167" t="str">
        <x:v>Yes</x:v>
      </x:c>
      <x:c r="AB167" t="str">
        <x:v>No</x:v>
      </x:c>
      <x:c r="AC167" t="str">
        <x:f>IF(H167="Mean/SD","MD",IF(H167="Events/total","RR",""))</x:f>
      </x:c>
      <x:c r="AD167" t="str">
        <x:f>IF(H167="Mean/SD",M167-S167,IF(H167="Events/total",IFERROR((R167/K167)/(X167/L167),""),""))</x:f>
      </x:c>
      <x:c r="AE167" t="str">
        <x:v>No</x:v>
      </x:c>
      <x:c r="AF167" t="str">
        <x:v>No</x:v>
      </x:c>
      <x:c r="AG167" t="str">
        <x:v>Eligible for intraoperative opioid-sparing analysis using median/IQR methods</x:v>
      </x:c>
      <x:c r="AH167" t="str">
        <x:v>No</x:v>
      </x:c>
      <x:c r="AI167" t="str">
        <x:v>Abstract gives TEAS 0.65 (0.45-1.00) and control 0.90 (0.67-1.23); master uses Results/Figure 4 values and retains source discrepancy</x:v>
      </x:c>
      <x:c r="AJ167" t="str">
        <x:v>Results / Figure 4</x:v>
      </x:c>
      <x:c r="AK167" t="str">
        <x:v>https://drive.google.com/file/d/1mvekGtHD2JAKCRbIXrvLw1Nz7hbQ1dZ3/view?usp=drivesdk</x:v>
      </x:c>
      <x:c r="AL167" t="str">
        <x:v>SOURCE-VERIFIED / ABSTRACT VALUE QC</x:v>
      </x:c>
    </x:row>
    <x:row r="168">
      <x:c r="A168" t="str">
        <x:v>Liu 2026 (burn)</x:v>
      </x:c>
      <x:c r="B168" t="str">
        <x:v>LIU26BURN_TEAS_vs_SHAM_PONV24</x:v>
      </x:c>
      <x:c r="C168" t="str">
        <x:v>Pre-induction TEAS</x:v>
      </x:c>
      <x:c r="D168" t="str">
        <x:v>Placebo/sham TEAS</x:v>
      </x:c>
      <x:c r="E168" t="str">
        <x:v>PONV</x:v>
      </x:c>
      <x:c r="F168" t="str">
        <x:v>Nausea-vomiting</x:v>
      </x:c>
      <x:c r="G168" t="str">
        <x:v>Through POD1 / approximately 24 h</x:v>
      </x:c>
      <x:c r="H168" t="str">
        <x:v>Events/total</x:v>
      </x:c>
      <x:c r="I168" t="n">
        <x:v>44</x:v>
      </x:c>
      <x:c r="J168" t="n">
        <x:v>44</x:v>
      </x:c>
      <x:c r="K168" t="n">
        <x:v>43</x:v>
      </x:c>
      <x:c r="L168" t="n">
        <x:v>43</x:v>
      </x:c>
      <x:c r="M168"/>
      <x:c r="N168"/>
      <x:c r="O168"/>
      <x:c r="P168"/>
      <x:c r="Q168"/>
      <x:c r="R168" t="n">
        <x:v>7</x:v>
      </x:c>
      <x:c r="S168"/>
      <x:c r="T168"/>
      <x:c r="U168"/>
      <x:c r="V168"/>
      <x:c r="W168"/>
      <x:c r="X168" t="n">
        <x:v>16</x:v>
      </x:c>
      <x:c r="Y168" t="str">
        <x:v>participants</x:v>
      </x:c>
      <x:c r="Z168" t="str">
        <x:v>Published P=0.011 vs 0.028 conflict</x:v>
      </x:c>
      <x:c r="AA168" t="str">
        <x:v>Yes</x:v>
      </x:c>
      <x:c r="AB168" t="str">
        <x:v>No</x:v>
      </x:c>
      <x:c r="AC168" t="str">
        <x:f>IF(H168="Mean/SD","MD",IF(H168="Events/total","RR",""))</x:f>
        <x:v>RR</x:v>
      </x:c>
      <x:c r="AD168" t="n">
        <x:f>IF(H168="Mean/SD",M168-S168,IF(H168="Events/total",IFERROR((R168/K168)/(X168/L168),""),""))</x:f>
        <x:v>0.43750000000000006</x:v>
      </x:c>
      <x:c r="AE168" t="str">
        <x:v>No</x:v>
      </x:c>
      <x:c r="AF168" t="str">
        <x:v>No</x:v>
      </x:c>
      <x:c r="AG168" t="str">
        <x:v>Eligible using raw 7/43 vs 16/43 event counts with P-value QC</x:v>
      </x:c>
      <x:c r="AH168" t="str">
        <x:v>No</x:v>
      </x:c>
      <x:c r="AI168" t="str">
        <x:v>Two different P-values are printed for the same result</x:v>
      </x:c>
      <x:c r="AJ168" t="str">
        <x:v>Secondary postoperative outcomes</x:v>
      </x:c>
      <x:c r="AK168" t="str">
        <x:v>https://drive.google.com/file/d/1mvekGtHD2JAKCRbIXrvLw1Nz7hbQ1dZ3/view?usp=drivesdk</x:v>
      </x:c>
      <x:c r="AL168" t="str">
        <x:v>SOURCE-VERIFIED / P-VALUE CONFLICT</x:v>
      </x:c>
    </x:row>
    <x:row r="169">
      <x:c r="A169" t="str">
        <x:v>Liu 2026 (burn)</x:v>
      </x:c>
      <x:c r="B169" t="str">
        <x:v>LIU26BURN_TEAS_vs_SHAM_RESCUE</x:v>
      </x:c>
      <x:c r="C169" t="str">
        <x:v>Pre-induction TEAS</x:v>
      </x:c>
      <x:c r="D169" t="str">
        <x:v>Placebo/sham TEAS</x:v>
      </x:c>
      <x:c r="E169" t="str">
        <x:v>Rescue opioid use</x:v>
      </x:c>
      <x:c r="F169" t="str">
        <x:v>Any rescue dezocine use</x:v>
      </x:c>
      <x:c r="G169" t="str">
        <x:v>Through POD1</x:v>
      </x:c>
      <x:c r="H169" t="str">
        <x:v>Events/total</x:v>
      </x:c>
      <x:c r="I169" t="n">
        <x:v>44</x:v>
      </x:c>
      <x:c r="J169" t="n">
        <x:v>44</x:v>
      </x:c>
      <x:c r="K169" t="n">
        <x:v>43</x:v>
      </x:c>
      <x:c r="L169" t="n">
        <x:v>43</x:v>
      </x:c>
      <x:c r="M169"/>
      <x:c r="N169"/>
      <x:c r="O169"/>
      <x:c r="P169"/>
      <x:c r="Q169"/>
      <x:c r="R169" t="n">
        <x:v>3</x:v>
      </x:c>
      <x:c r="S169"/>
      <x:c r="T169"/>
      <x:c r="U169"/>
      <x:c r="V169"/>
      <x:c r="W169"/>
      <x:c r="X169" t="n">
        <x:v>8</x:v>
      </x:c>
      <x:c r="Y169" t="str">
        <x:v>participants</x:v>
      </x:c>
      <x:c r="Z169" t="str">
        <x:v>Table P=0.106; prose P=0.430</x:v>
      </x:c>
      <x:c r="AA169" t="str">
        <x:v>Yes</x:v>
      </x:c>
      <x:c r="AB169" t="str">
        <x:v>No</x:v>
      </x:c>
      <x:c r="AC169" t="str">
        <x:f>IF(H169="Mean/SD","MD",IF(H169="Events/total","RR",""))</x:f>
        <x:v>RR</x:v>
      </x:c>
      <x:c r="AD169" t="n">
        <x:f>IF(H169="Mean/SD",M169-S169,IF(H169="Events/total",IFERROR((R169/K169)/(X169/L169),""),""))</x:f>
        <x:v>0.375</x:v>
      </x:c>
      <x:c r="AE169" t="str">
        <x:v>No</x:v>
      </x:c>
      <x:c r="AF169" t="str">
        <x:v>No</x:v>
      </x:c>
      <x:c r="AG169" t="str">
        <x:v>Eligible for binary rescue-opioid-use analysis with source-statistic QC</x:v>
      </x:c>
      <x:c r="AH169" t="str">
        <x:v>No</x:v>
      </x:c>
      <x:c r="AI169" t="str">
        <x:v>All rescue users received one 5-mg IM dezocine dose; no repeat rescue doses were required</x:v>
      </x:c>
      <x:c r="AJ169" t="str">
        <x:v>Rescue analgesia</x:v>
      </x:c>
      <x:c r="AK169" t="str">
        <x:v>https://drive.google.com/file/d/1mvekGtHD2JAKCRbIXrvLw1Nz7hbQ1dZ3/view?usp=drivesdk</x:v>
      </x:c>
      <x:c r="AL169" t="str">
        <x:v>SOURCE-VERIFIED / P-VALUE CONFLICT</x:v>
      </x:c>
    </x:row>
    <x:row r="170">
      <x:c r="A170" t="str">
        <x:v>Liu 2026 (burn)</x:v>
      </x:c>
      <x:c r="B170" t="str">
        <x:v>LIU26BURN_TEAS_vs_SHAM_FVAS24</x:v>
      </x:c>
      <x:c r="C170" t="str">
        <x:v>Pre-induction TEAS</x:v>
      </x:c>
      <x:c r="D170" t="str">
        <x:v>Placebo/sham TEAS</x:v>
      </x:c>
      <x:c r="E170" t="str">
        <x:v>Pain</x:v>
      </x:c>
      <x:c r="F170" t="str">
        <x:v>Resting F-VAS pain</x:v>
      </x:c>
      <x:c r="G170" t="str">
        <x:v>24 h</x:v>
      </x:c>
      <x:c r="H170" t="str">
        <x:v>Graph-only continuous data</x:v>
      </x:c>
      <x:c r="I170" t="n">
        <x:v>44</x:v>
      </x:c>
      <x:c r="J170" t="n">
        <x:v>44</x:v>
      </x:c>
      <x:c r="K170" t="n">
        <x:v>43</x:v>
      </x:c>
      <x:c r="L170" t="n">
        <x:v>43</x:v>
      </x:c>
      <x:c r="M170"/>
      <x:c r="N170"/>
      <x:c r="O170"/>
      <x:c r="P170"/>
      <x:c r="Q170"/>
      <x:c r="R170"/>
      <x:c r="S170"/>
      <x:c r="T170"/>
      <x:c r="U170"/>
      <x:c r="V170"/>
      <x:c r="W170"/>
      <x:c r="X170"/>
      <x:c r="Y170" t="str">
        <x:v>F-VAS 0-100 mm</x:v>
      </x:c>
      <x:c r="Z170" t="str">
        <x:v>0.039</x:v>
      </x:c>
      <x:c r="AA170" t="str">
        <x:v>No</x:v>
      </x:c>
      <x:c r="AB170" t="str">
        <x:v>No</x:v>
      </x:c>
      <x:c r="AC170" t="str">
        <x:f>IF(H170="Mean/SD","MD",IF(H170="Events/total","RR",""))</x:f>
      </x:c>
      <x:c r="AD170" t="str">
        <x:f>IF(H170="Mean/SD",M170-S170,IF(H170="Events/total",IFERROR((R170/K170)/(X170/L170),""),""))</x:f>
      </x:c>
      <x:c r="AE170" t="str">
        <x:v>No</x:v>
      </x:c>
      <x:c r="AF170" t="str">
        <x:v>No</x:v>
      </x:c>
      <x:c r="AG170" t="str">
        <x:v>Not ready for continuous pain meta-analysis without formal graph digitization or author data</x:v>
      </x:c>
      <x:c r="AH170" t="str">
        <x:v>No</x:v>
      </x:c>
      <x:c r="AI170" t="str">
        <x:v>Exact means/SDs are figure-only; do not infer numeric values from bar heights</x:v>
      </x:c>
      <x:c r="AJ170" t="str">
        <x:v>Figure 5 / F3 24 h</x:v>
      </x:c>
      <x:c r="AK170" t="str">
        <x:v>https://drive.google.com/file/d/1mvekGtHD2JAKCRbIXrvLw1Nz7hbQ1dZ3/view?usp=drivesdk</x:v>
      </x:c>
      <x:c r="AL170" t="str">
        <x:v>FIGURE ONLY / DIGITIZATION NEEDED</x:v>
      </x:c>
    </x:row>
    <x:row r="171">
      <x:c r="A171" t="str">
        <x:v>Liu 2026 (burn)</x:v>
      </x:c>
      <x:c r="B171" t="str">
        <x:v>LIU26BURN_TEAS_vs_SHAM_OPIOID24</x:v>
      </x:c>
      <x:c r="C171" t="str">
        <x:v>Pre-induction TEAS</x:v>
      </x:c>
      <x:c r="D171" t="str">
        <x:v>Placebo/sham TEAS</x:v>
      </x:c>
      <x:c r="E171" t="str">
        <x:v>Opioid consumption</x:v>
      </x:c>
      <x:c r="F171" t="str">
        <x:v>Complete postoperative opioid/MME exposure</x:v>
      </x:c>
      <x:c r="G171" t="str">
        <x:v>0-24 h</x:v>
      </x:c>
      <x:c r="H171" t="str">
        <x:v>Not calculable</x:v>
      </x:c>
      <x:c r="I171" t="n">
        <x:v>44</x:v>
      </x:c>
      <x:c r="J171" t="n">
        <x:v>44</x:v>
      </x:c>
      <x:c r="K171" t="n">
        <x:v>43</x:v>
      </x:c>
      <x:c r="L171" t="n">
        <x:v>43</x:v>
      </x:c>
      <x:c r="M171"/>
      <x:c r="N171"/>
      <x:c r="O171"/>
      <x:c r="P171"/>
      <x:c r="Q171"/>
      <x:c r="R171"/>
      <x:c r="S171"/>
      <x:c r="T171"/>
      <x:c r="U171"/>
      <x:c r="V171"/>
      <x:c r="W171"/>
      <x:c r="X171"/>
      <x:c r="Y171" t="str">
        <x:v>sufentanil + butorphanol PCIA; rescue dezocine</x:v>
      </x:c>
      <x:c r="Z171" t="str"/>
      <x:c r="AA171" t="str">
        <x:v>No</x:v>
      </x:c>
      <x:c r="AB171" t="str">
        <x:v>No</x:v>
      </x:c>
      <x:c r="AC171" t="str">
        <x:f>IF(H171="Mean/SD","MD",IF(H171="Events/total","RR",""))</x:f>
      </x:c>
      <x:c r="AD171" t="str">
        <x:f>IF(H171="Mean/SD",M171-S171,IF(H171="Events/total",IFERROR((R171/K171)/(X171/L171),""),""))</x:f>
      </x:c>
      <x:c r="AE171" t="str">
        <x:v>No</x:v>
      </x:c>
      <x:c r="AF171" t="str">
        <x:v>No</x:v>
      </x:c>
      <x:c r="AG171" t="str">
        <x:v>Not eligible for continuous 24-h opioid/MME meta-analysis</x:v>
      </x:c>
      <x:c r="AH171" t="str">
        <x:v>No</x:v>
      </x:c>
      <x:c r="AI171" t="str">
        <x:v>PCIA composition is known but bolus volume, basal rate, delivered-volume and successful-delivery counts are not; two opioids are present in the pump</x:v>
      </x:c>
      <x:c r="AJ171" t="str">
        <x:v>Postoperative PCIA section</x:v>
      </x:c>
      <x:c r="AK171" t="str">
        <x:v>https://drive.google.com/file/d/1mvekGtHD2JAKCRbIXrvLw1Nz7hbQ1dZ3/view?usp=drivesdk</x:v>
      </x:c>
      <x:c r="AL171" t="str">
        <x:v>MISSING / COMBINED OPIOID EXPOSURE NOT CALCULABLE</x:v>
      </x:c>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f>IF(H172="Mean/SD","MD",IF(H172="Events/total","RR",""))</x:f>
        <x:v>RR</x:v>
      </x:c>
      <x:c r="AD172" s="18" t="n">
        <x:f>IF(H172="Mean/SD",M172-S172,IF(H172="Events/total",IFERROR((R172/K172)/(X172/L172),""),""))</x:f>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t="str">
        <x:f>IF(H173="Mean/SD","MD",IF(H173="Events/total","RR",""))</x:f>
      </x:c>
      <x:c r="AD173" s="18" t="str">
        <x:f>IF(H173="Mean/SD",M173-S173,IF(H173="Events/total",IFERROR((R173/K173)/(X173/L173),""),""))</x:f>
      </x:c>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t="str">
        <x:f>IF(H174="Mean/SD","MD",IF(H174="Events/total","RR",""))</x:f>
      </x:c>
      <x:c r="AD174" s="18" t="str">
        <x:f>IF(H174="Mean/SD",M174-S174,IF(H174="Events/total",IFERROR((R174/K174)/(X174/L174),""),""))</x:f>
      </x:c>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t="str"/>
      <x:c r="AA175" s="18" t="str">
        <x:v>No</x:v>
      </x:c>
      <x:c r="AB175" s="18" t="str">
        <x:v>No</x:v>
      </x:c>
      <x:c r="AC175" s="18" t="str">
        <x:f>IF(H175="Mean/SD","MD",IF(H175="Events/total","RR",""))</x:f>
      </x:c>
      <x:c r="AD175" s="18" t="str">
        <x:f>IF(H175="Mean/SD",M175-S175,IF(H175="Events/total",IFERROR((R175/K175)/(X175/L175),""),""))</x:f>
      </x:c>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t="str">
        <x:f>IF(H176="Mean/SD","MD",IF(H176="Events/total","RR",""))</x:f>
      </x:c>
      <x:c r="AD176" s="18" t="str">
        <x:f>IF(H176="Mean/SD",M176-S176,IF(H176="Events/total",IFERROR((R176/K176)/(X176/L176),""),""))</x:f>
      </x:c>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t="str">
        <x:f>IF(H177="Mean/SD","MD",IF(H177="Events/total","RR",""))</x:f>
      </x:c>
      <x:c r="AD177" s="18" t="str">
        <x:f>IF(H177="Mean/SD",M177-S177,IF(H177="Events/total",IFERROR((R177/K177)/(X177/L177),""),""))</x:f>
      </x:c>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t="str"/>
      <x:c r="AA178" s="18" t="str">
        <x:v>No</x:v>
      </x:c>
      <x:c r="AB178" s="18" t="str">
        <x:v>No</x:v>
      </x:c>
      <x:c r="AC178" s="18" t="str">
        <x:f>IF(H178="Mean/SD","MD",IF(H178="Events/total","RR",""))</x:f>
      </x:c>
      <x:c r="AD178" s="18" t="str">
        <x:f>IF(H178="Mean/SD",M178-S178,IF(H178="Events/total",IFERROR((R178/K178)/(X178/L178),""),""))</x:f>
      </x:c>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38</x:v>
      </x:c>
      <x:c r="J179" s="18" t="n">
        <x:v>37</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f>IF(H179="Mean/SD","MD",IF(H179="Events/total","RR",""))</x:f>
        <x:v>RR</x:v>
      </x:c>
      <x:c r="AD179" s="18" t="n">
        <x:f>IF(H179="Mean/SD",M179-S179,IF(H179="Events/total",IFERROR((R179/K179)/(X179/L179),""),""))</x:f>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38</x:v>
      </x:c>
      <x:c r="J180" s="18" t="n">
        <x:v>37</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f>IF(H180="Mean/SD","MD",IF(H180="Events/total","RR",""))</x:f>
        <x:v>RR</x:v>
      </x:c>
      <x:c r="AD180" s="18" t="n">
        <x:f>IF(H180="Mean/SD",M180-S180,IF(H180="Events/total",IFERROR((R180/K180)/(X180/L180),""),""))</x:f>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38</x:v>
      </x:c>
      <x:c r="J181" s="18" t="n">
        <x:v>37</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f>IF(H181="Mean/SD","MD",IF(H181="Events/total","RR",""))</x:f>
        <x:v>RR</x:v>
      </x:c>
      <x:c r="AD181" s="18" t="n">
        <x:f>IF(H181="Mean/SD",M181-S181,IF(H181="Events/total",IFERROR((R181/K181)/(X181/L181),""),""))</x:f>
        <x:v>0.22580645161290325</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38</x:v>
      </x:c>
      <x:c r="J182" s="18" t="n">
        <x:v>37</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f>IF(H182="Mean/SD","MD",IF(H182="Events/total","RR",""))</x:f>
        <x:v>RR</x:v>
      </x:c>
      <x:c r="AD182" s="18" t="n">
        <x:f>IF(H182="Mean/SD",M182-S182,IF(H182="Events/total",IFERROR((R182/K182)/(X182/L182),""),""))</x:f>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x:v>
      </x:c>
      <x:c r="AJ182" s="18" t="str">
        <x:v>CRBD incidence table</x:v>
      </x:c>
      <x:c r="AK182" s="18" t="str">
        <x:v>https://drive.google.com/file/d/1guriAcqNbJNXpfd_UjYwevULLVSeiHXS/view?usp=drivesdk</x:v>
      </x:c>
      <x:c r="AL182" s="18" t="str">
        <x:v>SOURCE-VERIFIED / ATTRITION QC</x:v>
      </x:c>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38</x:v>
      </x:c>
      <x:c r="J183" s="18" t="n">
        <x:v>37</x:v>
      </x:c>
      <x:c r="K183" s="18" t="n">
        <x:v>35</x:v>
      </x:c>
      <x:c r="L183" s="18" t="n">
        <x:v>35</x:v>
      </x:c>
      <x:c r="M183" s="18"/>
      <x:c r="N183" s="18"/>
      <x:c r="O183" s="18"/>
      <x:c r="P183" s="18"/>
      <x:c r="Q183" s="18"/>
      <x:c r="R183" s="18"/>
      <x:c r="S183" s="18"/>
      <x:c r="T183" s="18"/>
      <x:c r="U183" s="18"/>
      <x:c r="V183" s="18"/>
      <x:c r="W183" s="18"/>
      <x:c r="X183" s="18"/>
      <x:c r="Y183" s="18" t="str">
        <x:v>mg/µg</x:v>
      </x:c>
      <x:c r="Z183" s="18" t="str"/>
      <x:c r="AA183" s="18" t="str">
        <x:v>No</x:v>
      </x:c>
      <x:c r="AB183" s="18" t="str">
        <x:v>No</x:v>
      </x:c>
      <x:c r="AC183" s="18" t="str">
        <x:f>IF(H183="Mean/SD","MD",IF(H183="Events/total","RR",""))</x:f>
      </x:c>
      <x:c r="AD183" s="18" t="str">
        <x:f>IF(H183="Mean/SD",M183-S183,IF(H183="Events/total",IFERROR((R183/K183)/(X183/L183),""),""))</x:f>
      </x:c>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f>IF(H184="Mean/SD","MD",IF(H184="Events/total","RR",""))</x:f>
        <x:v>MD</x:v>
      </x:c>
      <x:c r="AD184" s="18" t="n">
        <x:f>IF(H184="Mean/SD",M184-S184,IF(H184="Events/total",IFERROR((R184/K184)/(X184/L184),""),""))</x:f>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f>IF(H185="Mean/SD","MD",IF(H185="Events/total","RR",""))</x:f>
        <x:v>MD</x:v>
      </x:c>
      <x:c r="AD185" s="18" t="n">
        <x:f>IF(H185="Mean/SD",M185-S185,IF(H185="Events/total",IFERROR((R185/K185)/(X185/L185),""),""))</x:f>
        <x:v>-3.0600000000000023</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f>IF(H186="Mean/SD","MD",IF(H186="Events/total","RR",""))</x:f>
        <x:v>MD</x:v>
      </x:c>
      <x:c r="AD186" s="18" t="n">
        <x:f>IF(H186="Mean/SD",M186-S186,IF(H186="Events/total",IFERROR((R186/K186)/(X186/L186),""),""))</x:f>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f>IF(H187="Mean/SD","MD",IF(H187="Events/total","RR",""))</x:f>
        <x:v>MD</x:v>
      </x:c>
      <x:c r="AD187" s="18" t="n">
        <x:f>IF(H187="Mean/SD",M187-S187,IF(H187="Events/total",IFERROR((R187/K187)/(X187/L187),""),""))</x:f>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t="str">
        <x:f>IF(H188="Mean/SD","MD",IF(H188="Events/total","RR",""))</x:f>
      </x:c>
      <x:c r="AD188" s="18" t="str">
        <x:f>IF(H188="Mean/SD",M188-S188,IF(H188="Events/total",IFERROR((R188/K188)/(X188/L188),""),""))</x:f>
      </x:c>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t="str">
        <x:f>IF(H189="Mean/SD","MD",IF(H189="Events/total","RR",""))</x:f>
      </x:c>
      <x:c r="AD189" s="18" t="str">
        <x:f>IF(H189="Mean/SD",M189-S189,IF(H189="Events/total",IFERROR((R189/K189)/(X189/L189),""),""))</x:f>
      </x:c>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f>IF(H190="Mean/SD","MD",IF(H190="Events/total","RR",""))</x:f>
        <x:v>MD</x:v>
      </x:c>
      <x:c r="AD190" s="18" t="n">
        <x:f>IF(H190="Mean/SD",M190-S190,IF(H190="Events/total",IFERROR((R190/K190)/(X190/L190),""),""))</x:f>
        <x:v>-17.229999999999997</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f>IF(H191="Mean/SD","MD",IF(H191="Events/total","RR",""))</x:f>
        <x:v>MD</x:v>
      </x:c>
      <x:c r="AD191" s="18" t="n">
        <x:f>IF(H191="Mean/SD",M191-S191,IF(H191="Events/total",IFERROR((R191/K191)/(X191/L191),""),""))</x:f>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t="str"/>
      <x:c r="AA192" s="18" t="str">
        <x:v>No</x:v>
      </x:c>
      <x:c r="AB192" s="18" t="str">
        <x:v>No</x:v>
      </x:c>
      <x:c r="AC192" s="18" t="str">
        <x:f>IF(H192="Mean/SD","MD",IF(H192="Events/total","RR",""))</x:f>
      </x:c>
      <x:c r="AD192" s="18" t="str">
        <x:f>IF(H192="Mean/SD",M192-S192,IF(H192="Events/total",IFERROR((R192/K192)/(X192/L192),""),""))</x:f>
      </x:c>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t="str">
        <x:f>IF(H193="Mean/SD","MD",IF(H193="Events/total","RR",""))</x:f>
      </x:c>
      <x:c r="AD193" s="18" t="str">
        <x:f>IF(H193="Mean/SD",M193-S193,IF(H193="Events/total",IFERROR((R193/K193)/(X193/L193),""),""))</x:f>
      </x:c>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t="str">
        <x:f>IF(H194="Mean/SD","MD",IF(H194="Events/total","RR",""))</x:f>
      </x:c>
      <x:c r="AD194" s="18" t="str">
        <x:f>IF(H194="Mean/SD",M194-S194,IF(H194="Events/total",IFERROR((R194/K194)/(X194/L194),""),""))</x:f>
      </x:c>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f>IF(H195="Mean/SD","MD",IF(H195="Events/total","RR",""))</x:f>
        <x:v>RR</x:v>
      </x:c>
      <x:c r="AD195" s="18" t="n">
        <x:f>IF(H195="Mean/SD",M195-S195,IF(H195="Events/total",IFERROR((R195/K195)/(X195/L195),""),""))</x:f>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t="str">
        <x:f>IF(H196="Mean/SD","MD",IF(H196="Events/total","RR",""))</x:f>
      </x:c>
      <x:c r="AD196" s="18" t="str">
        <x:f>IF(H196="Mean/SD",M196-S196,IF(H196="Events/total",IFERROR((R196/K196)/(X196/L196),""),""))</x:f>
      </x:c>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t="str"/>
      <x:c r="AA197" s="18" t="str">
        <x:v>No</x:v>
      </x:c>
      <x:c r="AB197" s="18" t="str">
        <x:v>No</x:v>
      </x:c>
      <x:c r="AC197" s="18" t="str">
        <x:f>IF(H197="Mean/SD","MD",IF(H197="Events/total","RR",""))</x:f>
      </x:c>
      <x:c r="AD197" s="18" t="str">
        <x:f>IF(H197="Mean/SD",M197-S197,IF(H197="Events/total",IFERROR((R197/K197)/(X197/L197),""),""))</x:f>
      </x:c>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f>IF(H198="Mean/SD","MD",IF(H198="Events/total","RR",""))</x:f>
        <x:v>MD</x:v>
      </x:c>
      <x:c r="AD198" s="18" t="n">
        <x:f>IF(H198="Mean/SD",M198-S198,IF(H198="Events/total",IFERROR((R198/K198)/(X198/L198),""),""))</x:f>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f>IF(H199="Mean/SD","MD",IF(H199="Events/total","RR",""))</x:f>
        <x:v>MD</x:v>
      </x:c>
      <x:c r="AD199" s="18" t="n">
        <x:f>IF(H199="Mean/SD",M199-S199,IF(H199="Events/total",IFERROR((R199/K199)/(X199/L199),""),""))</x:f>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t="str"/>
      <x:c r="AA200" s="18" t="str">
        <x:v>No</x:v>
      </x:c>
      <x:c r="AB200" s="18" t="str">
        <x:v>No</x:v>
      </x:c>
      <x:c r="AC200" s="18" t="str">
        <x:f>IF(H200="Mean/SD","MD",IF(H200="Events/total","RR",""))</x:f>
      </x:c>
      <x:c r="AD200" s="18" t="str">
        <x:f>IF(H200="Mean/SD",M200-S200,IF(H200="Events/total",IFERROR((R200/K200)/(X200/L200),""),""))</x:f>
      </x:c>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f>IF(H201="Mean/SD","MD",IF(H201="Events/total","RR",""))</x:f>
        <x:v>MD</x:v>
      </x:c>
      <x:c r="AD201" s="18" t="n">
        <x:f>IF(H201="Mean/SD",M201-S201,IF(H201="Events/total",IFERROR((R201/K201)/(X201/L201),""),""))</x:f>
        <x:v>-3.5500000000000043</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f>IF(H202="Mean/SD","MD",IF(H202="Events/total","RR",""))</x:f>
        <x:v>MD</x:v>
      </x:c>
      <x:c r="AD202" s="18" t="n">
        <x:f>IF(H202="Mean/SD",M202-S202,IF(H202="Events/total",IFERROR((R202/K202)/(X202/L202),""),""))</x:f>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t="str">
        <x:f>IF(H203="Mean/SD","MD",IF(H203="Events/total","RR",""))</x:f>
      </x:c>
      <x:c r="AD203" s="18" t="str">
        <x:f>IF(H203="Mean/SD",M203-S203,IF(H203="Events/total",IFERROR((R203/K203)/(X203/L203),""),""))</x:f>
      </x:c>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t="str"/>
      <x:c r="AA204" s="18" t="str">
        <x:v>No</x:v>
      </x:c>
      <x:c r="AB204" s="18" t="str">
        <x:v>No</x:v>
      </x:c>
      <x:c r="AC204" s="18" t="str">
        <x:f>IF(H204="Mean/SD","MD",IF(H204="Events/total","RR",""))</x:f>
      </x:c>
      <x:c r="AD204" s="18" t="str">
        <x:f>IF(H204="Mean/SD",M204-S204,IF(H204="Events/total",IFERROR((R204/K204)/(X204/L204),""),""))</x:f>
      </x:c>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f>IF(H205="Mean/SD","MD",IF(H205="Events/total","RR",""))</x:f>
        <x:v>RR</x:v>
      </x:c>
      <x:c r="AD205" s="18" t="n">
        <x:f>IF(H205="Mean/SD",M205-S205,IF(H205="Events/total",IFERROR((R205/K205)/(X205/L205),""),""))</x:f>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t="str">
        <x:f>IF(H206="Mean/SD","MD",IF(H206="Events/total","RR",""))</x:f>
      </x:c>
      <x:c r="AD206" s="18" t="str">
        <x:f>IF(H206="Mean/SD",M206-S206,IF(H206="Events/total",IFERROR((R206/K206)/(X206/L206),""),""))</x:f>
      </x:c>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f>IF(H207="Mean/SD","MD",IF(H207="Events/total","RR",""))</x:f>
        <x:v>RR</x:v>
      </x:c>
      <x:c r="AD207" s="18" t="n">
        <x:f>IF(H207="Mean/SD",M207-S207,IF(H207="Events/total",IFERROR((R207/K207)/(X207/L207),""),""))</x:f>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t="str"/>
      <x:c r="AA208" s="18" t="str">
        <x:v>No</x:v>
      </x:c>
      <x:c r="AB208" s="18" t="str">
        <x:v>No</x:v>
      </x:c>
      <x:c r="AC208" s="18" t="str">
        <x:f>IF(H208="Mean/SD","MD",IF(H208="Events/total","RR",""))</x:f>
      </x:c>
      <x:c r="AD208" s="18" t="str">
        <x:f>IF(H208="Mean/SD",M208-S208,IF(H208="Events/total",IFERROR((R208/K208)/(X208/L208),""),""))</x:f>
      </x:c>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f>IF(H209="Mean/SD","MD",IF(H209="Events/total","RR",""))</x:f>
        <x:v>MD</x:v>
      </x:c>
      <x:c r="AD209" s="18" t="n">
        <x:f>IF(H209="Mean/SD",M209-S209,IF(H209="Events/total",IFERROR((R209/K209)/(X209/L209),""),""))</x:f>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f>IF(H210="Mean/SD","MD",IF(H210="Events/total","RR",""))</x:f>
        <x:v>MD</x:v>
      </x:c>
      <x:c r="AD210" s="18" t="n">
        <x:f>IF(H210="Mean/SD",M210-S210,IF(H210="Events/total",IFERROR((R210/K210)/(X210/L210),""),""))</x:f>
        <x:v>0.010099999999999998</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f>IF(H211="Mean/SD","MD",IF(H211="Events/total","RR",""))</x:f>
        <x:v>MD</x:v>
      </x:c>
      <x:c r="AD211" s="18" t="n">
        <x:f>IF(H211="Mean/SD",M211-S211,IF(H211="Events/total",IFERROR((R211/K211)/(X211/L211),""),""))</x:f>
        <x:v>-0.016600000000000004</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f>IF(H212="Mean/SD","MD",IF(H212="Events/total","RR",""))</x:f>
        <x:v>MD</x:v>
      </x:c>
      <x:c r="AD212" s="18" t="n">
        <x:f>IF(H212="Mean/SD",M212-S212,IF(H212="Events/total",IFERROR((R212/K212)/(X212/L212),""),""))</x:f>
        <x:v>0.34999999999999987</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t="str"/>
      <x:c r="AA213" s="18" t="str">
        <x:v>No</x:v>
      </x:c>
      <x:c r="AB213" s="18" t="str">
        <x:v>No</x:v>
      </x:c>
      <x:c r="AC213" s="18" t="str">
        <x:f>IF(H213="Mean/SD","MD",IF(H213="Events/total","RR",""))</x:f>
      </x:c>
      <x:c r="AD213" s="18" t="str">
        <x:f>IF(H213="Mean/SD",M213-S213,IF(H213="Events/total",IFERROR((R213/K213)/(X213/L213),""),""))</x:f>
      </x:c>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f>IF(H214="Mean/SD","MD",IF(H214="Events/total","RR",""))</x:f>
        <x:v>MD</x:v>
      </x:c>
      <x:c r="AD214" s="18" t="n">
        <x:f>IF(H214="Mean/SD",M214-S214,IF(H214="Events/total",IFERROR((R214/K214)/(X214/L214),""),""))</x:f>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f>IF(H215="Mean/SD","MD",IF(H215="Events/total","RR",""))</x:f>
        <x:v>RR</x:v>
      </x:c>
      <x:c r="AD215" s="18" t="n">
        <x:f>IF(H215="Mean/SD",M215-S215,IF(H215="Events/total",IFERROR((R215/K215)/(X215/L215),""),""))</x:f>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f>IF(H216="Mean/SD","MD",IF(H216="Events/total","RR",""))</x:f>
        <x:v>MD</x:v>
      </x:c>
      <x:c r="AD216" s="18" t="n">
        <x:f>IF(H216="Mean/SD",M216-S216,IF(H216="Events/total",IFERROR((R216/K216)/(X216/L216),""),""))</x:f>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f>IF(H217="Mean/SD","MD",IF(H217="Events/total","RR",""))</x:f>
        <x:v>RR</x:v>
      </x:c>
      <x:c r="AD217" s="18" t="n">
        <x:f>IF(H217="Mean/SD",M217-S217,IF(H217="Events/total",IFERROR((R217/K217)/(X217/L217),""),""))</x:f>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f>IF(H218="Mean/SD","MD",IF(H218="Events/total","RR",""))</x:f>
        <x:v>MD</x:v>
      </x:c>
      <x:c r="AD218" s="18" t="n">
        <x:f>IF(H218="Mean/SD",M218-S218,IF(H218="Events/total",IFERROR((R218/K218)/(X218/L218),""),""))</x:f>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f>IF(H219="Mean/SD","MD",IF(H219="Events/total","RR",""))</x:f>
        <x:v>MD</x:v>
      </x:c>
      <x:c r="AD219" s="18" t="n">
        <x:f>IF(H219="Mean/SD",M219-S219,IF(H219="Events/total",IFERROR((R219/K219)/(X219/L219),""),""))</x:f>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t="str"/>
      <x:c r="AA220" s="18" t="str">
        <x:v>No</x:v>
      </x:c>
      <x:c r="AB220" s="18" t="str">
        <x:v>No</x:v>
      </x:c>
      <x:c r="AC220" s="18" t="str">
        <x:f>IF(H220="Mean/SD","MD",IF(H220="Events/total","RR",""))</x:f>
      </x:c>
      <x:c r="AD220" s="18" t="str">
        <x:f>IF(H220="Mean/SD",M220-S220,IF(H220="Events/total",IFERROR((R220/K220)/(X220/L220),""),""))</x:f>
      </x:c>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f>IF(H221="Mean/SD","MD",IF(H221="Events/total","RR",""))</x:f>
        <x:v>MD</x:v>
      </x:c>
      <x:c r="AD221" s="18" t="n">
        <x:f>IF(H221="Mean/SD",M221-S221,IF(H221="Events/total",IFERROR((R221/K221)/(X221/L221),""),""))</x:f>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f>IF(H222="Mean/SD","MD",IF(H222="Events/total","RR",""))</x:f>
        <x:v>MD</x:v>
      </x:c>
      <x:c r="AD222" s="18" t="n">
        <x:f>IF(H222="Mean/SD",M222-S222,IF(H222="Events/total",IFERROR((R222/K222)/(X222/L222),""),""))</x:f>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f>IF(H223="Mean/SD","MD",IF(H223="Events/total","RR",""))</x:f>
        <x:v>MD</x:v>
      </x:c>
      <x:c r="AD223" s="18" t="n">
        <x:f>IF(H223="Mean/SD",M223-S223,IF(H223="Events/total",IFERROR((R223/K223)/(X223/L223),""),""))</x:f>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f>IF(H224="Mean/SD","MD",IF(H224="Events/total","RR",""))</x:f>
        <x:v>MD</x:v>
      </x:c>
      <x:c r="AD224" s="18" t="n">
        <x:f>IF(H224="Mean/SD",M224-S224,IF(H224="Events/total",IFERROR((R224/K224)/(X224/L224),""),""))</x:f>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row>
    <x:row r="225">
      <x:c r="A225" s="18" t="str">
        <x:v>Gu 2019</x:v>
      </x:c>
      <x:c r="B225" s="18" t="str">
        <x:v>GU19_LTEAS_vs_CTEAS_PCIA4</x:v>
      </x:c>
      <x:c r="C225" s="18" t="str">
        <x:v>Long-duration TEAS</x:v>
      </x:c>
      <x:c r="D225" s="18" t="str">
        <x:v>Sham/no-current TEAS</x:v>
      </x:c>
      <x:c r="E225" s="18" t="str">
        <x:v>Opioid consumption</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solution = numerically same µg sufentanil at 1 µg/mL</x:v>
      </x:c>
      <x:c r="Z225" s="18" t="str">
        <x:v>&lt;0.05</x:v>
      </x:c>
      <x:c r="AA225" s="18" t="str">
        <x:v>Yes</x:v>
      </x:c>
      <x:c r="AB225" s="18" t="str">
        <x:v>Yes</x:v>
      </x:c>
      <x:c r="AC225" s="18" t="str">
        <x:f>IF(H225="Mean/SD","MD",IF(H225="Events/total","RR",""))</x:f>
        <x:v>MD</x:v>
      </x:c>
      <x:c r="AD225" s="18" t="n">
        <x:f>IF(H225="Mean/SD",M225-S225,IF(H225="Events/total",IFERROR((R225/K225)/(X225/L225),""),""))</x:f>
        <x:v>-3.360000000000001</x:v>
      </x:c>
      <x:c r="AE225" s="18" t="str">
        <x:v>No</x:v>
      </x:c>
      <x:c r="AF225" s="18" t="str">
        <x:v>No</x:v>
      </x:c>
      <x:c r="AG225" s="18" t="str">
        <x:v>Usable as PCIA-volume/sufentanil-delivery proxy at stated time only</x:v>
      </x:c>
      <x:c r="AH225" s="18" t="str">
        <x:v>No</x:v>
      </x:c>
      <x:c r="AI225" s="18" t="str">
        <x:v>Pump also contains dexmedetomidine, flurbiprofen and palonosetron; exact 24-h value is graph-only</x:v>
      </x:c>
      <x:c r="AJ225" s="18" t="str">
        <x:v>Figure 4 / 4 h cumulative PCIA</x:v>
      </x:c>
      <x:c r="AK225" s="18" t="str">
        <x:v>https://drive.google.com/file/d/1ipQFXfERgAVmgNKMpLkvaaecYJVSTDiw/view?usp=drivesdk</x:v>
      </x:c>
      <x:c r="AL225" s="18" t="str">
        <x:v>SOURCE-VERIFIED / MULTIMODAL PCIA</x:v>
      </x:c>
    </x:row>
    <x:row r="226">
      <x:c r="A226" s="18" t="str">
        <x:v>Gu 2019</x:v>
      </x:c>
      <x:c r="B226" s="18" t="str">
        <x:v>GU19_LTEAS_vs_CTEAS_PCIA8</x:v>
      </x:c>
      <x:c r="C226" s="18" t="str">
        <x:v>Long-duration TEAS</x:v>
      </x:c>
      <x:c r="D226" s="18" t="str">
        <x:v>Sham/no-current TEAS</x:v>
      </x:c>
      <x:c r="E226" s="18" t="str">
        <x:v>Opioid consumption</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solution = numerically same µg sufentanil at 1 µg/mL</x:v>
      </x:c>
      <x:c r="Z226" s="18" t="str">
        <x:v>&lt;0.05</x:v>
      </x:c>
      <x:c r="AA226" s="18" t="str">
        <x:v>Yes</x:v>
      </x:c>
      <x:c r="AB226" s="18" t="str">
        <x:v>Yes</x:v>
      </x:c>
      <x:c r="AC226" s="18" t="str">
        <x:f>IF(H226="Mean/SD","MD",IF(H226="Events/total","RR",""))</x:f>
        <x:v>MD</x:v>
      </x:c>
      <x:c r="AD226" s="18" t="n">
        <x:f>IF(H226="Mean/SD",M226-S226,IF(H226="Events/total",IFERROR((R226/K226)/(X226/L226),""),""))</x:f>
        <x:v>-4.079999999999998</x:v>
      </x:c>
      <x:c r="AE226" s="18" t="str">
        <x:v>No</x:v>
      </x:c>
      <x:c r="AF226" s="18" t="str">
        <x:v>No</x:v>
      </x:c>
      <x:c r="AG226" s="18" t="str">
        <x:v>Usable as PCIA-volume/sufentanil-delivery proxy at stated time only</x:v>
      </x:c>
      <x:c r="AH226" s="18" t="str">
        <x:v>No</x:v>
      </x:c>
      <x:c r="AI226" s="18" t="str">
        <x:v>Pump also contains dexmedetomidine, flurbiprofen and palonosetron; exact 24-h value is graph-only</x:v>
      </x:c>
      <x:c r="AJ226" s="18" t="str">
        <x:v>Figure 4 / 8 h cumulative PCIA</x:v>
      </x:c>
      <x:c r="AK226" s="18" t="str">
        <x:v>https://drive.google.com/file/d/1ipQFXfERgAVmgNKMpLkvaaecYJVSTDiw/view?usp=drivesdk</x:v>
      </x:c>
      <x:c r="AL226" s="18" t="str">
        <x:v>SOURCE-VERIFIED / MULTIMODAL PCIA</x:v>
      </x:c>
    </x:row>
    <x:row r="227">
      <x:c r="A227" s="18" t="str">
        <x:v>Gu 2019</x:v>
      </x:c>
      <x:c r="B227" s="18" t="str">
        <x:v>GU19_LTEAS_vs_CTEAS_PCIA36</x:v>
      </x:c>
      <x:c r="C227" s="18" t="str">
        <x:v>Long-duration TEAS</x:v>
      </x:c>
      <x:c r="D227" s="18" t="str">
        <x:v>Sham/no-current TEAS</x:v>
      </x:c>
      <x:c r="E227" s="18" t="str">
        <x:v>Opioid consumption</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solution = numerically same µg sufentanil at 1 µg/mL</x:v>
      </x:c>
      <x:c r="Z227" s="18" t="str">
        <x:v>&lt;0.05</x:v>
      </x:c>
      <x:c r="AA227" s="18" t="str">
        <x:v>Yes</x:v>
      </x:c>
      <x:c r="AB227" s="18" t="str">
        <x:v>Yes</x:v>
      </x:c>
      <x:c r="AC227" s="18" t="str">
        <x:f>IF(H227="Mean/SD","MD",IF(H227="Events/total","RR",""))</x:f>
        <x:v>MD</x:v>
      </x:c>
      <x:c r="AD227" s="18" t="n">
        <x:f>IF(H227="Mean/SD",M227-S227,IF(H227="Events/total",IFERROR((R227/K227)/(X227/L227),""),""))</x:f>
        <x:v>-3.3700000000000045</x:v>
      </x:c>
      <x:c r="AE227" s="18" t="str">
        <x:v>No</x:v>
      </x:c>
      <x:c r="AF227" s="18" t="str">
        <x:v>No</x:v>
      </x:c>
      <x:c r="AG227" s="18" t="str">
        <x:v>Usable as PCIA-volume/sufentanil-delivery proxy at stated time only</x:v>
      </x:c>
      <x:c r="AH227" s="18" t="str">
        <x:v>No</x:v>
      </x:c>
      <x:c r="AI227" s="18" t="str">
        <x:v>Pump also contains dexmedetomidine, flurbiprofen and palonosetron; exact 24-h value is graph-only</x:v>
      </x:c>
      <x:c r="AJ227" s="18" t="str">
        <x:v>Figure 4 / 36 h cumulative PCIA</x:v>
      </x:c>
      <x:c r="AK227" s="18" t="str">
        <x:v>https://drive.google.com/file/d/1ipQFXfERgAVmgNKMpLkvaaecYJVSTDiw/view?usp=drivesdk</x:v>
      </x:c>
      <x:c r="AL227" s="18" t="str">
        <x:v>SOURCE-VERIFIED / MULTIMODAL PCIA</x:v>
      </x:c>
    </x:row>
    <x:row r="228">
      <x:c r="A228" s="18" t="str">
        <x:v>Gu 2019</x:v>
      </x:c>
      <x:c r="B228" s="18" t="str">
        <x:v>GU19_OPIOID24</x:v>
      </x:c>
      <x:c r="C228" s="18" t="str">
        <x:v>Long-duration TEAS</x:v>
      </x:c>
      <x:c r="D228" s="18" t="str">
        <x:v>Sham/no-current TEAS</x:v>
      </x:c>
      <x:c r="E228" s="18" t="str">
        <x:v>Opioid consumption</x:v>
      </x:c>
      <x:c r="F228" s="18" t="str">
        <x:v>Exact cumulative 24-h postoperative sufentanil</x:v>
      </x:c>
      <x:c r="G228" s="18" t="str">
        <x:v>0-24 h</x:v>
      </x:c>
      <x:c r="H228" s="18" t="str">
        <x:v>Graph-only / not numerically reported</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µg sufentanil</x:v>
      </x:c>
      <x:c r="Z228" s="18" t="str"/>
      <x:c r="AA228" s="18" t="str">
        <x:v>No</x:v>
      </x:c>
      <x:c r="AB228" s="18" t="str">
        <x:v>No</x:v>
      </x:c>
      <x:c r="AC228" s="18" t="str">
        <x:f>IF(H228="Mean/SD","MD",IF(H228="Events/total","RR",""))</x:f>
      </x:c>
      <x:c r="AD228" s="18" t="str">
        <x:f>IF(H228="Mean/SD",M228-S228,IF(H228="Events/total",IFERROR((R228/K228)/(X228/L228),""),""))</x:f>
      </x:c>
      <x:c r="AE228" s="18" t="str">
        <x:v>Yes</x:v>
      </x:c>
      <x:c r="AF228" s="18" t="str">
        <x:v>No</x:v>
      </x:c>
      <x:c r="AG228" s="18" t="str">
        <x:v>Not meta-analysis-ready without graph digitization or author data</x:v>
      </x:c>
      <x:c r="AH228" s="18" t="str">
        <x:v>No</x:v>
      </x:c>
      <x:c r="AI228" s="18" t="str">
        <x:v>24-h PCIA point is visible graphically but not numerically reported</x:v>
      </x:c>
      <x:c r="AJ228" s="18" t="str">
        <x:v>Figure 4 / 24-h point</x:v>
      </x:c>
      <x:c r="AK228" s="18" t="str">
        <x:v>https://drive.google.com/file/d/1ipQFXfERgAVmgNKMpLkvaaecYJVSTDiw/view?usp=drivesdk</x:v>
      </x:c>
      <x:c r="AL228" s="18" t="str">
        <x:v>FIGURE ONLY / DIGITIZATION NEEDED</x:v>
      </x:c>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f>IF(H229="Mean/SD","MD",IF(H229="Events/total","RR",""))</x:f>
        <x:v>RR</x:v>
      </x:c>
      <x:c r="AD229" s="18" t="n">
        <x:f>IF(H229="Mean/SD",M229-S229,IF(H229="Events/total",IFERROR((R229/K229)/(X229/L229),""),""))</x:f>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f>IF(H230="Mean/SD","MD",IF(H230="Events/total","RR",""))</x:f>
        <x:v>RR</x:v>
      </x:c>
      <x:c r="AD230" s="18" t="n">
        <x:f>IF(H230="Mean/SD",M230-S230,IF(H230="Events/total",IFERROR((R230/K230)/(X230/L230),""),""))</x:f>
        <x:v>0.16666666666666666</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f>IF(H231="Mean/SD","MD",IF(H231="Events/total","RR",""))</x:f>
        <x:v>RR</x:v>
      </x:c>
      <x:c r="AD231" s="18" t="n">
        <x:f>IF(H231="Mean/SD",M231-S231,IF(H231="Events/total",IFERROR((R231/K231)/(X231/L231),""),""))</x:f>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f>IF(H232="Mean/SD","MD",IF(H232="Events/total","RR",""))</x:f>
        <x:v>MD</x:v>
      </x:c>
      <x:c r="AD232" s="18" t="n">
        <x:f>IF(H232="Mean/SD",M232-S232,IF(H232="Events/total",IFERROR((R232/K232)/(X232/L232),""),""))</x:f>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t="str">
        <x:f>IF(H233="Mean/SD","MD",IF(H233="Events/total","RR",""))</x:f>
      </x:c>
      <x:c r="AD233" s="18" t="str">
        <x:f>IF(H233="Mean/SD",M233-S233,IF(H233="Events/total",IFERROR((R233/K233)/(X233/L233),""),""))</x:f>
      </x:c>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t="str"/>
      <x:c r="AA234" s="18" t="str">
        <x:v>No</x:v>
      </x:c>
      <x:c r="AB234" s="18" t="str">
        <x:v>No</x:v>
      </x:c>
      <x:c r="AC234" s="18" t="str">
        <x:f>IF(H234="Mean/SD","MD",IF(H234="Events/total","RR",""))</x:f>
      </x:c>
      <x:c r="AD234" s="18" t="str">
        <x:f>IF(H234="Mean/SD",M234-S234,IF(H234="Events/total",IFERROR((R234/K234)/(X234/L234),""),""))</x:f>
      </x:c>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t="str">
        <x:f>IF(H235="Mean/SD","MD",IF(H235="Events/total","RR",""))</x:f>
      </x:c>
      <x:c r="AD235" s="18" t="str">
        <x:f>IF(H235="Mean/SD",M235-S235,IF(H235="Events/total",IFERROR((R235/K235)/(X235/L235),""),""))</x:f>
      </x:c>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t="str"/>
      <x:c r="AA236" s="18" t="str">
        <x:v>No</x:v>
      </x:c>
      <x:c r="AB236" s="18" t="str">
        <x:v>No</x:v>
      </x:c>
      <x:c r="AC236" s="18" t="str">
        <x:f>IF(H236="Mean/SD","MD",IF(H236="Events/total","RR",""))</x:f>
      </x:c>
      <x:c r="AD236" s="18" t="str">
        <x:f>IF(H236="Mean/SD",M236-S236,IF(H236="Events/total",IFERROR((R236/K236)/(X236/L236),""),""))</x:f>
      </x:c>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t="str">
        <x:f>IF(H237="Mean/SD","MD",IF(H237="Events/total","RR",""))</x:f>
      </x:c>
      <x:c r="AD237" s="18" t="str">
        <x:f>IF(H237="Mean/SD",M237-S237,IF(H237="Events/total",IFERROR((R237/K237)/(X237/L237),""),""))</x:f>
      </x:c>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f>IF(H238="Mean/SD","MD",IF(H238="Events/total","RR",""))</x:f>
        <x:v>RR</x:v>
      </x:c>
      <x:c r="AD238" s="18" t="n">
        <x:f>IF(H238="Mean/SD",M238-S238,IF(H238="Events/total",IFERROR((R238/K238)/(X238/L238),""),""))</x:f>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f>IF(H239="Mean/SD","MD",IF(H239="Events/total","RR",""))</x:f>
        <x:v>MD</x:v>
      </x:c>
      <x:c r="AD239" s="18" t="n">
        <x:f>IF(H239="Mean/SD",M239-S239,IF(H239="Events/total",IFERROR((R239/K239)/(X239/L239),""),""))</x:f>
        <x:v>-12.899999999999999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f>IF(H240="Mean/SD","MD",IF(H240="Events/total","RR",""))</x:f>
        <x:v>MD</x:v>
      </x:c>
      <x:c r="AD240" s="18" t="n">
        <x:f>IF(H240="Mean/SD",M240-S240,IF(H240="Events/total",IFERROR((R240/K240)/(X240/L240),""),""))</x:f>
        <x:v>-14.799999999999997</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f>IF(H241="Mean/SD","MD",IF(H241="Events/total","RR",""))</x:f>
        <x:v>MD</x:v>
      </x:c>
      <x:c r="AD241" s="18" t="n">
        <x:f>IF(H241="Mean/SD",M241-S241,IF(H241="Events/total",IFERROR((R241/K241)/(X241/L241),""),""))</x:f>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t="str"/>
      <x:c r="AA242" s="18" t="str">
        <x:v>No</x:v>
      </x:c>
      <x:c r="AB242" s="18" t="str">
        <x:v>No</x:v>
      </x:c>
      <x:c r="AC242" s="18" t="str">
        <x:f>IF(H242="Mean/SD","MD",IF(H242="Events/total","RR",""))</x:f>
      </x:c>
      <x:c r="AD242" s="18" t="str">
        <x:f>IF(H242="Mean/SD",M242-S242,IF(H242="Events/total",IFERROR((R242/K242)/(X242/L242),""),""))</x:f>
      </x:c>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f>IF(H243="Mean/SD","MD",IF(H243="Events/total","RR",""))</x:f>
        <x:v>MD</x:v>
      </x:c>
      <x:c r="AD243" s="18" t="n">
        <x:f>IF(H243="Mean/SD",M243-S243,IF(H243="Events/total",IFERROR((R243/K243)/(X243/L243),""),""))</x:f>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f>IF(H244="Mean/SD","MD",IF(H244="Events/total","RR",""))</x:f>
        <x:v>MD</x:v>
      </x:c>
      <x:c r="AD244" s="18" t="n">
        <x:f>IF(H244="Mean/SD",M244-S244,IF(H244="Events/total",IFERROR((R244/K244)/(X244/L244),""),""))</x:f>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f>IF(H245="Mean/SD","MD",IF(H245="Events/total","RR",""))</x:f>
        <x:v>MD</x:v>
      </x:c>
      <x:c r="AD245" s="18" t="n">
        <x:f>IF(H245="Mean/SD",M245-S245,IF(H245="Events/total",IFERROR((R245/K245)/(X245/L245),""),""))</x:f>
        <x:v>-2.3000000000000007</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f>IF(H246="Mean/SD","MD",IF(H246="Events/total","RR",""))</x:f>
        <x:v>MD</x:v>
      </x:c>
      <x:c r="AD246" s="18" t="n">
        <x:f>IF(H246="Mean/SD",M246-S246,IF(H246="Events/total",IFERROR((R246/K246)/(X246/L246),""),""))</x:f>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f>IF(H247="Mean/SD","MD",IF(H247="Events/total","RR",""))</x:f>
        <x:v>MD</x:v>
      </x:c>
      <x:c r="AD247" s="18" t="n">
        <x:f>IF(H247="Mean/SD",M247-S247,IF(H247="Events/total",IFERROR((R247/K247)/(X247/L247),""),""))</x:f>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f>IF(H248="Mean/SD","MD",IF(H248="Events/total","RR",""))</x:f>
        <x:v>MD</x:v>
      </x:c>
      <x:c r="AD248" s="18" t="n">
        <x:f>IF(H248="Mean/SD",M248-S248,IF(H248="Events/total",IFERROR((R248/K248)/(X248/L248),""),""))</x:f>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f>IF(H249="Mean/SD","MD",IF(H249="Events/total","RR",""))</x:f>
        <x:v>MD</x:v>
      </x:c>
      <x:c r="AD249" s="18" t="n">
        <x:f>IF(H249="Mean/SD",M249-S249,IF(H249="Events/total",IFERROR((R249/K249)/(X249/L249),""),""))</x:f>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f>IF(H250="Mean/SD","MD",IF(H250="Events/total","RR",""))</x:f>
        <x:v>MD</x:v>
      </x:c>
      <x:c r="AD250" s="18" t="n">
        <x:f>IF(H250="Mean/SD",M250-S250,IF(H250="Events/total",IFERROR((R250/K250)/(X250/L250),""),""))</x:f>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t="str"/>
      <x:c r="AA251" s="18" t="str">
        <x:v>No</x:v>
      </x:c>
      <x:c r="AB251" s="18" t="str">
        <x:v>No</x:v>
      </x:c>
      <x:c r="AC251" s="18" t="str">
        <x:f>IF(H251="Mean/SD","MD",IF(H251="Events/total","RR",""))</x:f>
      </x:c>
      <x:c r="AD251" s="18" t="str">
        <x:f>IF(H251="Mean/SD",M251-S251,IF(H251="Events/total",IFERROR((R251/K251)/(X251/L251),""),""))</x:f>
      </x:c>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f>IF(H252="Mean/SD","MD",IF(H252="Events/total","RR",""))</x:f>
        <x:v>MD</x:v>
      </x:c>
      <x:c r="AD252" s="18" t="n">
        <x:f>IF(H252="Mean/SD",M252-S252,IF(H252="Events/total",IFERROR((R252/K252)/(X252/L252),""),""))</x:f>
        <x:v>-1.6000000000000014</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f>IF(H253="Mean/SD","MD",IF(H253="Events/total","RR",""))</x:f>
        <x:v>MD</x:v>
      </x:c>
      <x:c r="AD253" s="18" t="n">
        <x:f>IF(H253="Mean/SD",M253-S253,IF(H253="Events/total",IFERROR((R253/K253)/(X253/L253),""),""))</x:f>
        <x:v>0.20000000000000107</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f>IF(H254="Mean/SD","MD",IF(H254="Events/total","RR",""))</x:f>
        <x:v>MD</x:v>
      </x:c>
      <x:c r="AD254" s="18" t="n">
        <x:f>IF(H254="Mean/SD",M254-S254,IF(H254="Events/total",IFERROR((R254/K254)/(X254/L254),""),""))</x:f>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t="str"/>
      <x:c r="AA255" s="18" t="str">
        <x:v>No</x:v>
      </x:c>
      <x:c r="AB255" s="18" t="str">
        <x:v>No</x:v>
      </x:c>
      <x:c r="AC255" s="18" t="str">
        <x:f>IF(H255="Mean/SD","MD",IF(H255="Events/total","RR",""))</x:f>
      </x:c>
      <x:c r="AD255" s="18" t="str">
        <x:f>IF(H255="Mean/SD",M255-S255,IF(H255="Events/total",IFERROR((R255/K255)/(X255/L255),""),""))</x:f>
      </x:c>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t="str">
        <x:f>IF(H256="Mean/SD","MD",IF(H256="Events/total","RR",""))</x:f>
      </x:c>
      <x:c r="AD256" s="18" t="str">
        <x:f>IF(H256="Mean/SD",M256-S256,IF(H256="Events/total",IFERROR((R256/K256)/(X256/L256),""),""))</x:f>
      </x:c>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f>IF(H257="Mean/SD","MD",IF(H257="Events/total","RR",""))</x:f>
        <x:v>RR</x:v>
      </x:c>
      <x:c r="AD257" s="18" t="n">
        <x:f>IF(H257="Mean/SD",M257-S257,IF(H257="Events/total",IFERROR((R257/K257)/(X257/L257),""),""))</x:f>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t="str">
        <x:f>IF(H258="Mean/SD","MD",IF(H258="Events/total","RR",""))</x:f>
      </x:c>
      <x:c r="AD258" s="18" t="str">
        <x:f>IF(H258="Mean/SD",M258-S258,IF(H258="Events/total",IFERROR((R258/K258)/(X258/L258),""),""))</x:f>
      </x:c>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t="str">
        <x:f>IF(H259="Mean/SD","MD",IF(H259="Events/total","RR",""))</x:f>
      </x:c>
      <x:c r="AD259" s="18" t="str">
        <x:f>IF(H259="Mean/SD",M259-S259,IF(H259="Events/total",IFERROR((R259/K259)/(X259/L259),""),""))</x:f>
      </x:c>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t="str">
        <x:f>IF(H260="Mean/SD","MD",IF(H260="Events/total","RR",""))</x:f>
      </x:c>
      <x:c r="AD260" s="18" t="str">
        <x:f>IF(H260="Mean/SD",M260-S260,IF(H260="Events/total",IFERROR((R260/K260)/(X260/L260),""),""))</x:f>
      </x:c>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f>IF(H261="Mean/SD","MD",IF(H261="Events/total","RR",""))</x:f>
        <x:v>RR</x:v>
      </x:c>
      <x:c r="AD261" s="18" t="n">
        <x:f>IF(H261="Mean/SD",M261-S261,IF(H261="Events/total",IFERROR((R261/K261)/(X261/L261),""),""))</x:f>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f>IF(H262="Mean/SD","MD",IF(H262="Events/total","RR",""))</x:f>
        <x:v>MD</x:v>
      </x:c>
      <x:c r="AD262" s="18" t="n">
        <x:f>IF(H262="Mean/SD",M262-S262,IF(H262="Events/total",IFERROR((R262/K262)/(X262/L262),""),""))</x:f>
        <x:v>-17.799999999999997</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row>
  </x:sheetData>
  <x:conditionalFormatting sqref="AL2:AL35">
    <x:cfRule type="expression" dxfId="30" priority="1">
      <x:formula>AL2="SOURCE-VERIFIED"</x:formula>
    </x:cfRule>
    <x:cfRule type="expression" dxfId="31" priority="2">
      <x:formula>ISNUMBER(SEARCH("QC",AL2))</x:formula>
    </x:cfRule>
    <x:cfRule type="expression" dxfId="32" priority="3">
      <x:formula>ISNUMBER(SEARCH("MISSING",AL2))</x:formula>
    </x:cfRule>
    <x:cfRule type="expression" dxfId="33" priority="4">
      <x:formula>ISNUMBER(SEARCH("ADJUDICATION",AL2))</x:formula>
    </x:cfRule>
  </x:conditionalFormatting>
  <x:conditionalFormatting sqref="AF2:AF35">
    <x:cfRule type="expression" dxfId="34" priority="5">
      <x:formula>AF2="Yes"</x:formula>
    </x:cfRule>
    <x:cfRule type="expression" dxfId="35" priority="6">
      <x:formula>AF2="Conditional"</x:formula>
    </x:cfRule>
  </x:conditionalFormatting>
  <x:pageMargins left="0.7" right="0.7" top="0.75" bottom="0.75" header="0.3" footer="0.3"/>
  <x:tableParts count="1">
    <x:tablePart xmlns:r="http://schemas.openxmlformats.org/officeDocument/2006/relationships" r:id="R699cd170af3d43c0"/>
  </x:tableParts>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25" max="25" width="22" hidden="0" customWidth="1"/>
    <x:col min="26" max="26"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38" hidden="0" customWidth="1"/>
    <x:col min="43" max="43" width="22" hidden="0" customWidth="1"/>
    <x:col min="44" max="44" width="34" hidden="0" customWidth="1"/>
    <x:col min="45" max="45" width="34" hidden="0" customWidth="1"/>
    <x:col min="46" max="46" width="22" hidden="0" customWidth="1"/>
    <x:col min="47" max="47" width="28" hidden="0" customWidth="1"/>
    <x:col min="48" max="48" width="28" hidden="0" customWidth="1"/>
    <x:col min="49" max="49" width="28" hidden="0" customWidth="1"/>
    <x:col min="50" max="50" width="34" hidden="0" customWidth="1"/>
    <x:col min="51" max="51" width="34" hidden="0" customWidth="1"/>
    <x:col min="52" max="52" width="34" hidden="0" customWidth="1"/>
  </x:cols>
  <x:sheetData>
    <x:row r="1">
      <x:c r="A1" s="57" t="str">
        <x:v>Canonical study</x:v>
      </x:c>
      <x:c r="B1" s="57" t="str">
        <x:v>Comparison ID</x:v>
      </x:c>
      <x:c r="C1" s="57" t="str">
        <x:v>Intervention arm</x:v>
      </x:c>
      <x:c r="D1" s="57" t="str">
        <x:v>Comparator arm</x:v>
      </x:c>
      <x:c r="E1" s="57" t="str">
        <x:v>Outcome family</x:v>
      </x:c>
      <x:c r="F1" s="57" t="str">
        <x:v>Outcome/result</x:v>
      </x:c>
      <x:c r="G1" s="57" t="str">
        <x:v>Timepoint/window</x:v>
      </x:c>
      <x:c r="H1" s="57" t="str">
        <x:v>Data type</x:v>
      </x:c>
      <x:c r="I1" s="57" t="str">
        <x:v>Randomized n intervention</x:v>
      </x:c>
      <x:c r="J1" s="57" t="str">
        <x:v>Randomized n comparator</x:v>
      </x:c>
      <x:c r="K1" s="57" t="str">
        <x:v>Analyzed n intervention</x:v>
      </x:c>
      <x:c r="L1" s="57" t="str">
        <x:v>Analyzed n comparator</x:v>
      </x:c>
      <x:c r="M1" s="57" t="str">
        <x:v>Mean intervention</x:v>
      </x:c>
      <x:c r="N1" s="57" t="str">
        <x:v>SD intervention</x:v>
      </x:c>
      <x:c r="O1" s="57" t="str">
        <x:v>Median intervention</x:v>
      </x:c>
      <x:c r="P1" s="57" t="str">
        <x:v>Q1 intervention</x:v>
      </x:c>
      <x:c r="Q1" s="57" t="str">
        <x:v>Q3 intervention</x:v>
      </x:c>
      <x:c r="R1" s="57" t="str">
        <x:v>Events intervention</x:v>
      </x:c>
      <x:c r="S1" s="57" t="str">
        <x:v>Mean comparator</x:v>
      </x:c>
      <x:c r="T1" s="57" t="str">
        <x:v>SD comparator</x:v>
      </x:c>
      <x:c r="U1" s="57" t="str">
        <x:v>Median comparator</x:v>
      </x:c>
      <x:c r="V1" s="57" t="str">
        <x:v>Q1 comparator</x:v>
      </x:c>
      <x:c r="W1" s="57" t="str">
        <x:v>Q3 comparator</x:v>
      </x:c>
      <x:c r="X1" s="57" t="str">
        <x:v>Events comparator</x:v>
      </x:c>
      <x:c r="Y1" s="57" t="str">
        <x:v>Unit/scale</x:v>
      </x:c>
      <x:c r="Z1" s="57" t="str">
        <x:v>Reported P</x:v>
      </x:c>
      <x:c r="AA1" s="57" t="str">
        <x:v>Directly reported?</x:v>
      </x:c>
      <x:c r="AB1" s="57" t="str">
        <x:v>Derived/converted?</x:v>
      </x:c>
      <x:c r="AC1" s="57" t="str">
        <x:v>Derived effect measure</x:v>
      </x:c>
      <x:c r="AD1" s="57" t="str">
        <x:v>Derived effect</x:v>
      </x:c>
      <x:c r="AE1" s="57" t="str">
        <x:v>Exact 0-24 h postoperative opioid?</x:v>
      </x:c>
      <x:c r="AF1" s="57" t="str">
        <x:v>Primary opioid meta-analysis eligible?</x:v>
      </x:c>
      <x:c r="AG1" s="57" t="str">
        <x:v>Other analysis eligibility</x:v>
      </x:c>
      <x:c r="AH1" s="57" t="str">
        <x:v>Shared-control / multi-arm issue</x:v>
      </x:c>
      <x:c r="AI1" s="57" t="str">
        <x:v>Source-QC issue</x:v>
      </x:c>
      <x:c r="AJ1" s="57" t="str">
        <x:v>Source location</x:v>
      </x:c>
      <x:c r="AK1" s="57" t="str">
        <x:v>Source PDF URL</x:v>
      </x:c>
      <x:c r="AL1" s="57" t="str">
        <x:v>Record status</x:v>
      </x:c>
      <x:c r="AM1" s="57" t="str">
        <x:v>Normalized synthesis family</x:v>
      </x:c>
      <x:c r="AN1" s="57" t="str">
        <x:v>Timepoint class</x:v>
      </x:c>
      <x:c r="AO1" s="57" t="str">
        <x:v>Analysis readiness</x:v>
      </x:c>
      <x:c r="AP1" s="57" t="str">
        <x:v>Readiness reason</x:v>
      </x:c>
      <x:c r="AQ1" s="57" t="str">
        <x:v>Preferred candidate within family?</x:v>
      </x:c>
      <x:c r="AR1" s="57" t="str">
        <x:v>Duplicate/overlap cluster</x:v>
      </x:c>
      <x:c r="AS1" s="57" t="str">
        <x:v>Conversion/handling needed</x:v>
      </x:c>
      <x:c r="AT1" s="57" t="str">
        <x:v>Selected RoB2 outcome reference</x:v>
      </x:c>
      <x:c r="AU1" s="57" t="str">
        <x:v>Selected RoB2 timepoint reference</x:v>
      </x:c>
      <x:c r="AV1" s="57" t="str">
        <x:v>Selected RoB2 overall judgment</x:v>
      </x:c>
      <x:c r="AW1" s="57" t="str">
        <x:v>Additional outcome-specific RoB needed?</x:v>
      </x:c>
      <x:c r="AX1" s="67" t="str">
        <x:v>Independent randomized-study unit</x:v>
      </x:c>
      <x:c r="AY1" s="67" t="str">
        <x:v>Recommended comparison role</x:v>
      </x:c>
      <x:c r="AZ1" s="67" t="str">
        <x:v>Independent-study counting note</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v>MD</x:v>
      </x:c>
      <x:c r="AD2" s="18" t="n">
        <x:v>-3.3000000000000007</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c r="AM2" s="18" t="str">
        <x:v>GI recovery</x:v>
      </x:c>
      <x:c r="AN2" s="18" t="str">
        <x:v>From surgery to first flatus</x:v>
      </x:c>
      <x:c r="AO2" s="18" t="str">
        <x:v>INCLUDE</x:v>
      </x:c>
      <x:c r="AP2" s="18" t="str">
        <x:v>Source-valid first-flatus/ileus endpoint; retain reported distribution (mean/SD, median/IQR, or events).</x:v>
      </x:c>
      <x:c r="AQ2" s="18" t="str">
        <x:v>Yes</x:v>
      </x:c>
      <x:c r="AR2" s="18" t="str"/>
      <x:c r="AS2" s="18" t="str">
        <x:v>None</x:v>
      </x:c>
      <x:c r="AT2" s="18" t="str">
        <x:v>Time to first postoperative flatus</x:v>
      </x:c>
      <x:c r="AU2" s="18" t="str">
        <x:v>Time to event</x:v>
      </x:c>
      <x:c r="AV2" s="18" t="str">
        <x:v>Some concerns</x:v>
      </x:c>
      <x:c r="AW2" s="18" t="str">
        <x:v>No — selected RoB matches this result</x:v>
      </x:c>
      <x:c r="AX2" s="18" t="str">
        <x:v>Yang 2020</x:v>
      </x:c>
      <x:c r="AY2" s="18" t="str">
        <x:v>Primary eligible contrast</x:v>
      </x:c>
      <x:c r="AZ2" s="18" t="str">
        <x:v>Count this study once per synthesis unless a valid multi-arm method is used.</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v>MD</x:v>
      </x:c>
      <x:c r="AD3" s="18" t="n">
        <x:v>-12.559999999999999</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c r="AM3" s="18" t="str">
        <x:v>Postoperative opioid consumption</x:v>
      </x:c>
      <x:c r="AN3" s="18" t="str">
        <x:v>Exact/explicit 24 h</x:v>
      </x:c>
      <x:c r="AO3" s="18" t="str">
        <x:v>INCLUDE</x:v>
      </x:c>
      <x:c r="AP3" s="18" t="str">
        <x:v>Explicit 0-24-h postoperative opioid endpoint and marked eligible in the reconciled source data.</x:v>
      </x:c>
      <x:c r="AQ3" s="18" t="str">
        <x:v>Yes</x:v>
      </x:c>
      <x:c r="AR3" s="18" t="str"/>
      <x:c r="AS3" s="18" t="str">
        <x:v>None</x:v>
      </x:c>
      <x:c r="AT3" s="18" t="str">
        <x:v>Cumulative IV PCA morphine</x:v>
      </x:c>
      <x:c r="AU3" s="18" t="str">
        <x:v>0-24 h</x:v>
      </x:c>
      <x:c r="AV3" s="18" t="str">
        <x:v>Some concerns</x:v>
      </x:c>
      <x:c r="AW3" s="18" t="str">
        <x:v>Yes — selected RoB is for a different result/timepoint</x:v>
      </x:c>
      <x:c r="AX3" s="18" t="str">
        <x:v>Seevaunnamtum 2016</x:v>
      </x:c>
      <x:c r="AY3" s="18" t="str">
        <x:v>Primary eligible contrast</x:v>
      </x:c>
      <x:c r="AZ3" s="18" t="str">
        <x:v>Count this study once per synthesis unless a valid multi-arm method is used.</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x:c r="AA4" s="18" t="str">
        <x:v>Yes</x:v>
      </x:c>
      <x:c r="AB4" s="18" t="str">
        <x:v>No</x:v>
      </x:c>
      <x:c r="AC4" s="18" t="str">
        <x:v>MD</x:v>
      </x:c>
      <x:c r="AD4" s="18" t="n">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c r="AM4" s="18" t="str">
        <x:v>PCA demand/proxy</x:v>
      </x:c>
      <x:c r="AN4" s="18" t="str">
        <x:v>Postoperative hour 1 through next 23 h (published as 24-h test-period value)</x:v>
      </x:c>
      <x:c r="AO4" s="18" t="str">
        <x:v>SECONDARY / PROXY ONLY</x:v>
      </x:c>
      <x:c r="AP4" s="18" t="str">
        <x:v>PCA presses, attempts, deliveries, or solution volume are not equivalent to opioid dose unless the pump prescription permits exact reconstruction.</x:v>
      </x:c>
      <x:c r="AQ4" s="18" t="str">
        <x:v>No</x:v>
      </x:c>
      <x:c r="AR4" s="18" t="str"/>
      <x:c r="AS4" s="18" t="str">
        <x:v>None</x:v>
      </x:c>
      <x:c r="AT4" s="18" t="str">
        <x:v>Cumulative IV PCA morphine delivered</x:v>
      </x:c>
      <x:c r="AU4" s="18" t="str">
        <x:v>24-h test period</x:v>
      </x:c>
      <x:c r="AV4" s="18" t="str">
        <x:v>Some concerns</x:v>
      </x:c>
      <x:c r="AW4" s="18" t="str">
        <x:v>Yes — selected RoB is for a different result/timepoint</x:v>
      </x:c>
      <x:c r="AX4" s="18" t="str">
        <x:v>Lin 2002</x:v>
      </x:c>
      <x:c r="AY4" s="18" t="str">
        <x:v>Multi-arm frequency contrast</x:v>
      </x:c>
      <x:c r="AZ4" s="18" t="str">
        <x:v>Four-arm trial with shared control/sham; use one prespecified active arm, split shared comparator, or multivariate/multi-arm method.</x:v>
      </x:c>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x:c r="AA5" s="18" t="str">
        <x:v>Yes</x:v>
      </x:c>
      <x:c r="AB5" s="18" t="str">
        <x:v>No</x:v>
      </x:c>
      <x:c r="AC5" s="18" t="str">
        <x:v>MD</x:v>
      </x:c>
      <x:c r="AD5" s="18" t="n">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c r="AM5" s="18" t="str">
        <x:v>PCA demand/proxy</x:v>
      </x:c>
      <x:c r="AN5" s="18" t="str">
        <x:v>Postoperative hour 1 through next 23 h (published as 24-h test-period value)</x:v>
      </x:c>
      <x:c r="AO5" s="18" t="str">
        <x:v>SECONDARY / PROXY ONLY</x:v>
      </x:c>
      <x:c r="AP5" s="18" t="str">
        <x:v>PCA presses, attempts, deliveries, or solution volume are not equivalent to opioid dose unless the pump prescription permits exact reconstruction.</x:v>
      </x:c>
      <x:c r="AQ5" s="18" t="str">
        <x:v>No</x:v>
      </x:c>
      <x:c r="AR5" s="18" t="str"/>
      <x:c r="AS5" s="18" t="str">
        <x:v>None</x:v>
      </x:c>
      <x:c r="AT5" s="18" t="str">
        <x:v>Cumulative IV PCA morphine delivered</x:v>
      </x:c>
      <x:c r="AU5" s="18" t="str">
        <x:v>24-h test period</x:v>
      </x:c>
      <x:c r="AV5" s="18" t="str">
        <x:v>Some concerns</x:v>
      </x:c>
      <x:c r="AW5" s="18" t="str">
        <x:v>Yes — selected RoB is for a different result/timepoint</x:v>
      </x:c>
      <x:c r="AX5" s="18" t="str">
        <x:v>Lin 2002</x:v>
      </x:c>
      <x:c r="AY5" s="18" t="str">
        <x:v>Multi-arm frequency contrast</x:v>
      </x:c>
      <x:c r="AZ5" s="18" t="str">
        <x:v>Four-arm trial with shared control/sham; use one prespecified active arm, split shared comparator, or multivariate/multi-arm method.</x:v>
      </x:c>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x:c r="AA6" s="18" t="str">
        <x:v>Yes</x:v>
      </x:c>
      <x:c r="AB6" s="18" t="str">
        <x:v>No</x:v>
      </x:c>
      <x:c r="AC6" s="18" t="str">
        <x:v>MD</x:v>
      </x:c>
      <x:c r="AD6" s="18" t="n">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c r="AM6" s="18" t="str">
        <x:v>PCA demand/proxy</x:v>
      </x:c>
      <x:c r="AN6" s="18" t="str">
        <x:v>Postoperative hour 1 through next 23 h (published as 24-h test-period value)</x:v>
      </x:c>
      <x:c r="AO6" s="18" t="str">
        <x:v>SECONDARY / PROXY ONLY</x:v>
      </x:c>
      <x:c r="AP6" s="18" t="str">
        <x:v>PCA presses, attempts, deliveries, or solution volume are not equivalent to opioid dose unless the pump prescription permits exact reconstruction.</x:v>
      </x:c>
      <x:c r="AQ6" s="18" t="str">
        <x:v>No</x:v>
      </x:c>
      <x:c r="AR6" s="18" t="str"/>
      <x:c r="AS6" s="18" t="str">
        <x:v>None</x:v>
      </x:c>
      <x:c r="AT6" s="18" t="str">
        <x:v>Cumulative IV PCA morphine delivered</x:v>
      </x:c>
      <x:c r="AU6" s="18" t="str">
        <x:v>24-h test period</x:v>
      </x:c>
      <x:c r="AV6" s="18" t="str">
        <x:v>Some concerns</x:v>
      </x:c>
      <x:c r="AW6" s="18" t="str">
        <x:v>Yes — selected RoB is for a different result/timepoint</x:v>
      </x:c>
      <x:c r="AX6" s="18" t="str">
        <x:v>Lin 2002</x:v>
      </x:c>
      <x:c r="AY6" s="18" t="str">
        <x:v>Multi-arm frequency contrast</x:v>
      </x:c>
      <x:c r="AZ6" s="18" t="str">
        <x:v>Four-arm trial with shared control/sham; use one prespecified active arm, split shared comparator, or multivariate/multi-arm method.</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x:c r="AA7" s="18" t="str">
        <x:v>Yes</x:v>
      </x:c>
      <x:c r="AB7" s="18" t="str">
        <x:v>No</x:v>
      </x:c>
      <x:c r="AC7" s="18" t="str">
        <x:v>MD</x:v>
      </x:c>
      <x:c r="AD7" s="18" t="n">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c r="AM7" s="18" t="str">
        <x:v>PCA demand/proxy</x:v>
      </x:c>
      <x:c r="AN7" s="18" t="str">
        <x:v>Postoperative hour 1 through next 23 h (published as 24-h test-period value)</x:v>
      </x:c>
      <x:c r="AO7" s="18" t="str">
        <x:v>SECONDARY / PROXY ONLY</x:v>
      </x:c>
      <x:c r="AP7" s="18" t="str">
        <x:v>PCA presses, attempts, deliveries, or solution volume are not equivalent to opioid dose unless the pump prescription permits exact reconstruction.</x:v>
      </x:c>
      <x:c r="AQ7" s="18" t="str">
        <x:v>No</x:v>
      </x:c>
      <x:c r="AR7" s="18" t="str"/>
      <x:c r="AS7" s="18" t="str">
        <x:v>None</x:v>
      </x:c>
      <x:c r="AT7" s="18" t="str">
        <x:v>Cumulative IV PCA morphine delivered</x:v>
      </x:c>
      <x:c r="AU7" s="18" t="str">
        <x:v>24-h test period</x:v>
      </x:c>
      <x:c r="AV7" s="18" t="str">
        <x:v>Some concerns</x:v>
      </x:c>
      <x:c r="AW7" s="18" t="str">
        <x:v>Yes — selected RoB is for a different result/timepoint</x:v>
      </x:c>
      <x:c r="AX7" s="18" t="str">
        <x:v>Lin 2002</x:v>
      </x:c>
      <x:c r="AY7" s="18" t="str">
        <x:v>Multi-arm frequency contrast</x:v>
      </x:c>
      <x:c r="AZ7" s="18" t="str">
        <x:v>Four-arm trial with shared control/sham; use one prespecified active arm, split shared comparator, or multivariate/multi-arm method.</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v>MD</x:v>
      </x:c>
      <x:c r="AD8" s="18" t="n">
        <x:v>11.699999999999989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c r="AM8" s="18" t="str">
        <x:v>Quality of recovery</x:v>
      </x:c>
      <x:c r="AN8" s="18" t="str">
        <x:v>Contains 24 h but definition differs</x:v>
      </x:c>
      <x:c r="AO8" s="18" t="str">
        <x:v>INCLUDE — OTHER TIMEPOINT</x:v>
      </x:c>
      <x:c r="AP8" s="18" t="str">
        <x:v>Source-valid QoR endpoint outside the primary 24-h timepoint.</x:v>
      </x:c>
      <x:c r="AQ8" s="18" t="str">
        <x:v>No</x:v>
      </x:c>
      <x:c r="AR8" s="18" t="str"/>
      <x:c r="AS8" s="18" t="str">
        <x:v>None</x:v>
      </x:c>
      <x:c r="AT8" s="18" t="str">
        <x:v>Global QoR-40</x:v>
      </x:c>
      <x:c r="AU8" s="18" t="str">
        <x:v>24 h</x:v>
      </x:c>
      <x:c r="AV8" s="18" t="str">
        <x:v>High</x:v>
      </x:c>
      <x:c r="AW8" s="18" t="str">
        <x:v>No — selected RoB matches this result</x:v>
      </x:c>
      <x:c r="AX8" s="18" t="str">
        <x:v>Yao 2015</x:v>
      </x:c>
      <x:c r="AY8" s="18" t="str">
        <x:v>Primary eligible contrast</x:v>
      </x:c>
      <x:c r="AZ8" s="18" t="str">
        <x:v>Count this study once per synthesis unless a valid multi-arm method is used.</x:v>
      </x:c>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v>MD</x:v>
      </x:c>
      <x:c r="AD9" s="18" t="n">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c r="AM9" s="18" t="str">
        <x:v>Quality of recovery</x:v>
      </x:c>
      <x:c r="AN9" s="18" t="str">
        <x:v>POD1 / approximate 24 h</x:v>
      </x:c>
      <x:c r="AO9" s="18" t="str">
        <x:v>CONDITIONAL — POD1</x:v>
      </x:c>
      <x:c r="AP9" s="18" t="str">
        <x:v>POD1 is approximately 24 h; pool only if allowed by protocol.</x:v>
      </x:c>
      <x:c r="AQ9" s="18" t="str">
        <x:v>Yes</x:v>
      </x:c>
      <x:c r="AR9" s="18" t="str"/>
      <x:c r="AS9" s="18" t="str">
        <x:v>None</x:v>
      </x:c>
      <x:c r="AT9" s="18" t="str">
        <x:v>Global QoR-40</x:v>
      </x:c>
      <x:c r="AU9" s="18" t="str">
        <x:v>POD1 (~24 h)</x:v>
      </x:c>
      <x:c r="AV9" s="18" t="str">
        <x:v>High</x:v>
      </x:c>
      <x:c r="AW9" s="18" t="str">
        <x:v>No — selected RoB matches this result</x:v>
      </x:c>
      <x:c r="AX9" s="18" t="str">
        <x:v>Yu 2020</x:v>
      </x:c>
      <x:c r="AY9" s="18" t="str">
        <x:v>Primary eligible contrast</x:v>
      </x:c>
      <x:c r="AZ9" s="18" t="str">
        <x:v>Count this study once per synthesis unless a valid multi-arm method is used.</x:v>
      </x:c>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x:c r="AD10" s="18"/>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c r="AM10" s="18" t="str">
        <x:v>GI recovery</x:v>
      </x:c>
      <x:c r="AN10" s="18" t="str">
        <x:v>Postoperative recovery endpoint</x:v>
      </x:c>
      <x:c r="AO10" s="18" t="str">
        <x:v>INCLUDE</x:v>
      </x:c>
      <x:c r="AP10" s="18" t="str">
        <x:v>Source-valid first-flatus/ileus endpoint; retain reported distribution (mean/SD, median/IQR, or events).</x:v>
      </x:c>
      <x:c r="AQ10" s="18" t="str">
        <x:v>Yes</x:v>
      </x:c>
      <x:c r="AR10" s="18" t="str"/>
      <x:c r="AS10" s="18" t="str">
        <x:v>Use median/IQR-compatible meta-analysis method; do not relabel as mean/SD</x:v>
      </x:c>
      <x:c r="AT10" s="18" t="str">
        <x:v>Time to first postoperative flatus</x:v>
      </x:c>
      <x:c r="AU10" s="18" t="str">
        <x:v>Time to event</x:v>
      </x:c>
      <x:c r="AV10" s="18" t="str">
        <x:v>High</x:v>
      </x:c>
      <x:c r="AW10" s="18" t="str">
        <x:v>No — selected RoB matches this result</x:v>
      </x:c>
      <x:c r="AX10" s="18" t="str">
        <x:v>Pan 2023</x:v>
      </x:c>
      <x:c r="AY10" s="18" t="str">
        <x:v>Primary eligible contrast</x:v>
      </x:c>
      <x:c r="AZ10" s="18" t="str">
        <x:v>Count this study once per synthesis unless a valid multi-arm method is used.</x:v>
      </x:c>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x:c r="AA11" s="18" t="str">
        <x:v>Yes</x:v>
      </x:c>
      <x:c r="AB11" s="18" t="str">
        <x:v>No</x:v>
      </x:c>
      <x:c r="AC11" s="18" t="str">
        <x:v>MD</x:v>
      </x:c>
      <x:c r="AD11" s="18" t="n">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c r="AM11" s="18" t="str">
        <x:v>Postoperative opioid consumption</x:v>
      </x:c>
      <x:c r="AN11" s="18" t="str">
        <x:v>Exact/explicit 24 h</x:v>
      </x:c>
      <x:c r="AO11" s="18" t="str">
        <x:v>INCLUDE</x:v>
      </x:c>
      <x:c r="AP11" s="18" t="str">
        <x:v>Explicit 0-24-h postoperative opioid endpoint and marked eligible in the reconciled source data.</x:v>
      </x:c>
      <x:c r="AQ11" s="18" t="str">
        <x:v>Yes</x:v>
      </x:c>
      <x:c r="AR11" s="18" t="str"/>
      <x:c r="AS11" s="18" t="str">
        <x:v>Opioid/MME conversion required using prespecified review conversion</x:v>
      </x:c>
      <x:c r="AT11" s="18" t="str">
        <x:v>Cumulative IV PCA hydromorphone</x:v>
      </x:c>
      <x:c r="AU11" s="18" t="str">
        <x:v>First 24 h</x:v>
      </x:c>
      <x:c r="AV11" s="18" t="str">
        <x:v>Some concerns</x:v>
      </x:c>
      <x:c r="AW11" s="18" t="str">
        <x:v>No — selected RoB matches this result</x:v>
      </x:c>
      <x:c r="AX11" s="18" t="str">
        <x:v>Chen 1998</x:v>
      </x:c>
      <x:c r="AY11" s="18" t="str">
        <x:v>Nonacupoint mechanistic contrast</x:v>
      </x:c>
      <x:c r="AZ11" s="18" t="str">
        <x:v>Four-arm RCT with shared sham; do not count three active-vs-sham rows as three independent studies.</x:v>
      </x:c>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x:c r="AA12" s="18" t="str">
        <x:v>Yes</x:v>
      </x:c>
      <x:c r="AB12" s="18" t="str">
        <x:v>No</x:v>
      </x:c>
      <x:c r="AC12" s="18" t="str">
        <x:v>MD</x:v>
      </x:c>
      <x:c r="AD12" s="18" t="n">
        <x:v>-3.8999999999999995</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c r="AM12" s="18" t="str">
        <x:v>Postoperative opioid consumption</x:v>
      </x:c>
      <x:c r="AN12" s="18" t="str">
        <x:v>Exact/explicit 24 h</x:v>
      </x:c>
      <x:c r="AO12" s="18" t="str">
        <x:v>INCLUDE</x:v>
      </x:c>
      <x:c r="AP12" s="18" t="str">
        <x:v>Explicit 0-24-h postoperative opioid endpoint and marked eligible in the reconciled source data.</x:v>
      </x:c>
      <x:c r="AQ12" s="18" t="str">
        <x:v>Yes</x:v>
      </x:c>
      <x:c r="AR12" s="18" t="str"/>
      <x:c r="AS12" s="18" t="str">
        <x:v>Opioid/MME conversion required using prespecified review conversion</x:v>
      </x:c>
      <x:c r="AT12" s="18" t="str">
        <x:v>Cumulative IV PCA hydromorphone</x:v>
      </x:c>
      <x:c r="AU12" s="18" t="str">
        <x:v>First 24 h</x:v>
      </x:c>
      <x:c r="AV12" s="18" t="str">
        <x:v>Some concerns</x:v>
      </x:c>
      <x:c r="AW12" s="18" t="str">
        <x:v>No — selected RoB matches this result</x:v>
      </x:c>
      <x:c r="AX12" s="18" t="str">
        <x:v>Chen 1998</x:v>
      </x:c>
      <x:c r="AY12" s="18" t="str">
        <x:v>Alternative dermatomal-site contrast</x:v>
      </x:c>
      <x:c r="AZ12" s="18" t="str">
        <x:v>Four-arm RCT with shared sham; do not count three active-vs-sham rows as three independent studies.</x:v>
      </x:c>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x:c r="AA13" s="18" t="str">
        <x:v>Yes</x:v>
      </x:c>
      <x:c r="AB13" s="18" t="str">
        <x:v>No</x:v>
      </x:c>
      <x:c r="AC13" s="18" t="str">
        <x:v>MD</x:v>
      </x:c>
      <x:c r="AD13" s="18" t="n">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c r="AM13" s="18" t="str">
        <x:v>Postoperative opioid consumption</x:v>
      </x:c>
      <x:c r="AN13" s="18" t="str">
        <x:v>Exact/explicit 24 h</x:v>
      </x:c>
      <x:c r="AO13" s="18" t="str">
        <x:v>INCLUDE</x:v>
      </x:c>
      <x:c r="AP13" s="18" t="str">
        <x:v>Explicit 0-24-h postoperative opioid endpoint and marked eligible in the reconciled source data.</x:v>
      </x:c>
      <x:c r="AQ13" s="18" t="str">
        <x:v>Yes</x:v>
      </x:c>
      <x:c r="AR13" s="18" t="str"/>
      <x:c r="AS13" s="18" t="str">
        <x:v>Opioid/MME conversion required using prespecified review conversion</x:v>
      </x:c>
      <x:c r="AT13" s="18" t="str">
        <x:v>Cumulative IV PCA hydromorphone</x:v>
      </x:c>
      <x:c r="AU13" s="18" t="str">
        <x:v>First 24 h</x:v>
      </x:c>
      <x:c r="AV13" s="18" t="str">
        <x:v>Some concerns</x:v>
      </x:c>
      <x:c r="AW13" s="18" t="str">
        <x:v>No — selected RoB matches this result</x:v>
      </x:c>
      <x:c r="AX13" s="18" t="str">
        <x:v>Chen 1998</x:v>
      </x:c>
      <x:c r="AY13" s="18" t="str">
        <x:v>Preferred acupoint-specific contrast</x:v>
      </x:c>
      <x:c r="AZ13" s="18" t="str">
        <x:v>Four-arm RCT with shared sham; do not count three active-vs-sham rows as three independent studies.</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x:c r="AA14" s="18" t="str">
        <x:v>Yes</x:v>
      </x:c>
      <x:c r="AB14" s="18" t="str">
        <x:v>No</x:v>
      </x:c>
      <x:c r="AC14" s="18" t="str">
        <x:v>MD</x:v>
      </x:c>
      <x:c r="AD14" s="18" t="n">
        <x:v>-28.189999999999998</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c r="AM14" s="18" t="str">
        <x:v>Postoperative opioid consumption</x:v>
      </x:c>
      <x:c r="AN14" s="18" t="str">
        <x:v>Contains 24 h but definition differs</x:v>
      </x:c>
      <x:c r="AO14" s="18" t="str">
        <x:v>INCLUDE</x:v>
      </x:c>
      <x:c r="AP14" s="18" t="str">
        <x:v>Explicit 0-24-h postoperative opioid endpoint and marked eligible in the reconciled source data.</x:v>
      </x:c>
      <x:c r="AQ14" s="18" t="str">
        <x:v>Yes</x:v>
      </x:c>
      <x:c r="AR14" s="18" t="str"/>
      <x:c r="AS14" s="18" t="str">
        <x:v>Opioid/MME conversion required using prespecified review conversion</x:v>
      </x:c>
      <x:c r="AT14" s="18" t="str">
        <x:v>Cumulative sufentanil</x:v>
      </x:c>
      <x:c r="AU14" s="18" t="str">
        <x:v>24 h</x:v>
      </x:c>
      <x:c r="AV14" s="18" t="str">
        <x:v>Some concerns</x:v>
      </x:c>
      <x:c r="AW14" s="18" t="str">
        <x:v>No — selected RoB matches this result</x:v>
      </x:c>
      <x:c r="AX14" s="18" t="str">
        <x:v>Chen 2020</x:v>
      </x:c>
      <x:c r="AY14" s="18" t="str">
        <x:v>Primary eligible contrast</x:v>
      </x:c>
      <x:c r="AZ14" s="18" t="str">
        <x:v>Count this study once per synthesis unless a valid multi-arm method is used.</x:v>
      </x:c>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x:c r="AA15" s="18" t="str">
        <x:v>Yes</x:v>
      </x:c>
      <x:c r="AB15" s="18" t="str">
        <x:v>No</x:v>
      </x:c>
      <x:c r="AC15" s="18" t="str">
        <x:v>MD</x:v>
      </x:c>
      <x:c r="AD15" s="18" t="n">
        <x:v>-3.0599999999999996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c r="AM15" s="18" t="str">
        <x:v>Pain</x:v>
      </x:c>
      <x:c r="AN15" s="18" t="str">
        <x:v>Contains 24 h but definition differs</x:v>
      </x:c>
      <x:c r="AO15" s="18" t="str">
        <x:v>CONDITIONAL</x:v>
      </x:c>
      <x:c r="AP15" s="18" t="str">
        <x:v>Contains a 24-h measurement but timepoint definition differs from the strict analysis.</x:v>
      </x:c>
      <x:c r="AQ15" s="18" t="str">
        <x:v>No</x:v>
      </x:c>
      <x:c r="AR15" s="18" t="str"/>
      <x:c r="AS15" s="18" t="str">
        <x:v>None</x:v>
      </x:c>
      <x:c r="AT15" s="18" t="str">
        <x:v>Cumulative sufentanil</x:v>
      </x:c>
      <x:c r="AU15" s="18" t="str">
        <x:v>24 h</x:v>
      </x:c>
      <x:c r="AV15" s="18" t="str">
        <x:v>Some concerns</x:v>
      </x:c>
      <x:c r="AW15" s="18" t="str">
        <x:v>Yes — selected RoB is for a different result/timepoint</x:v>
      </x:c>
      <x:c r="AX15" s="18" t="str">
        <x:v>Chen 2020</x:v>
      </x:c>
      <x:c r="AY15" s="18" t="str">
        <x:v>Primary eligible contrast</x:v>
      </x:c>
      <x:c r="AZ15" s="18" t="str">
        <x:v>Count this study once per synthesis unless a valid multi-arm method is used.</x:v>
      </x:c>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x:c r="AA16" s="18" t="str">
        <x:v>Yes</x:v>
      </x:c>
      <x:c r="AB16" s="18" t="str">
        <x:v>No</x:v>
      </x:c>
      <x:c r="AC16" s="18" t="str">
        <x:v>MD</x:v>
      </x:c>
      <x:c r="AD16" s="18" t="n">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c r="AM16" s="18" t="str">
        <x:v>Postoperative opioid consumption</x:v>
      </x:c>
      <x:c r="AN16" s="18" t="str">
        <x:v>Exact/explicit 24 h</x:v>
      </x:c>
      <x:c r="AO16" s="18" t="str">
        <x:v>CONDITIONAL</x:v>
      </x:c>
      <x:c r="AP16" s="18" t="str">
        <x:v>24-h opioid endpoint exists but requires a prespecified route/unit/time-window or derived-value rule.</x:v>
      </x:c>
      <x:c r="AQ16" s="18" t="str">
        <x:v>No</x:v>
      </x:c>
      <x:c r="AR16" s="18" t="str"/>
      <x:c r="AS16" s="18" t="str">
        <x:v>Opioid/MME conversion required using prespecified review conversion</x:v>
      </x:c>
      <x:c r="AT16" s="18" t="str">
        <x:v>Cumulative fentanyl</x:v>
      </x:c>
      <x:c r="AU16" s="18" t="str">
        <x:v>First 24 h</x:v>
      </x:c>
      <x:c r="AV16" s="18" t="str">
        <x:v>High</x:v>
      </x:c>
      <x:c r="AW16" s="18" t="str">
        <x:v>No — selected RoB matches this result</x:v>
      </x:c>
      <x:c r="AX16" s="18" t="str">
        <x:v>Coura 2011</x:v>
      </x:c>
      <x:c r="AY16" s="18" t="str">
        <x:v>Primary eligible contrast</x:v>
      </x:c>
      <x:c r="AZ16" s="18" t="str">
        <x:v>Count this study once per synthesis unless a valid multi-arm method is used.</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x:c r="AA17" s="18" t="str">
        <x:v>No</x:v>
      </x:c>
      <x:c r="AB17" s="18" t="str">
        <x:v>Yes</x:v>
      </x:c>
      <x:c r="AC17" s="18"/>
      <x:c r="AD17" s="18"/>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c r="AM17" s="18" t="str">
        <x:v>Pain</x:v>
      </x:c>
      <x:c r="AN17" s="18" t="str">
        <x:v>Contains 24 h but definition differs</x:v>
      </x:c>
      <x:c r="AO17" s="18" t="str">
        <x:v>CONDITIONAL</x:v>
      </x:c>
      <x:c r="AP17" s="18" t="str">
        <x:v>Contains a 24-h measurement but timepoint definition differs from the strict analysis.</x:v>
      </x:c>
      <x:c r="AQ17" s="18" t="str">
        <x:v>No</x:v>
      </x:c>
      <x:c r="AR17" s="18" t="str"/>
      <x:c r="AS17" s="18" t="str">
        <x:v>None</x:v>
      </x:c>
      <x:c r="AT17" s="18" t="str">
        <x:v>Cumulative PCA solution consumption</x:v>
      </x:c>
      <x:c r="AU17" s="18" t="str">
        <x:v>48 h</x:v>
      </x:c>
      <x:c r="AV17" s="18" t="str">
        <x:v>Some concerns</x:v>
      </x:c>
      <x:c r="AW17" s="18" t="str">
        <x:v>Yes — selected RoB is for a different result/timepoint</x:v>
      </x:c>
      <x:c r="AX17" s="18" t="str">
        <x:v>Ao 2021</x:v>
      </x:c>
      <x:c r="AY17" s="18" t="str">
        <x:v>Primary eligible contrast</x:v>
      </x:c>
      <x:c r="AZ17" s="18" t="str">
        <x:v>Count this study once per synthesis unless a valid multi-arm method is used.</x:v>
      </x:c>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x:c r="AA18" s="18" t="str">
        <x:v>No</x:v>
      </x:c>
      <x:c r="AB18" s="18" t="str">
        <x:v>No</x:v>
      </x:c>
      <x:c r="AC18" s="18"/>
      <x:c r="AD18" s="18"/>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c r="AM18" s="18" t="str">
        <x:v>Postoperative opioid consumption</x:v>
      </x:c>
      <x:c r="AN18" s="18" t="str">
        <x:v>Exact/explicit 24 h</x:v>
      </x:c>
      <x:c r="AO18" s="18" t="str">
        <x:v>EXCLUDE — DATA UNAVAILABLE</x:v>
      </x:c>
      <x:c r="AP18" s="18" t="str">
        <x:v>The source does not provide a defensible quantitative value for this analysis.</x:v>
      </x:c>
      <x:c r="AQ18" s="18" t="str">
        <x:v>No</x:v>
      </x:c>
      <x:c r="AR18" s="18" t="str"/>
      <x:c r="AS18" s="18" t="str">
        <x:v>Opioid/MME conversion required using prespecified review conversion</x:v>
      </x:c>
      <x:c r="AT18" s="18" t="str">
        <x:v>Cumulative PCA solution consumption</x:v>
      </x:c>
      <x:c r="AU18" s="18" t="str">
        <x:v>48 h</x:v>
      </x:c>
      <x:c r="AV18" s="18" t="str">
        <x:v>Some concerns</x:v>
      </x:c>
      <x:c r="AW18" s="18" t="str">
        <x:v>Yes — selected RoB is for a different result/timepoint</x:v>
      </x:c>
      <x:c r="AX18" s="18" t="str">
        <x:v>Ao 2021</x:v>
      </x:c>
      <x:c r="AY18" s="18" t="str">
        <x:v>Primary eligible contrast</x:v>
      </x:c>
      <x:c r="AZ18" s="18" t="str">
        <x:v>Count this study once per synthesis unless a valid multi-arm method is used.</x:v>
      </x:c>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v>RR</x:v>
      </x:c>
      <x:c r="AD19" s="18" t="n">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c r="AM19" s="18" t="str">
        <x:v>PONV</x:v>
      </x:c>
      <x:c r="AN19" s="18" t="str">
        <x:v>Contains 24 h but definition differs</x:v>
      </x:c>
      <x:c r="AO19" s="18" t="str">
        <x:v>CONDITIONAL</x:v>
      </x:c>
      <x:c r="AP19" s="18" t="str">
        <x:v>Valid PONV result, but the postoperative observation window should be matched to the intended synthesis.</x:v>
      </x:c>
      <x:c r="AQ19" s="18" t="str">
        <x:v>No</x:v>
      </x:c>
      <x:c r="AR19" s="18" t="str"/>
      <x:c r="AS19" s="18" t="str">
        <x:v>Binary effect measure (RR preferred per protocol)</x:v>
      </x:c>
      <x:c r="AT19" s="18" t="str">
        <x:v>Postoperative vomiting</x:v>
      </x:c>
      <x:c r="AU19" s="18" t="str">
        <x:v>6-24 h postoperatively</x:v>
      </x:c>
      <x:c r="AV19" s="18" t="str">
        <x:v>Some concerns</x:v>
      </x:c>
      <x:c r="AW19" s="18" t="str">
        <x:v>Yes — selected RoB is for a different result/timepoint</x:v>
      </x:c>
      <x:c r="AX19" s="18" t="str">
        <x:v>Zhu 2022</x:v>
      </x:c>
      <x:c r="AY19" s="18" t="str">
        <x:v>Shared-control / multi-arm contrast</x:v>
      </x:c>
      <x:c r="AZ19" s="18" t="str">
        <x:v>Shared comparator present; avoid double-counting controls.</x:v>
      </x:c>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v>RR</x:v>
      </x:c>
      <x:c r="AD20" s="18" t="n">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c r="AM20" s="18" t="str">
        <x:v>PONV</x:v>
      </x:c>
      <x:c r="AN20" s="18" t="str">
        <x:v>Contains 24 h but definition differs</x:v>
      </x:c>
      <x:c r="AO20" s="18" t="str">
        <x:v>CONDITIONAL</x:v>
      </x:c>
      <x:c r="AP20" s="18" t="str">
        <x:v>Valid PONV result, but the postoperative observation window should be matched to the intended synthesis.</x:v>
      </x:c>
      <x:c r="AQ20" s="18" t="str">
        <x:v>No</x:v>
      </x:c>
      <x:c r="AR20" s="18" t="str"/>
      <x:c r="AS20" s="18" t="str">
        <x:v>Binary effect measure (RR preferred per protocol)</x:v>
      </x:c>
      <x:c r="AT20" s="18" t="str">
        <x:v>Postoperative vomiting</x:v>
      </x:c>
      <x:c r="AU20" s="18" t="str">
        <x:v>6-24 h postoperatively</x:v>
      </x:c>
      <x:c r="AV20" s="18" t="str">
        <x:v>Some concerns</x:v>
      </x:c>
      <x:c r="AW20" s="18" t="str">
        <x:v>No — selected RoB matches this result</x:v>
      </x:c>
      <x:c r="AX20" s="18" t="str">
        <x:v>Zhu 2022</x:v>
      </x:c>
      <x:c r="AY20" s="18" t="str">
        <x:v>Shared-control / multi-arm contrast</x:v>
      </x:c>
      <x:c r="AZ20" s="18" t="str">
        <x:v>Shared comparator present; avoid double-counting controls.</x:v>
      </x:c>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v>RR</x:v>
      </x:c>
      <x:c r="AD21" s="18" t="n">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c r="AM21" s="18" t="str">
        <x:v>PONV</x:v>
      </x:c>
      <x:c r="AN21" s="18" t="str">
        <x:v>Contains 24 h but definition differs</x:v>
      </x:c>
      <x:c r="AO21" s="18" t="str">
        <x:v>CONDITIONAL</x:v>
      </x:c>
      <x:c r="AP21" s="18" t="str">
        <x:v>Valid PONV result, but the postoperative observation window should be matched to the intended synthesis.</x:v>
      </x:c>
      <x:c r="AQ21" s="18" t="str">
        <x:v>No</x:v>
      </x:c>
      <x:c r="AR21" s="18" t="str"/>
      <x:c r="AS21" s="18" t="str">
        <x:v>Binary effect measure (RR preferred per protocol)</x:v>
      </x:c>
      <x:c r="AT21" s="18" t="str">
        <x:v>Postoperative vomiting</x:v>
      </x:c>
      <x:c r="AU21" s="18" t="str">
        <x:v>6-24 h postoperatively</x:v>
      </x:c>
      <x:c r="AV21" s="18" t="str">
        <x:v>Some concerns</x:v>
      </x:c>
      <x:c r="AW21" s="18" t="str">
        <x:v>Yes — selected RoB is for a different result/timepoint</x:v>
      </x:c>
      <x:c r="AX21" s="18" t="str">
        <x:v>Zhu 2022</x:v>
      </x:c>
      <x:c r="AY21" s="18" t="str">
        <x:v>Shared-control / multi-arm contrast</x:v>
      </x:c>
      <x:c r="AZ21" s="18" t="str">
        <x:v>Shared comparator present; avoid double-counting controls.</x:v>
      </x:c>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v>RR</x:v>
      </x:c>
      <x:c r="AD22" s="18" t="n">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c r="AM22" s="18" t="str">
        <x:v>PONV</x:v>
      </x:c>
      <x:c r="AN22" s="18" t="str">
        <x:v>Contains 24 h but definition differs</x:v>
      </x:c>
      <x:c r="AO22" s="18" t="str">
        <x:v>CONDITIONAL</x:v>
      </x:c>
      <x:c r="AP22" s="18" t="str">
        <x:v>Valid PONV result, but the postoperative observation window should be matched to the intended synthesis.</x:v>
      </x:c>
      <x:c r="AQ22" s="18" t="str">
        <x:v>No</x:v>
      </x:c>
      <x:c r="AR22" s="18" t="str"/>
      <x:c r="AS22" s="18" t="str">
        <x:v>Binary effect measure (RR preferred per protocol)</x:v>
      </x:c>
      <x:c r="AT22" s="18" t="str">
        <x:v>Postoperative vomiting</x:v>
      </x:c>
      <x:c r="AU22" s="18" t="str">
        <x:v>6-24 h postoperatively</x:v>
      </x:c>
      <x:c r="AV22" s="18" t="str">
        <x:v>Some concerns</x:v>
      </x:c>
      <x:c r="AW22" s="18" t="str">
        <x:v>No — selected RoB matches this result</x:v>
      </x:c>
      <x:c r="AX22" s="18" t="str">
        <x:v>Zhu 2022</x:v>
      </x:c>
      <x:c r="AY22" s="18" t="str">
        <x:v>Shared-control / multi-arm contrast</x:v>
      </x:c>
      <x:c r="AZ22" s="18" t="str">
        <x:v>Shared comparator present; avoid double-counting controls.</x:v>
      </x:c>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v>RR</x:v>
      </x:c>
      <x:c r="AD23" s="18" t="n">
        <x:v>0.41148148148148145</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c r="AM23" s="18" t="str">
        <x:v>PONV</x:v>
      </x:c>
      <x:c r="AN23" s="18" t="str">
        <x:v>Contains 24 h but definition differs</x:v>
      </x:c>
      <x:c r="AO23" s="18" t="str">
        <x:v>CONDITIONAL</x:v>
      </x:c>
      <x:c r="AP23" s="18" t="str">
        <x:v>Valid PONV result, but the postoperative observation window should be matched to the intended synthesis.</x:v>
      </x:c>
      <x:c r="AQ23" s="18" t="str">
        <x:v>No</x:v>
      </x:c>
      <x:c r="AR23" s="18" t="str"/>
      <x:c r="AS23" s="18" t="str">
        <x:v>Binary effect measure (RR preferred per protocol)</x:v>
      </x:c>
      <x:c r="AT23" s="18" t="str">
        <x:v>Postoperative vomiting</x:v>
      </x:c>
      <x:c r="AU23" s="18" t="str">
        <x:v>6-24 h postoperatively</x:v>
      </x:c>
      <x:c r="AV23" s="18" t="str">
        <x:v>Some concerns</x:v>
      </x:c>
      <x:c r="AW23" s="18" t="str">
        <x:v>Yes — selected RoB is for a different result/timepoint</x:v>
      </x:c>
      <x:c r="AX23" s="18" t="str">
        <x:v>Zhu 2022</x:v>
      </x:c>
      <x:c r="AY23" s="18" t="str">
        <x:v>Shared-control / multi-arm contrast</x:v>
      </x:c>
      <x:c r="AZ23" s="18" t="str">
        <x:v>Shared comparator present; avoid double-counting controls.</x:v>
      </x:c>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v>RR</x:v>
      </x:c>
      <x:c r="AD24" s="18" t="n">
        <x:v>0.41318181818181815</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c r="AM24" s="18" t="str">
        <x:v>PONV</x:v>
      </x:c>
      <x:c r="AN24" s="18" t="str">
        <x:v>Contains 24 h but definition differs</x:v>
      </x:c>
      <x:c r="AO24" s="18" t="str">
        <x:v>CONDITIONAL</x:v>
      </x:c>
      <x:c r="AP24" s="18" t="str">
        <x:v>Valid PONV result, but the postoperative observation window should be matched to the intended synthesis.</x:v>
      </x:c>
      <x:c r="AQ24" s="18" t="str">
        <x:v>No</x:v>
      </x:c>
      <x:c r="AR24" s="18" t="str"/>
      <x:c r="AS24" s="18" t="str">
        <x:v>Binary effect measure (RR preferred per protocol)</x:v>
      </x:c>
      <x:c r="AT24" s="18" t="str">
        <x:v>Postoperative vomiting</x:v>
      </x:c>
      <x:c r="AU24" s="18" t="str">
        <x:v>6-24 h postoperatively</x:v>
      </x:c>
      <x:c r="AV24" s="18" t="str">
        <x:v>Some concerns</x:v>
      </x:c>
      <x:c r="AW24" s="18" t="str">
        <x:v>No — selected RoB matches this result</x:v>
      </x:c>
      <x:c r="AX24" s="18" t="str">
        <x:v>Zhu 2022</x:v>
      </x:c>
      <x:c r="AY24" s="18" t="str">
        <x:v>Shared-control / multi-arm contrast</x:v>
      </x:c>
      <x:c r="AZ24" s="18" t="str">
        <x:v>Shared comparator present; avoid double-counting controls.</x:v>
      </x:c>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v>MD</x:v>
      </x:c>
      <x:c r="AD25" s="18" t="n">
        <x:v>4.3799999999999955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c r="AM25" s="18" t="str">
        <x:v>Quality of recovery</x:v>
      </x:c>
      <x:c r="AN25" s="18" t="str">
        <x:v>POD1 / approximate 24 h</x:v>
      </x:c>
      <x:c r="AO25" s="18" t="str">
        <x:v>CONDITIONAL — POD1</x:v>
      </x:c>
      <x:c r="AP25" s="18" t="str">
        <x:v>POD1 is approximately 24 h; pool only if allowed by protocol.</x:v>
      </x:c>
      <x:c r="AQ25" s="18" t="str">
        <x:v>Yes</x:v>
      </x:c>
      <x:c r="AR25" s="18" t="str"/>
      <x:c r="AS25" s="18" t="str">
        <x:v>None</x:v>
      </x:c>
      <x:c r="AT25" s="18" t="str">
        <x:v>Global QoR-15</x:v>
      </x:c>
      <x:c r="AU25" s="18" t="str">
        <x:v>POD1</x:v>
      </x:c>
      <x:c r="AV25" s="18" t="str">
        <x:v>High</x:v>
      </x:c>
      <x:c r="AW25" s="18" t="str">
        <x:v>No — selected RoB matches this result</x:v>
      </x:c>
      <x:c r="AX25" s="18" t="str">
        <x:v>Zhou 2025</x:v>
      </x:c>
      <x:c r="AY25" s="18" t="str">
        <x:v>Primary eligible contrast</x:v>
      </x:c>
      <x:c r="AZ25" s="18" t="str">
        <x:v>Count this study once per synthesis unless a valid multi-arm method is used.</x:v>
      </x:c>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x:c r="AD26" s="18"/>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c r="AM26" s="18" t="str">
        <x:v>Pain</x:v>
      </x:c>
      <x:c r="AN26" s="18" t="str">
        <x:v>POD1 / approximate 24 h</x:v>
      </x:c>
      <x:c r="AO26" s="18" t="str">
        <x:v>CONDITIONAL — POD1</x:v>
      </x:c>
      <x:c r="AP26" s="18" t="str">
        <x:v>POD1/day-after-surgery is not necessarily a clock-defined 24-h measurement; pool only if protocol permits.</x:v>
      </x:c>
      <x:c r="AQ26" s="18" t="str">
        <x:v>No</x:v>
      </x:c>
      <x:c r="AR26" s="18" t="str"/>
      <x:c r="AS26" s="18" t="str">
        <x:v>Use median/IQR-compatible meta-analysis method; do not relabel as mean/SD</x:v>
      </x:c>
      <x:c r="AT26" s="18" t="str">
        <x:v>Global QoR-15</x:v>
      </x:c>
      <x:c r="AU26" s="18" t="str">
        <x:v>POD1</x:v>
      </x:c>
      <x:c r="AV26" s="18" t="str">
        <x:v>High</x:v>
      </x:c>
      <x:c r="AW26" s="18" t="str">
        <x:v>Yes — selected RoB is for a different result/timepoint</x:v>
      </x:c>
      <x:c r="AX26" s="18" t="str">
        <x:v>Zhou 2025</x:v>
      </x:c>
      <x:c r="AY26" s="18" t="str">
        <x:v>Primary eligible contrast</x:v>
      </x:c>
      <x:c r="AZ26" s="18" t="str">
        <x:v>Count this study once per synthesis unless a valid multi-arm method is used.</x:v>
      </x:c>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v>RR</x:v>
      </x:c>
      <x:c r="AD27" s="18" t="n">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c r="AM27" s="18" t="str">
        <x:v>PONV</x:v>
      </x:c>
      <x:c r="AN27" s="18" t="str">
        <x:v>POD1 / approximate 24 h</x:v>
      </x:c>
      <x:c r="AO27" s="18" t="str">
        <x:v>CONDITIONAL</x:v>
      </x:c>
      <x:c r="AP27" s="18" t="str">
        <x:v>Valid PONV result, but the postoperative observation window should be matched to the intended synthesis.</x:v>
      </x:c>
      <x:c r="AQ27" s="18" t="str">
        <x:v>No</x:v>
      </x:c>
      <x:c r="AR27" s="18" t="str"/>
      <x:c r="AS27" s="18" t="str">
        <x:v>Binary effect measure (RR preferred per protocol)</x:v>
      </x:c>
      <x:c r="AT27" s="18" t="str">
        <x:v>Global QoR-15</x:v>
      </x:c>
      <x:c r="AU27" s="18" t="str">
        <x:v>POD1</x:v>
      </x:c>
      <x:c r="AV27" s="18" t="str">
        <x:v>High</x:v>
      </x:c>
      <x:c r="AW27" s="18" t="str">
        <x:v>Yes — selected RoB is for a different result/timepoint</x:v>
      </x:c>
      <x:c r="AX27" s="18" t="str">
        <x:v>Zhou 2025</x:v>
      </x:c>
      <x:c r="AY27" s="18" t="str">
        <x:v>Primary eligible contrast</x:v>
      </x:c>
      <x:c r="AZ27" s="18" t="str">
        <x:v>Count this study once per synthesis unless a valid multi-arm method is used.</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v>MD</x:v>
      </x:c>
      <x:c r="AD28" s="18" t="n">
        <x:v>-1.7800000000000011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c r="AM28" s="18" t="str">
        <x:v>GI recovery</x:v>
      </x:c>
      <x:c r="AN28" s="18" t="str">
        <x:v>Postoperative</x:v>
      </x:c>
      <x:c r="AO28" s="18" t="str">
        <x:v>INCLUDE</x:v>
      </x:c>
      <x:c r="AP28" s="18" t="str">
        <x:v>Source-valid first-flatus/ileus endpoint; retain reported distribution (mean/SD, median/IQR, or events).</x:v>
      </x:c>
      <x:c r="AQ28" s="18" t="str">
        <x:v>Yes</x:v>
      </x:c>
      <x:c r="AR28" s="18" t="str"/>
      <x:c r="AS28" s="18" t="str">
        <x:v>None</x:v>
      </x:c>
      <x:c r="AT28" s="18" t="str">
        <x:v>Global QoR-15</x:v>
      </x:c>
      <x:c r="AU28" s="18" t="str">
        <x:v>POD1</x:v>
      </x:c>
      <x:c r="AV28" s="18" t="str">
        <x:v>High</x:v>
      </x:c>
      <x:c r="AW28" s="18" t="str">
        <x:v>Yes — selected RoB is for a different result/timepoint</x:v>
      </x:c>
      <x:c r="AX28" s="18" t="str">
        <x:v>Zhou 2025</x:v>
      </x:c>
      <x:c r="AY28" s="18" t="str">
        <x:v>Primary eligible contrast</x:v>
      </x:c>
      <x:c r="AZ28" s="18" t="str">
        <x:v>Count this study once per synthesis unless a valid multi-arm method is used.</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v>RR</x:v>
      </x:c>
      <x:c r="AD29" s="18" t="n">
        <x:v>0.47115384615384615</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c r="AM29" s="18" t="str">
        <x:v>Rescue analgesia</x:v>
      </x:c>
      <x:c r="AN29" s="18" t="str">
        <x:v>POD1 / approximate 24 h</x:v>
      </x:c>
      <x:c r="AO29" s="18" t="str">
        <x:v>INCLUDE — SECONDARY</x:v>
      </x:c>
      <x:c r="AP29" s="18" t="str">
        <x:v>Source-verified outcome suitable for its matching secondary analysis.</x:v>
      </x:c>
      <x:c r="AQ29" s="18" t="str">
        <x:v>No</x:v>
      </x:c>
      <x:c r="AR29" s="18" t="str"/>
      <x:c r="AS29" s="18" t="str">
        <x:v>Binary effect measure (RR preferred per protocol)</x:v>
      </x:c>
      <x:c r="AT29" s="18" t="str">
        <x:v>Global QoR-15</x:v>
      </x:c>
      <x:c r="AU29" s="18" t="str">
        <x:v>POD1</x:v>
      </x:c>
      <x:c r="AV29" s="18" t="str">
        <x:v>High</x:v>
      </x:c>
      <x:c r="AW29" s="18" t="str">
        <x:v>Yes — selected RoB is for a different result/timepoint</x:v>
      </x:c>
      <x:c r="AX29" s="18" t="str">
        <x:v>Zhou 2025</x:v>
      </x:c>
      <x:c r="AY29" s="18" t="str">
        <x:v>Primary eligible contrast</x:v>
      </x:c>
      <x:c r="AZ29" s="18" t="str">
        <x:v>Count this study once per synthesis unless a valid multi-arm method is used.</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x:c r="AA30" s="18" t="str">
        <x:v>No</x:v>
      </x:c>
      <x:c r="AB30" s="18" t="str">
        <x:v>No</x:v>
      </x:c>
      <x:c r="AC30" s="18"/>
      <x:c r="AD30" s="18"/>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c r="AM30" s="18" t="str">
        <x:v>Postoperative opioid consumption</x:v>
      </x:c>
      <x:c r="AN30" s="18" t="str">
        <x:v>Exact/explicit 24 h</x:v>
      </x:c>
      <x:c r="AO30" s="18" t="str">
        <x:v>EXCLUDE — DATA UNAVAILABLE</x:v>
      </x:c>
      <x:c r="AP30" s="18" t="str">
        <x:v>The source does not provide a defensible quantitative value for this analysis.</x:v>
      </x:c>
      <x:c r="AQ30" s="18" t="str">
        <x:v>No</x:v>
      </x:c>
      <x:c r="AR30" s="18" t="str"/>
      <x:c r="AS30" s="18" t="str">
        <x:v>None</x:v>
      </x:c>
      <x:c r="AT30" s="18" t="str">
        <x:v>Global QoR-15</x:v>
      </x:c>
      <x:c r="AU30" s="18" t="str">
        <x:v>POD1</x:v>
      </x:c>
      <x:c r="AV30" s="18" t="str">
        <x:v>High</x:v>
      </x:c>
      <x:c r="AW30" s="18" t="str">
        <x:v>Yes — selected RoB is for a different result/timepoint</x:v>
      </x:c>
      <x:c r="AX30" s="18" t="str">
        <x:v>Zhou 2025</x:v>
      </x:c>
      <x:c r="AY30" s="18" t="str">
        <x:v>Primary eligible contrast</x:v>
      </x:c>
      <x:c r="AZ30" s="18" t="str">
        <x:v>Count this study once per synthesis unless a valid multi-arm method is used.</x:v>
      </x:c>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v>MD</x:v>
      </x:c>
      <x:c r="AD31" s="18" t="n">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c r="AM31" s="18" t="str">
        <x:v>Pain</x:v>
      </x:c>
      <x:c r="AN31" s="18" t="str">
        <x:v>POD1 / approximate 24 h</x:v>
      </x:c>
      <x:c r="AO31" s="18" t="str">
        <x:v>CONDITIONAL — POD1</x:v>
      </x:c>
      <x:c r="AP31" s="18" t="str">
        <x:v>POD1/day-after-surgery is not necessarily a clock-defined 24-h measurement; pool only if protocol permits.</x:v>
      </x:c>
      <x:c r="AQ31" s="18" t="str">
        <x:v>No</x:v>
      </x:c>
      <x:c r="AR31" s="18" t="str"/>
      <x:c r="AS31" s="18" t="str">
        <x:v>None</x:v>
      </x:c>
      <x:c r="AT31" s="18" t="str">
        <x:v>Time to first flatus</x:v>
      </x:c>
      <x:c r="AU31" s="18" t="str">
        <x:v>Postoperative</x:v>
      </x:c>
      <x:c r="AV31" s="18" t="str">
        <x:v>High</x:v>
      </x:c>
      <x:c r="AW31" s="18" t="str">
        <x:v>Yes — selected RoB is for a different result/timepoint</x:v>
      </x:c>
      <x:c r="AX31" s="18" t="str">
        <x:v>Zhou 2021</x:v>
      </x:c>
      <x:c r="AY31" s="18" t="str">
        <x:v>Primary eligible contrast</x:v>
      </x:c>
      <x:c r="AZ31" s="18" t="str">
        <x:v>Count this study once per synthesis unless a valid multi-arm method is used.</x:v>
      </x:c>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v>RR</x:v>
      </x:c>
      <x:c r="AD32" s="18" t="n">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c r="AM32" s="18" t="str">
        <x:v>Postoperative opioid consumption</x:v>
      </x:c>
      <x:c r="AN32" s="18" t="str">
        <x:v>Exact/explicit 24 h</x:v>
      </x:c>
      <x:c r="AO32" s="18" t="str">
        <x:v>CONDITIONAL</x:v>
      </x:c>
      <x:c r="AP32" s="18" t="str">
        <x:v>Published postoperative opioid endpoint is relevant but does not meet the strict primary 0-24-h definition without an explicit protocol rule.</x:v>
      </x:c>
      <x:c r="AQ32" s="18" t="str">
        <x:v>No</x:v>
      </x:c>
      <x:c r="AR32" s="18" t="str"/>
      <x:c r="AS32" s="18" t="str">
        <x:v>None</x:v>
      </x:c>
      <x:c r="AT32" s="18" t="str">
        <x:v>Time to first flatus</x:v>
      </x:c>
      <x:c r="AU32" s="18" t="str">
        <x:v>Postoperative</x:v>
      </x:c>
      <x:c r="AV32" s="18" t="str">
        <x:v>High</x:v>
      </x:c>
      <x:c r="AW32" s="18" t="str">
        <x:v>Yes — selected RoB is for a different result/timepoint</x:v>
      </x:c>
      <x:c r="AX32" s="18" t="str">
        <x:v>Zhou 2021</x:v>
      </x:c>
      <x:c r="AY32" s="18" t="str">
        <x:v>Primary eligible contrast</x:v>
      </x:c>
      <x:c r="AZ32" s="18" t="str">
        <x:v>Count this study once per synthesis unless a valid multi-arm method is used.</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v>RR</x:v>
      </x:c>
      <x:c r="AD33" s="18" t="n">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c r="AM33" s="18" t="str">
        <x:v>PONV</x:v>
      </x:c>
      <x:c r="AN33" s="18" t="str">
        <x:v>Contains 24 h but definition differs</x:v>
      </x:c>
      <x:c r="AO33" s="18" t="str">
        <x:v>CONDITIONAL</x:v>
      </x:c>
      <x:c r="AP33" s="18" t="str">
        <x:v>Valid PONV result, but the postoperative observation window should be matched to the intended synthesis.</x:v>
      </x:c>
      <x:c r="AQ33" s="18" t="str">
        <x:v>No</x:v>
      </x:c>
      <x:c r="AR33" s="18" t="str"/>
      <x:c r="AS33" s="18" t="str">
        <x:v>Binary effect measure (RR preferred per protocol)</x:v>
      </x:c>
      <x:c r="AT33" s="18" t="str">
        <x:v>Any PONV</x:v>
      </x:c>
      <x:c r="AU33" s="18" t="str">
        <x:v>Within 24 h</x:v>
      </x:c>
      <x:c r="AV33" s="18" t="str">
        <x:v>Some concerns</x:v>
      </x:c>
      <x:c r="AW33" s="18" t="str">
        <x:v>No — selected RoB matches this result</x:v>
      </x:c>
      <x:c r="AX33" s="18" t="str">
        <x:v>Zheng 2025</x:v>
      </x:c>
      <x:c r="AY33" s="18" t="str">
        <x:v>Primary eligible contrast</x:v>
      </x:c>
      <x:c r="AZ33" s="18" t="str">
        <x:v>Count this study once per synthesis unless a valid multi-arm method is used.</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v>MD</x:v>
      </x:c>
      <x:c r="AD34" s="18" t="n">
        <x:v>-56.400000000000006</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c r="AM34" s="18" t="str">
        <x:v>Intraoperative opioid</x:v>
      </x:c>
      <x:c r="AN34" s="18" t="str">
        <x:v>Intraoperative</x:v>
      </x:c>
      <x:c r="AO34" s="18" t="str">
        <x:v>INCLUDE — INTRAOPERATIVE</x:v>
      </x:c>
      <x:c r="AP34" s="18" t="str">
        <x:v>Valid intraoperative opioid endpoint; must remain separate from postoperative opioid consumption.</x:v>
      </x:c>
      <x:c r="AQ34" s="18" t="str">
        <x:v>No</x:v>
      </x:c>
      <x:c r="AR34" s="18" t="str"/>
      <x:c r="AS34" s="18" t="str">
        <x:v>None</x:v>
      </x:c>
      <x:c r="AT34" s="18" t="str">
        <x:v>Any PONV</x:v>
      </x:c>
      <x:c r="AU34" s="18" t="str">
        <x:v>Within 24 h</x:v>
      </x:c>
      <x:c r="AV34" s="18" t="str">
        <x:v>Some concerns</x:v>
      </x:c>
      <x:c r="AW34" s="18" t="str">
        <x:v>Yes — selected RoB is for a different result/timepoint</x:v>
      </x:c>
      <x:c r="AX34" s="18" t="str">
        <x:v>Zheng 2025</x:v>
      </x:c>
      <x:c r="AY34" s="18" t="str">
        <x:v>Primary eligible contrast</x:v>
      </x:c>
      <x:c r="AZ34" s="18" t="str">
        <x:v>Count this study once per synthesis unless a valid multi-arm method is used.</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v>MD</x:v>
      </x:c>
      <x:c r="AD35" s="18" t="n">
        <x:v>-4.3999999999999995</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c r="AM35" s="18" t="str">
        <x:v>PCA demand/proxy</x:v>
      </x:c>
      <x:c r="AN35" s="18" t="str">
        <x:v>Postoperative; exact pump duration NR</x:v>
      </x:c>
      <x:c r="AO35" s="18" t="str">
        <x:v>CONDITIONAL</x:v>
      </x:c>
      <x:c r="AP35" s="18" t="str">
        <x:v>Source value is valid in its native metric but cannot be converted to the target opioid mass/MME without additional information.</x:v>
      </x:c>
      <x:c r="AQ35" s="18" t="str">
        <x:v>No</x:v>
      </x:c>
      <x:c r="AR35" s="18" t="str"/>
      <x:c r="AS35" s="18" t="str">
        <x:v>None</x:v>
      </x:c>
      <x:c r="AT35" s="18" t="str">
        <x:v>Any PONV</x:v>
      </x:c>
      <x:c r="AU35" s="18" t="str">
        <x:v>Within 24 h</x:v>
      </x:c>
      <x:c r="AV35" s="18" t="str">
        <x:v>Some concerns</x:v>
      </x:c>
      <x:c r="AW35" s="18" t="str">
        <x:v>Yes — selected RoB is for a different result/timepoint</x:v>
      </x:c>
      <x:c r="AX35" s="18" t="str">
        <x:v>Zheng 2025</x:v>
      </x:c>
      <x:c r="AY35" s="18" t="str">
        <x:v>Primary eligible contrast</x:v>
      </x:c>
      <x:c r="AZ35" s="18" t="str">
        <x:v>Count this study once per synthesis unless a valid multi-arm method is used.</x:v>
      </x:c>
    </x:row>
    <x:row r="36">
      <x:c r="A36" s="18" t="str">
        <x:v>Zheng 2025</x:v>
      </x:c>
      <x:c r="B36" s="18" t="str">
        <x:v>ZHENG25_TEAS_vs_SHAM_OPIOID24</x:v>
      </x:c>
      <x:c r="C36" s="18" t="str">
        <x:v>Perioperative TEAS</x:v>
      </x:c>
      <x:c r="D36" s="18" t="str">
        <x:v>Sham/no current</x:v>
      </x:c>
      <x:c r="E36" s="18" t="str">
        <x:v>Opioid consumption</x:v>
      </x:c>
      <x:c r="F36" s="18" t="str">
        <x:v>Exact cumulative postoperative sufentanil mass</x:v>
      </x:c>
      <x:c r="G36" s="18" t="str">
        <x:v>0-24 h</x:v>
      </x:c>
      <x:c r="H36" s="18" t="str">
        <x:v>Not reported</x:v>
      </x:c>
      <x:c r="I36" s="18" t="n">
        <x:v>44</x:v>
      </x:c>
      <x:c r="J36" s="18" t="n">
        <x:v>44</x:v>
      </x:c>
      <x:c r="K36" s="18" t="n">
        <x:v>42</x:v>
      </x:c>
      <x:c r="L36" s="18" t="n">
        <x:v>43</x:v>
      </x:c>
      <x:c r="M36" s="18"/>
      <x:c r="N36" s="18"/>
      <x:c r="O36" s="18"/>
      <x:c r="P36" s="18"/>
      <x:c r="Q36" s="18"/>
      <x:c r="R36" s="18"/>
      <x:c r="S36" s="18"/>
      <x:c r="T36" s="18"/>
      <x:c r="U36" s="18"/>
      <x:c r="V36" s="18"/>
      <x:c r="W36" s="18"/>
      <x:c r="X36" s="18"/>
      <x:c r="Y36" s="18" t="str">
        <x:v>µg sufentanil</x:v>
      </x:c>
      <x:c r="Z36" s="18"/>
      <x:c r="AA36" s="18" t="str">
        <x:v>No</x:v>
      </x:c>
      <x:c r="AB36" s="18" t="str">
        <x:v>No</x:v>
      </x:c>
      <x:c r="AC36" s="18"/>
      <x:c r="AD36" s="18"/>
      <x:c r="AE36" s="18" t="str">
        <x:v>No</x:v>
      </x:c>
      <x:c r="AF36" s="18" t="str">
        <x:v>No</x:v>
      </x:c>
      <x:c r="AG36" s="18" t="str">
        <x:v>Not eligible for continuous 24-h opioid meta-analysis without author data</x:v>
      </x:c>
      <x:c r="AH36" s="18" t="str">
        <x:v>No</x:v>
      </x:c>
      <x:c r="AI36" s="18" t="str">
        <x:v>Final PCIA volume/concentration and exact cumulative sufentanil mass are not reported</x:v>
      </x:c>
      <x:c r="AJ36" s="18" t="str">
        <x:v>PCIA formulation section / missing outcome</x:v>
      </x:c>
      <x:c r="AK36" s="18" t="str">
        <x:v>https://drive.google.com/file/d/1-JWKZgQXaQQQBZgMSDqyIP-vG9aAxBqb/view?usp=drivesdk</x:v>
      </x:c>
      <x:c r="AL36" s="18" t="str">
        <x:v>MISSING / AUTHOR DATA NEEDED</x:v>
      </x:c>
      <x:c r="AM36" s="18" t="str">
        <x:v>Postoperative opioid consumption</x:v>
      </x:c>
      <x:c r="AN36" s="18" t="str">
        <x:v>Exact/explicit 24 h</x:v>
      </x:c>
      <x:c r="AO36" s="18" t="str">
        <x:v>EXCLUDE — DATA UNAVAILABLE</x:v>
      </x:c>
      <x:c r="AP36" s="18" t="str">
        <x:v>The source does not provide a defensible quantitative value for this analysis.</x:v>
      </x:c>
      <x:c r="AQ36" s="18" t="str">
        <x:v>No</x:v>
      </x:c>
      <x:c r="AR36" s="18" t="str"/>
      <x:c r="AS36" s="18" t="str">
        <x:v>Opioid/MME conversion required using prespecified review conversion</x:v>
      </x:c>
      <x:c r="AT36" s="18" t="str">
        <x:v>Any PONV</x:v>
      </x:c>
      <x:c r="AU36" s="18" t="str">
        <x:v>Within 24 h</x:v>
      </x:c>
      <x:c r="AV36" s="18" t="str">
        <x:v>Some concerns</x:v>
      </x:c>
      <x:c r="AW36" s="18" t="str">
        <x:v>Yes — selected RoB is for a different result/timepoint</x:v>
      </x:c>
      <x:c r="AX36" s="18" t="str">
        <x:v>Zheng 2025</x:v>
      </x:c>
      <x:c r="AY36" s="18" t="str">
        <x:v>Primary eligible contrast</x:v>
      </x:c>
      <x:c r="AZ36" s="18" t="str">
        <x:v>Count this study once per synthesis unless a valid multi-arm method is used.</x:v>
      </x:c>
    </x:row>
    <x:row r="37">
      <x:c r="A37" s="18" t="str">
        <x:v>Zhan 2020</x:v>
      </x:c>
      <x:c r="B37" s="18" t="str">
        <x:v>ZHAN20_TAPTEAS_vs_TAP_PAIN24</x:v>
      </x:c>
      <x:c r="C37" s="18" t="str">
        <x:v>TAP block + postoperative TEAS</x:v>
      </x:c>
      <x:c r="D37" s="18" t="str">
        <x:v>TAP block</x:v>
      </x:c>
      <x:c r="E37" s="18" t="str">
        <x:v>Pain</x:v>
      </x:c>
      <x:c r="F37" s="18" t="str">
        <x:v>VAS pain intensity</x:v>
      </x:c>
      <x:c r="G37" s="18" t="str">
        <x:v>24 h postoperatively</x:v>
      </x:c>
      <x:c r="H37" s="18" t="str">
        <x:v>Source-format ambiguous</x:v>
      </x:c>
      <x:c r="I37" s="18" t="n">
        <x:v>30</x:v>
      </x:c>
      <x:c r="J37" s="18" t="n">
        <x:v>30</x:v>
      </x:c>
      <x:c r="K37" s="18" t="n">
        <x:v>30</x:v>
      </x:c>
      <x:c r="L37" s="18" t="n">
        <x:v>30</x:v>
      </x:c>
      <x:c r="M37" s="18"/>
      <x:c r="N37" s="18"/>
      <x:c r="O37" s="18"/>
      <x:c r="P37" s="18"/>
      <x:c r="Q37" s="18"/>
      <x:c r="R37" s="18"/>
      <x:c r="S37" s="18"/>
      <x:c r="T37" s="18"/>
      <x:c r="U37" s="18"/>
      <x:c r="V37" s="18"/>
      <x:c r="W37" s="18"/>
      <x:c r="X37" s="18"/>
      <x:c r="Y37" s="18" t="str">
        <x:v>VAS</x:v>
      </x:c>
      <x:c r="Z37" s="18" t="str">
        <x:v>0.03 pairwise</x:v>
      </x:c>
      <x:c r="AA37" s="18" t="str">
        <x:v>Yes</x:v>
      </x:c>
      <x:c r="AB37" s="18" t="str">
        <x:v>No</x:v>
      </x:c>
      <x:c r="AC37" s="18"/>
      <x:c r="AD37" s="18"/>
      <x:c r="AE37" s="18" t="str">
        <x:v>No</x:v>
      </x:c>
      <x:c r="AF37" s="18" t="str">
        <x:v>No</x:v>
      </x:c>
      <x:c r="AG37" s="18" t="str">
        <x:v>Qualitative/source-text use only until summary format is clarified</x:v>
      </x:c>
      <x:c r="AH37" s="18" t="str">
        <x:v>Yes</x:v>
      </x:c>
      <x:c r="AI37" s="18" t="str">
        <x:v>Printed source values are TAP+TEAS '2 (1.7 ± 2.2)' vs TAP '2 (2.0 ± 3.0)'; format is not defined as mean/SD, median/IQR, or range</x:v>
      </x:c>
      <x:c r="AJ37" s="18" t="str">
        <x:v>Table 2, p4</x:v>
      </x:c>
      <x:c r="AK37" s="18" t="str">
        <x:v>https://drive.google.com/file/d/1GYG7JxUOQxbt724-Ng7dWv3sYeC8dDSr/view?usp=drivesdk</x:v>
      </x:c>
      <x:c r="AL37" s="18" t="str">
        <x:v>SOURCE-VERIFIED / FORMAT QC</x:v>
      </x:c>
      <x:c r="AM37" s="18" t="str">
        <x:v>Pain</x:v>
      </x:c>
      <x:c r="AN37" s="18" t="str">
        <x:v>Contains 24 h but definition differs</x:v>
      </x:c>
      <x:c r="AO37" s="18" t="str">
        <x:v>CONDITIONAL</x:v>
      </x:c>
      <x:c r="AP37" s="18" t="str">
        <x:v>Contains a 24-h measurement but timepoint definition differs from the strict analysis.</x:v>
      </x:c>
      <x:c r="AQ37" s="18" t="str">
        <x:v>No</x:v>
      </x:c>
      <x:c r="AR37" s="18" t="str"/>
      <x:c r="AS37" s="18" t="str">
        <x:v>None</x:v>
      </x:c>
      <x:c r="AT37" s="18" t="str">
        <x:v>VAS pain intensity</x:v>
      </x:c>
      <x:c r="AU37" s="18" t="str">
        <x:v>24 h</x:v>
      </x:c>
      <x:c r="AV37" s="18" t="str">
        <x:v>High</x:v>
      </x:c>
      <x:c r="AW37" s="18" t="str">
        <x:v>No — selected RoB matches this result</x:v>
      </x:c>
      <x:c r="AX37" s="18" t="str">
        <x:v>Zhan 2020</x:v>
      </x:c>
      <x:c r="AY37" s="18" t="str">
        <x:v>Shared-control / multi-arm contrast</x:v>
      </x:c>
      <x:c r="AZ37" s="18" t="str">
        <x:v>Shared comparator present; avoid double-counting controls.</x:v>
      </x:c>
    </x:row>
    <x:row r="38">
      <x:c r="A38" s="18" t="str">
        <x:v>Zhan 2020</x:v>
      </x:c>
      <x:c r="B38" s="18" t="str">
        <x:v>ZHAN20_TAPTEAS_vs_TAP_OPIOID24</x:v>
      </x:c>
      <x:c r="C38" s="18" t="str">
        <x:v>TAP block + postoperative TEAS</x:v>
      </x:c>
      <x:c r="D38" s="18" t="str">
        <x:v>TAP block</x:v>
      </x:c>
      <x:c r="E38" s="18" t="str">
        <x:v>Opioid consumption</x:v>
      </x:c>
      <x:c r="F38" s="18" t="str">
        <x:v>Actual cumulative postoperative sufentanil consumption</x:v>
      </x:c>
      <x:c r="G38" s="18" t="str">
        <x:v>0-24 h</x:v>
      </x:c>
      <x:c r="H38" s="18" t="str">
        <x:v>Not reported</x:v>
      </x:c>
      <x:c r="I38" s="18" t="n">
        <x:v>30</x:v>
      </x:c>
      <x:c r="J38" s="18" t="n">
        <x:v>30</x:v>
      </x:c>
      <x:c r="K38" s="18" t="n">
        <x:v>30</x:v>
      </x:c>
      <x:c r="L38" s="18" t="n">
        <x:v>30</x:v>
      </x:c>
      <x:c r="M38" s="18"/>
      <x:c r="N38" s="18"/>
      <x:c r="O38" s="18"/>
      <x:c r="P38" s="18"/>
      <x:c r="Q38" s="18"/>
      <x:c r="R38" s="18"/>
      <x:c r="S38" s="18"/>
      <x:c r="T38" s="18"/>
      <x:c r="U38" s="18"/>
      <x:c r="V38" s="18"/>
      <x:c r="W38" s="18"/>
      <x:c r="X38" s="18"/>
      <x:c r="Y38" s="18" t="str">
        <x:v>µg sufentanil</x:v>
      </x:c>
      <x:c r="Z38" s="18"/>
      <x:c r="AA38" s="18" t="str">
        <x:v>No</x:v>
      </x:c>
      <x:c r="AB38" s="18" t="str">
        <x:v>No</x:v>
      </x:c>
      <x:c r="AC38" s="18"/>
      <x:c r="AD38" s="18"/>
      <x:c r="AE38" s="18" t="str">
        <x:v>No</x:v>
      </x:c>
      <x:c r="AF38" s="18" t="str">
        <x:v>No</x:v>
      </x:c>
      <x:c r="AG38" s="18" t="str">
        <x:v>Not eligible for continuous 24-h opioid meta-analysis</x:v>
      </x:c>
      <x:c r="AH38" s="18" t="str">
        <x:v>Yes</x:v>
      </x:c>
      <x:c r="AI38" s="18" t="str">
        <x:v>Only programmed PCIA reservoir/basal settings are reported; actual group-specific delivered opioid is NR</x:v>
      </x:c>
      <x:c r="AJ38" s="18" t="str">
        <x:v>PCIA protocol / exact 24-h opioid section</x:v>
      </x:c>
      <x:c r="AK38" s="18" t="str">
        <x:v>https://drive.google.com/file/d/1GYG7JxUOQxbt724-Ng7dWv3sYeC8dDSr/view?usp=drivesdk</x:v>
      </x:c>
      <x:c r="AL38" s="18" t="str">
        <x:v>MISSING / NOT OBSERVED</x:v>
      </x:c>
      <x:c r="AM38" s="18" t="str">
        <x:v>Postoperative opioid consumption</x:v>
      </x:c>
      <x:c r="AN38" s="18" t="str">
        <x:v>Exact/explicit 24 h</x:v>
      </x:c>
      <x:c r="AO38" s="18" t="str">
        <x:v>EXCLUDE — DATA UNAVAILABLE</x:v>
      </x:c>
      <x:c r="AP38" s="18" t="str">
        <x:v>The source does not provide a defensible quantitative value for this analysis.</x:v>
      </x:c>
      <x:c r="AQ38" s="18" t="str">
        <x:v>No</x:v>
      </x:c>
      <x:c r="AR38" s="18" t="str"/>
      <x:c r="AS38" s="18" t="str">
        <x:v>Opioid/MME conversion required using prespecified review conversion</x:v>
      </x:c>
      <x:c r="AT38" s="18" t="str">
        <x:v>VAS pain intensity</x:v>
      </x:c>
      <x:c r="AU38" s="18" t="str">
        <x:v>24 h</x:v>
      </x:c>
      <x:c r="AV38" s="18" t="str">
        <x:v>High</x:v>
      </x:c>
      <x:c r="AW38" s="18" t="str">
        <x:v>Yes — selected RoB is for a different result/timepoint</x:v>
      </x:c>
      <x:c r="AX38" s="18" t="str">
        <x:v>Zhan 2020</x:v>
      </x:c>
      <x:c r="AY38" s="18" t="str">
        <x:v>Shared-control / multi-arm contrast</x:v>
      </x:c>
      <x:c r="AZ38" s="18" t="str">
        <x:v>Shared comparator present; avoid double-counting controls.</x:v>
      </x:c>
    </x:row>
    <x:row r="39">
      <x:c r="A39" s="18" t="str">
        <x:v>Zhang 2025</x:v>
      </x:c>
      <x:c r="B39" s="18" t="str">
        <x:v>ZHANG25_TEAS_vs_SHAM_SUFPOD1</x:v>
      </x:c>
      <x:c r="C39" s="18" t="str">
        <x:v>Perioperative TEAS</x:v>
      </x:c>
      <x:c r="D39" s="18" t="str">
        <x:v>Sub-sensory sham</x:v>
      </x:c>
      <x:c r="E39" s="18" t="str">
        <x:v>Opioid consumption</x:v>
      </x:c>
      <x:c r="F39" s="18" t="str">
        <x:v>Total sufentanil consumption</x:v>
      </x:c>
      <x:c r="G39" s="18" t="str">
        <x:v>POD1; approximately 24 h but exact clock window not explicit</x:v>
      </x:c>
      <x:c r="H39" s="18" t="str">
        <x:v>Mean/SD</x:v>
      </x:c>
      <x:c r="I39" s="18" t="n">
        <x:v>54</x:v>
      </x:c>
      <x:c r="J39" s="18" t="n">
        <x:v>54</x:v>
      </x:c>
      <x:c r="K39" s="18" t="n">
        <x:v>45</x:v>
      </x:c>
      <x:c r="L39" s="18" t="n">
        <x:v>48</x:v>
      </x:c>
      <x:c r="M39" s="18" t="n">
        <x:v>50.53</x:v>
      </x:c>
      <x:c r="N39" s="18" t="n">
        <x:v>4.46</x:v>
      </x:c>
      <x:c r="O39" s="18"/>
      <x:c r="P39" s="18"/>
      <x:c r="Q39" s="18"/>
      <x:c r="R39" s="18"/>
      <x:c r="S39" s="18" t="n">
        <x:v>53.79</x:v>
      </x:c>
      <x:c r="T39" s="18" t="n">
        <x:v>5.14</x:v>
      </x:c>
      <x:c r="U39" s="18"/>
      <x:c r="V39" s="18"/>
      <x:c r="W39" s="18"/>
      <x:c r="X39" s="18"/>
      <x:c r="Y39" s="18" t="str">
        <x:v>µg sufentanil</x:v>
      </x:c>
      <x:c r="Z39" s="18" t="str">
        <x:v>0.002</x:v>
      </x:c>
      <x:c r="AA39" s="18" t="str">
        <x:v>Yes</x:v>
      </x:c>
      <x:c r="AB39" s="18" t="str">
        <x:v>No</x:v>
      </x:c>
      <x:c r="AC39" s="18" t="str">
        <x:v>MD</x:v>
      </x:c>
      <x:c r="AD39" s="18" t="n">
        <x:v>-3.259999999999998</x:v>
      </x:c>
      <x:c r="AE39" s="18" t="str">
        <x:v>Conditional</x:v>
      </x:c>
      <x:c r="AF39" s="18" t="str">
        <x:v>Conditional</x:v>
      </x:c>
      <x:c r="AG39" s="18" t="str">
        <x:v>Eligible for POD1 opioid analysis; strict 0-24-h use requires confirmation</x:v>
      </x:c>
      <x:c r="AH39" s="18" t="str">
        <x:v>No</x:v>
      </x:c>
      <x:c r="AI39" s="18" t="str">
        <x:v>Endpoint is directly reported as POD1, not explicitly clock-defined 0-24 h; 15/108 excluded after randomization</x:v>
      </x:c>
      <x:c r="AJ39" s="18" t="str">
        <x:v>Table 4, p9</x:v>
      </x:c>
      <x:c r="AK39" s="18" t="str">
        <x:v>https://drive.google.com/file/d/1eHx6Hk16vmIfMgoiZ5eNae4zmCR5ktwJ/view?usp=drivesdk</x:v>
      </x:c>
      <x:c r="AL39" s="18" t="str">
        <x:v>SOURCE-VERIFIED / WINDOW QC</x:v>
      </x:c>
      <x:c r="AM39" s="18" t="str">
        <x:v>Postoperative opioid consumption</x:v>
      </x:c>
      <x:c r="AN39" s="18" t="str">
        <x:v>POD1 / approximate 24 h</x:v>
      </x:c>
      <x:c r="AO39" s="18" t="str">
        <x:v>CONDITIONAL</x:v>
      </x:c>
      <x:c r="AP39" s="18" t="str">
        <x:v>24-h opioid endpoint exists but requires a prespecified route/unit/time-window or derived-value rule.</x:v>
      </x:c>
      <x:c r="AQ39" s="18" t="str">
        <x:v>No</x:v>
      </x:c>
      <x:c r="AR39" s="18" t="str"/>
      <x:c r="AS39" s="18" t="str">
        <x:v>Opioid/MME conversion required using prespecified review conversion</x:v>
      </x:c>
      <x:c r="AT39" s="18" t="str">
        <x:v>Total sufentanil consumption</x:v>
      </x:c>
      <x:c r="AU39" s="18" t="str">
        <x:v>POD1 (~24 h)</x:v>
      </x:c>
      <x:c r="AV39" s="18" t="str">
        <x:v>High</x:v>
      </x:c>
      <x:c r="AW39" s="18" t="str">
        <x:v>No — selected RoB matches this result</x:v>
      </x:c>
      <x:c r="AX39" s="18" t="str">
        <x:v>Zhang 2025</x:v>
      </x:c>
      <x:c r="AY39" s="18" t="str">
        <x:v>Primary eligible contrast</x:v>
      </x:c>
      <x:c r="AZ39" s="18" t="str">
        <x:v>Count this study once per synthesis unless a valid multi-arm method is used.</x:v>
      </x:c>
    </x:row>
    <x:row r="40">
      <x:c r="A40" s="18" t="str">
        <x:v>Zhang 2025</x:v>
      </x:c>
      <x:c r="B40" s="18" t="str">
        <x:v>ZHANG25_TEAS_vs_SHAM_RESCUE</x:v>
      </x:c>
      <x:c r="C40" s="18" t="str">
        <x:v>Perioperative TEAS</x:v>
      </x:c>
      <x:c r="D40" s="18" t="str">
        <x:v>Sub-sensory sham</x:v>
      </x:c>
      <x:c r="E40" s="18" t="str">
        <x:v>Rescue analgesia</x:v>
      </x:c>
      <x:c r="F40" s="18" t="str">
        <x:v>Any rescue analgesia demand</x:v>
      </x:c>
      <x:c r="G40" s="18" t="str">
        <x:v>POD1 / postoperative period reported in Table 4</x:v>
      </x:c>
      <x:c r="H40" s="18" t="str">
        <x:v>Events/total</x:v>
      </x:c>
      <x:c r="I40" s="18" t="n">
        <x:v>54</x:v>
      </x:c>
      <x:c r="J40" s="18" t="n">
        <x:v>54</x:v>
      </x:c>
      <x:c r="K40" s="18" t="n">
        <x:v>45</x:v>
      </x:c>
      <x:c r="L40" s="18" t="n">
        <x:v>48</x:v>
      </x:c>
      <x:c r="M40" s="18"/>
      <x:c r="N40" s="18"/>
      <x:c r="O40" s="18"/>
      <x:c r="P40" s="18"/>
      <x:c r="Q40" s="18"/>
      <x:c r="R40" s="18" t="n">
        <x:v>14</x:v>
      </x:c>
      <x:c r="S40" s="18"/>
      <x:c r="T40" s="18"/>
      <x:c r="U40" s="18"/>
      <x:c r="V40" s="18"/>
      <x:c r="W40" s="18"/>
      <x:c r="X40" s="18" t="n">
        <x:v>29</x:v>
      </x:c>
      <x:c r="Y40" s="18" t="str">
        <x:v>participants</x:v>
      </x:c>
      <x:c r="Z40" s="18" t="str">
        <x:v>0.005 in Table 4; 0.002 in prose</x:v>
      </x:c>
      <x:c r="AA40" s="18" t="str">
        <x:v>Yes</x:v>
      </x:c>
      <x:c r="AB40" s="18" t="str">
        <x:v>No</x:v>
      </x:c>
      <x:c r="AC40" s="18" t="str">
        <x:v>RR</x:v>
      </x:c>
      <x:c r="AD40" s="18" t="n">
        <x:v>0.5149425287356322</x:v>
      </x:c>
      <x:c r="AE40" s="18" t="str">
        <x:v>No</x:v>
      </x:c>
      <x:c r="AF40" s="18" t="str">
        <x:v>No</x:v>
      </x:c>
      <x:c r="AG40" s="18" t="str">
        <x:v>Eligible for binary rescue-analgesia analysis using raw counts</x:v>
      </x:c>
      <x:c r="AH40" s="18" t="str">
        <x:v>No</x:v>
      </x:c>
      <x:c r="AI40" s="18" t="str">
        <x:v>Published RR 0.70 (0.44-1.10) conflicts with raw counts (~0.52) and significant P-value; use raw event counts</x:v>
      </x:c>
      <x:c r="AJ40" s="18" t="str">
        <x:v>Table 4, p9</x:v>
      </x:c>
      <x:c r="AK40" s="18" t="str">
        <x:v>https://drive.google.com/file/d/1eHx6Hk16vmIfMgoiZ5eNae4zmCR5ktwJ/view?usp=drivesdk</x:v>
      </x:c>
      <x:c r="AL40" s="18" t="str">
        <x:v>SOURCE-VERIFIED / PUBLISHED EFFECT QC</x:v>
      </x:c>
      <x:c r="AM40" s="18" t="str">
        <x:v>Rescue analgesia</x:v>
      </x:c>
      <x:c r="AN40" s="18" t="str">
        <x:v>POD1 / approximate 24 h</x:v>
      </x:c>
      <x:c r="AO40" s="18" t="str">
        <x:v>CONDITIONAL</x:v>
      </x:c>
      <x:c r="AP40" s="18" t="str">
        <x:v>Source-grounded but carries a QC qualification.</x:v>
      </x:c>
      <x:c r="AQ40" s="18" t="str">
        <x:v>No</x:v>
      </x:c>
      <x:c r="AR40" s="18" t="str"/>
      <x:c r="AS40" s="18" t="str">
        <x:v>Binary effect measure (RR preferred per protocol)</x:v>
      </x:c>
      <x:c r="AT40" s="18" t="str">
        <x:v>Total sufentanil consumption</x:v>
      </x:c>
      <x:c r="AU40" s="18" t="str">
        <x:v>POD1 (~24 h)</x:v>
      </x:c>
      <x:c r="AV40" s="18" t="str">
        <x:v>High</x:v>
      </x:c>
      <x:c r="AW40" s="18" t="str">
        <x:v>Yes — selected RoB is for a different result/timepoint</x:v>
      </x:c>
      <x:c r="AX40" s="18" t="str">
        <x:v>Zhang 2025</x:v>
      </x:c>
      <x:c r="AY40" s="18" t="str">
        <x:v>Primary eligible contrast</x:v>
      </x:c>
      <x:c r="AZ40" s="18" t="str">
        <x:v>Count this study once per synthesis unless a valid multi-arm method is used.</x:v>
      </x:c>
    </x:row>
    <x:row r="41">
      <x:c r="A41" s="18" t="str">
        <x:v>Zhang 2025</x:v>
      </x:c>
      <x:c r="B41" s="18" t="str">
        <x:v>ZHANG25_TEAS_vs_SHAM_VISCERAL_POD1</x:v>
      </x:c>
      <x:c r="C41" s="18" t="str">
        <x:v>Perioperative TEAS</x:v>
      </x:c>
      <x:c r="D41" s="18" t="str">
        <x:v>Sub-sensory sham</x:v>
      </x:c>
      <x:c r="E41" s="18" t="str">
        <x:v>Pain</x:v>
      </x:c>
      <x:c r="F41" s="18" t="str">
        <x:v>Moderate-to-severe visceral pain</x:v>
      </x:c>
      <x:c r="G41" s="18" t="str">
        <x:v>POD1</x:v>
      </x:c>
      <x:c r="H41" s="18" t="str">
        <x:v>Events/total</x:v>
      </x:c>
      <x:c r="I41" s="18" t="n">
        <x:v>54</x:v>
      </x:c>
      <x:c r="J41" s="18" t="n">
        <x:v>54</x:v>
      </x:c>
      <x:c r="K41" s="18" t="n">
        <x:v>45</x:v>
      </x:c>
      <x:c r="L41" s="18" t="n">
        <x:v>48</x:v>
      </x:c>
      <x:c r="M41" s="18"/>
      <x:c r="N41" s="18"/>
      <x:c r="O41" s="18"/>
      <x:c r="P41" s="18"/>
      <x:c r="Q41" s="18"/>
      <x:c r="R41" s="18" t="n">
        <x:v>4</x:v>
      </x:c>
      <x:c r="S41" s="18"/>
      <x:c r="T41" s="18"/>
      <x:c r="U41" s="18"/>
      <x:c r="V41" s="18"/>
      <x:c r="W41" s="18"/>
      <x:c r="X41" s="18" t="n">
        <x:v>18</x:v>
      </x:c>
      <x:c r="Y41" s="18" t="str">
        <x:v>participants</x:v>
      </x:c>
      <x:c r="Z41" s="18" t="str">
        <x:v>0.001</x:v>
      </x:c>
      <x:c r="AA41" s="18" t="str">
        <x:v>Percentages directly reported; counts reconstructed exactly from denominators</x:v>
      </x:c>
      <x:c r="AB41" s="18" t="str">
        <x:v>Yes</x:v>
      </x:c>
      <x:c r="AC41" s="18" t="str">
        <x:v>RR</x:v>
      </x:c>
      <x:c r="AD41" s="18" t="n">
        <x:v>0.23703703703703705</x:v>
      </x:c>
      <x:c r="AE41" s="18" t="str">
        <x:v>No</x:v>
      </x:c>
      <x:c r="AF41" s="18" t="str">
        <x:v>No</x:v>
      </x:c>
      <x:c r="AG41" s="18" t="str">
        <x:v>Eligible for dichotomous visceral-pain analysis</x:v>
      </x:c>
      <x:c r="AH41" s="18" t="str">
        <x:v>No</x:v>
      </x:c>
      <x:c r="AI41" s="18" t="str">
        <x:v>Figure 3D reports 8.9% vs 37.5%; 4/45 and 18/48 are exact denominator reconstructions</x:v>
      </x:c>
      <x:c r="AJ41" s="18" t="str">
        <x:v>Figure 3D, p8</x:v>
      </x:c>
      <x:c r="AK41" s="18" t="str">
        <x:v>https://drive.google.com/file/d/1eHx6Hk16vmIfMgoiZ5eNae4zmCR5ktwJ/view?usp=drivesdk</x:v>
      </x:c>
      <x:c r="AL41" s="18" t="str">
        <x:v>SOURCE-VERIFIED / COUNTS DERIVED</x:v>
      </x:c>
      <x:c r="AM41" s="18" t="str">
        <x:v>Pain</x:v>
      </x:c>
      <x:c r="AN41" s="18" t="str">
        <x:v>POD1 / approximate 24 h</x:v>
      </x:c>
      <x:c r="AO41" s="18" t="str">
        <x:v>CONDITIONAL — POD1</x:v>
      </x:c>
      <x:c r="AP41" s="18" t="str">
        <x:v>POD1/day-after-surgery is not necessarily a clock-defined 24-h measurement; pool only if protocol permits.</x:v>
      </x:c>
      <x:c r="AQ41" s="18" t="str">
        <x:v>No</x:v>
      </x:c>
      <x:c r="AR41" s="18" t="str"/>
      <x:c r="AS41" s="18" t="str">
        <x:v>Binary effect measure (RR preferred per protocol)</x:v>
      </x:c>
      <x:c r="AT41" s="18" t="str">
        <x:v>Total sufentanil consumption</x:v>
      </x:c>
      <x:c r="AU41" s="18" t="str">
        <x:v>POD1 (~24 h)</x:v>
      </x:c>
      <x:c r="AV41" s="18" t="str">
        <x:v>High</x:v>
      </x:c>
      <x:c r="AW41" s="18" t="str">
        <x:v>Yes — selected RoB is for a different result/timepoint</x:v>
      </x:c>
      <x:c r="AX41" s="18" t="str">
        <x:v>Zhang 2025</x:v>
      </x:c>
      <x:c r="AY41" s="18" t="str">
        <x:v>Primary eligible contrast</x:v>
      </x:c>
      <x:c r="AZ41" s="18" t="str">
        <x:v>Count this study once per synthesis unless a valid multi-arm method is used.</x:v>
      </x:c>
    </x:row>
    <x:row r="42">
      <x:c r="A42" s="18" t="str">
        <x:v>Zhang 2023</x:v>
      </x:c>
      <x:c r="B42" s="18" t="str">
        <x:v>ZHANG23_TEAS_vs_SHAM_VOID</x:v>
      </x:c>
      <x:c r="C42" s="18" t="str">
        <x:v>TEAS</x:v>
      </x:c>
      <x:c r="D42" s="18" t="str">
        <x:v>Sham/no current</x:v>
      </x:c>
      <x:c r="E42" s="18" t="str">
        <x:v>Urinary recovery</x:v>
      </x:c>
      <x:c r="F42" s="18" t="str">
        <x:v>Time to first spontaneous void</x:v>
      </x:c>
      <x:c r="G42" s="18" t="str">
        <x:v>Postoperative</x:v>
      </x:c>
      <x:c r="H42" s="18" t="str">
        <x:v>Median/IQR</x:v>
      </x:c>
      <x:c r="I42" s="18" t="n">
        <x:v>975</x:v>
      </x:c>
      <x:c r="J42" s="18" t="n">
        <x:v>973</x:v>
      </x:c>
      <x:c r="K42" s="18" t="n">
        <x:v>922</x:v>
      </x:c>
      <x:c r="L42" s="18" t="n">
        <x:v>916</x:v>
      </x:c>
      <x:c r="M42" s="18"/>
      <x:c r="N42" s="18"/>
      <x:c r="O42" s="18" t="n">
        <x:v>5.6</x:v>
      </x:c>
      <x:c r="P42" s="18" t="n">
        <x:v>3.7</x:v>
      </x:c>
      <x:c r="Q42" s="18" t="n">
        <x:v>8</x:v>
      </x:c>
      <x:c r="R42" s="18"/>
      <x:c r="S42" s="18"/>
      <x:c r="T42" s="18"/>
      <x:c r="U42" s="18" t="n">
        <x:v>7.1</x:v>
      </x:c>
      <x:c r="V42" s="18" t="n">
        <x:v>4.7</x:v>
      </x:c>
      <x:c r="W42" s="18" t="n">
        <x:v>9.7</x:v>
      </x:c>
      <x:c r="X42" s="18"/>
      <x:c r="Y42" s="18" t="str">
        <x:v>hours</x:v>
      </x:c>
      <x:c r="Z42" s="18" t="str">
        <x:v>&lt;0.001</x:v>
      </x:c>
      <x:c r="AA42" s="18" t="str">
        <x:v>Yes</x:v>
      </x:c>
      <x:c r="AB42" s="18" t="str">
        <x:v>No</x:v>
      </x:c>
      <x:c r="AC42" s="18"/>
      <x:c r="AD42" s="18"/>
      <x:c r="AE42" s="18" t="str">
        <x:v>No</x:v>
      </x:c>
      <x:c r="AF42" s="18" t="str">
        <x:v>No</x:v>
      </x:c>
      <x:c r="AG42" s="18" t="str">
        <x:v>Eligible for urinary-recovery meta-analysis using median/IQR methods</x:v>
      </x:c>
      <x:c r="AH42" s="18" t="str">
        <x:v>No</x:v>
      </x:c>
      <x:c r="AI42" s="18" t="str">
        <x:v>110/1948 randomized participants were excluded from final analysis; abstract gives sham median 7.0 h but Table 2 gives 7.1 h—use table value</x:v>
      </x:c>
      <x:c r="AJ42" s="18" t="str">
        <x:v>Table 2 / primary spontaneous-void outcome</x:v>
      </x:c>
      <x:c r="AK42" s="18" t="str">
        <x:v>https://drive.google.com/file/d/1LXNXNhVJaOcYXBODulFUuMD4FQXC5dph/view?usp=drivesdk</x:v>
      </x:c>
      <x:c r="AL42" s="18" t="str">
        <x:v>SOURCE-VERIFIED / ATTRITION QC</x:v>
      </x:c>
      <x:c r="AM42" s="18" t="str">
        <x:v>Urinary recovery</x:v>
      </x:c>
      <x:c r="AN42" s="18" t="str">
        <x:v>Postoperative</x:v>
      </x:c>
      <x:c r="AO42" s="18" t="str">
        <x:v>CONDITIONAL</x:v>
      </x:c>
      <x:c r="AP42" s="18" t="str">
        <x:v>Source-grounded but carries a QC qualification.</x:v>
      </x:c>
      <x:c r="AQ42" s="18" t="str">
        <x:v>No</x:v>
      </x:c>
      <x:c r="AR42" s="18" t="str"/>
      <x:c r="AS42" s="18" t="str">
        <x:v>Use median/IQR-compatible meta-analysis method; do not relabel as mean/SD</x:v>
      </x:c>
      <x:c r="AT42" s="18" t="str">
        <x:v>Time to first spontaneous void</x:v>
      </x:c>
      <x:c r="AU42" s="18" t="str">
        <x:v>Postoperative</x:v>
      </x:c>
      <x:c r="AV42" s="18" t="str">
        <x:v>High</x:v>
      </x:c>
      <x:c r="AW42" s="18" t="str">
        <x:v>No — selected RoB matches this result</x:v>
      </x:c>
      <x:c r="AX42" s="18" t="str">
        <x:v>Zhang 2023</x:v>
      </x:c>
      <x:c r="AY42" s="18" t="str">
        <x:v>Primary eligible contrast</x:v>
      </x:c>
      <x:c r="AZ42" s="18" t="str">
        <x:v>Count this study once per synthesis unless a valid multi-arm method is used.</x:v>
      </x:c>
    </x:row>
    <x:row r="43">
      <x:c r="A43" s="18" t="str">
        <x:v>Zhang 2023</x:v>
      </x:c>
      <x:c r="B43" s="18" t="str">
        <x:v>ZHANG23_TEAS_vs_SHAM_DELAYED</x:v>
      </x:c>
      <x:c r="C43" s="18" t="str">
        <x:v>TEAS</x:v>
      </x:c>
      <x:c r="D43" s="18" t="str">
        <x:v>Sham/no current</x:v>
      </x:c>
      <x:c r="E43" s="18" t="str">
        <x:v>Urinary recovery</x:v>
      </x:c>
      <x:c r="F43" s="18" t="str">
        <x:v>Delayed urinary recovery (&gt;12 h without spontaneous void)</x:v>
      </x:c>
      <x:c r="G43" s="18" t="str">
        <x:v>Postoperative</x:v>
      </x:c>
      <x:c r="H43" s="18" t="str">
        <x:v>Events/total</x:v>
      </x:c>
      <x:c r="I43" s="18" t="n">
        <x:v>975</x:v>
      </x:c>
      <x:c r="J43" s="18" t="n">
        <x:v>973</x:v>
      </x:c>
      <x:c r="K43" s="18" t="n">
        <x:v>922</x:v>
      </x:c>
      <x:c r="L43" s="18" t="n">
        <x:v>916</x:v>
      </x:c>
      <x:c r="M43" s="18"/>
      <x:c r="N43" s="18"/>
      <x:c r="O43" s="18"/>
      <x:c r="P43" s="18"/>
      <x:c r="Q43" s="18"/>
      <x:c r="R43" s="18" t="n">
        <x:v>103</x:v>
      </x:c>
      <x:c r="S43" s="18"/>
      <x:c r="T43" s="18"/>
      <x:c r="U43" s="18"/>
      <x:c r="V43" s="18"/>
      <x:c r="W43" s="18"/>
      <x:c r="X43" s="18" t="n">
        <x:v>173</x:v>
      </x:c>
      <x:c r="Y43" s="18" t="str">
        <x:v>participants</x:v>
      </x:c>
      <x:c r="Z43" s="18" t="str">
        <x:v>&lt;0.001</x:v>
      </x:c>
      <x:c r="AA43" s="18" t="str">
        <x:v>Yes</x:v>
      </x:c>
      <x:c r="AB43" s="18" t="str">
        <x:v>No</x:v>
      </x:c>
      <x:c r="AC43" s="18" t="str">
        <x:v>RR</x:v>
      </x:c>
      <x:c r="AD43" s="18" t="n">
        <x:v>0.5915012601406844</x:v>
      </x:c>
      <x:c r="AE43" s="18" t="str">
        <x:v>No</x:v>
      </x:c>
      <x:c r="AF43" s="18" t="str">
        <x:v>No</x:v>
      </x:c>
      <x:c r="AG43" s="18" t="str">
        <x:v>Eligible for dichotomous delayed-voiding analysis</x:v>
      </x:c>
      <x:c r="AH43" s="18" t="str">
        <x:v>No</x:v>
      </x:c>
      <x:c r="AI43" s="18" t="str">
        <x:v>Use analyzed denominators 922 and 916, not randomized denominators</x:v>
      </x:c>
      <x:c r="AJ43" s="18" t="str">
        <x:v>Table 2 / delayed urinary recovery</x:v>
      </x:c>
      <x:c r="AK43" s="18" t="str">
        <x:v>https://drive.google.com/file/d/1LXNXNhVJaOcYXBODulFUuMD4FQXC5dph/view?usp=drivesdk</x:v>
      </x:c>
      <x:c r="AL43" s="18" t="str">
        <x:v>SOURCE-VERIFIED / ATTRITION QC</x:v>
      </x:c>
      <x:c r="AM43" s="18" t="str">
        <x:v>Urinary recovery</x:v>
      </x:c>
      <x:c r="AN43" s="18" t="str">
        <x:v>Postoperative</x:v>
      </x:c>
      <x:c r="AO43" s="18" t="str">
        <x:v>CONDITIONAL</x:v>
      </x:c>
      <x:c r="AP43" s="18" t="str">
        <x:v>Source-grounded but carries a QC qualification.</x:v>
      </x:c>
      <x:c r="AQ43" s="18" t="str">
        <x:v>No</x:v>
      </x:c>
      <x:c r="AR43" s="18" t="str"/>
      <x:c r="AS43" s="18" t="str">
        <x:v>Binary effect measure (RR preferred per protocol)</x:v>
      </x:c>
      <x:c r="AT43" s="18" t="str">
        <x:v>Time to first spontaneous void</x:v>
      </x:c>
      <x:c r="AU43" s="18" t="str">
        <x:v>Postoperative</x:v>
      </x:c>
      <x:c r="AV43" s="18" t="str">
        <x:v>High</x:v>
      </x:c>
      <x:c r="AW43" s="18" t="str">
        <x:v>Yes — selected RoB is for a different result/timepoint</x:v>
      </x:c>
      <x:c r="AX43" s="18" t="str">
        <x:v>Zhang 2023</x:v>
      </x:c>
      <x:c r="AY43" s="18" t="str">
        <x:v>Primary eligible contrast</x:v>
      </x:c>
      <x:c r="AZ43" s="18" t="str">
        <x:v>Count this study once per synthesis unless a valid multi-arm method is used.</x:v>
      </x:c>
    </x:row>
    <x:row r="44">
      <x:c r="A44" s="18" t="str">
        <x:v>Zhang 2023</x:v>
      </x:c>
      <x:c r="B44" s="18" t="str">
        <x:v>ZHANG23_TEAS_vs_SHAM_POUR</x:v>
      </x:c>
      <x:c r="C44" s="18" t="str">
        <x:v>TEAS</x:v>
      </x:c>
      <x:c r="D44" s="18" t="str">
        <x:v>Sham/no current</x:v>
      </x:c>
      <x:c r="E44" s="18" t="str">
        <x:v>Urinary recovery</x:v>
      </x:c>
      <x:c r="F44" s="18" t="str">
        <x:v>Postoperative urinary retention</x:v>
      </x:c>
      <x:c r="G44" s="18" t="str">
        <x:v>Postoperative</x:v>
      </x:c>
      <x:c r="H44" s="18" t="str">
        <x:v>Events/total</x:v>
      </x:c>
      <x:c r="I44" s="18" t="n">
        <x:v>975</x:v>
      </x:c>
      <x:c r="J44" s="18" t="n">
        <x:v>973</x:v>
      </x:c>
      <x:c r="K44" s="18" t="n">
        <x:v>922</x:v>
      </x:c>
      <x:c r="L44" s="18" t="n">
        <x:v>916</x:v>
      </x:c>
      <x:c r="M44" s="18"/>
      <x:c r="N44" s="18"/>
      <x:c r="O44" s="18"/>
      <x:c r="P44" s="18"/>
      <x:c r="Q44" s="18"/>
      <x:c r="R44" s="18" t="n">
        <x:v>75</x:v>
      </x:c>
      <x:c r="S44" s="18"/>
      <x:c r="T44" s="18"/>
      <x:c r="U44" s="18"/>
      <x:c r="V44" s="18"/>
      <x:c r="W44" s="18"/>
      <x:c r="X44" s="18" t="n">
        <x:v>104</x:v>
      </x:c>
      <x:c r="Y44" s="18" t="str">
        <x:v>participants</x:v>
      </x:c>
      <x:c r="Z44" s="18" t="str">
        <x:v>0.02</x:v>
      </x:c>
      <x:c r="AA44" s="18" t="str">
        <x:v>Yes</x:v>
      </x:c>
      <x:c r="AB44" s="18" t="str">
        <x:v>No</x:v>
      </x:c>
      <x:c r="AC44" s="18" t="str">
        <x:v>RR</x:v>
      </x:c>
      <x:c r="AD44" s="18" t="n">
        <x:v>0.7164608710161855</x:v>
      </x:c>
      <x:c r="AE44" s="18" t="str">
        <x:v>No</x:v>
      </x:c>
      <x:c r="AF44" s="18" t="str">
        <x:v>No</x:v>
      </x:c>
      <x:c r="AG44" s="18" t="str">
        <x:v>Eligible for dichotomous POUR analysis</x:v>
      </x:c>
      <x:c r="AH44" s="18" t="str">
        <x:v>No</x:v>
      </x:c>
      <x:c r="AI44" s="18" t="str">
        <x:v>Use analyzed denominators 922 and 916</x:v>
      </x:c>
      <x:c r="AJ44" s="18" t="str">
        <x:v>Table 2 / POUR result</x:v>
      </x:c>
      <x:c r="AK44" s="18" t="str">
        <x:v>https://drive.google.com/file/d/1LXNXNhVJaOcYXBODulFUuMD4FQXC5dph/view?usp=drivesdk</x:v>
      </x:c>
      <x:c r="AL44" s="18" t="str">
        <x:v>SOURCE-VERIFIED / ATTRITION QC</x:v>
      </x:c>
      <x:c r="AM44" s="18" t="str">
        <x:v>Urinary recovery</x:v>
      </x:c>
      <x:c r="AN44" s="18" t="str">
        <x:v>Postoperative</x:v>
      </x:c>
      <x:c r="AO44" s="18" t="str">
        <x:v>CONDITIONAL</x:v>
      </x:c>
      <x:c r="AP44" s="18" t="str">
        <x:v>Source-grounded but carries a QC qualification.</x:v>
      </x:c>
      <x:c r="AQ44" s="18" t="str">
        <x:v>No</x:v>
      </x:c>
      <x:c r="AR44" s="18" t="str"/>
      <x:c r="AS44" s="18" t="str">
        <x:v>Binary effect measure (RR preferred per protocol)</x:v>
      </x:c>
      <x:c r="AT44" s="18" t="str">
        <x:v>Time to first spontaneous void</x:v>
      </x:c>
      <x:c r="AU44" s="18" t="str">
        <x:v>Postoperative</x:v>
      </x:c>
      <x:c r="AV44" s="18" t="str">
        <x:v>High</x:v>
      </x:c>
      <x:c r="AW44" s="18" t="str">
        <x:v>Yes — selected RoB is for a different result/timepoint</x:v>
      </x:c>
      <x:c r="AX44" s="18" t="str">
        <x:v>Zhang 2023</x:v>
      </x:c>
      <x:c r="AY44" s="18" t="str">
        <x:v>Primary eligible contrast</x:v>
      </x:c>
      <x:c r="AZ44" s="18" t="str">
        <x:v>Count this study once per synthesis unless a valid multi-arm method is used.</x:v>
      </x:c>
    </x:row>
    <x:row r="45">
      <x:c r="A45" s="18" t="str">
        <x:v>Zhang 2023</x:v>
      </x:c>
      <x:c r="B45" s="18" t="str">
        <x:v>ZHANG23_TEAS_vs_SHAM_MME48</x:v>
      </x:c>
      <x:c r="C45" s="18" t="str">
        <x:v>TEAS</x:v>
      </x:c>
      <x:c r="D45" s="18" t="str">
        <x:v>Sham/no current</x:v>
      </x:c>
      <x:c r="E45" s="18" t="str">
        <x:v>Opioid consumption</x:v>
      </x:c>
      <x:c r="F45" s="18" t="str">
        <x:v>Postoperative IV morphine-equivalent consumption</x:v>
      </x:c>
      <x:c r="G45" s="18" t="str">
        <x:v>Within 48 h</x:v>
      </x:c>
      <x:c r="H45" s="18" t="str">
        <x:v>Median/IQR</x:v>
      </x:c>
      <x:c r="I45" s="18" t="n">
        <x:v>975</x:v>
      </x:c>
      <x:c r="J45" s="18" t="n">
        <x:v>973</x:v>
      </x:c>
      <x:c r="K45" s="18" t="n">
        <x:v>922</x:v>
      </x:c>
      <x:c r="L45" s="18" t="n">
        <x:v>916</x:v>
      </x:c>
      <x:c r="M45" s="18"/>
      <x:c r="N45" s="18"/>
      <x:c r="O45" s="18" t="n">
        <x:v>110</x:v>
      </x:c>
      <x:c r="P45" s="18" t="n">
        <x:v>80</x:v>
      </x:c>
      <x:c r="Q45" s="18" t="n">
        <x:v>110</x:v>
      </x:c>
      <x:c r="R45" s="18"/>
      <x:c r="S45" s="18"/>
      <x:c r="T45" s="18"/>
      <x:c r="U45" s="18" t="n">
        <x:v>110</x:v>
      </x:c>
      <x:c r="V45" s="18" t="n">
        <x:v>90</x:v>
      </x:c>
      <x:c r="W45" s="18" t="n">
        <x:v>110</x:v>
      </x:c>
      <x:c r="X45" s="18"/>
      <x:c r="Y45" s="18" t="str">
        <x:v>mg IV morphine-equivalent</x:v>
      </x:c>
      <x:c r="Z45" s="18" t="str">
        <x:v>NR</x:v>
      </x:c>
      <x:c r="AA45" s="18" t="str">
        <x:v>Yes</x:v>
      </x:c>
      <x:c r="AB45" s="18" t="str">
        <x:v>Yes</x:v>
      </x:c>
      <x:c r="AC45" s="18"/>
      <x:c r="AD45" s="18"/>
      <x:c r="AE45" s="18" t="str">
        <x:v>No</x:v>
      </x:c>
      <x:c r="AF45" s="18" t="str">
        <x:v>No</x:v>
      </x:c>
      <x:c r="AG45" s="18" t="str">
        <x:v>Potentially eligible for 48-h opioid analysis if median/IQR endpoints are prespecified</x:v>
      </x:c>
      <x:c r="AH45" s="18" t="str">
        <x:v>No</x:v>
      </x:c>
      <x:c r="AI45" s="18" t="str">
        <x:v>Authors converted opioids using ClinCalc; exact 24-h postoperative dose is not reported</x:v>
      </x:c>
      <x:c r="AJ45" s="18" t="str">
        <x:v>Table 1 / postoperative opioid-equivalent result</x:v>
      </x:c>
      <x:c r="AK45" s="18" t="str">
        <x:v>https://drive.google.com/file/d/1LXNXNhVJaOcYXBODulFUuMD4FQXC5dph/view?usp=drivesdk</x:v>
      </x:c>
      <x:c r="AL45" s="18" t="str">
        <x:v>SOURCE-VERIFIED / 48H ONLY</x:v>
      </x:c>
      <x:c r="AM45" s="18" t="str">
        <x:v>Postoperative opioid consumption</x:v>
      </x:c>
      <x:c r="AN45" s="18" t="str">
        <x:v>48 h</x:v>
      </x:c>
      <x:c r="AO45" s="18" t="str">
        <x:v>EXCLUDE — NOT PRIMARY 24H OPIOID</x:v>
      </x:c>
      <x:c r="AP45" s="18" t="str">
        <x:v>Not a strict 0-24-h postoperative opioid-consumption endpoint.</x:v>
      </x:c>
      <x:c r="AQ45" s="18" t="str">
        <x:v>No</x:v>
      </x:c>
      <x:c r="AR45" s="18" t="str"/>
      <x:c r="AS45" s="18" t="str">
        <x:v>Use native IV morphine; convert to review-standard MME only per prespecified rule</x:v>
      </x:c>
      <x:c r="AT45" s="18" t="str">
        <x:v>Time to first spontaneous void</x:v>
      </x:c>
      <x:c r="AU45" s="18" t="str">
        <x:v>Postoperative</x:v>
      </x:c>
      <x:c r="AV45" s="18" t="str">
        <x:v>High</x:v>
      </x:c>
      <x:c r="AW45" s="18" t="str">
        <x:v>Yes — selected RoB is for a different result/timepoint</x:v>
      </x:c>
      <x:c r="AX45" s="18" t="str">
        <x:v>Zhang 2023</x:v>
      </x:c>
      <x:c r="AY45" s="18" t="str">
        <x:v>Primary eligible contrast</x:v>
      </x:c>
      <x:c r="AZ45" s="18" t="str">
        <x:v>Count this study once per synthesis unless a valid multi-arm method is used.</x:v>
      </x:c>
    </x:row>
    <x:row r="46">
      <x:c r="A46" s="18" t="str">
        <x:v>Zhang 2023</x:v>
      </x:c>
      <x:c r="B46" s="18" t="str">
        <x:v>ZHANG23_TEAS_vs_SHAM_OPIOID24</x:v>
      </x:c>
      <x:c r="C46" s="18" t="str">
        <x:v>TEAS</x:v>
      </x:c>
      <x:c r="D46" s="18" t="str">
        <x:v>Sham/no current</x:v>
      </x:c>
      <x:c r="E46" s="18" t="str">
        <x:v>Opioid consumption</x:v>
      </x:c>
      <x:c r="F46" s="18" t="str">
        <x:v>Exact cumulative postoperative opioid dose</x:v>
      </x:c>
      <x:c r="G46" s="18" t="str">
        <x:v>0-24 h</x:v>
      </x:c>
      <x:c r="H46" s="18" t="str">
        <x:v>Not reported</x:v>
      </x:c>
      <x:c r="I46" s="18" t="n">
        <x:v>975</x:v>
      </x:c>
      <x:c r="J46" s="18" t="n">
        <x:v>973</x:v>
      </x:c>
      <x:c r="K46" s="18" t="n">
        <x:v>922</x:v>
      </x:c>
      <x:c r="L46" s="18" t="n">
        <x:v>916</x:v>
      </x:c>
      <x:c r="M46" s="18"/>
      <x:c r="N46" s="18"/>
      <x:c r="O46" s="18"/>
      <x:c r="P46" s="18"/>
      <x:c r="Q46" s="18"/>
      <x:c r="R46" s="18"/>
      <x:c r="S46" s="18"/>
      <x:c r="T46" s="18"/>
      <x:c r="U46" s="18"/>
      <x:c r="V46" s="18"/>
      <x:c r="W46" s="18"/>
      <x:c r="X46" s="18"/>
      <x:c r="Y46" s="18" t="str">
        <x:v>mg IV morphine-equivalent</x:v>
      </x:c>
      <x:c r="Z46" s="18"/>
      <x:c r="AA46" s="18" t="str">
        <x:v>No</x:v>
      </x:c>
      <x:c r="AB46" s="18" t="str">
        <x:v>No</x:v>
      </x:c>
      <x:c r="AC46" s="18"/>
      <x:c r="AD46" s="18"/>
      <x:c r="AE46" s="18" t="str">
        <x:v>No</x:v>
      </x:c>
      <x:c r="AF46" s="18" t="str">
        <x:v>No</x:v>
      </x:c>
      <x:c r="AG46" s="18" t="str">
        <x:v>Not eligible for strict continuous 24-h opioid meta-analysis</x:v>
      </x:c>
      <x:c r="AH46" s="18" t="str">
        <x:v>No</x:v>
      </x:c>
      <x:c r="AI46" s="18" t="str">
        <x:v>Only a postoperative 48-h opioid-equivalent endpoint is reported</x:v>
      </x:c>
      <x:c r="AJ46" s="18" t="str">
        <x:v>Exact 24-h endpoint absent</x:v>
      </x:c>
      <x:c r="AK46" s="18" t="str">
        <x:v>https://drive.google.com/file/d/1LXNXNhVJaOcYXBODulFUuMD4FQXC5dph/view?usp=drivesdk</x:v>
      </x:c>
      <x:c r="AL46" s="18" t="str">
        <x:v>MISSING / NOT REPORTED</x:v>
      </x:c>
      <x:c r="AM46" s="18" t="str">
        <x:v>Postoperative opioid consumption</x:v>
      </x:c>
      <x:c r="AN46" s="18" t="str">
        <x:v>Exact/explicit 24 h</x:v>
      </x:c>
      <x:c r="AO46" s="18" t="str">
        <x:v>EXCLUDE — DATA UNAVAILABLE</x:v>
      </x:c>
      <x:c r="AP46" s="18" t="str">
        <x:v>The source does not provide a defensible quantitative value for this analysis.</x:v>
      </x:c>
      <x:c r="AQ46" s="18" t="str">
        <x:v>No</x:v>
      </x:c>
      <x:c r="AR46" s="18" t="str"/>
      <x:c r="AS46" s="18" t="str">
        <x:v>Use native IV morphine; convert to review-standard MME only per prespecified rule</x:v>
      </x:c>
      <x:c r="AT46" s="18" t="str">
        <x:v>Time to first spontaneous void</x:v>
      </x:c>
      <x:c r="AU46" s="18" t="str">
        <x:v>Postoperative</x:v>
      </x:c>
      <x:c r="AV46" s="18" t="str">
        <x:v>High</x:v>
      </x:c>
      <x:c r="AW46" s="18" t="str">
        <x:v>Yes — selected RoB is for a different result/timepoint</x:v>
      </x:c>
      <x:c r="AX46" s="18" t="str">
        <x:v>Zhang 2023</x:v>
      </x:c>
      <x:c r="AY46" s="18" t="str">
        <x:v>Primary eligible contrast</x:v>
      </x:c>
      <x:c r="AZ46" s="18" t="str">
        <x:v>Count this study once per synthesis unless a valid multi-arm method is used.</x:v>
      </x:c>
    </x:row>
    <x:row r="47">
      <x:c r="A47" s="18" t="str">
        <x:v>Zhang 2014</x:v>
      </x:c>
      <x:c r="B47" s="18" t="str">
        <x:v>ZHANG14_TEAS_vs_SHAM_RR</x:v>
      </x:c>
      <x:c r="C47" s="18" t="str">
        <x:v>Preoperative TEAS</x:v>
      </x:c>
      <x:c r="D47" s="18" t="str">
        <x:v>Sham/no current</x:v>
      </x:c>
      <x:c r="E47" s="18" t="str">
        <x:v>Recovery</x:v>
      </x:c>
      <x:c r="F47" s="18" t="str">
        <x:v>Recovery-room stay</x:v>
      </x:c>
      <x:c r="G47" s="18" t="str">
        <x:v>Recovery-room discharge</x:v>
      </x:c>
      <x:c r="H47" s="18" t="str">
        <x:v>Mean/SD</x:v>
      </x:c>
      <x:c r="I47" s="18" t="n">
        <x:v>33</x:v>
      </x:c>
      <x:c r="J47" s="18" t="n">
        <x:v>32</x:v>
      </x:c>
      <x:c r="K47" s="18" t="n">
        <x:v>33</x:v>
      </x:c>
      <x:c r="L47" s="18" t="n">
        <x:v>32</x:v>
      </x:c>
      <x:c r="M47" s="18" t="n">
        <x:v>35.6</x:v>
      </x:c>
      <x:c r="N47" s="18" t="n">
        <x:v>12.9</x:v>
      </x:c>
      <x:c r="O47" s="18"/>
      <x:c r="P47" s="18"/>
      <x:c r="Q47" s="18"/>
      <x:c r="R47" s="18"/>
      <x:c r="S47" s="18" t="n">
        <x:v>48.3</x:v>
      </x:c>
      <x:c r="T47" s="18" t="n">
        <x:v>16.3</x:v>
      </x:c>
      <x:c r="U47" s="18"/>
      <x:c r="V47" s="18"/>
      <x:c r="W47" s="18"/>
      <x:c r="X47" s="18"/>
      <x:c r="Y47" s="18" t="str">
        <x:v>minutes</x:v>
      </x:c>
      <x:c r="Z47" s="18" t="str">
        <x:v>0.01</x:v>
      </x:c>
      <x:c r="AA47" s="18" t="str">
        <x:v>Yes</x:v>
      </x:c>
      <x:c r="AB47" s="18" t="str">
        <x:v>No</x:v>
      </x:c>
      <x:c r="AC47" s="18" t="str">
        <x:v>MD</x:v>
      </x:c>
      <x:c r="AD47" s="18" t="n">
        <x:v>-12.699999999999996</x:v>
      </x:c>
      <x:c r="AE47" s="18" t="str">
        <x:v>No</x:v>
      </x:c>
      <x:c r="AF47" s="18" t="str">
        <x:v>No</x:v>
      </x:c>
      <x:c r="AG47" s="18" t="str">
        <x:v>Eligible for recovery-time analysis</x:v>
      </x:c>
      <x:c r="AH47" s="18" t="str">
        <x:v>No</x:v>
      </x:c>
      <x:c r="AI47" s="18" t="str">
        <x:v>Abstract incorrectly states 72 randomized; detailed flowchart/tables show 65 randomized and analyzed</x:v>
      </x:c>
      <x:c r="AJ47" s="18" t="str">
        <x:v>Primary outcome / recovery-room stay</x:v>
      </x:c>
      <x:c r="AK47" s="18" t="str">
        <x:v>https://drive.google.com/file/d/1lws1zFpIE-wbLY8X9ewYyTuIP-WySa-c/view?usp=drivesdk</x:v>
      </x:c>
      <x:c r="AL47" s="18" t="str">
        <x:v>SOURCE-VERIFIED</x:v>
      </x:c>
      <x:c r="AM47" s="18" t="str">
        <x:v>Recovery</x:v>
      </x:c>
      <x:c r="AN47" s="18" t="str">
        <x:v>Recovery-room discharge</x:v>
      </x:c>
      <x:c r="AO47" s="18" t="str">
        <x:v>INCLUDE — SECONDARY</x:v>
      </x:c>
      <x:c r="AP47" s="18" t="str">
        <x:v>Source-verified outcome suitable for its matching secondary analysis.</x:v>
      </x:c>
      <x:c r="AQ47" s="18" t="str">
        <x:v>No</x:v>
      </x:c>
      <x:c r="AR47" s="18" t="str"/>
      <x:c r="AS47" s="18" t="str">
        <x:v>None</x:v>
      </x:c>
      <x:c r="AT47" s="18" t="str">
        <x:v>Recovery-room stay</x:v>
      </x:c>
      <x:c r="AU47" s="18" t="str">
        <x:v>Recovery-room discharge</x:v>
      </x:c>
      <x:c r="AV47" s="18" t="str">
        <x:v>Some concerns</x:v>
      </x:c>
      <x:c r="AW47" s="18" t="str">
        <x:v>No — selected RoB matches this result</x:v>
      </x:c>
      <x:c r="AX47" s="18" t="str">
        <x:v>Zhang 2014</x:v>
      </x:c>
      <x:c r="AY47" s="18" t="str">
        <x:v>Primary eligible contrast</x:v>
      </x:c>
      <x:c r="AZ47" s="18" t="str">
        <x:v>Count this study once per synthesis unless a valid multi-arm method is used.</x:v>
      </x:c>
    </x:row>
    <x:row r="48">
      <x:c r="A48" s="18" t="str">
        <x:v>Zhang 2014</x:v>
      </x:c>
      <x:c r="B48" s="18" t="str">
        <x:v>ZHANG14_TEAS_vs_SHAM_REMI</x:v>
      </x:c>
      <x:c r="C48" s="18" t="str">
        <x:v>Preoperative TEAS</x:v>
      </x:c>
      <x:c r="D48" s="18" t="str">
        <x:v>Sham/no current</x:v>
      </x:c>
      <x:c r="E48" s="18" t="str">
        <x:v>Intraoperative opioid</x:v>
      </x:c>
      <x:c r="F48" s="18" t="str">
        <x:v>Remifentanil consumption rate</x:v>
      </x:c>
      <x:c r="G48" s="18" t="str">
        <x:v>Intraoperative</x:v>
      </x:c>
      <x:c r="H48" s="18" t="str">
        <x:v>Mean/SD</x:v>
      </x:c>
      <x:c r="I48" s="18" t="n">
        <x:v>33</x:v>
      </x:c>
      <x:c r="J48" s="18" t="n">
        <x:v>32</x:v>
      </x:c>
      <x:c r="K48" s="18" t="n">
        <x:v>33</x:v>
      </x:c>
      <x:c r="L48" s="18" t="n">
        <x:v>32</x:v>
      </x:c>
      <x:c r="M48" s="18" t="n">
        <x:v>0.06</x:v>
      </x:c>
      <x:c r="N48" s="18" t="n">
        <x:v>0.02</x:v>
      </x:c>
      <x:c r="O48" s="18"/>
      <x:c r="P48" s="18"/>
      <x:c r="Q48" s="18"/>
      <x:c r="R48" s="18"/>
      <x:c r="S48" s="18" t="n">
        <x:v>0.09</x:v>
      </x:c>
      <x:c r="T48" s="18" t="n">
        <x:v>0.03</x:v>
      </x:c>
      <x:c r="U48" s="18"/>
      <x:c r="V48" s="18"/>
      <x:c r="W48" s="18"/>
      <x:c r="X48" s="18"/>
      <x:c r="Y48" s="18" t="str">
        <x:v>µg/kg/min</x:v>
      </x:c>
      <x:c r="Z48" s="18" t="str">
        <x:v>0.01</x:v>
      </x:c>
      <x:c r="AA48" s="18" t="str">
        <x:v>Yes</x:v>
      </x:c>
      <x:c r="AB48" s="18" t="str">
        <x:v>No</x:v>
      </x:c>
      <x:c r="AC48" s="18" t="str">
        <x:v>MD</x:v>
      </x:c>
      <x:c r="AD48" s="18" t="n">
        <x:v>-0.03</x:v>
      </x:c>
      <x:c r="AE48" s="18" t="str">
        <x:v>No</x:v>
      </x:c>
      <x:c r="AF48" s="18" t="str">
        <x:v>No</x:v>
      </x:c>
      <x:c r="AG48" s="18" t="str">
        <x:v>Eligible for intraoperative opioid-sparing analysis only</x:v>
      </x:c>
      <x:c r="AH48" s="18" t="str">
        <x:v>No</x:v>
      </x:c>
      <x:c r="AI48" s="18" t="str">
        <x:v>Weight/time-normalized consumption, not absolute remifentanil dose</x:v>
      </x:c>
      <x:c r="AJ48" s="18" t="str">
        <x:v>Table 2 / intraoperative remifentanil</x:v>
      </x:c>
      <x:c r="AK48" s="18" t="str">
        <x:v>https://drive.google.com/file/d/1lws1zFpIE-wbLY8X9ewYyTuIP-WySa-c/view?usp=drivesdk</x:v>
      </x:c>
      <x:c r="AL48" s="18" t="str">
        <x:v>SOURCE-VERIFIED</x:v>
      </x:c>
      <x:c r="AM48" s="18" t="str">
        <x:v>Intraoperative opioid</x:v>
      </x:c>
      <x:c r="AN48" s="18" t="str">
        <x:v>Intraoperative</x:v>
      </x:c>
      <x:c r="AO48" s="18" t="str">
        <x:v>INCLUDE — INTRAOPERATIVE</x:v>
      </x:c>
      <x:c r="AP48" s="18" t="str">
        <x:v>Valid intraoperative opioid endpoint; must remain separate from postoperative opioid consumption.</x:v>
      </x:c>
      <x:c r="AQ48" s="18" t="str">
        <x:v>No</x:v>
      </x:c>
      <x:c r="AR48" s="18" t="str"/>
      <x:c r="AS48" s="18" t="str">
        <x:v>None</x:v>
      </x:c>
      <x:c r="AT48" s="18" t="str">
        <x:v>Recovery-room stay</x:v>
      </x:c>
      <x:c r="AU48" s="18" t="str">
        <x:v>Recovery-room discharge</x:v>
      </x:c>
      <x:c r="AV48" s="18" t="str">
        <x:v>Some concerns</x:v>
      </x:c>
      <x:c r="AW48" s="18" t="str">
        <x:v>Yes — selected RoB is for a different result/timepoint</x:v>
      </x:c>
      <x:c r="AX48" s="18" t="str">
        <x:v>Zhang 2014</x:v>
      </x:c>
      <x:c r="AY48" s="18" t="str">
        <x:v>Primary eligible contrast</x:v>
      </x:c>
      <x:c r="AZ48" s="18" t="str">
        <x:v>Count this study once per synthesis unless a valid multi-arm method is used.</x:v>
      </x:c>
    </x:row>
    <x:row r="49">
      <x:c r="A49" s="18" t="str">
        <x:v>Zhang 2014</x:v>
      </x:c>
      <x:c r="B49" s="18" t="str">
        <x:v>ZHANG14_TEAS_vs_SHAM_NAUSEA</x:v>
      </x:c>
      <x:c r="C49" s="18" t="str">
        <x:v>Preoperative TEAS</x:v>
      </x:c>
      <x:c r="D49" s="18" t="str">
        <x:v>Sham/no current</x:v>
      </x:c>
      <x:c r="E49" s="18" t="str">
        <x:v>PONV</x:v>
      </x:c>
      <x:c r="F49" s="18" t="str">
        <x:v>Postoperative nausea</x:v>
      </x:c>
      <x:c r="G49" s="18" t="str">
        <x:v>Postoperative</x:v>
      </x:c>
      <x:c r="H49" s="18" t="str">
        <x:v>Events/total</x:v>
      </x:c>
      <x:c r="I49" s="18" t="n">
        <x:v>33</x:v>
      </x:c>
      <x:c r="J49" s="18" t="n">
        <x:v>32</x:v>
      </x:c>
      <x:c r="K49" s="18" t="n">
        <x:v>33</x:v>
      </x:c>
      <x:c r="L49" s="18" t="n">
        <x:v>32</x:v>
      </x:c>
      <x:c r="M49" s="18"/>
      <x:c r="N49" s="18"/>
      <x:c r="O49" s="18"/>
      <x:c r="P49" s="18"/>
      <x:c r="Q49" s="18"/>
      <x:c r="R49" s="18" t="n">
        <x:v>7</x:v>
      </x:c>
      <x:c r="S49" s="18"/>
      <x:c r="T49" s="18"/>
      <x:c r="U49" s="18"/>
      <x:c r="V49" s="18"/>
      <x:c r="W49" s="18"/>
      <x:c r="X49" s="18" t="n">
        <x:v>15</x:v>
      </x:c>
      <x:c r="Y49" s="18" t="str">
        <x:v>participants</x:v>
      </x:c>
      <x:c r="Z49" s="18" t="str">
        <x:v>0.03</x:v>
      </x:c>
      <x:c r="AA49" s="18" t="str">
        <x:v>Yes</x:v>
      </x:c>
      <x:c r="AB49" s="18" t="str">
        <x:v>No</x:v>
      </x:c>
      <x:c r="AC49" s="18" t="str">
        <x:v>RR</x:v>
      </x:c>
      <x:c r="AD49" s="18" t="n">
        <x:v>0.45252525252525255</x:v>
      </x:c>
      <x:c r="AE49" s="18" t="str">
        <x:v>No</x:v>
      </x:c>
      <x:c r="AF49" s="18" t="str">
        <x:v>No</x:v>
      </x:c>
      <x:c r="AG49" s="18" t="str">
        <x:v>Eligible for dichotomous nausea analysis</x:v>
      </x:c>
      <x:c r="AH49" s="18" t="str">
        <x:v>No</x:v>
      </x:c>
      <x:c r="AI49" s="18" t="str">
        <x:v>No exact narrower time window reported in the extraction</x:v>
      </x:c>
      <x:c r="AJ49" s="18" t="str">
        <x:v>Table 3 / postoperative side effects</x:v>
      </x:c>
      <x:c r="AK49" s="18" t="str">
        <x:v>https://drive.google.com/file/d/1lws1zFpIE-wbLY8X9ewYyTuIP-WySa-c/view?usp=drivesdk</x:v>
      </x:c>
      <x:c r="AL49" s="18" t="str">
        <x:v>SOURCE-VERIFIED</x:v>
      </x:c>
      <x:c r="AM49" s="18" t="str">
        <x:v>PONV</x:v>
      </x:c>
      <x:c r="AN49" s="18" t="str">
        <x:v>Postoperative</x:v>
      </x:c>
      <x:c r="AO49" s="18" t="str">
        <x:v>CONDITIONAL</x:v>
      </x:c>
      <x:c r="AP49" s="18" t="str">
        <x:v>Valid PONV result, but the postoperative observation window should be matched to the intended synthesis.</x:v>
      </x:c>
      <x:c r="AQ49" s="18" t="str">
        <x:v>No</x:v>
      </x:c>
      <x:c r="AR49" s="18" t="str"/>
      <x:c r="AS49" s="18" t="str">
        <x:v>Binary effect measure (RR preferred per protocol)</x:v>
      </x:c>
      <x:c r="AT49" s="18" t="str">
        <x:v>Recovery-room stay</x:v>
      </x:c>
      <x:c r="AU49" s="18" t="str">
        <x:v>Recovery-room discharge</x:v>
      </x:c>
      <x:c r="AV49" s="18" t="str">
        <x:v>Some concerns</x:v>
      </x:c>
      <x:c r="AW49" s="18" t="str">
        <x:v>Yes — selected RoB is for a different result/timepoint</x:v>
      </x:c>
      <x:c r="AX49" s="18" t="str">
        <x:v>Zhang 2014</x:v>
      </x:c>
      <x:c r="AY49" s="18" t="str">
        <x:v>Primary eligible contrast</x:v>
      </x:c>
      <x:c r="AZ49" s="18" t="str">
        <x:v>Count this study once per synthesis unless a valid multi-arm method is used.</x:v>
      </x:c>
    </x:row>
    <x:row r="50">
      <x:c r="A50" s="18" t="str">
        <x:v>Zhang 2014</x:v>
      </x:c>
      <x:c r="B50" s="18" t="str">
        <x:v>ZHANG14_TEAS_vs_SHAM_VOMIT</x:v>
      </x:c>
      <x:c r="C50" s="18" t="str">
        <x:v>Preoperative TEAS</x:v>
      </x:c>
      <x:c r="D50" s="18" t="str">
        <x:v>Sham/no current</x:v>
      </x:c>
      <x:c r="E50" s="18" t="str">
        <x:v>PONV</x:v>
      </x:c>
      <x:c r="F50" s="18" t="str">
        <x:v>Postoperative vomiting</x:v>
      </x:c>
      <x:c r="G50" s="18" t="str">
        <x:v>Postoperative</x:v>
      </x:c>
      <x:c r="H50" s="18" t="str">
        <x:v>Events/total</x:v>
      </x:c>
      <x:c r="I50" s="18" t="n">
        <x:v>33</x:v>
      </x:c>
      <x:c r="J50" s="18" t="n">
        <x:v>32</x:v>
      </x:c>
      <x:c r="K50" s="18" t="n">
        <x:v>33</x:v>
      </x:c>
      <x:c r="L50" s="18" t="n">
        <x:v>32</x:v>
      </x:c>
      <x:c r="M50" s="18"/>
      <x:c r="N50" s="18"/>
      <x:c r="O50" s="18"/>
      <x:c r="P50" s="18"/>
      <x:c r="Q50" s="18"/>
      <x:c r="R50" s="18" t="n">
        <x:v>4</x:v>
      </x:c>
      <x:c r="S50" s="18"/>
      <x:c r="T50" s="18"/>
      <x:c r="U50" s="18"/>
      <x:c r="V50" s="18"/>
      <x:c r="W50" s="18"/>
      <x:c r="X50" s="18" t="n">
        <x:v>11</x:v>
      </x:c>
      <x:c r="Y50" s="18" t="str">
        <x:v>participants</x:v>
      </x:c>
      <x:c r="Z50" s="18" t="str">
        <x:v>0.03</x:v>
      </x:c>
      <x:c r="AA50" s="18" t="str">
        <x:v>Yes</x:v>
      </x:c>
      <x:c r="AB50" s="18" t="str">
        <x:v>No</x:v>
      </x:c>
      <x:c r="AC50" s="18" t="str">
        <x:v>RR</x:v>
      </x:c>
      <x:c r="AD50" s="18" t="n">
        <x:v>0.3526170798898072</x:v>
      </x:c>
      <x:c r="AE50" s="18" t="str">
        <x:v>No</x:v>
      </x:c>
      <x:c r="AF50" s="18" t="str">
        <x:v>No</x:v>
      </x:c>
      <x:c r="AG50" s="18" t="str">
        <x:v>Eligible for dichotomous vomiting analysis</x:v>
      </x:c>
      <x:c r="AH50" s="18" t="str">
        <x:v>No</x:v>
      </x:c>
      <x:c r="AI50" s="18" t="str">
        <x:v>No exact narrower time window reported in the extraction</x:v>
      </x:c>
      <x:c r="AJ50" s="18" t="str">
        <x:v>Table 3 / postoperative side effects</x:v>
      </x:c>
      <x:c r="AK50" s="18" t="str">
        <x:v>https://drive.google.com/file/d/1lws1zFpIE-wbLY8X9ewYyTuIP-WySa-c/view?usp=drivesdk</x:v>
      </x:c>
      <x:c r="AL50" s="18" t="str">
        <x:v>SOURCE-VERIFIED</x:v>
      </x:c>
      <x:c r="AM50" s="18" t="str">
        <x:v>PONV</x:v>
      </x:c>
      <x:c r="AN50" s="18" t="str">
        <x:v>Postoperative</x:v>
      </x:c>
      <x:c r="AO50" s="18" t="str">
        <x:v>CONDITIONAL</x:v>
      </x:c>
      <x:c r="AP50" s="18" t="str">
        <x:v>Valid PONV result, but the postoperative observation window should be matched to the intended synthesis.</x:v>
      </x:c>
      <x:c r="AQ50" s="18" t="str">
        <x:v>No</x:v>
      </x:c>
      <x:c r="AR50" s="18" t="str"/>
      <x:c r="AS50" s="18" t="str">
        <x:v>Binary effect measure (RR preferred per protocol)</x:v>
      </x:c>
      <x:c r="AT50" s="18" t="str">
        <x:v>Recovery-room stay</x:v>
      </x:c>
      <x:c r="AU50" s="18" t="str">
        <x:v>Recovery-room discharge</x:v>
      </x:c>
      <x:c r="AV50" s="18" t="str">
        <x:v>Some concerns</x:v>
      </x:c>
      <x:c r="AW50" s="18" t="str">
        <x:v>Yes — selected RoB is for a different result/timepoint</x:v>
      </x:c>
      <x:c r="AX50" s="18" t="str">
        <x:v>Zhang 2014</x:v>
      </x:c>
      <x:c r="AY50" s="18" t="str">
        <x:v>Primary eligible contrast</x:v>
      </x:c>
      <x:c r="AZ50" s="18" t="str">
        <x:v>Count this study once per synthesis unless a valid multi-arm method is used.</x:v>
      </x:c>
    </x:row>
    <x:row r="51">
      <x:c r="A51" s="18" t="str">
        <x:v>Zhang 2014</x:v>
      </x:c>
      <x:c r="B51" s="18" t="str">
        <x:v>ZHANG14_TEAS_vs_SHAM_OPIOID24</x:v>
      </x:c>
      <x:c r="C51" s="18" t="str">
        <x:v>Preoperative TEAS</x:v>
      </x:c>
      <x:c r="D51" s="18" t="str">
        <x:v>Sham/no current</x:v>
      </x:c>
      <x:c r="E51" s="18" t="str">
        <x:v>Opioid consumption</x:v>
      </x:c>
      <x:c r="F51" s="18" t="str">
        <x:v>Exact cumulative postoperative opioid dose</x:v>
      </x:c>
      <x:c r="G51" s="18" t="str">
        <x:v>0-24 h</x:v>
      </x:c>
      <x:c r="H51" s="18" t="str">
        <x:v>Not reported</x:v>
      </x:c>
      <x:c r="I51" s="18" t="n">
        <x:v>33</x:v>
      </x:c>
      <x:c r="J51" s="18" t="n">
        <x:v>32</x:v>
      </x:c>
      <x:c r="K51" s="18" t="n">
        <x:v>33</x:v>
      </x:c>
      <x:c r="L51" s="18" t="n">
        <x:v>32</x:v>
      </x:c>
      <x:c r="M51" s="18"/>
      <x:c r="N51" s="18"/>
      <x:c r="O51" s="18"/>
      <x:c r="P51" s="18"/>
      <x:c r="Q51" s="18"/>
      <x:c r="R51" s="18"/>
      <x:c r="S51" s="18"/>
      <x:c r="T51" s="18"/>
      <x:c r="U51" s="18"/>
      <x:c r="V51" s="18"/>
      <x:c r="W51" s="18"/>
      <x:c r="X51" s="18"/>
      <x:c r="Y51" s="18" t="str">
        <x:v>mg/µg</x:v>
      </x:c>
      <x:c r="Z51" s="18"/>
      <x:c r="AA51" s="18" t="str">
        <x:v>No</x:v>
      </x:c>
      <x:c r="AB51" s="18" t="str">
        <x:v>No</x:v>
      </x:c>
      <x:c r="AC51" s="18"/>
      <x:c r="AD51" s="18"/>
      <x:c r="AE51" s="18" t="str">
        <x:v>No</x:v>
      </x:c>
      <x:c r="AF51" s="18" t="str">
        <x:v>No</x:v>
      </x:c>
      <x:c r="AG51" s="18" t="str">
        <x:v>Not eligible for continuous 24-h postoperative opioid meta-analysis</x:v>
      </x:c>
      <x:c r="AH51" s="18" t="str">
        <x:v>No</x:v>
      </x:c>
      <x:c r="AI51" s="18" t="str">
        <x:v>Study reports intraoperative remifentanil rate but no exact postoperative opioid-consumption total</x:v>
      </x:c>
      <x:c r="AJ51" s="18" t="str">
        <x:v>Postoperative analgesic section</x:v>
      </x:c>
      <x:c r="AK51" s="18" t="str">
        <x:v>https://drive.google.com/file/d/1lws1zFpIE-wbLY8X9ewYyTuIP-WySa-c/view?usp=drivesdk</x:v>
      </x:c>
      <x:c r="AL51" s="18" t="str">
        <x:v>MISSING / NOT REPORTED</x:v>
      </x:c>
      <x:c r="AM51" s="18" t="str">
        <x:v>Postoperative opioid consumption</x:v>
      </x:c>
      <x:c r="AN51" s="18" t="str">
        <x:v>Exact/explicit 24 h</x:v>
      </x:c>
      <x:c r="AO51" s="18" t="str">
        <x:v>EXCLUDE — DATA UNAVAILABLE</x:v>
      </x:c>
      <x:c r="AP51" s="18" t="str">
        <x:v>The source does not provide a defensible quantitative value for this analysis.</x:v>
      </x:c>
      <x:c r="AQ51" s="18" t="str">
        <x:v>No</x:v>
      </x:c>
      <x:c r="AR51" s="18" t="str"/>
      <x:c r="AS51" s="18" t="str">
        <x:v>None</x:v>
      </x:c>
      <x:c r="AT51" s="18" t="str">
        <x:v>Recovery-room stay</x:v>
      </x:c>
      <x:c r="AU51" s="18" t="str">
        <x:v>Recovery-room discharge</x:v>
      </x:c>
      <x:c r="AV51" s="18" t="str">
        <x:v>Some concerns</x:v>
      </x:c>
      <x:c r="AW51" s="18" t="str">
        <x:v>Yes — selected RoB is for a different result/timepoint</x:v>
      </x:c>
      <x:c r="AX51" s="18" t="str">
        <x:v>Zhang 2014</x:v>
      </x:c>
      <x:c r="AY51" s="18" t="str">
        <x:v>Primary eligible contrast</x:v>
      </x:c>
      <x:c r="AZ51" s="18" t="str">
        <x:v>Count this study once per synthesis unless a valid multi-arm method is used.</x:v>
      </x:c>
    </x:row>
    <x:row r="52">
      <x:c r="A52" s="18" t="str">
        <x:v>Yang 2024</x:v>
      </x:c>
      <x:c r="B52" s="18" t="str">
        <x:v>YANG24_EA_vs_UC_MORPH24</x:v>
      </x:c>
      <x:c r="C52" s="18" t="str">
        <x:v>Perioperative EA + usual care</x:v>
      </x:c>
      <x:c r="D52" s="18" t="str">
        <x:v>Usual care</x:v>
      </x:c>
      <x:c r="E52" s="18" t="str">
        <x:v>Opioid consumption</x:v>
      </x:c>
      <x:c r="F52" s="18" t="str">
        <x:v>Morphine use via IV PCA</x:v>
      </x:c>
      <x:c r="G52" s="18" t="str">
        <x:v>First 24 h / POD1</x:v>
      </x:c>
      <x:c r="H52" s="18" t="str">
        <x:v>Mean/SD</x:v>
      </x:c>
      <x:c r="I52" s="18" t="n">
        <x:v>90</x:v>
      </x:c>
      <x:c r="J52" s="18" t="n">
        <x:v>90</x:v>
      </x:c>
      <x:c r="K52" s="18" t="n">
        <x:v>90</x:v>
      </x:c>
      <x:c r="L52" s="18" t="n">
        <x:v>90</x:v>
      </x:c>
      <x:c r="M52" s="18" t="n">
        <x:v>43.7</x:v>
      </x:c>
      <x:c r="N52" s="18" t="n">
        <x:v>4.7</x:v>
      </x:c>
      <x:c r="O52" s="18"/>
      <x:c r="P52" s="18"/>
      <x:c r="Q52" s="18"/>
      <x:c r="R52" s="18"/>
      <x:c r="S52" s="18" t="n">
        <x:v>44</x:v>
      </x:c>
      <x:c r="T52" s="18" t="n">
        <x:v>4.9</x:v>
      </x:c>
      <x:c r="U52" s="18"/>
      <x:c r="V52" s="18"/>
      <x:c r="W52" s="18"/>
      <x:c r="X52" s="18"/>
      <x:c r="Y52" s="18" t="str">
        <x:v>mg morphine</x:v>
      </x:c>
      <x:c r="Z52" s="18" t="str">
        <x:v>0.733</x:v>
      </x:c>
      <x:c r="AA52" s="18" t="str">
        <x:v>Yes</x:v>
      </x:c>
      <x:c r="AB52" s="18" t="str">
        <x:v>No</x:v>
      </x:c>
      <x:c r="AC52" s="18" t="str">
        <x:v>MD</x:v>
      </x:c>
      <x:c r="AD52" s="18" t="n">
        <x:v>-0.29999999999999716</x:v>
      </x:c>
      <x:c r="AE52" s="18" t="str">
        <x:v>Yes</x:v>
      </x:c>
      <x:c r="AF52" s="18" t="str">
        <x:v>Yes</x:v>
      </x:c>
      <x:c r="AG52" s="18" t="str">
        <x:v>Primary continuous 24-h opioid outcome</x:v>
      </x:c>
      <x:c r="AH52" s="18" t="str">
        <x:v>No</x:v>
      </x:c>
      <x:c r="AI52" s="18" t="str">
        <x:v>All 180 randomized participants retained in ITT; open-label patients but objective PCA drug-use record</x:v>
      </x:c>
      <x:c r="AJ52" s="18" t="str">
        <x:v>Table 3 / Morphine use on POD1</x:v>
      </x:c>
      <x:c r="AK52" s="18" t="str">
        <x:v>https://drive.google.com/file/d/160N3psd5tLEphwXHJzUEZ3uJfaIXcs5V/view?usp=drivesdk</x:v>
      </x:c>
      <x:c r="AL52" s="18" t="str">
        <x:v>SOURCE-VERIFIED</x:v>
      </x:c>
      <x:c r="AM52" s="18" t="str">
        <x:v>Postoperative opioid consumption</x:v>
      </x:c>
      <x:c r="AN52" s="18" t="str">
        <x:v>Exact/explicit 24 h</x:v>
      </x:c>
      <x:c r="AO52" s="18" t="str">
        <x:v>INCLUDE</x:v>
      </x:c>
      <x:c r="AP52" s="18" t="str">
        <x:v>Explicit 0-24-h postoperative opioid endpoint and marked eligible in the reconciled source data.</x:v>
      </x:c>
      <x:c r="AQ52" s="18" t="str">
        <x:v>Yes</x:v>
      </x:c>
      <x:c r="AR52" s="18" t="str"/>
      <x:c r="AS52" s="18" t="str">
        <x:v>None</x:v>
      </x:c>
      <x:c r="AT52" s="18" t="str">
        <x:v>Morphine use via IV PCA</x:v>
      </x:c>
      <x:c r="AU52" s="18" t="str">
        <x:v>First 24 h / POD1</x:v>
      </x:c>
      <x:c r="AV52" s="18" t="str">
        <x:v>Some concerns</x:v>
      </x:c>
      <x:c r="AW52" s="18" t="str">
        <x:v>No — selected RoB matches this result</x:v>
      </x:c>
      <x:c r="AX52" s="18" t="str">
        <x:v>Yang 2024</x:v>
      </x:c>
      <x:c r="AY52" s="18" t="str">
        <x:v>Primary eligible contrast</x:v>
      </x:c>
      <x:c r="AZ52" s="18" t="str">
        <x:v>Count this study once per synthesis unless a valid multi-arm method is used.</x:v>
      </x:c>
    </x:row>
    <x:row r="53">
      <x:c r="A53" s="18" t="str">
        <x:v>Yang 2024</x:v>
      </x:c>
      <x:c r="B53" s="18" t="str">
        <x:v>YANG24_EA_vs_UC_FLATUS</x:v>
      </x:c>
      <x:c r="C53" s="18" t="str">
        <x:v>Perioperative EA + usual care</x:v>
      </x:c>
      <x:c r="D53" s="18" t="str">
        <x:v>Usual care</x:v>
      </x:c>
      <x:c r="E53" s="18" t="str">
        <x:v>GI recovery</x:v>
      </x:c>
      <x:c r="F53" s="18" t="str">
        <x:v>Time to first flatus</x:v>
      </x:c>
      <x:c r="G53" s="18" t="str">
        <x:v>Postoperative</x:v>
      </x:c>
      <x:c r="H53" s="18" t="str">
        <x:v>Mean/SD</x:v>
      </x:c>
      <x:c r="I53" s="18" t="n">
        <x:v>90</x:v>
      </x:c>
      <x:c r="J53" s="18" t="n">
        <x:v>90</x:v>
      </x:c>
      <x:c r="K53" s="18" t="n">
        <x:v>90</x:v>
      </x:c>
      <x:c r="L53" s="18" t="n">
        <x:v>90</x:v>
      </x:c>
      <x:c r="M53" s="18" t="n">
        <x:v>15.4</x:v>
      </x:c>
      <x:c r="N53" s="18" t="n">
        <x:v>3.2</x:v>
      </x:c>
      <x:c r="O53" s="18"/>
      <x:c r="P53" s="18"/>
      <x:c r="Q53" s="18"/>
      <x:c r="R53" s="18"/>
      <x:c r="S53" s="18" t="n">
        <x:v>17</x:v>
      </x:c>
      <x:c r="T53" s="18" t="n">
        <x:v>3.7</x:v>
      </x:c>
      <x:c r="U53" s="18"/>
      <x:c r="V53" s="18"/>
      <x:c r="W53" s="18"/>
      <x:c r="X53" s="18"/>
      <x:c r="Y53" s="18" t="str">
        <x:v>hours</x:v>
      </x:c>
      <x:c r="Z53" s="18" t="str">
        <x:v>0.004</x:v>
      </x:c>
      <x:c r="AA53" s="18" t="str">
        <x:v>Yes</x:v>
      </x:c>
      <x:c r="AB53" s="18" t="str">
        <x:v>No</x:v>
      </x:c>
      <x:c r="AC53" s="18" t="str">
        <x:v>MD</x:v>
      </x:c>
      <x:c r="AD53" s="18" t="n">
        <x:v>-1.5999999999999996</x:v>
      </x:c>
      <x:c r="AE53" s="18" t="str">
        <x:v>No</x:v>
      </x:c>
      <x:c r="AF53" s="18" t="str">
        <x:v>No</x:v>
      </x:c>
      <x:c r="AG53" s="18" t="str">
        <x:v>Eligible for GI-recovery meta-analysis</x:v>
      </x:c>
      <x:c r="AH53" s="18" t="str">
        <x:v>No</x:v>
      </x:c>
      <x:c r="AI53" s="18" t="str">
        <x:v>Open-label participants; outcome assessor blinded</x:v>
      </x:c>
      <x:c r="AJ53" s="18" t="str">
        <x:v>Table 2 / primary first-flatus outcome</x:v>
      </x:c>
      <x:c r="AK53" s="18" t="str">
        <x:v>https://drive.google.com/file/d/160N3psd5tLEphwXHJzUEZ3uJfaIXcs5V/view?usp=drivesdk</x:v>
      </x:c>
      <x:c r="AL53" s="18" t="str">
        <x:v>SOURCE-VERIFIED</x:v>
      </x:c>
      <x:c r="AM53" s="18" t="str">
        <x:v>GI recovery</x:v>
      </x:c>
      <x:c r="AN53" s="18" t="str">
        <x:v>Postoperative</x:v>
      </x:c>
      <x:c r="AO53" s="18" t="str">
        <x:v>INCLUDE</x:v>
      </x:c>
      <x:c r="AP53" s="18" t="str">
        <x:v>Source-valid first-flatus/ileus endpoint; retain reported distribution (mean/SD, median/IQR, or events).</x:v>
      </x:c>
      <x:c r="AQ53" s="18" t="str">
        <x:v>Yes</x:v>
      </x:c>
      <x:c r="AR53" s="18" t="str"/>
      <x:c r="AS53" s="18" t="str">
        <x:v>None</x:v>
      </x:c>
      <x:c r="AT53" s="18" t="str">
        <x:v>Morphine use via IV PCA</x:v>
      </x:c>
      <x:c r="AU53" s="18" t="str">
        <x:v>First 24 h / POD1</x:v>
      </x:c>
      <x:c r="AV53" s="18" t="str">
        <x:v>Some concerns</x:v>
      </x:c>
      <x:c r="AW53" s="18" t="str">
        <x:v>Yes — selected RoB is for a different result/timepoint</x:v>
      </x:c>
      <x:c r="AX53" s="18" t="str">
        <x:v>Yang 2024</x:v>
      </x:c>
      <x:c r="AY53" s="18" t="str">
        <x:v>Primary eligible contrast</x:v>
      </x:c>
      <x:c r="AZ53" s="18" t="str">
        <x:v>Count this study once per synthesis unless a valid multi-arm method is used.</x:v>
      </x:c>
    </x:row>
    <x:row r="54">
      <x:c r="A54" s="18" t="str">
        <x:v>Yang 2024</x:v>
      </x:c>
      <x:c r="B54" s="18" t="str">
        <x:v>YANG24_EA_vs_UC_DEFEC</x:v>
      </x:c>
      <x:c r="C54" s="18" t="str">
        <x:v>Perioperative EA + usual care</x:v>
      </x:c>
      <x:c r="D54" s="18" t="str">
        <x:v>Usual care</x:v>
      </x:c>
      <x:c r="E54" s="18" t="str">
        <x:v>GI recovery</x:v>
      </x:c>
      <x:c r="F54" s="18" t="str">
        <x:v>Time to first defecation</x:v>
      </x:c>
      <x:c r="G54" s="18" t="str">
        <x:v>Postoperative</x:v>
      </x:c>
      <x:c r="H54" s="18" t="str">
        <x:v>Mean/SD</x:v>
      </x:c>
      <x:c r="I54" s="18" t="n">
        <x:v>90</x:v>
      </x:c>
      <x:c r="J54" s="18" t="n">
        <x:v>90</x:v>
      </x:c>
      <x:c r="K54" s="18" t="n">
        <x:v>90</x:v>
      </x:c>
      <x:c r="L54" s="18" t="n">
        <x:v>90</x:v>
      </x:c>
      <x:c r="M54" s="18" t="n">
        <x:v>75.9</x:v>
      </x:c>
      <x:c r="N54" s="18" t="n">
        <x:v>7.9</x:v>
      </x:c>
      <x:c r="O54" s="18"/>
      <x:c r="P54" s="18"/>
      <x:c r="Q54" s="18"/>
      <x:c r="R54" s="18"/>
      <x:c r="S54" s="18" t="n">
        <x:v>79.7</x:v>
      </x:c>
      <x:c r="T54" s="18" t="n">
        <x:v>8.1</x:v>
      </x:c>
      <x:c r="U54" s="18"/>
      <x:c r="V54" s="18"/>
      <x:c r="W54" s="18"/>
      <x:c r="X54" s="18"/>
      <x:c r="Y54" s="18" t="str">
        <x:v>hours</x:v>
      </x:c>
      <x:c r="Z54" s="18" t="str">
        <x:v>0.002</x:v>
      </x:c>
      <x:c r="AA54" s="18" t="str">
        <x:v>Yes</x:v>
      </x:c>
      <x:c r="AB54" s="18" t="str">
        <x:v>No</x:v>
      </x:c>
      <x:c r="AC54" s="18" t="str">
        <x:v>MD</x:v>
      </x:c>
      <x:c r="AD54" s="18" t="n">
        <x:v>-3.799999999999997</x:v>
      </x:c>
      <x:c r="AE54" s="18" t="str">
        <x:v>No</x:v>
      </x:c>
      <x:c r="AF54" s="18" t="str">
        <x:v>No</x:v>
      </x:c>
      <x:c r="AG54" s="18" t="str">
        <x:v>Eligible for GI-recovery meta-analysis</x:v>
      </x:c>
      <x:c r="AH54" s="18" t="str">
        <x:v>No</x:v>
      </x:c>
      <x:c r="AI54" s="18" t="str">
        <x:v>Open-label participants; outcome assessor blinded</x:v>
      </x:c>
      <x:c r="AJ54" s="18" t="str">
        <x:v>Table 2 / primary first-defecation outcome</x:v>
      </x:c>
      <x:c r="AK54" s="18" t="str">
        <x:v>https://drive.google.com/file/d/160N3psd5tLEphwXHJzUEZ3uJfaIXcs5V/view?usp=drivesdk</x:v>
      </x:c>
      <x:c r="AL54" s="18" t="str">
        <x:v>SOURCE-VERIFIED</x:v>
      </x:c>
      <x:c r="AM54" s="18" t="str">
        <x:v>GI recovery</x:v>
      </x:c>
      <x:c r="AN54" s="18" t="str">
        <x:v>Postoperative</x:v>
      </x:c>
      <x:c r="AO54" s="18" t="str">
        <x:v>INCLUDE — SECONDARY GI</x:v>
      </x:c>
      <x:c r="AP54" s="18" t="str">
        <x:v>Source-valid GI recovery outcome; analyze separately by outcome definition.</x:v>
      </x:c>
      <x:c r="AQ54" s="18" t="str">
        <x:v>No</x:v>
      </x:c>
      <x:c r="AR54" s="18" t="str"/>
      <x:c r="AS54" s="18" t="str">
        <x:v>None</x:v>
      </x:c>
      <x:c r="AT54" s="18" t="str">
        <x:v>Morphine use via IV PCA</x:v>
      </x:c>
      <x:c r="AU54" s="18" t="str">
        <x:v>First 24 h / POD1</x:v>
      </x:c>
      <x:c r="AV54" s="18" t="str">
        <x:v>Some concerns</x:v>
      </x:c>
      <x:c r="AW54" s="18" t="str">
        <x:v>Yes — selected RoB is for a different result/timepoint</x:v>
      </x:c>
      <x:c r="AX54" s="18" t="str">
        <x:v>Yang 2024</x:v>
      </x:c>
      <x:c r="AY54" s="18" t="str">
        <x:v>Primary eligible contrast</x:v>
      </x:c>
      <x:c r="AZ54" s="18" t="str">
        <x:v>Count this study once per synthesis unless a valid multi-arm method is used.</x:v>
      </x:c>
    </x:row>
    <x:row r="55">
      <x:c r="A55" s="18" t="str">
        <x:v>Yang 2024</x:v>
      </x:c>
      <x:c r="B55" s="18" t="str">
        <x:v>YANG24_EA_vs_UC_VOMIT</x:v>
      </x:c>
      <x:c r="C55" s="18" t="str">
        <x:v>Perioperative EA + usual care</x:v>
      </x:c>
      <x:c r="D55" s="18" t="str">
        <x:v>Usual care</x:v>
      </x:c>
      <x:c r="E55" s="18" t="str">
        <x:v>PONV</x:v>
      </x:c>
      <x:c r="F55" s="18" t="str">
        <x:v>Postoperative vomiting</x:v>
      </x:c>
      <x:c r="G55" s="18" t="str">
        <x:v>Within 72 h</x:v>
      </x:c>
      <x:c r="H55" s="18" t="str">
        <x:v>Events/total</x:v>
      </x:c>
      <x:c r="I55" s="18" t="n">
        <x:v>90</x:v>
      </x:c>
      <x:c r="J55" s="18" t="n">
        <x:v>90</x:v>
      </x:c>
      <x:c r="K55" s="18" t="n">
        <x:v>90</x:v>
      </x:c>
      <x:c r="L55" s="18" t="n">
        <x:v>90</x:v>
      </x:c>
      <x:c r="M55" s="18"/>
      <x:c r="N55" s="18"/>
      <x:c r="O55" s="18"/>
      <x:c r="P55" s="18"/>
      <x:c r="Q55" s="18"/>
      <x:c r="R55" s="18" t="n">
        <x:v>12</x:v>
      </x:c>
      <x:c r="S55" s="18"/>
      <x:c r="T55" s="18"/>
      <x:c r="U55" s="18"/>
      <x:c r="V55" s="18"/>
      <x:c r="W55" s="18"/>
      <x:c r="X55" s="18" t="n">
        <x:v>25</x:v>
      </x:c>
      <x:c r="Y55" s="18" t="str">
        <x:v>participants</x:v>
      </x:c>
      <x:c r="Z55" s="18" t="str">
        <x:v>0.016</x:v>
      </x:c>
      <x:c r="AA55" s="18" t="str">
        <x:v>Yes</x:v>
      </x:c>
      <x:c r="AB55" s="18" t="str">
        <x:v>No</x:v>
      </x:c>
      <x:c r="AC55" s="18" t="str">
        <x:v>RR</x:v>
      </x:c>
      <x:c r="AD55" s="18" t="n">
        <x:v>0.48</x:v>
      </x:c>
      <x:c r="AE55" s="18" t="str">
        <x:v>No</x:v>
      </x:c>
      <x:c r="AF55" s="18" t="str">
        <x:v>No</x:v>
      </x:c>
      <x:c r="AG55" s="18" t="str">
        <x:v>Eligible for dichotomous vomiting analysis at matching follow-up</x:v>
      </x:c>
      <x:c r="AH55" s="18" t="str">
        <x:v>No</x:v>
      </x:c>
      <x:c r="AI55" s="18" t="str">
        <x:v>No sham acupuncture; patient knowledge could affect subjective nausea but vomiting is more objective</x:v>
      </x:c>
      <x:c r="AJ55" s="18" t="str">
        <x:v>Secondary outcomes / PONV</x:v>
      </x:c>
      <x:c r="AK55" s="18" t="str">
        <x:v>https://drive.google.com/file/d/160N3psd5tLEphwXHJzUEZ3uJfaIXcs5V/view?usp=drivesdk</x:v>
      </x:c>
      <x:c r="AL55" s="18" t="str">
        <x:v>SOURCE-VERIFIED</x:v>
      </x:c>
      <x:c r="AM55" s="18" t="str">
        <x:v>PONV</x:v>
      </x:c>
      <x:c r="AN55" s="18" t="str">
        <x:v>72 h</x:v>
      </x:c>
      <x:c r="AO55" s="18" t="str">
        <x:v>INCLUDE — SEPARATE TIME WINDOW</x:v>
      </x:c>
      <x:c r="AP55" s="18" t="str">
        <x:v>Valid 72 h PONV endpoint; analyze separately from 24-h PONV.</x:v>
      </x:c>
      <x:c r="AQ55" s="18" t="str">
        <x:v>No</x:v>
      </x:c>
      <x:c r="AR55" s="18" t="str"/>
      <x:c r="AS55" s="18" t="str">
        <x:v>Binary effect measure (RR preferred per protocol)</x:v>
      </x:c>
      <x:c r="AT55" s="18" t="str">
        <x:v>Morphine use via IV PCA</x:v>
      </x:c>
      <x:c r="AU55" s="18" t="str">
        <x:v>First 24 h / POD1</x:v>
      </x:c>
      <x:c r="AV55" s="18" t="str">
        <x:v>Some concerns</x:v>
      </x:c>
      <x:c r="AW55" s="18" t="str">
        <x:v>Yes — selected RoB is for a different result/timepoint</x:v>
      </x:c>
      <x:c r="AX55" s="18" t="str">
        <x:v>Yang 2024</x:v>
      </x:c>
      <x:c r="AY55" s="18" t="str">
        <x:v>Primary eligible contrast</x:v>
      </x:c>
      <x:c r="AZ55" s="18" t="str">
        <x:v>Count this study once per synthesis unless a valid multi-arm method is used.</x:v>
      </x:c>
    </x:row>
    <x:row r="56">
      <x:c r="A56" s="18" t="str">
        <x:v>Xiong 2021</x:v>
      </x:c>
      <x:c r="B56" s="18" t="str">
        <x:v>XIONG21_TEAS_vs_CTRL_PONV48</x:v>
      </x:c>
      <x:c r="C56" s="18" t="str">
        <x:v>TEAS + dexamethasone + tropisetron</x:v>
      </x:c>
      <x:c r="D56" s="18" t="str">
        <x:v>Dexamethasone + tropisetron</x:v>
      </x:c>
      <x:c r="E56" s="18" t="str">
        <x:v>PONV</x:v>
      </x:c>
      <x:c r="F56" s="18" t="str">
        <x:v>Any PONV</x:v>
      </x:c>
      <x:c r="G56" s="18" t="str">
        <x:v>Within 48 h</x:v>
      </x:c>
      <x:c r="H56" s="18" t="str">
        <x:v>Events/total</x:v>
      </x:c>
      <x:c r="I56" s="18" t="n">
        <x:v>31</x:v>
      </x:c>
      <x:c r="J56" s="18" t="n">
        <x:v>31</x:v>
      </x:c>
      <x:c r="K56" s="18" t="n">
        <x:v>31</x:v>
      </x:c>
      <x:c r="L56" s="18" t="n">
        <x:v>31</x:v>
      </x:c>
      <x:c r="M56" s="18"/>
      <x:c r="N56" s="18"/>
      <x:c r="O56" s="18"/>
      <x:c r="P56" s="18"/>
      <x:c r="Q56" s="18"/>
      <x:c r="R56" s="18" t="n">
        <x:v>13</x:v>
      </x:c>
      <x:c r="S56" s="18"/>
      <x:c r="T56" s="18"/>
      <x:c r="U56" s="18"/>
      <x:c r="V56" s="18"/>
      <x:c r="W56" s="18"/>
      <x:c r="X56" s="18" t="n">
        <x:v>24</x:v>
      </x:c>
      <x:c r="Y56" s="18" t="str">
        <x:v>participants</x:v>
      </x:c>
      <x:c r="Z56" s="18" t="str">
        <x:v>0.004</x:v>
      </x:c>
      <x:c r="AA56" s="18" t="str">
        <x:v>Yes</x:v>
      </x:c>
      <x:c r="AB56" s="18" t="str">
        <x:v>No</x:v>
      </x:c>
      <x:c r="AC56" s="18" t="str">
        <x:v>RR</x:v>
      </x:c>
      <x:c r="AD56" s="18" t="n">
        <x:v>0.5416666666666667</x:v>
      </x:c>
      <x:c r="AE56" s="18" t="str">
        <x:v>No</x:v>
      </x:c>
      <x:c r="AF56" s="18" t="str">
        <x:v>No</x:v>
      </x:c>
      <x:c r="AG56" s="18" t="str">
        <x:v>Eligible for dichotomous 48-h PONV analysis</x:v>
      </x:c>
      <x:c r="AH56" s="18" t="str">
        <x:v>No</x:v>
      </x:c>
      <x:c r="AI56" s="18" t="str">
        <x:v>Participant blinding intended but active postoperative tingling may have revealed allocation</x:v>
      </x:c>
      <x:c r="AJ56" s="18" t="str">
        <x:v>Abstract / 48-h PONV result</x:v>
      </x:c>
      <x:c r="AK56" s="18" t="str">
        <x:v>https://drive.google.com/file/d/1sNaquYeWpsts7_e3XYP9c0CwM-tbQS6T/view?usp=drivesdk</x:v>
      </x:c>
      <x:c r="AL56" s="18" t="str">
        <x:v>SOURCE-VERIFIED</x:v>
      </x:c>
      <x:c r="AM56" s="18" t="str">
        <x:v>PONV</x:v>
      </x:c>
      <x:c r="AN56" s="18" t="str">
        <x:v>48 h</x:v>
      </x:c>
      <x:c r="AO56" s="18" t="str">
        <x:v>INCLUDE — SEPARATE TIME WINDOW</x:v>
      </x:c>
      <x:c r="AP56" s="18" t="str">
        <x:v>Valid 48 h PONV endpoint; analyze separately from 24-h PONV.</x:v>
      </x:c>
      <x:c r="AQ56" s="18" t="str">
        <x:v>No</x:v>
      </x:c>
      <x:c r="AR56" s="18" t="str"/>
      <x:c r="AS56" s="18" t="str">
        <x:v>Binary effect measure (RR preferred per protocol)</x:v>
      </x:c>
      <x:c r="AT56" s="18" t="str">
        <x:v>Any PONV</x:v>
      </x:c>
      <x:c r="AU56" s="18" t="str">
        <x:v>Within 48 h</x:v>
      </x:c>
      <x:c r="AV56" s="18" t="str">
        <x:v>Some concerns</x:v>
      </x:c>
      <x:c r="AW56" s="18" t="str">
        <x:v>No — selected RoB matches this result</x:v>
      </x:c>
      <x:c r="AX56" s="18" t="str">
        <x:v>Xiong 2021</x:v>
      </x:c>
      <x:c r="AY56" s="18" t="str">
        <x:v>Primary eligible contrast</x:v>
      </x:c>
      <x:c r="AZ56" s="18" t="str">
        <x:v>Count this study once per synthesis unless a valid multi-arm method is used.</x:v>
      </x:c>
    </x:row>
    <x:row r="57">
      <x:c r="A57" s="18" t="str">
        <x:v>Xiong 2021</x:v>
      </x:c>
      <x:c r="B57" s="18" t="str">
        <x:v>XIONG21_TEAS_vs_CTRL_CIPONV</x:v>
      </x:c>
      <x:c r="C57" s="18" t="str">
        <x:v>TEAS + dexamethasone + tropisetron</x:v>
      </x:c>
      <x:c r="D57" s="18" t="str">
        <x:v>Dexamethasone + tropisetron</x:v>
      </x:c>
      <x:c r="E57" s="18" t="str">
        <x:v>PONV</x:v>
      </x:c>
      <x:c r="F57" s="18" t="str">
        <x:v>Clinically important PONV</x:v>
      </x:c>
      <x:c r="G57" s="18" t="str">
        <x:v>Within 48 h</x:v>
      </x:c>
      <x:c r="H57" s="18" t="str">
        <x:v>Events/total</x:v>
      </x:c>
      <x:c r="I57" s="18" t="n">
        <x:v>31</x:v>
      </x:c>
      <x:c r="J57" s="18" t="n">
        <x:v>31</x:v>
      </x:c>
      <x:c r="K57" s="18" t="n">
        <x:v>31</x:v>
      </x:c>
      <x:c r="L57" s="18" t="n">
        <x:v>31</x:v>
      </x:c>
      <x:c r="M57" s="18"/>
      <x:c r="N57" s="18"/>
      <x:c r="O57" s="18"/>
      <x:c r="P57" s="18"/>
      <x:c r="Q57" s="18"/>
      <x:c r="R57" s="18" t="n">
        <x:v>5</x:v>
      </x:c>
      <x:c r="S57" s="18"/>
      <x:c r="T57" s="18"/>
      <x:c r="U57" s="18"/>
      <x:c r="V57" s="18"/>
      <x:c r="W57" s="18"/>
      <x:c r="X57" s="18" t="n">
        <x:v>15</x:v>
      </x:c>
      <x:c r="Y57" s="18" t="str">
        <x:v>participants</x:v>
      </x:c>
      <x:c r="Z57" s="18" t="str">
        <x:v>0.007</x:v>
      </x:c>
      <x:c r="AA57" s="18" t="str">
        <x:v>Yes</x:v>
      </x:c>
      <x:c r="AB57" s="18" t="str">
        <x:v>No</x:v>
      </x:c>
      <x:c r="AC57" s="18" t="str">
        <x:v>RR</x:v>
      </x:c>
      <x:c r="AD57" s="18" t="n">
        <x:v>0.3333333333333333</x:v>
      </x:c>
      <x:c r="AE57" s="18" t="str">
        <x:v>No</x:v>
      </x:c>
      <x:c r="AF57" s="18" t="str">
        <x:v>No</x:v>
      </x:c>
      <x:c r="AG57" s="18" t="str">
        <x:v>Eligible for dichotomous clinically-important PONV analysis</x:v>
      </x:c>
      <x:c r="AH57" s="18" t="str">
        <x:v>No</x:v>
      </x:c>
      <x:c r="AI57" s="18" t="str">
        <x:v>Patient-reported symptom severity; sensory blinding may be imperfect</x:v>
      </x:c>
      <x:c r="AJ57" s="18" t="str">
        <x:v>Abstract / clinically important PONV</x:v>
      </x:c>
      <x:c r="AK57" s="18" t="str">
        <x:v>https://drive.google.com/file/d/1sNaquYeWpsts7_e3XYP9c0CwM-tbQS6T/view?usp=drivesdk</x:v>
      </x:c>
      <x:c r="AL57" s="18" t="str">
        <x:v>SOURCE-VERIFIED</x:v>
      </x:c>
      <x:c r="AM57" s="18" t="str">
        <x:v>PONV</x:v>
      </x:c>
      <x:c r="AN57" s="18" t="str">
        <x:v>48 h</x:v>
      </x:c>
      <x:c r="AO57" s="18" t="str">
        <x:v>INCLUDE — SEPARATE TIME WINDOW</x:v>
      </x:c>
      <x:c r="AP57" s="18" t="str">
        <x:v>Valid 48 h PONV endpoint; analyze separately from 24-h PONV.</x:v>
      </x:c>
      <x:c r="AQ57" s="18" t="str">
        <x:v>No</x:v>
      </x:c>
      <x:c r="AR57" s="18" t="str"/>
      <x:c r="AS57" s="18" t="str">
        <x:v>Binary effect measure (RR preferred per protocol)</x:v>
      </x:c>
      <x:c r="AT57" s="18" t="str">
        <x:v>Any PONV</x:v>
      </x:c>
      <x:c r="AU57" s="18" t="str">
        <x:v>Within 48 h</x:v>
      </x:c>
      <x:c r="AV57" s="18" t="str">
        <x:v>Some concerns</x:v>
      </x:c>
      <x:c r="AW57" s="18" t="str">
        <x:v>Yes — selected RoB is for a different result/timepoint</x:v>
      </x:c>
      <x:c r="AX57" s="18" t="str">
        <x:v>Xiong 2021</x:v>
      </x:c>
      <x:c r="AY57" s="18" t="str">
        <x:v>Primary eligible contrast</x:v>
      </x:c>
      <x:c r="AZ57" s="18" t="str">
        <x:v>Count this study once per synthesis unless a valid multi-arm method is used.</x:v>
      </x:c>
    </x:row>
    <x:row r="58">
      <x:c r="A58" s="18" t="str">
        <x:v>Xiong 2021</x:v>
      </x:c>
      <x:c r="B58" s="18" t="str">
        <x:v>XIONG21_TEAS_vs_CTRL_RESCUEAE</x:v>
      </x:c>
      <x:c r="C58" s="18" t="str">
        <x:v>TEAS + dexamethasone + tropisetron</x:v>
      </x:c>
      <x:c r="D58" s="18" t="str">
        <x:v>Dexamethasone + tropisetron</x:v>
      </x:c>
      <x:c r="E58" s="18" t="str">
        <x:v>Rescue antiemetic</x:v>
      </x:c>
      <x:c r="F58" s="18" t="str">
        <x:v>Any rescue antiemetic medication</x:v>
      </x:c>
      <x:c r="G58" s="18" t="str">
        <x:v>Within 48 h</x:v>
      </x:c>
      <x:c r="H58" s="18" t="str">
        <x:v>Events/total</x:v>
      </x:c>
      <x:c r="I58" s="18" t="n">
        <x:v>31</x:v>
      </x:c>
      <x:c r="J58" s="18" t="n">
        <x:v>31</x:v>
      </x:c>
      <x:c r="K58" s="18" t="n">
        <x:v>31</x:v>
      </x:c>
      <x:c r="L58" s="18" t="n">
        <x:v>31</x:v>
      </x:c>
      <x:c r="M58" s="18"/>
      <x:c r="N58" s="18"/>
      <x:c r="O58" s="18"/>
      <x:c r="P58" s="18"/>
      <x:c r="Q58" s="18"/>
      <x:c r="R58" s="18" t="n">
        <x:v>9</x:v>
      </x:c>
      <x:c r="S58" s="18"/>
      <x:c r="T58" s="18"/>
      <x:c r="U58" s="18"/>
      <x:c r="V58" s="18"/>
      <x:c r="W58" s="18"/>
      <x:c r="X58" s="18" t="n">
        <x:v>18</x:v>
      </x:c>
      <x:c r="Y58" s="18" t="str">
        <x:v>participants</x:v>
      </x:c>
      <x:c r="Z58" s="18" t="str">
        <x:v>0.021</x:v>
      </x:c>
      <x:c r="AA58" s="18" t="str">
        <x:v>Percentages directly reported; counts exactly reconstructed from 29.0% and 58.1%</x:v>
      </x:c>
      <x:c r="AB58" s="18" t="str">
        <x:v>Yes</x:v>
      </x:c>
      <x:c r="AC58" s="18" t="str">
        <x:v>RR</x:v>
      </x:c>
      <x:c r="AD58" s="18" t="n">
        <x:v>0.5</x:v>
      </x:c>
      <x:c r="AE58" s="18" t="str">
        <x:v>No</x:v>
      </x:c>
      <x:c r="AF58" s="18" t="str">
        <x:v>No</x:v>
      </x:c>
      <x:c r="AG58" s="18" t="str">
        <x:v>Eligible for dichotomous rescue-antiemetic analysis</x:v>
      </x:c>
      <x:c r="AH58" s="18" t="str">
        <x:v>No</x:v>
      </x:c>
      <x:c r="AI58" s="18" t="str">
        <x:v>Counts reconstructed exactly from group denominator 31</x:v>
      </x:c>
      <x:c r="AJ58" s="18" t="str">
        <x:v>Abstract / rescue antiemetic result</x:v>
      </x:c>
      <x:c r="AK58" s="18" t="str">
        <x:v>https://drive.google.com/file/d/1sNaquYeWpsts7_e3XYP9c0CwM-tbQS6T/view?usp=drivesdk</x:v>
      </x:c>
      <x:c r="AL58" s="18" t="str">
        <x:v>SOURCE-VERIFIED / COUNTS DERIVED</x:v>
      </x:c>
      <x:c r="AM58" s="18" t="str">
        <x:v>Rescue antiemetic</x:v>
      </x:c>
      <x:c r="AN58" s="18" t="str">
        <x:v>48 h</x:v>
      </x:c>
      <x:c r="AO58" s="18" t="str">
        <x:v>CONDITIONAL</x:v>
      </x:c>
      <x:c r="AP58" s="18" t="str">
        <x:v>Source-grounded but carries a QC qualification.</x:v>
      </x:c>
      <x:c r="AQ58" s="18" t="str">
        <x:v>No</x:v>
      </x:c>
      <x:c r="AR58" s="18" t="str"/>
      <x:c r="AS58" s="18" t="str">
        <x:v>Binary effect measure (RR preferred per protocol)</x:v>
      </x:c>
      <x:c r="AT58" s="18" t="str">
        <x:v>Any PONV</x:v>
      </x:c>
      <x:c r="AU58" s="18" t="str">
        <x:v>Within 48 h</x:v>
      </x:c>
      <x:c r="AV58" s="18" t="str">
        <x:v>Some concerns</x:v>
      </x:c>
      <x:c r="AW58" s="18" t="str">
        <x:v>Yes — selected RoB is for a different result/timepoint</x:v>
      </x:c>
      <x:c r="AX58" s="18" t="str">
        <x:v>Xiong 2021</x:v>
      </x:c>
      <x:c r="AY58" s="18" t="str">
        <x:v>Primary eligible contrast</x:v>
      </x:c>
      <x:c r="AZ58" s="18" t="str">
        <x:v>Count this study once per synthesis unless a valid multi-arm method is used.</x:v>
      </x:c>
    </x:row>
    <x:row r="59">
      <x:c r="A59" s="18" t="str">
        <x:v>Xiong 2021</x:v>
      </x:c>
      <x:c r="B59" s="18" t="str">
        <x:v>XIONG21_TEAS_vs_CTRL_POSTOPMME</x:v>
      </x:c>
      <x:c r="C59" s="18" t="str">
        <x:v>TEAS + dexamethasone + tropisetron</x:v>
      </x:c>
      <x:c r="D59" s="18" t="str">
        <x:v>Dexamethasone + tropisetron</x:v>
      </x:c>
      <x:c r="E59" s="18" t="str">
        <x:v>Opioid consumption</x:v>
      </x:c>
      <x:c r="F59" s="18" t="str">
        <x:v>Postoperative opioid consumption</x:v>
      </x:c>
      <x:c r="G59" s="18" t="str">
        <x:v>Postoperative window unclear</x:v>
      </x:c>
      <x:c r="H59" s="18" t="str">
        <x:v>Mean/SD</x:v>
      </x:c>
      <x:c r="I59" s="18" t="n">
        <x:v>31</x:v>
      </x:c>
      <x:c r="J59" s="18" t="n">
        <x:v>31</x:v>
      </x:c>
      <x:c r="K59" s="18" t="n">
        <x:v>31</x:v>
      </x:c>
      <x:c r="L59" s="18" t="n">
        <x:v>31</x:v>
      </x:c>
      <x:c r="M59" s="18" t="n">
        <x:v>0.6</x:v>
      </x:c>
      <x:c r="N59" s="18" t="n">
        <x:v>0.2</x:v>
      </x:c>
      <x:c r="O59" s="18"/>
      <x:c r="P59" s="18"/>
      <x:c r="Q59" s="18"/>
      <x:c r="R59" s="18"/>
      <x:c r="S59" s="18" t="n">
        <x:v>0.6</x:v>
      </x:c>
      <x:c r="T59" s="18" t="n">
        <x:v>0.1</x:v>
      </x:c>
      <x:c r="U59" s="18"/>
      <x:c r="V59" s="18"/>
      <x:c r="W59" s="18"/>
      <x:c r="X59" s="18"/>
      <x:c r="Y59" s="18" t="str">
        <x:v>mg morphine-equivalent/kg</x:v>
      </x:c>
      <x:c r="Z59" s="18" t="str">
        <x:v>0.908</x:v>
      </x:c>
      <x:c r="AA59" s="18" t="str">
        <x:v>Yes</x:v>
      </x:c>
      <x:c r="AB59" s="18" t="str">
        <x:v>Yes</x:v>
      </x:c>
      <x:c r="AC59" s="18" t="str">
        <x:v>MD</x:v>
      </x:c>
      <x:c r="AD59" s="18" t="n">
        <x:v>0</x:v>
      </x:c>
      <x:c r="AE59" s="18" t="str">
        <x:v>No</x:v>
      </x:c>
      <x:c r="AF59" s="18" t="str">
        <x:v>No</x:v>
      </x:c>
      <x:c r="AG59" s="18" t="str">
        <x:v>Not eligible for strict 0-24-h opioid meta-analysis until time window is clarified</x:v>
      </x:c>
      <x:c r="AH59" s="18" t="str">
        <x:v>No</x:v>
      </x:c>
      <x:c r="AI59" s="18" t="str">
        <x:v>Exact postoperative interval is not stated; route terminology in Results is internally inconsistent</x:v>
      </x:c>
      <x:c r="AJ59" s="18" t="str">
        <x:v>Table 1 / postoperative opioid consumption</x:v>
      </x:c>
      <x:c r="AK59" s="18" t="str">
        <x:v>https://drive.google.com/file/d/1sNaquYeWpsts7_e3XYP9c0CwM-tbQS6T/view?usp=drivesdk</x:v>
      </x:c>
      <x:c r="AL59" s="18" t="str">
        <x:v>SOURCE-VERIFIED / WINDOW QC</x:v>
      </x:c>
      <x:c r="AM59" s="18" t="str">
        <x:v>Postoperative opioid consumption</x:v>
      </x:c>
      <x:c r="AN59" s="18" t="str">
        <x:v>Postoperative window unclear</x:v>
      </x:c>
      <x:c r="AO59" s="18" t="str">
        <x:v>EXCLUDE — NOT PRIMARY 24H OPIOID</x:v>
      </x:c>
      <x:c r="AP59" s="18" t="str">
        <x:v>Not a strict 0-24-h postoperative opioid-consumption endpoint.</x:v>
      </x:c>
      <x:c r="AQ59" s="18" t="str">
        <x:v>No</x:v>
      </x:c>
      <x:c r="AR59" s="18" t="str"/>
      <x:c r="AS59" s="18" t="str">
        <x:v>Use native IV morphine; convert to review-standard MME only per prespecified rule</x:v>
      </x:c>
      <x:c r="AT59" s="18" t="str">
        <x:v>Any PONV</x:v>
      </x:c>
      <x:c r="AU59" s="18" t="str">
        <x:v>Within 48 h</x:v>
      </x:c>
      <x:c r="AV59" s="18" t="str">
        <x:v>Some concerns</x:v>
      </x:c>
      <x:c r="AW59" s="18" t="str">
        <x:v>Yes — selected RoB is for a different result/timepoint</x:v>
      </x:c>
      <x:c r="AX59" s="18" t="str">
        <x:v>Xiong 2021</x:v>
      </x:c>
      <x:c r="AY59" s="18" t="str">
        <x:v>Primary eligible contrast</x:v>
      </x:c>
      <x:c r="AZ59" s="18" t="str">
        <x:v>Count this study once per synthesis unless a valid multi-arm method is used.</x:v>
      </x:c>
    </x:row>
    <x:row r="60">
      <x:c r="A60" s="18" t="str">
        <x:v>Xiong 2021</x:v>
      </x:c>
      <x:c r="B60" s="18" t="str">
        <x:v>XIONG21_TEAS_vs_CTRL_OPIOID24</x:v>
      </x:c>
      <x:c r="C60" s="18" t="str">
        <x:v>TEAS + dexamethasone + tropisetron</x:v>
      </x:c>
      <x:c r="D60" s="18" t="str">
        <x:v>Dexamethasone + tropisetron</x:v>
      </x:c>
      <x:c r="E60" s="18" t="str">
        <x:v>Opioid consumption</x:v>
      </x:c>
      <x:c r="F60" s="18" t="str">
        <x:v>Exact cumulative postoperative opioid dose</x:v>
      </x:c>
      <x:c r="G60" s="18" t="str">
        <x:v>0-24 h</x:v>
      </x:c>
      <x:c r="H60" s="18" t="str">
        <x:v>Not reported</x:v>
      </x:c>
      <x:c r="I60" s="18" t="n">
        <x:v>31</x:v>
      </x:c>
      <x:c r="J60" s="18" t="n">
        <x:v>31</x:v>
      </x:c>
      <x:c r="K60" s="18" t="n">
        <x:v>31</x:v>
      </x:c>
      <x:c r="L60" s="18" t="n">
        <x:v>31</x:v>
      </x:c>
      <x:c r="M60" s="18"/>
      <x:c r="N60" s="18"/>
      <x:c r="O60" s="18"/>
      <x:c r="P60" s="18"/>
      <x:c r="Q60" s="18"/>
      <x:c r="R60" s="18"/>
      <x:c r="S60" s="18"/>
      <x:c r="T60" s="18"/>
      <x:c r="U60" s="18"/>
      <x:c r="V60" s="18"/>
      <x:c r="W60" s="18"/>
      <x:c r="X60" s="18"/>
      <x:c r="Y60" s="18" t="str">
        <x:v>mg morphine-equivalent/kg</x:v>
      </x:c>
      <x:c r="Z60" s="18"/>
      <x:c r="AA60" s="18" t="str">
        <x:v>No</x:v>
      </x:c>
      <x:c r="AB60" s="18" t="str">
        <x:v>No</x:v>
      </x:c>
      <x:c r="AC60" s="18"/>
      <x:c r="AD60" s="18"/>
      <x:c r="AE60" s="18" t="str">
        <x:v>No</x:v>
      </x:c>
      <x:c r="AF60" s="18" t="str">
        <x:v>No</x:v>
      </x:c>
      <x:c r="AG60" s="18" t="str">
        <x:v>Not eligible for continuous 24-h opioid meta-analysis</x:v>
      </x:c>
      <x:c r="AH60" s="18" t="str">
        <x:v>No</x:v>
      </x:c>
      <x:c r="AI60" s="18" t="str">
        <x:v>Published opioid-equivalent result lacks a fixed time window</x:v>
      </x:c>
      <x:c r="AJ60" s="18" t="str">
        <x:v>Exact 24-h endpoint absent</x:v>
      </x:c>
      <x:c r="AK60" s="18" t="str">
        <x:v>https://drive.google.com/file/d/1sNaquYeWpsts7_e3XYP9c0CwM-tbQS6T/view?usp=drivesdk</x:v>
      </x:c>
      <x:c r="AL60" s="18" t="str">
        <x:v>MISSING / WINDOW NOT REPORTED</x:v>
      </x:c>
      <x:c r="AM60" s="18" t="str">
        <x:v>Postoperative opioid consumption</x:v>
      </x:c>
      <x:c r="AN60" s="18" t="str">
        <x:v>Exact/explicit 24 h</x:v>
      </x:c>
      <x:c r="AO60" s="18" t="str">
        <x:v>EXCLUDE — DATA UNAVAILABLE</x:v>
      </x:c>
      <x:c r="AP60" s="18" t="str">
        <x:v>The source does not provide a defensible quantitative value for this analysis.</x:v>
      </x:c>
      <x:c r="AQ60" s="18" t="str">
        <x:v>No</x:v>
      </x:c>
      <x:c r="AR60" s="18" t="str"/>
      <x:c r="AS60" s="18" t="str">
        <x:v>Use native IV morphine; convert to review-standard MME only per prespecified rule</x:v>
      </x:c>
      <x:c r="AT60" s="18" t="str">
        <x:v>Any PONV</x:v>
      </x:c>
      <x:c r="AU60" s="18" t="str">
        <x:v>Within 48 h</x:v>
      </x:c>
      <x:c r="AV60" s="18" t="str">
        <x:v>Some concerns</x:v>
      </x:c>
      <x:c r="AW60" s="18" t="str">
        <x:v>Yes — selected RoB is for a different result/timepoint</x:v>
      </x:c>
      <x:c r="AX60" s="18" t="str">
        <x:v>Xiong 2021</x:v>
      </x:c>
      <x:c r="AY60" s="18" t="str">
        <x:v>Primary eligible contrast</x:v>
      </x:c>
      <x:c r="AZ60" s="18" t="str">
        <x:v>Count this study once per synthesis unless a valid multi-arm method is used.</x:v>
      </x:c>
    </x:row>
    <x:row r="61">
      <x:c r="A61" s="18" t="str">
        <x:v>Xing 2022</x:v>
      </x:c>
      <x:c r="B61" s="18" t="str">
        <x:v>XING22_NTG_vs_NG_REMI</x:v>
      </x:c>
      <x:c r="C61" s="18" t="str">
        <x:v>TEAS + active TAPB</x:v>
      </x:c>
      <x:c r="D61" s="18" t="str">
        <x:v>Sham TEAS + active TAPB</x:v>
      </x:c>
      <x:c r="E61" s="18" t="str">
        <x:v>Intraoperative opioid</x:v>
      </x:c>
      <x:c r="F61" s="18" t="str">
        <x:v>Total remifentanil consumption</x:v>
      </x:c>
      <x:c r="G61" s="18" t="str">
        <x:v>Intraoperative</x:v>
      </x:c>
      <x:c r="H61" s="18" t="str">
        <x:v>Mean/SD</x:v>
      </x:c>
      <x:c r="I61" s="18" t="n">
        <x:v>30</x:v>
      </x:c>
      <x:c r="J61" s="18" t="n">
        <x:v>30</x:v>
      </x:c>
      <x:c r="K61" s="18" t="n">
        <x:v>29</x:v>
      </x:c>
      <x:c r="L61" s="18" t="n">
        <x:v>29</x:v>
      </x:c>
      <x:c r="M61" s="18" t="n">
        <x:v>1182.61</x:v>
      </x:c>
      <x:c r="N61" s="18" t="n">
        <x:v>253.61</x:v>
      </x:c>
      <x:c r="O61" s="18"/>
      <x:c r="P61" s="18"/>
      <x:c r="Q61" s="18"/>
      <x:c r="R61" s="18"/>
      <x:c r="S61" s="18" t="n">
        <x:v>1415.41</x:v>
      </x:c>
      <x:c r="T61" s="18" t="n">
        <x:v>295.67</x:v>
      </x:c>
      <x:c r="U61" s="18"/>
      <x:c r="V61" s="18"/>
      <x:c r="W61" s="18"/>
      <x:c r="X61" s="18"/>
      <x:c r="Y61" s="18" t="str">
        <x:v>µg remifentanil</x:v>
      </x:c>
      <x:c r="Z61" s="18" t="str">
        <x:v>&lt;0.05 pairwise</x:v>
      </x:c>
      <x:c r="AA61" s="18" t="str">
        <x:v>Yes</x:v>
      </x:c>
      <x:c r="AB61" s="18" t="str">
        <x:v>No</x:v>
      </x:c>
      <x:c r="AC61" s="18" t="str">
        <x:v>MD</x:v>
      </x:c>
      <x:c r="AD61" s="18" t="n">
        <x:v>-232.80000000000018</x:v>
      </x:c>
      <x:c r="AE61" s="18" t="str">
        <x:v>No</x:v>
      </x:c>
      <x:c r="AF61" s="18" t="str">
        <x:v>No</x:v>
      </x:c>
      <x:c r="AG61" s="18" t="str">
        <x:v>Eligible for incremental TEAS intraoperative opioid-sparing analysis</x:v>
      </x:c>
      <x:c r="AH61" s="18" t="str">
        <x:v>Yes</x:v>
      </x:c>
      <x:c r="AI61" s="18" t="str">
        <x:v>Direct TEAS contrast is NTG vs NG; do not attribute NTG-vs-G combined package entirely to TEAS</x:v>
      </x:c>
      <x:c r="AJ61" s="18" t="str">
        <x:v>Table 3, p10</x:v>
      </x:c>
      <x:c r="AK61" s="18" t="str">
        <x:v>https://drive.google.com/file/d/1h3IGpQ56nSh7H16xBEVyTzCBkWOXRSxK/view?usp=drivesdk</x:v>
      </x:c>
      <x:c r="AL61" s="18" t="str">
        <x:v>SOURCE-VERIFIED</x:v>
      </x:c>
      <x:c r="AM61" s="18" t="str">
        <x:v>Intraoperative opioid</x:v>
      </x:c>
      <x:c r="AN61" s="18" t="str">
        <x:v>Intraoperative</x:v>
      </x:c>
      <x:c r="AO61" s="18" t="str">
        <x:v>INCLUDE — INTRAOPERATIVE</x:v>
      </x:c>
      <x:c r="AP61" s="18" t="str">
        <x:v>Valid intraoperative opioid endpoint; must remain separate from postoperative opioid consumption.</x:v>
      </x:c>
      <x:c r="AQ61" s="18" t="str">
        <x:v>No</x:v>
      </x:c>
      <x:c r="AR61" s="18" t="str"/>
      <x:c r="AS61" s="18" t="str">
        <x:v>None</x:v>
      </x:c>
      <x:c r="AT61" s="18" t="str">
        <x:v>Total intraoperative remifentanil consumption</x:v>
      </x:c>
      <x:c r="AU61" s="18" t="str">
        <x:v>Intraoperative</x:v>
      </x:c>
      <x:c r="AV61" s="18" t="str">
        <x:v>Some concerns</x:v>
      </x:c>
      <x:c r="AW61" s="18" t="str">
        <x:v>Yes — selected RoB is for a different result/timepoint</x:v>
      </x:c>
      <x:c r="AX61" s="18" t="str">
        <x:v>Xing 2022</x:v>
      </x:c>
      <x:c r="AY61" s="18" t="str">
        <x:v>Shared-control / multi-arm contrast</x:v>
      </x:c>
      <x:c r="AZ61" s="18" t="str">
        <x:v>Shared comparator present; avoid double-counting controls.</x:v>
      </x:c>
    </x:row>
    <x:row r="62">
      <x:c r="A62" s="18" t="str">
        <x:v>Xing 2022</x:v>
      </x:c>
      <x:c r="B62" s="18" t="str">
        <x:v>XING22_NTG_vs_NG_FLATUS</x:v>
      </x:c>
      <x:c r="C62" s="18" t="str">
        <x:v>TEAS + active TAPB</x:v>
      </x:c>
      <x:c r="D62" s="18" t="str">
        <x:v>Sham TEAS + active TAPB</x:v>
      </x:c>
      <x:c r="E62" s="18" t="str">
        <x:v>GI recovery</x:v>
      </x:c>
      <x:c r="F62" s="18" t="str">
        <x:v>Time to first flatus</x:v>
      </x:c>
      <x:c r="G62" s="18" t="str">
        <x:v>Postoperative</x:v>
      </x:c>
      <x:c r="H62" s="18" t="str">
        <x:v>Mean/SD</x:v>
      </x:c>
      <x:c r="I62" s="18" t="n">
        <x:v>30</x:v>
      </x:c>
      <x:c r="J62" s="18" t="n">
        <x:v>30</x:v>
      </x:c>
      <x:c r="K62" s="18" t="n">
        <x:v>29</x:v>
      </x:c>
      <x:c r="L62" s="18" t="n">
        <x:v>29</x:v>
      </x:c>
      <x:c r="M62" s="18" t="n">
        <x:v>32.57</x:v>
      </x:c>
      <x:c r="N62" s="18" t="n">
        <x:v>6.94</x:v>
      </x:c>
      <x:c r="O62" s="18"/>
      <x:c r="P62" s="18"/>
      <x:c r="Q62" s="18"/>
      <x:c r="R62" s="18"/>
      <x:c r="S62" s="18" t="n">
        <x:v>36.83</x:v>
      </x:c>
      <x:c r="T62" s="18" t="n">
        <x:v>6.19</x:v>
      </x:c>
      <x:c r="U62" s="18"/>
      <x:c r="V62" s="18"/>
      <x:c r="W62" s="18"/>
      <x:c r="X62" s="18"/>
      <x:c r="Y62" s="18" t="str">
        <x:v>hours</x:v>
      </x:c>
      <x:c r="Z62" s="18" t="str">
        <x:v>&lt;0.05 pairwise</x:v>
      </x:c>
      <x:c r="AA62" s="18" t="str">
        <x:v>Yes</x:v>
      </x:c>
      <x:c r="AB62" s="18" t="str">
        <x:v>No</x:v>
      </x:c>
      <x:c r="AC62" s="18" t="str">
        <x:v>MD</x:v>
      </x:c>
      <x:c r="AD62" s="18" t="n">
        <x:v>-4.259999999999998</x:v>
      </x:c>
      <x:c r="AE62" s="18" t="str">
        <x:v>No</x:v>
      </x:c>
      <x:c r="AF62" s="18" t="str">
        <x:v>No</x:v>
      </x:c>
      <x:c r="AG62" s="18" t="str">
        <x:v>Eligible for GI-recovery analysis</x:v>
      </x:c>
      <x:c r="AH62" s="18" t="str">
        <x:v>Yes</x:v>
      </x:c>
      <x:c r="AI62" s="18" t="str">
        <x:v>Three-arm study; use NTG vs NG for incremental TEAS effect</x:v>
      </x:c>
      <x:c r="AJ62" s="18" t="str">
        <x:v>Postoperative recovery results</x:v>
      </x:c>
      <x:c r="AK62" s="18" t="str">
        <x:v>https://drive.google.com/file/d/1h3IGpQ56nSh7H16xBEVyTzCBkWOXRSxK/view?usp=drivesdk</x:v>
      </x:c>
      <x:c r="AL62" s="18" t="str">
        <x:v>SOURCE-VERIFIED</x:v>
      </x:c>
      <x:c r="AM62" s="18" t="str">
        <x:v>GI recovery</x:v>
      </x:c>
      <x:c r="AN62" s="18" t="str">
        <x:v>Postoperative</x:v>
      </x:c>
      <x:c r="AO62" s="18" t="str">
        <x:v>INCLUDE</x:v>
      </x:c>
      <x:c r="AP62" s="18" t="str">
        <x:v>Source-valid first-flatus/ileus endpoint; retain reported distribution (mean/SD, median/IQR, or events).</x:v>
      </x:c>
      <x:c r="AQ62" s="18" t="str">
        <x:v>Yes</x:v>
      </x:c>
      <x:c r="AR62" s="18" t="str"/>
      <x:c r="AS62" s="18" t="str">
        <x:v>None</x:v>
      </x:c>
      <x:c r="AT62" s="18" t="str">
        <x:v>Total intraoperative remifentanil consumption</x:v>
      </x:c>
      <x:c r="AU62" s="18" t="str">
        <x:v>Intraoperative</x:v>
      </x:c>
      <x:c r="AV62" s="18" t="str">
        <x:v>Some concerns</x:v>
      </x:c>
      <x:c r="AW62" s="18" t="str">
        <x:v>Yes — selected RoB is for a different result/timepoint</x:v>
      </x:c>
      <x:c r="AX62" s="18" t="str">
        <x:v>Xing 2022</x:v>
      </x:c>
      <x:c r="AY62" s="18" t="str">
        <x:v>Shared-control / multi-arm contrast</x:v>
      </x:c>
      <x:c r="AZ62" s="18" t="str">
        <x:v>Shared comparator present; avoid double-counting controls.</x:v>
      </x:c>
    </x:row>
    <x:row r="63">
      <x:c r="A63" s="18" t="str">
        <x:v>Xing 2022</x:v>
      </x:c>
      <x:c r="B63" s="18" t="str">
        <x:v>XING22_NTG_vs_NG_PONV</x:v>
      </x:c>
      <x:c r="C63" s="18" t="str">
        <x:v>TEAS + active TAPB</x:v>
      </x:c>
      <x:c r="D63" s="18" t="str">
        <x:v>Sham TEAS + active TAPB</x:v>
      </x:c>
      <x:c r="E63" s="18" t="str">
        <x:v>PONV</x:v>
      </x:c>
      <x:c r="F63" s="18" t="str">
        <x:v>PONV incidence</x:v>
      </x:c>
      <x:c r="G63" s="18" t="str">
        <x:v>Postoperative</x:v>
      </x:c>
      <x:c r="H63" s="18" t="str">
        <x:v>Events/total</x:v>
      </x:c>
      <x:c r="I63" s="18" t="n">
        <x:v>30</x:v>
      </x:c>
      <x:c r="J63" s="18" t="n">
        <x:v>30</x:v>
      </x:c>
      <x:c r="K63" s="18" t="n">
        <x:v>29</x:v>
      </x:c>
      <x:c r="L63" s="18" t="n">
        <x:v>29</x:v>
      </x:c>
      <x:c r="M63" s="18"/>
      <x:c r="N63" s="18"/>
      <x:c r="O63" s="18"/>
      <x:c r="P63" s="18"/>
      <x:c r="Q63" s="18"/>
      <x:c r="R63" s="18" t="n">
        <x:v>5</x:v>
      </x:c>
      <x:c r="S63" s="18"/>
      <x:c r="T63" s="18"/>
      <x:c r="U63" s="18"/>
      <x:c r="V63" s="18"/>
      <x:c r="W63" s="18"/>
      <x:c r="X63" s="18" t="n">
        <x:v>11</x:v>
      </x:c>
      <x:c r="Y63" s="18" t="str">
        <x:v>participants</x:v>
      </x:c>
      <x:c r="Z63" s="18" t="str">
        <x:v>&lt;0.05 pairwise</x:v>
      </x:c>
      <x:c r="AA63" s="18" t="str">
        <x:v>Percentages reported; counts exactly reconstructed from 17.24% and 37.93%</x:v>
      </x:c>
      <x:c r="AB63" s="18" t="str">
        <x:v>Yes</x:v>
      </x:c>
      <x:c r="AC63" s="18" t="str">
        <x:v>RR</x:v>
      </x:c>
      <x:c r="AD63" s="18" t="n">
        <x:v>0.4545454545454546</x:v>
      </x:c>
      <x:c r="AE63" s="18" t="str">
        <x:v>No</x:v>
      </x:c>
      <x:c r="AF63" s="18" t="str">
        <x:v>No</x:v>
      </x:c>
      <x:c r="AG63" s="18" t="str">
        <x:v>Eligible for dichotomous PONV analysis</x:v>
      </x:c>
      <x:c r="AH63" s="18" t="str">
        <x:v>Yes</x:v>
      </x:c>
      <x:c r="AI63" s="18" t="str">
        <x:v>Counts reconstructed from n=29 analyzed per arm</x:v>
      </x:c>
      <x:c r="AJ63" s="18" t="str">
        <x:v>Postoperative complications</x:v>
      </x:c>
      <x:c r="AK63" s="18" t="str">
        <x:v>https://drive.google.com/file/d/1h3IGpQ56nSh7H16xBEVyTzCBkWOXRSxK/view?usp=drivesdk</x:v>
      </x:c>
      <x:c r="AL63" s="18" t="str">
        <x:v>SOURCE-VERIFIED / COUNTS DERIVED</x:v>
      </x:c>
      <x:c r="AM63" s="18" t="str">
        <x:v>PONV</x:v>
      </x:c>
      <x:c r="AN63" s="18" t="str">
        <x:v>Postoperative</x:v>
      </x:c>
      <x:c r="AO63" s="18" t="str">
        <x:v>CONDITIONAL</x:v>
      </x:c>
      <x:c r="AP63" s="18" t="str">
        <x:v>Valid PONV result, but the postoperative observation window should be matched to the intended synthesis.</x:v>
      </x:c>
      <x:c r="AQ63" s="18" t="str">
        <x:v>No</x:v>
      </x:c>
      <x:c r="AR63" s="18" t="str"/>
      <x:c r="AS63" s="18" t="str">
        <x:v>Binary effect measure (RR preferred per protocol)</x:v>
      </x:c>
      <x:c r="AT63" s="18" t="str">
        <x:v>Total intraoperative remifentanil consumption</x:v>
      </x:c>
      <x:c r="AU63" s="18" t="str">
        <x:v>Intraoperative</x:v>
      </x:c>
      <x:c r="AV63" s="18" t="str">
        <x:v>Some concerns</x:v>
      </x:c>
      <x:c r="AW63" s="18" t="str">
        <x:v>Yes — selected RoB is for a different result/timepoint</x:v>
      </x:c>
      <x:c r="AX63" s="18" t="str">
        <x:v>Xing 2022</x:v>
      </x:c>
      <x:c r="AY63" s="18" t="str">
        <x:v>Shared-control / multi-arm contrast</x:v>
      </x:c>
      <x:c r="AZ63" s="18" t="str">
        <x:v>Shared comparator present; avoid double-counting controls.</x:v>
      </x:c>
    </x:row>
    <x:row r="64">
      <x:c r="A64" s="18" t="str">
        <x:v>Xing 2022</x:v>
      </x:c>
      <x:c r="B64" s="18" t="str">
        <x:v>XING22_NTG_vs_NG_RESTVAS24</x:v>
      </x:c>
      <x:c r="C64" s="18" t="str">
        <x:v>TEAS + active TAPB</x:v>
      </x:c>
      <x:c r="D64" s="18" t="str">
        <x:v>Sham TEAS + active TAPB</x:v>
      </x:c>
      <x:c r="E64" s="18" t="str">
        <x:v>Pain</x:v>
      </x:c>
      <x:c r="F64" s="18" t="str">
        <x:v>Rest pain VAS</x:v>
      </x:c>
      <x:c r="G64" s="18" t="str">
        <x:v>24 h</x:v>
      </x:c>
      <x:c r="H64" s="18" t="str">
        <x:v>Mean/SD</x:v>
      </x:c>
      <x:c r="I64" s="18" t="n">
        <x:v>30</x:v>
      </x:c>
      <x:c r="J64" s="18" t="n">
        <x:v>30</x:v>
      </x:c>
      <x:c r="K64" s="18" t="n">
        <x:v>29</x:v>
      </x:c>
      <x:c r="L64" s="18" t="n">
        <x:v>29</x:v>
      </x:c>
      <x:c r="M64" s="18" t="n">
        <x:v>1.18</x:v>
      </x:c>
      <x:c r="N64" s="18" t="n">
        <x:v>0.42</x:v>
      </x:c>
      <x:c r="O64" s="18"/>
      <x:c r="P64" s="18"/>
      <x:c r="Q64" s="18"/>
      <x:c r="R64" s="18"/>
      <x:c r="S64" s="18" t="n">
        <x:v>1.4</x:v>
      </x:c>
      <x:c r="T64" s="18" t="n">
        <x:v>0.52</x:v>
      </x:c>
      <x:c r="U64" s="18"/>
      <x:c r="V64" s="18"/>
      <x:c r="W64" s="18"/>
      <x:c r="X64" s="18"/>
      <x:c r="Y64" s="18" t="str">
        <x:v>VAS 0-10</x:v>
      </x:c>
      <x:c r="Z64" s="18" t="str">
        <x:v>NS for NTG vs NG at 24 h</x:v>
      </x:c>
      <x:c r="AA64" s="18" t="str">
        <x:v>Yes</x:v>
      </x:c>
      <x:c r="AB64" s="18" t="str">
        <x:v>No</x:v>
      </x:c>
      <x:c r="AC64" s="18" t="str">
        <x:v>MD</x:v>
      </x:c>
      <x:c r="AD64" s="18" t="n">
        <x:v>-0.21999999999999997</x:v>
      </x:c>
      <x:c r="AE64" s="18" t="str">
        <x:v>No</x:v>
      </x:c>
      <x:c r="AF64" s="18" t="str">
        <x:v>No</x:v>
      </x:c>
      <x:c r="AG64" s="18" t="str">
        <x:v>Eligible for 24-h pain analysis</x:v>
      </x:c>
      <x:c r="AH64" s="18" t="str">
        <x:v>Yes</x:v>
      </x:c>
      <x:c r="AI64" s="18" t="str">
        <x:v>At 24 h both TAPB groups improved versus G, but incremental NTG-vs-NG difference was not reported significant</x:v>
      </x:c>
      <x:c r="AJ64" s="18" t="str">
        <x:v>24-h pain result</x:v>
      </x:c>
      <x:c r="AK64" s="18" t="str">
        <x:v>https://drive.google.com/file/d/1h3IGpQ56nSh7H16xBEVyTzCBkWOXRSxK/view?usp=drivesdk</x:v>
      </x:c>
      <x:c r="AL64" s="18" t="str">
        <x:v>SOURCE-VERIFIED</x:v>
      </x:c>
      <x:c r="AM64" s="18" t="str">
        <x:v>Pain</x:v>
      </x:c>
      <x:c r="AN64" s="18" t="str">
        <x:v>Exact/explicit 24 h</x:v>
      </x:c>
      <x:c r="AO64" s="18" t="str">
        <x:v>INCLUDE</x:v>
      </x:c>
      <x:c r="AP64" s="18" t="str">
        <x:v>Explicit 24-h pain endpoint with quantitative source data.</x:v>
      </x:c>
      <x:c r="AQ64" s="18" t="str">
        <x:v>Yes</x:v>
      </x:c>
      <x:c r="AR64" s="18" t="str"/>
      <x:c r="AS64" s="18" t="str">
        <x:v>None</x:v>
      </x:c>
      <x:c r="AT64" s="18" t="str">
        <x:v>Total intraoperative remifentanil consumption</x:v>
      </x:c>
      <x:c r="AU64" s="18" t="str">
        <x:v>Intraoperative</x:v>
      </x:c>
      <x:c r="AV64" s="18" t="str">
        <x:v>Some concerns</x:v>
      </x:c>
      <x:c r="AW64" s="18" t="str">
        <x:v>Yes — selected RoB is for a different result/timepoint</x:v>
      </x:c>
      <x:c r="AX64" s="18" t="str">
        <x:v>Xing 2022</x:v>
      </x:c>
      <x:c r="AY64" s="18" t="str">
        <x:v>Shared-control / multi-arm contrast</x:v>
      </x:c>
      <x:c r="AZ64" s="18" t="str">
        <x:v>Shared comparator present; avoid double-counting controls.</x:v>
      </x:c>
    </x:row>
    <x:row r="65">
      <x:c r="A65" s="18" t="str">
        <x:v>Xing 2022</x:v>
      </x:c>
      <x:c r="B65" s="18" t="str">
        <x:v>XING22_NTG_vs_NG_PRESS</x:v>
      </x:c>
      <x:c r="C65" s="18" t="str">
        <x:v>TEAS + active TAPB</x:v>
      </x:c>
      <x:c r="D65" s="18" t="str">
        <x:v>Sham TEAS + active TAPB</x:v>
      </x:c>
      <x:c r="E65" s="18" t="str">
        <x:v>Opioid demand</x:v>
      </x:c>
      <x:c r="F65" s="18" t="str">
        <x:v>PCIA pump press count</x:v>
      </x:c>
      <x:c r="G65" s="18" t="str">
        <x:v>48-h / 2-day PCIA period</x:v>
      </x:c>
      <x:c r="H65" s="18" t="str">
        <x:v>Mean/SD</x:v>
      </x:c>
      <x:c r="I65" s="18" t="n">
        <x:v>30</x:v>
      </x:c>
      <x:c r="J65" s="18" t="n">
        <x:v>30</x:v>
      </x:c>
      <x:c r="K65" s="18" t="n">
        <x:v>29</x:v>
      </x:c>
      <x:c r="L65" s="18" t="n">
        <x:v>29</x:v>
      </x:c>
      <x:c r="M65" s="18" t="n">
        <x:v>6.55</x:v>
      </x:c>
      <x:c r="N65" s="18" t="n">
        <x:v>3.19</x:v>
      </x:c>
      <x:c r="O65" s="18"/>
      <x:c r="P65" s="18"/>
      <x:c r="Q65" s="18"/>
      <x:c r="R65" s="18"/>
      <x:c r="S65" s="18" t="n">
        <x:v>9.97</x:v>
      </x:c>
      <x:c r="T65" s="18" t="n">
        <x:v>3.8</x:v>
      </x:c>
      <x:c r="U65" s="18"/>
      <x:c r="V65" s="18"/>
      <x:c r="W65" s="18"/>
      <x:c r="X65" s="18"/>
      <x:c r="Y65" s="18" t="str">
        <x:v>presses</x:v>
      </x:c>
      <x:c r="Z65" s="18" t="str">
        <x:v>&lt;0.05 pairwise</x:v>
      </x:c>
      <x:c r="AA65" s="18" t="str">
        <x:v>Yes</x:v>
      </x:c>
      <x:c r="AB65" s="18" t="str">
        <x:v>No</x:v>
      </x:c>
      <x:c r="AC65" s="18" t="str">
        <x:v>MD</x:v>
      </x:c>
      <x:c r="AD65" s="18" t="n">
        <x:v>-3.420000000000001</x:v>
      </x:c>
      <x:c r="AE65" s="18" t="str">
        <x:v>No</x:v>
      </x:c>
      <x:c r="AF65" s="18" t="str">
        <x:v>No</x:v>
      </x:c>
      <x:c r="AG65" s="18" t="str">
        <x:v>Eligible only as PCA-demand outcome, not exact opioid consumption</x:v>
      </x:c>
      <x:c r="AH65" s="18" t="str">
        <x:v>Yes</x:v>
      </x:c>
      <x:c r="AI65" s="18" t="str">
        <x:v>Press attempts may not equal successful delivered boluses; do not multiply by 1 µg</x:v>
      </x:c>
      <x:c r="AJ65" s="18" t="str">
        <x:v>Table 3 / PCIA press count</x:v>
      </x:c>
      <x:c r="AK65" s="18" t="str">
        <x:v>https://drive.google.com/file/d/1h3IGpQ56nSh7H16xBEVyTzCBkWOXRSxK/view?usp=drivesdk</x:v>
      </x:c>
      <x:c r="AL65" s="18" t="str">
        <x:v>SOURCE-VERIFIED / DOSE NOT RECONSTRUCTABLE</x:v>
      </x:c>
      <x:c r="AM65" s="18" t="str">
        <x:v>PCA demand/proxy</x:v>
      </x:c>
      <x:c r="AN65" s="18" t="str">
        <x:v>48-h / 2-day PCIA period</x:v>
      </x:c>
      <x:c r="AO65" s="18" t="str">
        <x:v>CONDITIONAL</x:v>
      </x:c>
      <x:c r="AP65" s="18" t="str">
        <x:v>Source value is valid in its native metric but cannot be converted to the target opioid mass/MME without additional information.</x:v>
      </x:c>
      <x:c r="AQ65" s="18" t="str">
        <x:v>No</x:v>
      </x:c>
      <x:c r="AR65" s="18" t="str"/>
      <x:c r="AS65" s="18" t="str">
        <x:v>None</x:v>
      </x:c>
      <x:c r="AT65" s="18" t="str">
        <x:v>Total intraoperative remifentanil consumption</x:v>
      </x:c>
      <x:c r="AU65" s="18" t="str">
        <x:v>Intraoperative</x:v>
      </x:c>
      <x:c r="AV65" s="18" t="str">
        <x:v>Some concerns</x:v>
      </x:c>
      <x:c r="AW65" s="18" t="str">
        <x:v>Yes — selected RoB is for a different result/timepoint</x:v>
      </x:c>
      <x:c r="AX65" s="18" t="str">
        <x:v>Xing 2022</x:v>
      </x:c>
      <x:c r="AY65" s="18" t="str">
        <x:v>Shared-control / multi-arm contrast</x:v>
      </x:c>
      <x:c r="AZ65" s="18" t="str">
        <x:v>Shared comparator present; avoid double-counting controls.</x:v>
      </x:c>
    </x:row>
    <x:row r="66">
      <x:c r="A66" s="18" t="str">
        <x:v>Xing 2022</x:v>
      </x:c>
      <x:c r="B66" s="18" t="str">
        <x:v>XING22_NTG_vs_NG_OPIOID24</x:v>
      </x:c>
      <x:c r="C66" s="18" t="str">
        <x:v>TEAS + active TAPB</x:v>
      </x:c>
      <x:c r="D66" s="18" t="str">
        <x:v>Sham TEAS + active TAPB</x:v>
      </x:c>
      <x:c r="E66" s="18" t="str">
        <x:v>Opioid consumption</x:v>
      </x:c>
      <x:c r="F66" s="18" t="str">
        <x:v>Exact cumulative postoperative sufentanil delivered</x:v>
      </x:c>
      <x:c r="G66" s="18" t="str">
        <x:v>0-24 h</x:v>
      </x:c>
      <x:c r="H66" s="18" t="str">
        <x:v>Not reported</x:v>
      </x:c>
      <x:c r="I66" s="18" t="n">
        <x:v>30</x:v>
      </x:c>
      <x:c r="J66" s="18" t="n">
        <x:v>30</x:v>
      </x:c>
      <x:c r="K66" s="18" t="n">
        <x:v>29</x:v>
      </x:c>
      <x:c r="L66" s="18" t="n">
        <x:v>29</x:v>
      </x:c>
      <x:c r="M66" s="18"/>
      <x:c r="N66" s="18"/>
      <x:c r="O66" s="18"/>
      <x:c r="P66" s="18"/>
      <x:c r="Q66" s="18"/>
      <x:c r="R66" s="18"/>
      <x:c r="S66" s="18"/>
      <x:c r="T66" s="18"/>
      <x:c r="U66" s="18"/>
      <x:c r="V66" s="18"/>
      <x:c r="W66" s="18"/>
      <x:c r="X66" s="18"/>
      <x:c r="Y66" s="18" t="str">
        <x:v>µg sufentanil</x:v>
      </x:c>
      <x:c r="Z66" s="18"/>
      <x:c r="AA66" s="18" t="str">
        <x:v>No</x:v>
      </x:c>
      <x:c r="AB66" s="18" t="str">
        <x:v>No</x:v>
      </x:c>
      <x:c r="AC66" s="18"/>
      <x:c r="AD66" s="18"/>
      <x:c r="AE66" s="18" t="str">
        <x:v>No</x:v>
      </x:c>
      <x:c r="AF66" s="18" t="str">
        <x:v>No</x:v>
      </x:c>
      <x:c r="AG66" s="18" t="str">
        <x:v>Not eligible for continuous 24-h opioid meta-analysis without author data</x:v>
      </x:c>
      <x:c r="AH66" s="18" t="str">
        <x:v>Yes</x:v>
      </x:c>
      <x:c r="AI66" s="18" t="str">
        <x:v>PCIA wording is internally contradictory and only press counts are reported</x:v>
      </x:c>
      <x:c r="AJ66" s="18" t="str">
        <x:v>Exact 24-h endpoint absent</x:v>
      </x:c>
      <x:c r="AK66" s="18" t="str">
        <x:v>https://drive.google.com/file/d/1h3IGpQ56nSh7H16xBEVyTzCBkWOXRSxK/view?usp=drivesdk</x:v>
      </x:c>
      <x:c r="AL66" s="18" t="str">
        <x:v>MISSING / AUTHOR DATA NEEDED</x:v>
      </x:c>
      <x:c r="AM66" s="18" t="str">
        <x:v>Postoperative opioid consumption</x:v>
      </x:c>
      <x:c r="AN66" s="18" t="str">
        <x:v>Exact/explicit 24 h</x:v>
      </x:c>
      <x:c r="AO66" s="18" t="str">
        <x:v>EXCLUDE — DATA UNAVAILABLE</x:v>
      </x:c>
      <x:c r="AP66" s="18" t="str">
        <x:v>The source does not provide a defensible quantitative value for this analysis.</x:v>
      </x:c>
      <x:c r="AQ66" s="18" t="str">
        <x:v>No</x:v>
      </x:c>
      <x:c r="AR66" s="18" t="str"/>
      <x:c r="AS66" s="18" t="str">
        <x:v>Opioid/MME conversion required using prespecified review conversion</x:v>
      </x:c>
      <x:c r="AT66" s="18" t="str">
        <x:v>Total intraoperative remifentanil consumption</x:v>
      </x:c>
      <x:c r="AU66" s="18" t="str">
        <x:v>Intraoperative</x:v>
      </x:c>
      <x:c r="AV66" s="18" t="str">
        <x:v>Some concerns</x:v>
      </x:c>
      <x:c r="AW66" s="18" t="str">
        <x:v>Yes — selected RoB is for a different result/timepoint</x:v>
      </x:c>
      <x:c r="AX66" s="18" t="str">
        <x:v>Xing 2022</x:v>
      </x:c>
      <x:c r="AY66" s="18" t="str">
        <x:v>Shared-control / multi-arm contrast</x:v>
      </x:c>
      <x:c r="AZ66" s="18" t="str">
        <x:v>Shared comparator present; avoid double-counting controls.</x:v>
      </x:c>
    </x:row>
    <x:row r="67">
      <x:c r="A67" s="18" t="str">
        <x:v>Xie 2014</x:v>
      </x:c>
      <x:c r="B67" s="18" t="str">
        <x:v>XIE14_EAS_vs_SHAM_TOTALSUF</x:v>
      </x:c>
      <x:c r="C67" s="18" t="str">
        <x:v>Active EAS PC4/PC6</x:v>
      </x:c>
      <x:c r="D67" s="18" t="str">
        <x:v>Sham needling PC4/PC6</x:v>
      </x:c>
      <x:c r="E67" s="18" t="str">
        <x:v>Opioid consumption</x:v>
      </x:c>
      <x:c r="F67" s="18" t="str">
        <x:v>Total postoperative/perioperative sufentanil</x:v>
      </x:c>
      <x:c r="G67" s="18" t="str">
        <x:v>Study PCA period; exact fixed window unclear</x:v>
      </x:c>
      <x:c r="H67" s="18" t="str">
        <x:v>Mean/SD</x:v>
      </x:c>
      <x:c r="I67" s="18" t="n">
        <x:v>20</x:v>
      </x:c>
      <x:c r="J67" s="18" t="n">
        <x:v>20</x:v>
      </x:c>
      <x:c r="K67" s="18" t="n">
        <x:v>20</x:v>
      </x:c>
      <x:c r="L67" s="18" t="n">
        <x:v>20</x:v>
      </x:c>
      <x:c r="M67" s="18" t="n">
        <x:v>115</x:v>
      </x:c>
      <x:c r="N67" s="18" t="n">
        <x:v>6</x:v>
      </x:c>
      <x:c r="O67" s="18"/>
      <x:c r="P67" s="18"/>
      <x:c r="Q67" s="18"/>
      <x:c r="R67" s="18"/>
      <x:c r="S67" s="18" t="n">
        <x:v>133</x:v>
      </x:c>
      <x:c r="T67" s="18" t="n">
        <x:v>7</x:v>
      </x:c>
      <x:c r="U67" s="18"/>
      <x:c r="V67" s="18"/>
      <x:c r="W67" s="18"/>
      <x:c r="X67" s="18"/>
      <x:c r="Y67" s="18" t="str">
        <x:v>µg sufentanil</x:v>
      </x:c>
      <x:c r="Z67" s="18" t="str">
        <x:v>&lt;0.05</x:v>
      </x:c>
      <x:c r="AA67" s="18" t="str">
        <x:v>Yes</x:v>
      </x:c>
      <x:c r="AB67" s="18" t="str">
        <x:v>No</x:v>
      </x:c>
      <x:c r="AC67" s="18" t="str">
        <x:v>MD</x:v>
      </x:c>
      <x:c r="AD67" s="18" t="n">
        <x:v>-18</x:v>
      </x:c>
      <x:c r="AE67" s="18" t="str">
        <x:v>No</x:v>
      </x:c>
      <x:c r="AF67" s="18" t="str">
        <x:v>No</x:v>
      </x:c>
      <x:c r="AG67" s="18" t="str">
        <x:v>Potentially usable only for non-24-h opioid analysis after time-window adjudication</x:v>
      </x:c>
      <x:c r="AH67" s="18" t="str">
        <x:v>Yes</x:v>
      </x:c>
      <x:c r="AI67" s="18" t="str">
        <x:v>Infusion described through POD3; Discussion mentions lower use through 48 h; Table 2 does not define fixed window</x:v>
      </x:c>
      <x:c r="AJ67" s="18" t="str">
        <x:v>Table 2 / total sufentanil</x:v>
      </x:c>
      <x:c r="AK67" s="18" t="str">
        <x:v>https://drive.google.com/file/d/17faY_h0rMJTuhjPOC5PL_S59jYmHDPee/view?usp=drivesdk</x:v>
      </x:c>
      <x:c r="AL67" s="18" t="str">
        <x:v>SOURCE-VERIFIED / WINDOW QC</x:v>
      </x:c>
      <x:c r="AM67" s="18" t="str">
        <x:v>Postoperative opioid consumption</x:v>
      </x:c>
      <x:c r="AN67" s="18" t="str">
        <x:v>Study PCA period; exact fixed window unclear</x:v>
      </x:c>
      <x:c r="AO67" s="18" t="str">
        <x:v>EXCLUDE — NOT PRIMARY 24H OPIOID</x:v>
      </x:c>
      <x:c r="AP67" s="18" t="str">
        <x:v>Not a strict 0-24-h postoperative opioid-consumption endpoint.</x:v>
      </x:c>
      <x:c r="AQ67" s="18" t="str">
        <x:v>No</x:v>
      </x:c>
      <x:c r="AR67" s="18" t="str"/>
      <x:c r="AS67" s="18" t="str">
        <x:v>Opioid/MME conversion required using prespecified review conversion</x:v>
      </x:c>
      <x:c r="AT67" s="18" t="str">
        <x:v>Total postoperative/perioperative sufentanil</x:v>
      </x:c>
      <x:c r="AU67" s="18" t="str">
        <x:v>Study PCA period; exact fixed window unclear</x:v>
      </x:c>
      <x:c r="AV67" s="18" t="str">
        <x:v>Some concerns</x:v>
      </x:c>
      <x:c r="AW67" s="18" t="str">
        <x:v>No — selected RoB matches this result</x:v>
      </x:c>
      <x:c r="AX67" s="18" t="str">
        <x:v>Xie 2014</x:v>
      </x:c>
      <x:c r="AY67" s="18" t="str">
        <x:v>Shared-control / multi-arm contrast</x:v>
      </x:c>
      <x:c r="AZ67" s="18" t="str">
        <x:v>Shared comparator present; avoid double-counting controls.</x:v>
      </x:c>
    </x:row>
    <x:row r="68">
      <x:c r="A68" s="18" t="str">
        <x:v>Xie 2014</x:v>
      </x:c>
      <x:c r="B68" s="18" t="str">
        <x:v>XIE14_EAS_vs_CONTROL_TOTALSUF</x:v>
      </x:c>
      <x:c r="C68" s="18" t="str">
        <x:v>Active EAS PC4/PC6</x:v>
      </x:c>
      <x:c r="D68" s="18" t="str">
        <x:v>General-anesthesia control</x:v>
      </x:c>
      <x:c r="E68" s="18" t="str">
        <x:v>Opioid consumption</x:v>
      </x:c>
      <x:c r="F68" s="18" t="str">
        <x:v>Total postoperative/perioperative sufentanil</x:v>
      </x:c>
      <x:c r="G68" s="18" t="str">
        <x:v>Study PCA period; exact fixed window unclear</x:v>
      </x:c>
      <x:c r="H68" s="18" t="str">
        <x:v>Mean/SD</x:v>
      </x:c>
      <x:c r="I68" s="18" t="n">
        <x:v>20</x:v>
      </x:c>
      <x:c r="J68" s="18" t="n">
        <x:v>20</x:v>
      </x:c>
      <x:c r="K68" s="18" t="n">
        <x:v>20</x:v>
      </x:c>
      <x:c r="L68" s="18" t="n">
        <x:v>20</x:v>
      </x:c>
      <x:c r="M68" s="18" t="n">
        <x:v>115</x:v>
      </x:c>
      <x:c r="N68" s="18" t="n">
        <x:v>6</x:v>
      </x:c>
      <x:c r="O68" s="18"/>
      <x:c r="P68" s="18"/>
      <x:c r="Q68" s="18"/>
      <x:c r="R68" s="18"/>
      <x:c r="S68" s="18" t="n">
        <x:v>134</x:v>
      </x:c>
      <x:c r="T68" s="18" t="n">
        <x:v>5.9</x:v>
      </x:c>
      <x:c r="U68" s="18"/>
      <x:c r="V68" s="18"/>
      <x:c r="W68" s="18"/>
      <x:c r="X68" s="18"/>
      <x:c r="Y68" s="18" t="str">
        <x:v>µg sufentanil</x:v>
      </x:c>
      <x:c r="Z68" s="18" t="str">
        <x:v>&lt;0.05</x:v>
      </x:c>
      <x:c r="AA68" s="18" t="str">
        <x:v>Yes</x:v>
      </x:c>
      <x:c r="AB68" s="18" t="str">
        <x:v>No</x:v>
      </x:c>
      <x:c r="AC68" s="18" t="str">
        <x:v>MD</x:v>
      </x:c>
      <x:c r="AD68" s="18" t="n">
        <x:v>-19</x:v>
      </x:c>
      <x:c r="AE68" s="18" t="str">
        <x:v>No</x:v>
      </x:c>
      <x:c r="AF68" s="18" t="str">
        <x:v>No</x:v>
      </x:c>
      <x:c r="AG68" s="18" t="str">
        <x:v>Potentially usable only for non-24-h opioid analysis after time-window adjudication</x:v>
      </x:c>
      <x:c r="AH68" s="18" t="str">
        <x:v>Yes</x:v>
      </x:c>
      <x:c r="AI68" s="18" t="str">
        <x:v>Three-arm shared-intervention structure; exact fixed observation window not established</x:v>
      </x:c>
      <x:c r="AJ68" s="18" t="str">
        <x:v>Table 2 / total sufentanil</x:v>
      </x:c>
      <x:c r="AK68" s="18" t="str">
        <x:v>https://drive.google.com/file/d/17faY_h0rMJTuhjPOC5PL_S59jYmHDPee/view?usp=drivesdk</x:v>
      </x:c>
      <x:c r="AL68" s="18" t="str">
        <x:v>SOURCE-VERIFIED / WINDOW QC</x:v>
      </x:c>
      <x:c r="AM68" s="18" t="str">
        <x:v>Postoperative opioid consumption</x:v>
      </x:c>
      <x:c r="AN68" s="18" t="str">
        <x:v>Study PCA period; exact fixed window unclear</x:v>
      </x:c>
      <x:c r="AO68" s="18" t="str">
        <x:v>EXCLUDE — NOT PRIMARY 24H OPIOID</x:v>
      </x:c>
      <x:c r="AP68" s="18" t="str">
        <x:v>Not a strict 0-24-h postoperative opioid-consumption endpoint.</x:v>
      </x:c>
      <x:c r="AQ68" s="18" t="str">
        <x:v>No</x:v>
      </x:c>
      <x:c r="AR68" s="18" t="str"/>
      <x:c r="AS68" s="18" t="str">
        <x:v>Opioid/MME conversion required using prespecified review conversion</x:v>
      </x:c>
      <x:c r="AT68" s="18" t="str">
        <x:v>Total postoperative/perioperative sufentanil</x:v>
      </x:c>
      <x:c r="AU68" s="18" t="str">
        <x:v>Study PCA period; exact fixed window unclear</x:v>
      </x:c>
      <x:c r="AV68" s="18" t="str">
        <x:v>Some concerns</x:v>
      </x:c>
      <x:c r="AW68" s="18" t="str">
        <x:v>No — selected RoB matches this result</x:v>
      </x:c>
      <x:c r="AX68" s="18" t="str">
        <x:v>Xie 2014</x:v>
      </x:c>
      <x:c r="AY68" s="18" t="str">
        <x:v>Shared-control / multi-arm contrast</x:v>
      </x:c>
      <x:c r="AZ68" s="18" t="str">
        <x:v>Shared comparator present; avoid double-counting controls.</x:v>
      </x:c>
    </x:row>
    <x:row r="69">
      <x:c r="A69" s="18" t="str">
        <x:v>Xie 2014</x:v>
      </x:c>
      <x:c r="B69" s="18" t="str">
        <x:v>XIE14_EAS_vs_SHAM_PCADEMAND</x:v>
      </x:c>
      <x:c r="C69" s="18" t="str">
        <x:v>Active EAS PC4/PC6</x:v>
      </x:c>
      <x:c r="D69" s="18" t="str">
        <x:v>Sham needling PC4/PC6</x:v>
      </x:c>
      <x:c r="E69" s="18" t="str">
        <x:v>Opioid demand</x:v>
      </x:c>
      <x:c r="F69" s="18" t="str">
        <x:v>Patient-controlled analgesia demand count</x:v>
      </x:c>
      <x:c r="G69" s="18" t="str">
        <x:v>Study PCA period</x:v>
      </x:c>
      <x:c r="H69" s="18" t="str">
        <x:v>Mean/SD</x:v>
      </x:c>
      <x:c r="I69" s="18" t="n">
        <x:v>20</x:v>
      </x:c>
      <x:c r="J69" s="18" t="n">
        <x:v>20</x:v>
      </x:c>
      <x:c r="K69" s="18" t="n">
        <x:v>20</x:v>
      </x:c>
      <x:c r="L69" s="18" t="n">
        <x:v>20</x:v>
      </x:c>
      <x:c r="M69" s="18" t="n">
        <x:v>16</x:v>
      </x:c>
      <x:c r="N69" s="18" t="n">
        <x:v>3</x:v>
      </x:c>
      <x:c r="O69" s="18"/>
      <x:c r="P69" s="18"/>
      <x:c r="Q69" s="18"/>
      <x:c r="R69" s="18"/>
      <x:c r="S69" s="18" t="n">
        <x:v>43</x:v>
      </x:c>
      <x:c r="T69" s="18" t="n">
        <x:v>3</x:v>
      </x:c>
      <x:c r="U69" s="18"/>
      <x:c r="V69" s="18"/>
      <x:c r="W69" s="18"/>
      <x:c r="X69" s="18"/>
      <x:c r="Y69" s="18" t="str">
        <x:v>demands</x:v>
      </x:c>
      <x:c r="Z69" s="18" t="str">
        <x:v>&lt;0.05</x:v>
      </x:c>
      <x:c r="AA69" s="18" t="str">
        <x:v>Yes</x:v>
      </x:c>
      <x:c r="AB69" s="18" t="str">
        <x:v>No</x:v>
      </x:c>
      <x:c r="AC69" s="18" t="str">
        <x:v>MD</x:v>
      </x:c>
      <x:c r="AD69" s="18" t="n">
        <x:v>-27</x:v>
      </x:c>
      <x:c r="AE69" s="18" t="str">
        <x:v>No</x:v>
      </x:c>
      <x:c r="AF69" s="18" t="str">
        <x:v>No</x:v>
      </x:c>
      <x:c r="AG69" s="18" t="str">
        <x:v>Eligible as analgesic-demand outcome only</x:v>
      </x:c>
      <x:c r="AH69" s="18" t="str">
        <x:v>Yes</x:v>
      </x:c>
      <x:c r="AI69" s="18" t="str">
        <x:v>Demand count should not be converted into delivered sufentanil without confirmation</x:v>
      </x:c>
      <x:c r="AJ69" s="18" t="str">
        <x:v>Table 2 / patient demand</x:v>
      </x:c>
      <x:c r="AK69" s="18" t="str">
        <x:v>https://drive.google.com/file/d/17faY_h0rMJTuhjPOC5PL_S59jYmHDPee/view?usp=drivesdk</x:v>
      </x:c>
      <x:c r="AL69" s="18" t="str">
        <x:v>SOURCE-VERIFIED / DOSE NOT RECONSTRUCTABLE</x:v>
      </x:c>
      <x:c r="AM69" s="18" t="str">
        <x:v>PCA demand/proxy</x:v>
      </x:c>
      <x:c r="AN69" s="18" t="str">
        <x:v>Study PCA period</x:v>
      </x:c>
      <x:c r="AO69" s="18" t="str">
        <x:v>CONDITIONAL</x:v>
      </x:c>
      <x:c r="AP69" s="18" t="str">
        <x:v>Source value is valid in its native metric but cannot be converted to the target opioid mass/MME without additional information.</x:v>
      </x:c>
      <x:c r="AQ69" s="18" t="str">
        <x:v>No</x:v>
      </x:c>
      <x:c r="AR69" s="18" t="str"/>
      <x:c r="AS69" s="18" t="str">
        <x:v>None</x:v>
      </x:c>
      <x:c r="AT69" s="18" t="str">
        <x:v>Total postoperative/perioperative sufentanil</x:v>
      </x:c>
      <x:c r="AU69" s="18" t="str">
        <x:v>Study PCA period; exact fixed window unclear</x:v>
      </x:c>
      <x:c r="AV69" s="18" t="str">
        <x:v>Some concerns</x:v>
      </x:c>
      <x:c r="AW69" s="18" t="str">
        <x:v>Yes — selected RoB is for a different result/timepoint</x:v>
      </x:c>
      <x:c r="AX69" s="18" t="str">
        <x:v>Xie 2014</x:v>
      </x:c>
      <x:c r="AY69" s="18" t="str">
        <x:v>Shared-control / multi-arm contrast</x:v>
      </x:c>
      <x:c r="AZ69" s="18" t="str">
        <x:v>Shared comparator present; avoid double-counting controls.</x:v>
      </x:c>
    </x:row>
    <x:row r="70">
      <x:c r="A70" s="18" t="str">
        <x:v>Xie 2014</x:v>
      </x:c>
      <x:c r="B70" s="18" t="str">
        <x:v>XIE14_EAS_vs_SHAM_OPIOID24</x:v>
      </x:c>
      <x:c r="C70" s="18" t="str">
        <x:v>Active EAS PC4/PC6</x:v>
      </x:c>
      <x:c r="D70" s="18" t="str">
        <x:v>Sham needling PC4/PC6</x:v>
      </x:c>
      <x:c r="E70" s="18" t="str">
        <x:v>Opioid consumption</x:v>
      </x:c>
      <x:c r="F70" s="18" t="str">
        <x:v>Exact cumulative postoperative sufentanil</x:v>
      </x:c>
      <x:c r="G70" s="18" t="str">
        <x:v>0-24 h</x:v>
      </x:c>
      <x:c r="H70" s="18" t="str">
        <x:v>Not reported</x:v>
      </x:c>
      <x:c r="I70" s="18" t="n">
        <x:v>20</x:v>
      </x:c>
      <x:c r="J70" s="18" t="n">
        <x:v>20</x:v>
      </x:c>
      <x:c r="K70" s="18" t="n">
        <x:v>20</x:v>
      </x:c>
      <x:c r="L70" s="18" t="n">
        <x:v>20</x:v>
      </x:c>
      <x:c r="M70" s="18"/>
      <x:c r="N70" s="18"/>
      <x:c r="O70" s="18"/>
      <x:c r="P70" s="18"/>
      <x:c r="Q70" s="18"/>
      <x:c r="R70" s="18"/>
      <x:c r="S70" s="18"/>
      <x:c r="T70" s="18"/>
      <x:c r="U70" s="18"/>
      <x:c r="V70" s="18"/>
      <x:c r="W70" s="18"/>
      <x:c r="X70" s="18"/>
      <x:c r="Y70" s="18" t="str">
        <x:v>µg sufentanil</x:v>
      </x:c>
      <x:c r="Z70" s="18"/>
      <x:c r="AA70" s="18" t="str">
        <x:v>No</x:v>
      </x:c>
      <x:c r="AB70" s="18" t="str">
        <x:v>No</x:v>
      </x:c>
      <x:c r="AC70" s="18"/>
      <x:c r="AD70" s="18"/>
      <x:c r="AE70" s="18" t="str">
        <x:v>No</x:v>
      </x:c>
      <x:c r="AF70" s="18" t="str">
        <x:v>No</x:v>
      </x:c>
      <x:c r="AG70" s="18" t="str">
        <x:v>Not eligible for strict continuous 24-h opioid meta-analysis</x:v>
      </x:c>
      <x:c r="AH70" s="18" t="str">
        <x:v>Yes</x:v>
      </x:c>
      <x:c r="AI70" s="18" t="str">
        <x:v>Directly reported total cannot be assigned to a fixed 24-h window</x:v>
      </x:c>
      <x:c r="AJ70" s="18" t="str">
        <x:v>Exact 24-h endpoint absent</x:v>
      </x:c>
      <x:c r="AK70" s="18" t="str">
        <x:v>https://drive.google.com/file/d/17faY_h0rMJTuhjPOC5PL_S59jYmHDPee/view?usp=drivesdk</x:v>
      </x:c>
      <x:c r="AL70" s="18" t="str">
        <x:v>MISSING / TIME WINDOW UNRESOLVED</x:v>
      </x:c>
      <x:c r="AM70" s="18" t="str">
        <x:v>Postoperative opioid consumption</x:v>
      </x:c>
      <x:c r="AN70" s="18" t="str">
        <x:v>Exact/explicit 24 h</x:v>
      </x:c>
      <x:c r="AO70" s="18" t="str">
        <x:v>EXCLUDE — DATA UNAVAILABLE</x:v>
      </x:c>
      <x:c r="AP70" s="18" t="str">
        <x:v>The source does not provide a defensible quantitative value for this analysis.</x:v>
      </x:c>
      <x:c r="AQ70" s="18" t="str">
        <x:v>No</x:v>
      </x:c>
      <x:c r="AR70" s="18" t="str"/>
      <x:c r="AS70" s="18" t="str">
        <x:v>Opioid/MME conversion required using prespecified review conversion</x:v>
      </x:c>
      <x:c r="AT70" s="18" t="str">
        <x:v>Total postoperative/perioperative sufentanil</x:v>
      </x:c>
      <x:c r="AU70" s="18" t="str">
        <x:v>Study PCA period; exact fixed window unclear</x:v>
      </x:c>
      <x:c r="AV70" s="18" t="str">
        <x:v>Some concerns</x:v>
      </x:c>
      <x:c r="AW70" s="18" t="str">
        <x:v>Yes — selected RoB is for a different result/timepoint</x:v>
      </x:c>
      <x:c r="AX70" s="18" t="str">
        <x:v>Xie 2014</x:v>
      </x:c>
      <x:c r="AY70" s="18" t="str">
        <x:v>Shared-control / multi-arm contrast</x:v>
      </x:c>
      <x:c r="AZ70" s="18" t="str">
        <x:v>Shared comparator present; avoid double-counting controls.</x:v>
      </x:c>
    </x:row>
    <x:row r="71">
      <x:c r="A71" s="18" t="str">
        <x:v>Wu 2022</x:v>
      </x:c>
      <x:c r="B71" s="18" t="str">
        <x:v>WU22_PTEAS_vs_CTRL_PAINPOD1</x:v>
      </x:c>
      <x:c r="C71" s="18" t="str">
        <x:v>Perioperative pTEAS</x:v>
      </x:c>
      <x:c r="D71" s="18" t="str">
        <x:v>No-current control</x:v>
      </x:c>
      <x:c r="E71" s="18" t="str">
        <x:v>Pain</x:v>
      </x:c>
      <x:c r="F71" s="18" t="str">
        <x:v>VAS pain intensity</x:v>
      </x:c>
      <x:c r="G71" s="18" t="str">
        <x:v>POD1</x:v>
      </x:c>
      <x:c r="H71" s="18" t="str">
        <x:v>Mean/SD</x:v>
      </x:c>
      <x:c r="I71" s="18" t="n">
        <x:v>45</x:v>
      </x:c>
      <x:c r="J71" s="18" t="n">
        <x:v>45</x:v>
      </x:c>
      <x:c r="K71" s="18" t="n">
        <x:v>44</x:v>
      </x:c>
      <x:c r="L71" s="18" t="n">
        <x:v>40</x:v>
      </x:c>
      <x:c r="M71" s="18" t="n">
        <x:v>1.77</x:v>
      </x:c>
      <x:c r="N71" s="18" t="n">
        <x:v>0.91</x:v>
      </x:c>
      <x:c r="O71" s="18"/>
      <x:c r="P71" s="18"/>
      <x:c r="Q71" s="18"/>
      <x:c r="R71" s="18"/>
      <x:c r="S71" s="18" t="n">
        <x:v>2.25</x:v>
      </x:c>
      <x:c r="T71" s="18" t="n">
        <x:v>0.71</x:v>
      </x:c>
      <x:c r="U71" s="18"/>
      <x:c r="V71" s="18"/>
      <x:c r="W71" s="18"/>
      <x:c r="X71" s="18"/>
      <x:c r="Y71" s="18" t="str">
        <x:v>VAS 0-10</x:v>
      </x:c>
      <x:c r="Z71" s="18" t="str">
        <x:v>0.009</x:v>
      </x:c>
      <x:c r="AA71" s="18" t="str">
        <x:v>Yes</x:v>
      </x:c>
      <x:c r="AB71" s="18" t="str">
        <x:v>No</x:v>
      </x:c>
      <x:c r="AC71" s="18" t="str">
        <x:v>MD</x:v>
      </x:c>
      <x:c r="AD71" s="18" t="n">
        <x:v>-0.48</x:v>
      </x:c>
      <x:c r="AE71" s="18" t="str">
        <x:v>No</x:v>
      </x:c>
      <x:c r="AF71" s="18" t="str">
        <x:v>No</x:v>
      </x:c>
      <x:c r="AG71" s="18" t="str">
        <x:v>Eligible for POD1 pain analysis</x:v>
      </x:c>
      <x:c r="AH71" s="18" t="str">
        <x:v>No</x:v>
      </x:c>
      <x:c r="AI71" s="18" t="str">
        <x:v>Asymmetric post-randomization exclusions: 1/45 pTEAS vs 5/45 control; participant sensory blinding not convincing</x:v>
      </x:c>
      <x:c r="AJ71" s="18" t="str">
        <x:v>Table 3 / POD1 pain</x:v>
      </x:c>
      <x:c r="AK71" s="18" t="str">
        <x:v>https://drive.google.com/file/d/1XR_8qmeHR7ulwV7NaaI0CeYbpwKdc_ym/view?usp=drivesdk</x:v>
      </x:c>
      <x:c r="AL71" s="18" t="str">
        <x:v>SOURCE-VERIFIED / ATTRITION QC</x:v>
      </x:c>
      <x:c r="AM71" s="18" t="str">
        <x:v>Pain</x:v>
      </x:c>
      <x:c r="AN71" s="18" t="str">
        <x:v>POD1 / approximate 24 h</x:v>
      </x:c>
      <x:c r="AO71" s="18" t="str">
        <x:v>CONDITIONAL — POD1</x:v>
      </x:c>
      <x:c r="AP71" s="18" t="str">
        <x:v>POD1/day-after-surgery is not necessarily a clock-defined 24-h measurement; pool only if protocol permits.</x:v>
      </x:c>
      <x:c r="AQ71" s="18" t="str">
        <x:v>No</x:v>
      </x:c>
      <x:c r="AR71" s="18" t="str"/>
      <x:c r="AS71" s="18" t="str">
        <x:v>None</x:v>
      </x:c>
      <x:c r="AT71" s="18" t="str">
        <x:v>VAS pain intensity</x:v>
      </x:c>
      <x:c r="AU71" s="18" t="str">
        <x:v>POD1</x:v>
      </x:c>
      <x:c r="AV71" s="18" t="str">
        <x:v>High</x:v>
      </x:c>
      <x:c r="AW71" s="18" t="str">
        <x:v>No — selected RoB matches this result</x:v>
      </x:c>
      <x:c r="AX71" s="18" t="str">
        <x:v>Wu 2022</x:v>
      </x:c>
      <x:c r="AY71" s="18" t="str">
        <x:v>Primary eligible contrast</x:v>
      </x:c>
      <x:c r="AZ71" s="18" t="str">
        <x:v>Count this study once per synthesis unless a valid multi-arm method is used.</x:v>
      </x:c>
    </x:row>
    <x:row r="72">
      <x:c r="A72" s="18" t="str">
        <x:v>Wu 2022</x:v>
      </x:c>
      <x:c r="B72" s="18" t="str">
        <x:v>WU22_PTEAS_vs_CTRL_REMI</x:v>
      </x:c>
      <x:c r="C72" s="18" t="str">
        <x:v>Perioperative pTEAS</x:v>
      </x:c>
      <x:c r="D72" s="18" t="str">
        <x:v>No-current control</x:v>
      </x:c>
      <x:c r="E72" s="18" t="str">
        <x:v>Intraoperative opioid</x:v>
      </x:c>
      <x:c r="F72" s="18" t="str">
        <x:v>Cumulative remifentanil</x:v>
      </x:c>
      <x:c r="G72" s="18" t="str">
        <x:v>Intraoperative</x:v>
      </x:c>
      <x:c r="H72" s="18" t="str">
        <x:v>Mean/SD</x:v>
      </x:c>
      <x:c r="I72" s="18" t="n">
        <x:v>45</x:v>
      </x:c>
      <x:c r="J72" s="18" t="n">
        <x:v>45</x:v>
      </x:c>
      <x:c r="K72" s="18" t="n">
        <x:v>44</x:v>
      </x:c>
      <x:c r="L72" s="18" t="n">
        <x:v>40</x:v>
      </x:c>
      <x:c r="M72" s="18" t="n">
        <x:v>1383</x:v>
      </x:c>
      <x:c r="N72" s="18" t="n">
        <x:v>494</x:v>
      </x:c>
      <x:c r="O72" s="18"/>
      <x:c r="P72" s="18"/>
      <x:c r="Q72" s="18"/>
      <x:c r="R72" s="18"/>
      <x:c r="S72" s="18" t="n">
        <x:v>1637</x:v>
      </x:c>
      <x:c r="T72" s="18" t="n">
        <x:v>630</x:v>
      </x:c>
      <x:c r="U72" s="18"/>
      <x:c r="V72" s="18"/>
      <x:c r="W72" s="18"/>
      <x:c r="X72" s="18"/>
      <x:c r="Y72" s="18" t="str">
        <x:v>µg remifentanil</x:v>
      </x:c>
      <x:c r="Z72" s="18" t="str">
        <x:v>0.042</x:v>
      </x:c>
      <x:c r="AA72" s="18" t="str">
        <x:v>Yes</x:v>
      </x:c>
      <x:c r="AB72" s="18" t="str">
        <x:v>No</x:v>
      </x:c>
      <x:c r="AC72" s="18" t="str">
        <x:v>MD</x:v>
      </x:c>
      <x:c r="AD72" s="18" t="n">
        <x:v>-254</x:v>
      </x:c>
      <x:c r="AE72" s="18" t="str">
        <x:v>No</x:v>
      </x:c>
      <x:c r="AF72" s="18" t="str">
        <x:v>No</x:v>
      </x:c>
      <x:c r="AG72" s="18" t="str">
        <x:v>Eligible for intraoperative opioid-sparing analysis</x:v>
      </x:c>
      <x:c r="AH72" s="18" t="str">
        <x:v>No</x:v>
      </x:c>
      <x:c r="AI72" s="18" t="str">
        <x:v>Complete-case analysis with asymmetric attrition</x:v>
      </x:c>
      <x:c r="AJ72" s="18" t="str">
        <x:v>Table 2 / cumulative remifentanil</x:v>
      </x:c>
      <x:c r="AK72" s="18" t="str">
        <x:v>https://drive.google.com/file/d/1XR_8qmeHR7ulwV7NaaI0CeYbpwKdc_ym/view?usp=drivesdk</x:v>
      </x:c>
      <x:c r="AL72" s="18" t="str">
        <x:v>SOURCE-VERIFIED</x:v>
      </x:c>
      <x:c r="AM72" s="18" t="str">
        <x:v>Intraoperative opioid</x:v>
      </x:c>
      <x:c r="AN72" s="18" t="str">
        <x:v>Intraoperative</x:v>
      </x:c>
      <x:c r="AO72" s="18" t="str">
        <x:v>INCLUDE — INTRAOPERATIVE</x:v>
      </x:c>
      <x:c r="AP72" s="18" t="str">
        <x:v>Valid intraoperative opioid endpoint; must remain separate from postoperative opioid consumption.</x:v>
      </x:c>
      <x:c r="AQ72" s="18" t="str">
        <x:v>No</x:v>
      </x:c>
      <x:c r="AR72" s="18" t="str"/>
      <x:c r="AS72" s="18" t="str">
        <x:v>None</x:v>
      </x:c>
      <x:c r="AT72" s="18" t="str">
        <x:v>VAS pain intensity</x:v>
      </x:c>
      <x:c r="AU72" s="18" t="str">
        <x:v>POD1</x:v>
      </x:c>
      <x:c r="AV72" s="18" t="str">
        <x:v>High</x:v>
      </x:c>
      <x:c r="AW72" s="18" t="str">
        <x:v>Yes — selected RoB is for a different result/timepoint</x:v>
      </x:c>
      <x:c r="AX72" s="18" t="str">
        <x:v>Wu 2022</x:v>
      </x:c>
      <x:c r="AY72" s="18" t="str">
        <x:v>Primary eligible contrast</x:v>
      </x:c>
      <x:c r="AZ72" s="18" t="str">
        <x:v>Count this study once per synthesis unless a valid multi-arm method is used.</x:v>
      </x:c>
    </x:row>
    <x:row r="73">
      <x:c r="A73" s="18" t="str">
        <x:v>Wu 2022</x:v>
      </x:c>
      <x:c r="B73" s="18" t="str">
        <x:v>WU22_PTEAS_vs_CTRL_REMIINDEX</x:v>
      </x:c>
      <x:c r="C73" s="18" t="str">
        <x:v>Perioperative pTEAS</x:v>
      </x:c>
      <x:c r="D73" s="18" t="str">
        <x:v>No-current control</x:v>
      </x:c>
      <x:c r="E73" s="18" t="str">
        <x:v>Intraoperative opioid</x:v>
      </x:c>
      <x:c r="F73" s="18" t="str">
        <x:v>Remifentanil dose index</x:v>
      </x:c>
      <x:c r="G73" s="18" t="str">
        <x:v>Intraoperative</x:v>
      </x:c>
      <x:c r="H73" s="18" t="str">
        <x:v>Mean/SD</x:v>
      </x:c>
      <x:c r="I73" s="18" t="n">
        <x:v>45</x:v>
      </x:c>
      <x:c r="J73" s="18" t="n">
        <x:v>45</x:v>
      </x:c>
      <x:c r="K73" s="18" t="n">
        <x:v>44</x:v>
      </x:c>
      <x:c r="L73" s="18" t="n">
        <x:v>40</x:v>
      </x:c>
      <x:c r="M73" s="18" t="n">
        <x:v>0.084</x:v>
      </x:c>
      <x:c r="N73" s="18" t="n">
        <x:v>0.018</x:v>
      </x:c>
      <x:c r="O73" s="18"/>
      <x:c r="P73" s="18"/>
      <x:c r="Q73" s="18"/>
      <x:c r="R73" s="18"/>
      <x:c r="S73" s="18" t="n">
        <x:v>0.114</x:v>
      </x:c>
      <x:c r="T73" s="18" t="n">
        <x:v>0.09</x:v>
      </x:c>
      <x:c r="U73" s="18"/>
      <x:c r="V73" s="18"/>
      <x:c r="W73" s="18"/>
      <x:c r="X73" s="18"/>
      <x:c r="Y73" s="18" t="str">
        <x:v>µg/min/kg</x:v>
      </x:c>
      <x:c r="Z73" s="18" t="str">
        <x:v>0.045</x:v>
      </x:c>
      <x:c r="AA73" s="18" t="str">
        <x:v>Yes</x:v>
      </x:c>
      <x:c r="AB73" s="18" t="str">
        <x:v>No</x:v>
      </x:c>
      <x:c r="AC73" s="18" t="str">
        <x:v>MD</x:v>
      </x:c>
      <x:c r="AD73" s="18" t="n">
        <x:v>-0.03</x:v>
      </x:c>
      <x:c r="AE73" s="18" t="str">
        <x:v>No</x:v>
      </x:c>
      <x:c r="AF73" s="18" t="str">
        <x:v>No</x:v>
      </x:c>
      <x:c r="AG73" s="18" t="str">
        <x:v>Eligible for intraoperative dose-index analysis</x:v>
      </x:c>
      <x:c r="AH73" s="18" t="str">
        <x:v>No</x:v>
      </x:c>
      <x:c r="AI73" s="18" t="str">
        <x:v>Preserve source units as reported</x:v>
      </x:c>
      <x:c r="AJ73" s="18" t="str">
        <x:v>Table 2 / remifentanil index</x:v>
      </x:c>
      <x:c r="AK73" s="18" t="str">
        <x:v>https://drive.google.com/file/d/1XR_8qmeHR7ulwV7NaaI0CeYbpwKdc_ym/view?usp=drivesdk</x:v>
      </x:c>
      <x:c r="AL73" s="18" t="str">
        <x:v>SOURCE-VERIFIED</x:v>
      </x:c>
      <x:c r="AM73" s="18" t="str">
        <x:v>Intraoperative opioid</x:v>
      </x:c>
      <x:c r="AN73" s="18" t="str">
        <x:v>Intraoperative</x:v>
      </x:c>
      <x:c r="AO73" s="18" t="str">
        <x:v>INCLUDE — INTRAOPERATIVE</x:v>
      </x:c>
      <x:c r="AP73" s="18" t="str">
        <x:v>Valid intraoperative opioid endpoint; must remain separate from postoperative opioid consumption.</x:v>
      </x:c>
      <x:c r="AQ73" s="18" t="str">
        <x:v>No</x:v>
      </x:c>
      <x:c r="AR73" s="18" t="str"/>
      <x:c r="AS73" s="18" t="str">
        <x:v>None</x:v>
      </x:c>
      <x:c r="AT73" s="18" t="str">
        <x:v>VAS pain intensity</x:v>
      </x:c>
      <x:c r="AU73" s="18" t="str">
        <x:v>POD1</x:v>
      </x:c>
      <x:c r="AV73" s="18" t="str">
        <x:v>High</x:v>
      </x:c>
      <x:c r="AW73" s="18" t="str">
        <x:v>Yes — selected RoB is for a different result/timepoint</x:v>
      </x:c>
      <x:c r="AX73" s="18" t="str">
        <x:v>Wu 2022</x:v>
      </x:c>
      <x:c r="AY73" s="18" t="str">
        <x:v>Primary eligible contrast</x:v>
      </x:c>
      <x:c r="AZ73" s="18" t="str">
        <x:v>Count this study once per synthesis unless a valid multi-arm method is used.</x:v>
      </x:c>
    </x:row>
    <x:row r="74">
      <x:c r="A74" s="18" t="str">
        <x:v>Wu 2022</x:v>
      </x:c>
      <x:c r="B74" s="18" t="str">
        <x:v>WU22_PTEAS_vs_CTRL_OPIOID24</x:v>
      </x:c>
      <x:c r="C74" s="18" t="str">
        <x:v>Perioperative pTEAS</x:v>
      </x:c>
      <x:c r="D74" s="18" t="str">
        <x:v>No-current control</x:v>
      </x:c>
      <x:c r="E74" s="18" t="str">
        <x:v>Opioid consumption</x:v>
      </x:c>
      <x:c r="F74" s="18" t="str">
        <x:v>Exact cumulative postoperative opioid consumption</x:v>
      </x:c>
      <x:c r="G74" s="18" t="str">
        <x:v>0-24 h</x:v>
      </x:c>
      <x:c r="H74" s="18" t="str">
        <x:v>Not reported</x:v>
      </x:c>
      <x:c r="I74" s="18" t="n">
        <x:v>45</x:v>
      </x:c>
      <x:c r="J74" s="18" t="n">
        <x:v>45</x:v>
      </x:c>
      <x:c r="K74" s="18" t="n">
        <x:v>44</x:v>
      </x:c>
      <x:c r="L74" s="18" t="n">
        <x:v>40</x:v>
      </x:c>
      <x:c r="M74" s="18"/>
      <x:c r="N74" s="18"/>
      <x:c r="O74" s="18"/>
      <x:c r="P74" s="18"/>
      <x:c r="Q74" s="18"/>
      <x:c r="R74" s="18"/>
      <x:c r="S74" s="18"/>
      <x:c r="T74" s="18"/>
      <x:c r="U74" s="18"/>
      <x:c r="V74" s="18"/>
      <x:c r="W74" s="18"/>
      <x:c r="X74" s="18"/>
      <x:c r="Y74" s="18" t="str">
        <x:v>mg/µg</x:v>
      </x:c>
      <x:c r="Z74" s="18"/>
      <x:c r="AA74" s="18" t="str">
        <x:v>No</x:v>
      </x:c>
      <x:c r="AB74" s="18" t="str">
        <x:v>No</x:v>
      </x:c>
      <x:c r="AC74" s="18"/>
      <x:c r="AD74" s="18"/>
      <x:c r="AE74" s="18" t="str">
        <x:v>No</x:v>
      </x:c>
      <x:c r="AF74" s="18" t="str">
        <x:v>No</x:v>
      </x:c>
      <x:c r="AG74" s="18" t="str">
        <x:v>Not eligible for continuous 24-h postoperative opioid meta-analysis</x:v>
      </x:c>
      <x:c r="AH74" s="18" t="str">
        <x:v>No</x:v>
      </x:c>
      <x:c r="AI74" s="18" t="str">
        <x:v>Standard end-of-surgery tramadol/fentanyl are reported, but no randomized group-specific 0-24-h opioid total is provided</x:v>
      </x:c>
      <x:c r="AJ74" s="18" t="str">
        <x:v>Postoperative analgesia section</x:v>
      </x:c>
      <x:c r="AK74" s="18" t="str">
        <x:v>https://drive.google.com/file/d/1XR_8qmeHR7ulwV7NaaI0CeYbpwKdc_ym/view?usp=drivesdk</x:v>
      </x:c>
      <x:c r="AL74" s="18" t="str">
        <x:v>MISSING / NOT REPORTED</x:v>
      </x:c>
      <x:c r="AM74" s="18" t="str">
        <x:v>Postoperative opioid consumption</x:v>
      </x:c>
      <x:c r="AN74" s="18" t="str">
        <x:v>Exact/explicit 24 h</x:v>
      </x:c>
      <x:c r="AO74" s="18" t="str">
        <x:v>EXCLUDE — DATA UNAVAILABLE</x:v>
      </x:c>
      <x:c r="AP74" s="18" t="str">
        <x:v>The source does not provide a defensible quantitative value for this analysis.</x:v>
      </x:c>
      <x:c r="AQ74" s="18" t="str">
        <x:v>No</x:v>
      </x:c>
      <x:c r="AR74" s="18" t="str"/>
      <x:c r="AS74" s="18" t="str">
        <x:v>None</x:v>
      </x:c>
      <x:c r="AT74" s="18" t="str">
        <x:v>VAS pain intensity</x:v>
      </x:c>
      <x:c r="AU74" s="18" t="str">
        <x:v>POD1</x:v>
      </x:c>
      <x:c r="AV74" s="18" t="str">
        <x:v>High</x:v>
      </x:c>
      <x:c r="AW74" s="18" t="str">
        <x:v>Yes — selected RoB is for a different result/timepoint</x:v>
      </x:c>
      <x:c r="AX74" s="18" t="str">
        <x:v>Wu 2022</x:v>
      </x:c>
      <x:c r="AY74" s="18" t="str">
        <x:v>Primary eligible contrast</x:v>
      </x:c>
      <x:c r="AZ74" s="18" t="str">
        <x:v>Count this study once per synthesis unless a valid multi-arm method is used.</x:v>
      </x:c>
    </x:row>
    <x:row r="75">
      <x:c r="A75" s="18" t="str">
        <x:v>Wu 2025</x:v>
      </x:c>
      <x:c r="B75" s="18" t="str">
        <x:v>WU25_TEAS_vs_SHAM_VAS24</x:v>
      </x:c>
      <x:c r="C75" s="18" t="str">
        <x:v>PACU TEAS</x:v>
      </x:c>
      <x:c r="D75" s="18" t="str">
        <x:v>Sham/no current</x:v>
      </x:c>
      <x:c r="E75" s="18" t="str">
        <x:v>Pain</x:v>
      </x:c>
      <x:c r="F75" s="18" t="str">
        <x:v>VAS pain intensity</x:v>
      </x:c>
      <x:c r="G75" s="18" t="str">
        <x:v>24 h</x:v>
      </x:c>
      <x:c r="H75" s="18" t="str">
        <x:v>Mean/SD</x:v>
      </x:c>
      <x:c r="I75" s="18" t="n">
        <x:v>50</x:v>
      </x:c>
      <x:c r="J75" s="18" t="n">
        <x:v>50</x:v>
      </x:c>
      <x:c r="K75" s="18" t="n">
        <x:v>50</x:v>
      </x:c>
      <x:c r="L75" s="18" t="n">
        <x:v>50</x:v>
      </x:c>
      <x:c r="M75" s="18" t="n">
        <x:v>1.7</x:v>
      </x:c>
      <x:c r="N75" s="18" t="n">
        <x:v>0.9</x:v>
      </x:c>
      <x:c r="O75" s="18"/>
      <x:c r="P75" s="18"/>
      <x:c r="Q75" s="18"/>
      <x:c r="R75" s="18"/>
      <x:c r="S75" s="18" t="n">
        <x:v>4</x:v>
      </x:c>
      <x:c r="T75" s="18" t="n">
        <x:v>1.4</x:v>
      </x:c>
      <x:c r="U75" s="18"/>
      <x:c r="V75" s="18"/>
      <x:c r="W75" s="18"/>
      <x:c r="X75" s="18"/>
      <x:c r="Y75" s="18" t="str">
        <x:v>VAS 0-10</x:v>
      </x:c>
      <x:c r="Z75" s="18" t="str">
        <x:v>&lt;0.001</x:v>
      </x:c>
      <x:c r="AA75" s="18" t="str">
        <x:v>Yes</x:v>
      </x:c>
      <x:c r="AB75" s="18" t="str">
        <x:v>No</x:v>
      </x:c>
      <x:c r="AC75" s="18" t="str">
        <x:v>MD</x:v>
      </x:c>
      <x:c r="AD75" s="18" t="n">
        <x:v>-2.3</x:v>
      </x:c>
      <x:c r="AE75" s="18" t="str">
        <x:v>No</x:v>
      </x:c>
      <x:c r="AF75" s="18" t="str">
        <x:v>No</x:v>
      </x:c>
      <x:c r="AG75" s="18" t="str">
        <x:v>Eligible for 24-h pain meta-analysis</x:v>
      </x:c>
      <x:c r="AH75" s="18" t="str">
        <x:v>No</x:v>
      </x:c>
      <x:c r="AI75" s="18" t="str">
        <x:v>Three patients could not be contacted at 24 h, yet all 100 were included in ITT; imputation/handling method is not explained</x:v>
      </x:c>
      <x:c r="AJ75" s="18" t="str">
        <x:v>Table 2 / primary 24-h VAS</x:v>
      </x:c>
      <x:c r="AK75" s="18" t="str">
        <x:v>https://drive.google.com/file/d/1ZV6JFjevGSPqnISdX61KPdcC_yEtq3vf/view?usp=drivesdk</x:v>
      </x:c>
      <x:c r="AL75" s="18" t="str">
        <x:v>SOURCE-VERIFIED / MISSING-DATA METHOD QC</x:v>
      </x:c>
      <x:c r="AM75" s="18" t="str">
        <x:v>Pain</x:v>
      </x:c>
      <x:c r="AN75" s="18" t="str">
        <x:v>Exact/explicit 24 h</x:v>
      </x:c>
      <x:c r="AO75" s="18" t="str">
        <x:v>EXCLUDE — DATA UNAVAILABLE</x:v>
      </x:c>
      <x:c r="AP75" s="18" t="str">
        <x:v>The source does not provide a defensible quantitative value for this analysis.</x:v>
      </x:c>
      <x:c r="AQ75" s="18" t="str">
        <x:v>No</x:v>
      </x:c>
      <x:c r="AR75" s="18" t="str"/>
      <x:c r="AS75" s="18" t="str">
        <x:v>None</x:v>
      </x:c>
      <x:c r="AT75" s="18" t="str">
        <x:v>VAS pain intensity</x:v>
      </x:c>
      <x:c r="AU75" s="18" t="str">
        <x:v>24 h</x:v>
      </x:c>
      <x:c r="AV75" s="18" t="str">
        <x:v>High</x:v>
      </x:c>
      <x:c r="AW75" s="18" t="str">
        <x:v>No — selected RoB matches this result</x:v>
      </x:c>
      <x:c r="AX75" s="18" t="str">
        <x:v>Wu 2025</x:v>
      </x:c>
      <x:c r="AY75" s="18" t="str">
        <x:v>Primary eligible contrast</x:v>
      </x:c>
      <x:c r="AZ75" s="18" t="str">
        <x:v>Count this study once per synthesis unless a valid multi-arm method is used.</x:v>
      </x:c>
    </x:row>
    <x:row r="76">
      <x:c r="A76" s="18" t="str">
        <x:v>Wu 2025</x:v>
      </x:c>
      <x:c r="B76" s="18" t="str">
        <x:v>WU25_TEAS_vs_SHAM_MODPAIN12</x:v>
      </x:c>
      <x:c r="C76" s="18" t="str">
        <x:v>PACU TEAS</x:v>
      </x:c>
      <x:c r="D76" s="18" t="str">
        <x:v>Sham/no current</x:v>
      </x:c>
      <x:c r="E76" s="18" t="str">
        <x:v>Pain</x:v>
      </x:c>
      <x:c r="F76" s="18" t="str">
        <x:v>Moderate-to-severe pain (VAS &gt;4)</x:v>
      </x:c>
      <x:c r="G76" s="18" t="str">
        <x:v>Within 12 h</x:v>
      </x:c>
      <x:c r="H76" s="18" t="str">
        <x:v>Events/total</x:v>
      </x:c>
      <x:c r="I76" s="18" t="n">
        <x:v>50</x:v>
      </x:c>
      <x:c r="J76" s="18" t="n">
        <x:v>50</x:v>
      </x:c>
      <x:c r="K76" s="18" t="n">
        <x:v>50</x:v>
      </x:c>
      <x:c r="L76" s="18" t="n">
        <x:v>50</x:v>
      </x:c>
      <x:c r="M76" s="18"/>
      <x:c r="N76" s="18"/>
      <x:c r="O76" s="18"/>
      <x:c r="P76" s="18"/>
      <x:c r="Q76" s="18"/>
      <x:c r="R76" s="18" t="n">
        <x:v>6</x:v>
      </x:c>
      <x:c r="S76" s="18"/>
      <x:c r="T76" s="18"/>
      <x:c r="U76" s="18"/>
      <x:c r="V76" s="18"/>
      <x:c r="W76" s="18"/>
      <x:c r="X76" s="18" t="n">
        <x:v>37</x:v>
      </x:c>
      <x:c r="Y76" s="18" t="str">
        <x:v>participants</x:v>
      </x:c>
      <x:c r="Z76" s="18" t="str">
        <x:v>&lt;0.001</x:v>
      </x:c>
      <x:c r="AA76" s="18" t="str">
        <x:v>Yes</x:v>
      </x:c>
      <x:c r="AB76" s="18" t="str">
        <x:v>No</x:v>
      </x:c>
      <x:c r="AC76" s="18" t="str">
        <x:v>RR</x:v>
      </x:c>
      <x:c r="AD76" s="18" t="n">
        <x:v>0.16216216216216217</x:v>
      </x:c>
      <x:c r="AE76" s="18" t="str">
        <x:v>No</x:v>
      </x:c>
      <x:c r="AF76" s="18" t="str">
        <x:v>No</x:v>
      </x:c>
      <x:c r="AG76" s="18" t="str">
        <x:v>Eligible for dichotomous early postoperative pain analysis</x:v>
      </x:c>
      <x:c r="AH76" s="18" t="str">
        <x:v>No</x:v>
      </x:c>
      <x:c r="AI76" s="18" t="str">
        <x:v>Very large subjective effect; interpret with incomplete sensory blinding</x:v>
      </x:c>
      <x:c r="AJ76" s="18" t="str">
        <x:v>Moderate-to-severe pain outcome</x:v>
      </x:c>
      <x:c r="AK76" s="18" t="str">
        <x:v>https://drive.google.com/file/d/1ZV6JFjevGSPqnISdX61KPdcC_yEtq3vf/view?usp=drivesdk</x:v>
      </x:c>
      <x:c r="AL76" s="18" t="str">
        <x:v>SOURCE-VERIFIED</x:v>
      </x:c>
      <x:c r="AM76" s="18" t="str">
        <x:v>Pain</x:v>
      </x:c>
      <x:c r="AN76" s="18" t="str">
        <x:v>Within 12 h</x:v>
      </x:c>
      <x:c r="AO76" s="18" t="str">
        <x:v>INCLUDE — OTHER TIMEPOINT</x:v>
      </x:c>
      <x:c r="AP76" s="18" t="str">
        <x:v>Source-valid pain outcome for a non-24-h analysis.</x:v>
      </x:c>
      <x:c r="AQ76" s="18" t="str">
        <x:v>No</x:v>
      </x:c>
      <x:c r="AR76" s="18" t="str"/>
      <x:c r="AS76" s="18" t="str">
        <x:v>Binary effect measure (RR preferred per protocol)</x:v>
      </x:c>
      <x:c r="AT76" s="18" t="str">
        <x:v>VAS pain intensity</x:v>
      </x:c>
      <x:c r="AU76" s="18" t="str">
        <x:v>24 h</x:v>
      </x:c>
      <x:c r="AV76" s="18" t="str">
        <x:v>High</x:v>
      </x:c>
      <x:c r="AW76" s="18" t="str">
        <x:v>Yes — selected RoB is for a different result/timepoint</x:v>
      </x:c>
      <x:c r="AX76" s="18" t="str">
        <x:v>Wu 2025</x:v>
      </x:c>
      <x:c r="AY76" s="18" t="str">
        <x:v>Primary eligible contrast</x:v>
      </x:c>
      <x:c r="AZ76" s="18" t="str">
        <x:v>Count this study once per synthesis unless a valid multi-arm method is used.</x:v>
      </x:c>
    </x:row>
    <x:row r="77">
      <x:c r="A77" s="18" t="str">
        <x:v>Wu 2025</x:v>
      </x:c>
      <x:c r="B77" s="18" t="str">
        <x:v>WU25_TEAS_vs_SHAM_INTRAOPSUF</x:v>
      </x:c>
      <x:c r="C77" s="18" t="str">
        <x:v>PACU TEAS</x:v>
      </x:c>
      <x:c r="D77" s="18" t="str">
        <x:v>Sham/no current</x:v>
      </x:c>
      <x:c r="E77" s="18" t="str">
        <x:v>Intraoperative opioid</x:v>
      </x:c>
      <x:c r="F77" s="18" t="str">
        <x:v>Sufentanil consumption</x:v>
      </x:c>
      <x:c r="G77" s="18" t="str">
        <x:v>Intraoperative</x:v>
      </x:c>
      <x:c r="H77" s="18" t="str">
        <x:v>Mean/SD</x:v>
      </x:c>
      <x:c r="I77" s="18" t="n">
        <x:v>50</x:v>
      </x:c>
      <x:c r="J77" s="18" t="n">
        <x:v>50</x:v>
      </x:c>
      <x:c r="K77" s="18" t="n">
        <x:v>50</x:v>
      </x:c>
      <x:c r="L77" s="18" t="n">
        <x:v>50</x:v>
      </x:c>
      <x:c r="M77" s="18" t="n">
        <x:v>24.2</x:v>
      </x:c>
      <x:c r="N77" s="18" t="n">
        <x:v>9.5</x:v>
      </x:c>
      <x:c r="O77" s="18"/>
      <x:c r="P77" s="18"/>
      <x:c r="Q77" s="18"/>
      <x:c r="R77" s="18"/>
      <x:c r="S77" s="18" t="n">
        <x:v>24.3</x:v>
      </x:c>
      <x:c r="T77" s="18" t="n">
        <x:v>10.9</x:v>
      </x:c>
      <x:c r="U77" s="18"/>
      <x:c r="V77" s="18"/>
      <x:c r="W77" s="18"/>
      <x:c r="X77" s="18"/>
      <x:c r="Y77" s="18" t="str">
        <x:v>µg sufentanil</x:v>
      </x:c>
      <x:c r="Z77" s="18" t="str">
        <x:v>0.953</x:v>
      </x:c>
      <x:c r="AA77" s="18" t="str">
        <x:v>Yes</x:v>
      </x:c>
      <x:c r="AB77" s="18" t="str">
        <x:v>No</x:v>
      </x:c>
      <x:c r="AC77" s="18" t="str">
        <x:v>MD</x:v>
      </x:c>
      <x:c r="AD77" s="18" t="n">
        <x:v>-0.10000000000000142</x:v>
      </x:c>
      <x:c r="AE77" s="18" t="str">
        <x:v>No</x:v>
      </x:c>
      <x:c r="AF77" s="18" t="str">
        <x:v>No</x:v>
      </x:c>
      <x:c r="AG77" s="18" t="str">
        <x:v>Eligible for intraoperative opioid analysis</x:v>
      </x:c>
      <x:c r="AH77" s="18" t="str">
        <x:v>No</x:v>
      </x:c>
      <x:c r="AI77" s="18" t="str">
        <x:v>No intraoperative opioid-sparing effect</x:v>
      </x:c>
      <x:c r="AJ77" s="18" t="str">
        <x:v>Table 1 / sufentanil</x:v>
      </x:c>
      <x:c r="AK77" s="18" t="str">
        <x:v>https://drive.google.com/file/d/1ZV6JFjevGSPqnISdX61KPdcC_yEtq3vf/view?usp=drivesdk</x:v>
      </x:c>
      <x:c r="AL77" s="18" t="str">
        <x:v>SOURCE-VERIFIED</x:v>
      </x:c>
      <x:c r="AM77" s="18" t="str">
        <x:v>Intraoperative opioid</x:v>
      </x:c>
      <x:c r="AN77" s="18" t="str">
        <x:v>Intraoperative</x:v>
      </x:c>
      <x:c r="AO77" s="18" t="str">
        <x:v>INCLUDE — INTRAOPERATIVE</x:v>
      </x:c>
      <x:c r="AP77" s="18" t="str">
        <x:v>Valid intraoperative opioid endpoint; must remain separate from postoperative opioid consumption.</x:v>
      </x:c>
      <x:c r="AQ77" s="18" t="str">
        <x:v>No</x:v>
      </x:c>
      <x:c r="AR77" s="18" t="str"/>
      <x:c r="AS77" s="18" t="str">
        <x:v>None</x:v>
      </x:c>
      <x:c r="AT77" s="18" t="str">
        <x:v>VAS pain intensity</x:v>
      </x:c>
      <x:c r="AU77" s="18" t="str">
        <x:v>24 h</x:v>
      </x:c>
      <x:c r="AV77" s="18" t="str">
        <x:v>High</x:v>
      </x:c>
      <x:c r="AW77" s="18" t="str">
        <x:v>Yes — selected RoB is for a different result/timepoint</x:v>
      </x:c>
      <x:c r="AX77" s="18" t="str">
        <x:v>Wu 2025</x:v>
      </x:c>
      <x:c r="AY77" s="18" t="str">
        <x:v>Primary eligible contrast</x:v>
      </x:c>
      <x:c r="AZ77" s="18" t="str">
        <x:v>Count this study once per synthesis unless a valid multi-arm method is used.</x:v>
      </x:c>
    </x:row>
    <x:row r="78">
      <x:c r="A78" s="18" t="str">
        <x:v>Wu 2025</x:v>
      </x:c>
      <x:c r="B78" s="18" t="str">
        <x:v>WU25_TEAS_vs_SHAM_INTRAOPREMI</x:v>
      </x:c>
      <x:c r="C78" s="18" t="str">
        <x:v>PACU TEAS</x:v>
      </x:c>
      <x:c r="D78" s="18" t="str">
        <x:v>Sham/no current</x:v>
      </x:c>
      <x:c r="E78" s="18" t="str">
        <x:v>Intraoperative opioid</x:v>
      </x:c>
      <x:c r="F78" s="18" t="str">
        <x:v>Remifentanil consumption</x:v>
      </x:c>
      <x:c r="G78" s="18" t="str">
        <x:v>Intraoperative</x:v>
      </x:c>
      <x:c r="H78" s="18" t="str">
        <x:v>Mean/SD</x:v>
      </x:c>
      <x:c r="I78" s="18" t="n">
        <x:v>50</x:v>
      </x:c>
      <x:c r="J78" s="18" t="n">
        <x:v>50</x:v>
      </x:c>
      <x:c r="K78" s="18" t="n">
        <x:v>50</x:v>
      </x:c>
      <x:c r="L78" s="18" t="n">
        <x:v>50</x:v>
      </x:c>
      <x:c r="M78" s="18" t="n">
        <x:v>489.4</x:v>
      </x:c>
      <x:c r="N78" s="18" t="n">
        <x:v>226</x:v>
      </x:c>
      <x:c r="O78" s="18"/>
      <x:c r="P78" s="18"/>
      <x:c r="Q78" s="18"/>
      <x:c r="R78" s="18"/>
      <x:c r="S78" s="18" t="n">
        <x:v>533.8</x:v>
      </x:c>
      <x:c r="T78" s="18" t="n">
        <x:v>263.6</x:v>
      </x:c>
      <x:c r="U78" s="18"/>
      <x:c r="V78" s="18"/>
      <x:c r="W78" s="18"/>
      <x:c r="X78" s="18"/>
      <x:c r="Y78" s="18" t="str">
        <x:v>µg remifentanil</x:v>
      </x:c>
      <x:c r="Z78" s="18" t="str">
        <x:v>0.368</x:v>
      </x:c>
      <x:c r="AA78" s="18" t="str">
        <x:v>Yes</x:v>
      </x:c>
      <x:c r="AB78" s="18" t="str">
        <x:v>No</x:v>
      </x:c>
      <x:c r="AC78" s="18" t="str">
        <x:v>MD</x:v>
      </x:c>
      <x:c r="AD78" s="18" t="n">
        <x:v>-44.39999999999998</x:v>
      </x:c>
      <x:c r="AE78" s="18" t="str">
        <x:v>No</x:v>
      </x:c>
      <x:c r="AF78" s="18" t="str">
        <x:v>No</x:v>
      </x:c>
      <x:c r="AG78" s="18" t="str">
        <x:v>Eligible for intraoperative opioid analysis</x:v>
      </x:c>
      <x:c r="AH78" s="18" t="str">
        <x:v>No</x:v>
      </x:c>
      <x:c r="AI78" s="18" t="str">
        <x:v>No significant intraoperative opioid-sparing effect</x:v>
      </x:c>
      <x:c r="AJ78" s="18" t="str">
        <x:v>Table 1 / remifentanil</x:v>
      </x:c>
      <x:c r="AK78" s="18" t="str">
        <x:v>https://drive.google.com/file/d/1ZV6JFjevGSPqnISdX61KPdcC_yEtq3vf/view?usp=drivesdk</x:v>
      </x:c>
      <x:c r="AL78" s="18" t="str">
        <x:v>SOURCE-VERIFIED</x:v>
      </x:c>
      <x:c r="AM78" s="18" t="str">
        <x:v>Intraoperative opioid</x:v>
      </x:c>
      <x:c r="AN78" s="18" t="str">
        <x:v>Intraoperative</x:v>
      </x:c>
      <x:c r="AO78" s="18" t="str">
        <x:v>INCLUDE — INTRAOPERATIVE</x:v>
      </x:c>
      <x:c r="AP78" s="18" t="str">
        <x:v>Valid intraoperative opioid endpoint; must remain separate from postoperative opioid consumption.</x:v>
      </x:c>
      <x:c r="AQ78" s="18" t="str">
        <x:v>No</x:v>
      </x:c>
      <x:c r="AR78" s="18" t="str"/>
      <x:c r="AS78" s="18" t="str">
        <x:v>None</x:v>
      </x:c>
      <x:c r="AT78" s="18" t="str">
        <x:v>VAS pain intensity</x:v>
      </x:c>
      <x:c r="AU78" s="18" t="str">
        <x:v>24 h</x:v>
      </x:c>
      <x:c r="AV78" s="18" t="str">
        <x:v>High</x:v>
      </x:c>
      <x:c r="AW78" s="18" t="str">
        <x:v>Yes — selected RoB is for a different result/timepoint</x:v>
      </x:c>
      <x:c r="AX78" s="18" t="str">
        <x:v>Wu 2025</x:v>
      </x:c>
      <x:c r="AY78" s="18" t="str">
        <x:v>Primary eligible contrast</x:v>
      </x:c>
      <x:c r="AZ78" s="18" t="str">
        <x:v>Count this study once per synthesis unless a valid multi-arm method is used.</x:v>
      </x:c>
    </x:row>
    <x:row r="79">
      <x:c r="A79" s="18" t="str">
        <x:v>Wu 2025</x:v>
      </x:c>
      <x:c r="B79" s="18" t="str">
        <x:v>WU25_TEAS_vs_SHAM_OPIOID24</x:v>
      </x:c>
      <x:c r="C79" s="18" t="str">
        <x:v>PACU TEAS</x:v>
      </x:c>
      <x:c r="D79" s="18" t="str">
        <x:v>Sham/no current</x:v>
      </x:c>
      <x:c r="E79" s="18" t="str">
        <x:v>Opioid consumption</x:v>
      </x:c>
      <x:c r="F79" s="18" t="str">
        <x:v>Exact postoperative opioid/MME consumption</x:v>
      </x:c>
      <x:c r="G79" s="18" t="str">
        <x:v>0-24 h</x:v>
      </x:c>
      <x:c r="H79" s="18" t="str">
        <x:v>Not calculable</x:v>
      </x:c>
      <x:c r="I79" s="18" t="n">
        <x:v>50</x:v>
      </x:c>
      <x:c r="J79" s="18" t="n">
        <x:v>50</x:v>
      </x:c>
      <x:c r="K79" s="18" t="n">
        <x:v>50</x:v>
      </x:c>
      <x:c r="L79" s="18" t="n">
        <x:v>50</x:v>
      </x:c>
      <x:c r="M79" s="18"/>
      <x:c r="N79" s="18"/>
      <x:c r="O79" s="18"/>
      <x:c r="P79" s="18"/>
      <x:c r="Q79" s="18"/>
      <x:c r="R79" s="18"/>
      <x:c r="S79" s="18"/>
      <x:c r="T79" s="18"/>
      <x:c r="U79" s="18"/>
      <x:c r="V79" s="18"/>
      <x:c r="W79" s="18"/>
      <x:c r="X79" s="18"/>
      <x:c r="Y79" s="18" t="str">
        <x:v>MME</x:v>
      </x:c>
      <x:c r="Z79" s="18"/>
      <x:c r="AA79" s="18" t="str">
        <x:v>No</x:v>
      </x:c>
      <x:c r="AB79" s="18" t="str">
        <x:v>No</x:v>
      </x:c>
      <x:c r="AC79" s="18"/>
      <x:c r="AD79" s="18"/>
      <x:c r="AE79" s="18" t="str">
        <x:v>No</x:v>
      </x:c>
      <x:c r="AF79" s="18" t="str">
        <x:v>No</x:v>
      </x:c>
      <x:c r="AG79" s="18" t="str">
        <x:v>Not eligible for continuous 24-h opioid meta-analysis</x:v>
      </x:c>
      <x:c r="AH79" s="18" t="str">
        <x:v>No</x:v>
      </x:c>
      <x:c r="AI79" s="18" t="str">
        <x:v>Oxycodone/acetaminophen rescue strength is not reported; rescue regimen is mixed opioid/non-opioid</x:v>
      </x:c>
      <x:c r="AJ79" s="18" t="str">
        <x:v>Postoperative rescue-analgesia section</x:v>
      </x:c>
      <x:c r="AK79" s="18" t="str">
        <x:v>https://drive.google.com/file/d/1ZV6JFjevGSPqnISdX61KPdcC_yEtq3vf/view?usp=drivesdk</x:v>
      </x:c>
      <x:c r="AL79" s="18" t="str">
        <x:v>MISSING / MME NOT CALCULABLE</x:v>
      </x:c>
      <x:c r="AM79" s="18" t="str">
        <x:v>Postoperative opioid consumption</x:v>
      </x:c>
      <x:c r="AN79" s="18" t="str">
        <x:v>Exact/explicit 24 h</x:v>
      </x:c>
      <x:c r="AO79" s="18" t="str">
        <x:v>EXCLUDE — DATA UNAVAILABLE</x:v>
      </x:c>
      <x:c r="AP79" s="18" t="str">
        <x:v>The source does not provide a defensible quantitative value for this analysis.</x:v>
      </x:c>
      <x:c r="AQ79" s="18" t="str">
        <x:v>No</x:v>
      </x:c>
      <x:c r="AR79" s="18" t="str"/>
      <x:c r="AS79" s="18" t="str">
        <x:v>None</x:v>
      </x:c>
      <x:c r="AT79" s="18" t="str">
        <x:v>VAS pain intensity</x:v>
      </x:c>
      <x:c r="AU79" s="18" t="str">
        <x:v>24 h</x:v>
      </x:c>
      <x:c r="AV79" s="18" t="str">
        <x:v>High</x:v>
      </x:c>
      <x:c r="AW79" s="18" t="str">
        <x:v>Yes — selected RoB is for a different result/timepoint</x:v>
      </x:c>
      <x:c r="AX79" s="18" t="str">
        <x:v>Wu 2025</x:v>
      </x:c>
      <x:c r="AY79" s="18" t="str">
        <x:v>Primary eligible contrast</x:v>
      </x:c>
      <x:c r="AZ79" s="18" t="str">
        <x:v>Count this study once per synthesis unless a valid multi-arm method is used.</x:v>
      </x:c>
    </x:row>
    <x:row r="80">
      <x:c r="A80" s="18" t="str">
        <x:v>Wang 2023</x:v>
      </x:c>
      <x:c r="B80" s="18" t="str">
        <x:v>WANG23_TEAS_vs_SHAM_SLEEPD1</x:v>
      </x:c>
      <x:c r="C80" s="18" t="str">
        <x:v>Nighttime TEAS</x:v>
      </x:c>
      <x:c r="D80" s="18" t="str">
        <x:v>Sham/no current</x:v>
      </x:c>
      <x:c r="E80" s="18" t="str">
        <x:v>Sleep quality</x:v>
      </x:c>
      <x:c r="F80" s="18" t="str">
        <x:v>PSQI and AIS postoperative sleep quality</x:v>
      </x:c>
      <x:c r="G80" s="18" t="str">
        <x:v>POD1</x:v>
      </x:c>
      <x:c r="H80" s="18" t="str">
        <x:v>Graph-only continuous data</x:v>
      </x:c>
      <x:c r="I80" s="18" t="n">
        <x:v>43</x:v>
      </x:c>
      <x:c r="J80" s="18" t="n">
        <x:v>45</x:v>
      </x:c>
      <x:c r="K80" s="18" t="n">
        <x:v>40</x:v>
      </x:c>
      <x:c r="L80" s="18" t="n">
        <x:v>43</x:v>
      </x:c>
      <x:c r="M80" s="18"/>
      <x:c r="N80" s="18"/>
      <x:c r="O80" s="18"/>
      <x:c r="P80" s="18"/>
      <x:c r="Q80" s="18"/>
      <x:c r="R80" s="18"/>
      <x:c r="S80" s="18"/>
      <x:c r="T80" s="18"/>
      <x:c r="U80" s="18"/>
      <x:c r="V80" s="18"/>
      <x:c r="W80" s="18"/>
      <x:c r="X80" s="18"/>
      <x:c r="Y80" s="18" t="str">
        <x:v>PSQI/AIS points</x:v>
      </x:c>
      <x:c r="Z80" s="18" t="str">
        <x:v>&lt;0.05 between groups</x:v>
      </x:c>
      <x:c r="AA80" s="18" t="str">
        <x:v>No</x:v>
      </x:c>
      <x:c r="AB80" s="18" t="str">
        <x:v>No</x:v>
      </x:c>
      <x:c r="AC80" s="18"/>
      <x:c r="AD80" s="18"/>
      <x:c r="AE80" s="18" t="str">
        <x:v>No</x:v>
      </x:c>
      <x:c r="AF80" s="18" t="str">
        <x:v>No</x:v>
      </x:c>
      <x:c r="AG80" s="18" t="str">
        <x:v>Not ready for continuous meta-analysis without formal graph digitization or author data</x:v>
      </x:c>
      <x:c r="AH80" s="18" t="str">
        <x:v>No</x:v>
      </x:c>
      <x:c r="AI80" s="18" t="str">
        <x:v>Exact POD1 means/SDs are figure-only; do not use fabricated exact AIS/PSQI values</x:v>
      </x:c>
      <x:c r="AJ80" s="18" t="str">
        <x:v>Figure 3, p8</x:v>
      </x:c>
      <x:c r="AK80" s="18" t="str">
        <x:v>https://drive.google.com/file/d/177A4aH42GD90DhsvvtD-VOBSChBBpIWL/view?usp=drivesdk</x:v>
      </x:c>
      <x:c r="AL80" s="18" t="str">
        <x:v>FIGURE ONLY / DIGITIZATION NEEDED</x:v>
      </x:c>
      <x:c r="AM80" s="18" t="str">
        <x:v>Sleep</x:v>
      </x:c>
      <x:c r="AN80" s="18" t="str">
        <x:v>POD1 / approximate 24 h</x:v>
      </x:c>
      <x:c r="AO80" s="18" t="str">
        <x:v>DIGITIZATION NEEDED</x:v>
      </x:c>
      <x:c r="AP80" s="18" t="str">
        <x:v>Exact numeric result is not tabulated; formal graph digitization or author data is required before quantitative pooling.</x:v>
      </x:c>
      <x:c r="AQ80" s="18" t="str">
        <x:v>No</x:v>
      </x:c>
      <x:c r="AR80" s="18" t="str"/>
      <x:c r="AS80" s="18" t="str">
        <x:v>None</x:v>
      </x:c>
      <x:c r="AT80" s="18" t="str">
        <x:v>Postoperative sleep quality (PSQI/AIS)</x:v>
      </x:c>
      <x:c r="AU80" s="18" t="str">
        <x:v>POD1</x:v>
      </x:c>
      <x:c r="AV80" s="18" t="str">
        <x:v>High</x:v>
      </x:c>
      <x:c r="AW80" s="18" t="str">
        <x:v>Yes — selected RoB is for a different result/timepoint</x:v>
      </x:c>
      <x:c r="AX80" s="18" t="str">
        <x:v>Wang 2023</x:v>
      </x:c>
      <x:c r="AY80" s="18" t="str">
        <x:v>Primary eligible contrast</x:v>
      </x:c>
      <x:c r="AZ80" s="18" t="str">
        <x:v>Count this study once per synthesis unless a valid multi-arm method is used.</x:v>
      </x:c>
    </x:row>
    <x:row r="81">
      <x:c r="A81" s="18" t="str">
        <x:v>Wang 2023</x:v>
      </x:c>
      <x:c r="B81" s="18" t="str">
        <x:v>WANG23_TEAS_vs_SHAM_RESCUEDOSE</x:v>
      </x:c>
      <x:c r="C81" s="18" t="str">
        <x:v>Nighttime TEAS</x:v>
      </x:c>
      <x:c r="D81" s="18" t="str">
        <x:v>Sham/no current</x:v>
      </x:c>
      <x:c r="E81" s="18" t="str">
        <x:v>Rescue analgesia</x:v>
      </x:c>
      <x:c r="F81" s="18" t="str">
        <x:v>Cumulative number of additional rescue-analgesia doses</x:v>
      </x:c>
      <x:c r="G81" s="18" t="str">
        <x:v>0-72 h</x:v>
      </x:c>
      <x:c r="H81" s="18" t="str">
        <x:v>Mean/SD</x:v>
      </x:c>
      <x:c r="I81" s="18" t="n">
        <x:v>43</x:v>
      </x:c>
      <x:c r="J81" s="18" t="n">
        <x:v>45</x:v>
      </x:c>
      <x:c r="K81" s="18" t="n">
        <x:v>40</x:v>
      </x:c>
      <x:c r="L81" s="18" t="n">
        <x:v>43</x:v>
      </x:c>
      <x:c r="M81" s="18" t="n">
        <x:v>0.53</x:v>
      </x:c>
      <x:c r="N81" s="18" t="n">
        <x:v>0.55</x:v>
      </x:c>
      <x:c r="O81" s="18"/>
      <x:c r="P81" s="18"/>
      <x:c r="Q81" s="18"/>
      <x:c r="R81" s="18"/>
      <x:c r="S81" s="18" t="n">
        <x:v>0.98</x:v>
      </x:c>
      <x:c r="T81" s="18" t="n">
        <x:v>0.96</x:v>
      </x:c>
      <x:c r="U81" s="18"/>
      <x:c r="V81" s="18"/>
      <x:c r="W81" s="18"/>
      <x:c r="X81" s="18"/>
      <x:c r="Y81" s="18" t="str">
        <x:v>rescue doses</x:v>
      </x:c>
      <x:c r="Z81" s="18" t="str">
        <x:v>0.011</x:v>
      </x:c>
      <x:c r="AA81" s="18" t="str">
        <x:v>Yes</x:v>
      </x:c>
      <x:c r="AB81" s="18" t="str">
        <x:v>No</x:v>
      </x:c>
      <x:c r="AC81" s="18" t="str">
        <x:v>MD</x:v>
      </x:c>
      <x:c r="AD81" s="18" t="n">
        <x:v>-0.44999999999999996</x:v>
      </x:c>
      <x:c r="AE81" s="18" t="str">
        <x:v>No</x:v>
      </x:c>
      <x:c r="AF81" s="18" t="str">
        <x:v>No</x:v>
      </x:c>
      <x:c r="AG81" s="18" t="str">
        <x:v>Eligible as rescue-analgesia frequency outcome only</x:v>
      </x:c>
      <x:c r="AH81" s="18" t="str">
        <x:v>No</x:v>
      </x:c>
      <x:c r="AI81" s="18" t="str">
        <x:v>Rescue drug, dose, route and opioid/non-opioid identity are not specified in the main article</x:v>
      </x:c>
      <x:c r="AJ81" s="18" t="str">
        <x:v>Table 2 / rescue analgesia</x:v>
      </x:c>
      <x:c r="AK81" s="18" t="str">
        <x:v>https://drive.google.com/file/d/177A4aH42GD90DhsvvtD-VOBSChBBpIWL/view?usp=drivesdk</x:v>
      </x:c>
      <x:c r="AL81" s="18" t="str">
        <x:v>SOURCE-VERIFIED / DRUG IDENTITY MISSING</x:v>
      </x:c>
      <x:c r="AM81" s="18" t="str">
        <x:v>Rescue analgesia</x:v>
      </x:c>
      <x:c r="AN81" s="18" t="str">
        <x:v>72 h</x:v>
      </x:c>
      <x:c r="AO81" s="18" t="str">
        <x:v>EXCLUDE — DATA UNAVAILABLE</x:v>
      </x:c>
      <x:c r="AP81" s="18" t="str">
        <x:v>The source does not provide a defensible quantitative value for this analysis.</x:v>
      </x:c>
      <x:c r="AQ81" s="18" t="str">
        <x:v>No</x:v>
      </x:c>
      <x:c r="AR81" s="18" t="str"/>
      <x:c r="AS81" s="18" t="str">
        <x:v>None</x:v>
      </x:c>
      <x:c r="AT81" s="18" t="str">
        <x:v>Postoperative sleep quality (PSQI/AIS)</x:v>
      </x:c>
      <x:c r="AU81" s="18" t="str">
        <x:v>POD1</x:v>
      </x:c>
      <x:c r="AV81" s="18" t="str">
        <x:v>High</x:v>
      </x:c>
      <x:c r="AW81" s="18" t="str">
        <x:v>Yes — selected RoB is for a different result/timepoint</x:v>
      </x:c>
      <x:c r="AX81" s="18" t="str">
        <x:v>Wang 2023</x:v>
      </x:c>
      <x:c r="AY81" s="18" t="str">
        <x:v>Primary eligible contrast</x:v>
      </x:c>
      <x:c r="AZ81" s="18" t="str">
        <x:v>Count this study once per synthesis unless a valid multi-arm method is used.</x:v>
      </x:c>
    </x:row>
    <x:row r="82">
      <x:c r="A82" s="18" t="str">
        <x:v>Wang 2023</x:v>
      </x:c>
      <x:c r="B82" s="18" t="str">
        <x:v>WANG23_TEAS_vs_SHAM_FLATUS</x:v>
      </x:c>
      <x:c r="C82" s="18" t="str">
        <x:v>Nighttime TEAS</x:v>
      </x:c>
      <x:c r="D82" s="18" t="str">
        <x:v>Sham/no current</x:v>
      </x:c>
      <x:c r="E82" s="18" t="str">
        <x:v>GI recovery</x:v>
      </x:c>
      <x:c r="F82" s="18" t="str">
        <x:v>Time to first flatus</x:v>
      </x:c>
      <x:c r="G82" s="18" t="str">
        <x:v>Postoperative</x:v>
      </x:c>
      <x:c r="H82" s="18" t="str">
        <x:v>Mean/SD</x:v>
      </x:c>
      <x:c r="I82" s="18" t="n">
        <x:v>43</x:v>
      </x:c>
      <x:c r="J82" s="18" t="n">
        <x:v>45</x:v>
      </x:c>
      <x:c r="K82" s="18" t="n">
        <x:v>40</x:v>
      </x:c>
      <x:c r="L82" s="18" t="n">
        <x:v>43</x:v>
      </x:c>
      <x:c r="M82" s="18" t="n">
        <x:v>54.57</x:v>
      </x:c>
      <x:c r="N82" s="18" t="n">
        <x:v>16.62</x:v>
      </x:c>
      <x:c r="O82" s="18"/>
      <x:c r="P82" s="18"/>
      <x:c r="Q82" s="18"/>
      <x:c r="R82" s="18"/>
      <x:c r="S82" s="18" t="n">
        <x:v>60.7</x:v>
      </x:c>
      <x:c r="T82" s="18" t="n">
        <x:v>19.1</x:v>
      </x:c>
      <x:c r="U82" s="18"/>
      <x:c r="V82" s="18"/>
      <x:c r="W82" s="18"/>
      <x:c r="X82" s="18"/>
      <x:c r="Y82" s="18" t="str">
        <x:v>hours</x:v>
      </x:c>
      <x:c r="Z82" s="18" t="str">
        <x:v>0.124</x:v>
      </x:c>
      <x:c r="AA82" s="18" t="str">
        <x:v>Yes</x:v>
      </x:c>
      <x:c r="AB82" s="18" t="str">
        <x:v>No</x:v>
      </x:c>
      <x:c r="AC82" s="18" t="str">
        <x:v>MD</x:v>
      </x:c>
      <x:c r="AD82" s="18" t="n">
        <x:v>-6.130000000000003</x:v>
      </x:c>
      <x:c r="AE82" s="18" t="str">
        <x:v>No</x:v>
      </x:c>
      <x:c r="AF82" s="18" t="str">
        <x:v>No</x:v>
      </x:c>
      <x:c r="AG82" s="18" t="str">
        <x:v>Eligible for GI-recovery analysis</x:v>
      </x:c>
      <x:c r="AH82" s="18" t="str">
        <x:v>No</x:v>
      </x:c>
      <x:c r="AI82" s="18" t="str">
        <x:v>5/88 randomized participants excluded for protocol breaches; no full ITT</x:v>
      </x:c>
      <x:c r="AJ82" s="18" t="str">
        <x:v>Table 1 / postoperative first flatus</x:v>
      </x:c>
      <x:c r="AK82" s="18" t="str">
        <x:v>https://drive.google.com/file/d/177A4aH42GD90DhsvvtD-VOBSChBBpIWL/view?usp=drivesdk</x:v>
      </x:c>
      <x:c r="AL82" s="18" t="str">
        <x:v>SOURCE-VERIFIED / ATTRITION QC</x:v>
      </x:c>
      <x:c r="AM82" s="18" t="str">
        <x:v>GI recovery</x:v>
      </x:c>
      <x:c r="AN82" s="18" t="str">
        <x:v>Postoperative</x:v>
      </x:c>
      <x:c r="AO82" s="18" t="str">
        <x:v>INCLUDE</x:v>
      </x:c>
      <x:c r="AP82" s="18" t="str">
        <x:v>Source-valid first-flatus/ileus endpoint; retain reported distribution (mean/SD, median/IQR, or events).</x:v>
      </x:c>
      <x:c r="AQ82" s="18" t="str">
        <x:v>Yes</x:v>
      </x:c>
      <x:c r="AR82" s="18" t="str"/>
      <x:c r="AS82" s="18" t="str">
        <x:v>None</x:v>
      </x:c>
      <x:c r="AT82" s="18" t="str">
        <x:v>Postoperative sleep quality (PSQI/AIS)</x:v>
      </x:c>
      <x:c r="AU82" s="18" t="str">
        <x:v>POD1</x:v>
      </x:c>
      <x:c r="AV82" s="18" t="str">
        <x:v>High</x:v>
      </x:c>
      <x:c r="AW82" s="18" t="str">
        <x:v>Yes — selected RoB is for a different result/timepoint</x:v>
      </x:c>
      <x:c r="AX82" s="18" t="str">
        <x:v>Wang 2023</x:v>
      </x:c>
      <x:c r="AY82" s="18" t="str">
        <x:v>Primary eligible contrast</x:v>
      </x:c>
      <x:c r="AZ82" s="18" t="str">
        <x:v>Count this study once per synthesis unless a valid multi-arm method is used.</x:v>
      </x:c>
    </x:row>
    <x:row r="83">
      <x:c r="A83" s="18" t="str">
        <x:v>Wang 2023</x:v>
      </x:c>
      <x:c r="B83" s="18" t="str">
        <x:v>WANG23_TEAS_vs_SHAM_PAIN24</x:v>
      </x:c>
      <x:c r="C83" s="18" t="str">
        <x:v>Nighttime TEAS</x:v>
      </x:c>
      <x:c r="D83" s="18" t="str">
        <x:v>Sham/no current</x:v>
      </x:c>
      <x:c r="E83" s="18" t="str">
        <x:v>Pain</x:v>
      </x:c>
      <x:c r="F83" s="18" t="str">
        <x:v>Activity pain VAS</x:v>
      </x:c>
      <x:c r="G83" s="18" t="str">
        <x:v>24 h</x:v>
      </x:c>
      <x:c r="H83" s="18" t="str">
        <x:v>Graph-only mean/SD</x:v>
      </x:c>
      <x:c r="I83" s="18" t="n">
        <x:v>43</x:v>
      </x:c>
      <x:c r="J83" s="18" t="n">
        <x:v>45</x:v>
      </x:c>
      <x:c r="K83" s="18" t="n">
        <x:v>40</x:v>
      </x:c>
      <x:c r="L83" s="18" t="n">
        <x:v>43</x:v>
      </x:c>
      <x:c r="M83" s="18"/>
      <x:c r="N83" s="18"/>
      <x:c r="O83" s="18"/>
      <x:c r="P83" s="18"/>
      <x:c r="Q83" s="18"/>
      <x:c r="R83" s="18"/>
      <x:c r="S83" s="18"/>
      <x:c r="T83" s="18"/>
      <x:c r="U83" s="18"/>
      <x:c r="V83" s="18"/>
      <x:c r="W83" s="18"/>
      <x:c r="X83" s="18"/>
      <x:c r="Y83" s="18" t="str">
        <x:v>VAS 0-10</x:v>
      </x:c>
      <x:c r="Z83" s="18" t="str">
        <x:v>&lt;0.05</x:v>
      </x:c>
      <x:c r="AA83" s="18" t="str">
        <x:v>No</x:v>
      </x:c>
      <x:c r="AB83" s="18" t="str">
        <x:v>No</x:v>
      </x:c>
      <x:c r="AC83" s="18"/>
      <x:c r="AD83" s="18"/>
      <x:c r="AE83" s="18" t="str">
        <x:v>No</x:v>
      </x:c>
      <x:c r="AF83" s="18" t="str">
        <x:v>No</x:v>
      </x:c>
      <x:c r="AG83" s="18" t="str">
        <x:v>Not ready for quantitative pooling without formal digitization or author data</x:v>
      </x:c>
      <x:c r="AH83" s="18" t="str">
        <x:v>No</x:v>
      </x:c>
      <x:c r="AI83" s="18" t="str">
        <x:v>Exact 24-h activity VAS values are only shown graphically; stored derivative exact values were fabricated</x:v>
      </x:c>
      <x:c r="AJ83" s="18" t="str">
        <x:v>Figure 4, p8</x:v>
      </x:c>
      <x:c r="AK83" s="18" t="str">
        <x:v>https://drive.google.com/file/d/177A4aH42GD90DhsvvtD-VOBSChBBpIWL/view?usp=drivesdk</x:v>
      </x:c>
      <x:c r="AL83" s="18" t="str">
        <x:v>FIGURE ONLY / DIGITIZATION NEEDED</x:v>
      </x:c>
      <x:c r="AM83" s="18" t="str">
        <x:v>Pain</x:v>
      </x:c>
      <x:c r="AN83" s="18" t="str">
        <x:v>Exact/explicit 24 h</x:v>
      </x:c>
      <x:c r="AO83" s="18" t="str">
        <x:v>DIGITIZATION NEEDED</x:v>
      </x:c>
      <x:c r="AP83" s="18" t="str">
        <x:v>Exact numeric result is not tabulated; formal graph digitization or author data is required before quantitative pooling.</x:v>
      </x:c>
      <x:c r="AQ83" s="18" t="str">
        <x:v>No</x:v>
      </x:c>
      <x:c r="AR83" s="18" t="str"/>
      <x:c r="AS83" s="18" t="str">
        <x:v>None</x:v>
      </x:c>
      <x:c r="AT83" s="18" t="str">
        <x:v>Postoperative sleep quality (PSQI/AIS)</x:v>
      </x:c>
      <x:c r="AU83" s="18" t="str">
        <x:v>POD1</x:v>
      </x:c>
      <x:c r="AV83" s="18" t="str">
        <x:v>High</x:v>
      </x:c>
      <x:c r="AW83" s="18" t="str">
        <x:v>Yes — selected RoB is for a different result/timepoint</x:v>
      </x:c>
      <x:c r="AX83" s="18" t="str">
        <x:v>Wang 2023</x:v>
      </x:c>
      <x:c r="AY83" s="18" t="str">
        <x:v>Primary eligible contrast</x:v>
      </x:c>
      <x:c r="AZ83" s="18" t="str">
        <x:v>Count this study once per synthesis unless a valid multi-arm method is used.</x:v>
      </x:c>
    </x:row>
    <x:row r="84">
      <x:c r="A84" s="18" t="str">
        <x:v>Wang 2023</x:v>
      </x:c>
      <x:c r="B84" s="18" t="str">
        <x:v>WANG23_TEAS_vs_SHAM_OPIOID24</x:v>
      </x:c>
      <x:c r="C84" s="18" t="str">
        <x:v>Nighttime TEAS</x:v>
      </x:c>
      <x:c r="D84" s="18" t="str">
        <x:v>Sham/no current</x:v>
      </x:c>
      <x:c r="E84" s="18" t="str">
        <x:v>Opioid consumption</x:v>
      </x:c>
      <x:c r="F84" s="18" t="str">
        <x:v>Exact cumulative postoperative opioid dose</x:v>
      </x:c>
      <x:c r="G84" s="18" t="str">
        <x:v>0-24 h</x:v>
      </x:c>
      <x:c r="H84" s="18" t="str">
        <x:v>Not reported</x:v>
      </x:c>
      <x:c r="I84" s="18" t="n">
        <x:v>43</x:v>
      </x:c>
      <x:c r="J84" s="18" t="n">
        <x:v>45</x:v>
      </x:c>
      <x:c r="K84" s="18" t="n">
        <x:v>40</x:v>
      </x:c>
      <x:c r="L84" s="18" t="n">
        <x:v>43</x:v>
      </x:c>
      <x:c r="M84" s="18"/>
      <x:c r="N84" s="18"/>
      <x:c r="O84" s="18"/>
      <x:c r="P84" s="18"/>
      <x:c r="Q84" s="18"/>
      <x:c r="R84" s="18"/>
      <x:c r="S84" s="18"/>
      <x:c r="T84" s="18"/>
      <x:c r="U84" s="18"/>
      <x:c r="V84" s="18"/>
      <x:c r="W84" s="18"/>
      <x:c r="X84" s="18"/>
      <x:c r="Y84" s="18" t="str">
        <x:v>mg/µg</x:v>
      </x:c>
      <x:c r="Z84" s="18"/>
      <x:c r="AA84" s="18" t="str">
        <x:v>No</x:v>
      </x:c>
      <x:c r="AB84" s="18" t="str">
        <x:v>No</x:v>
      </x:c>
      <x:c r="AC84" s="18"/>
      <x:c r="AD84" s="18"/>
      <x:c r="AE84" s="18" t="str">
        <x:v>No</x:v>
      </x:c>
      <x:c r="AF84" s="18" t="str">
        <x:v>No</x:v>
      </x:c>
      <x:c r="AG84" s="18" t="str">
        <x:v>Not eligible for continuous 24-h opioid meta-analysis</x:v>
      </x:c>
      <x:c r="AH84" s="18" t="str">
        <x:v>No</x:v>
      </x:c>
      <x:c r="AI84" s="18" t="str">
        <x:v>Only rescue-dose counts are reported and the rescue drug is not identified</x:v>
      </x:c>
      <x:c r="AJ84" s="18" t="str">
        <x:v>Postoperative analgesia outcomes</x:v>
      </x:c>
      <x:c r="AK84" s="18" t="str">
        <x:v>https://drive.google.com/file/d/177A4aH42GD90DhsvvtD-VOBSChBBpIWL/view?usp=drivesdk</x:v>
      </x:c>
      <x:c r="AL84" s="18" t="str">
        <x:v>MISSING / DRUG IDENTITY NOT REPORTED</x:v>
      </x:c>
      <x:c r="AM84" s="18" t="str">
        <x:v>Postoperative opioid consumption</x:v>
      </x:c>
      <x:c r="AN84" s="18" t="str">
        <x:v>Exact/explicit 24 h</x:v>
      </x:c>
      <x:c r="AO84" s="18" t="str">
        <x:v>EXCLUDE — DATA UNAVAILABLE</x:v>
      </x:c>
      <x:c r="AP84" s="18" t="str">
        <x:v>The source does not provide a defensible quantitative value for this analysis.</x:v>
      </x:c>
      <x:c r="AQ84" s="18" t="str">
        <x:v>No</x:v>
      </x:c>
      <x:c r="AR84" s="18" t="str"/>
      <x:c r="AS84" s="18" t="str">
        <x:v>None</x:v>
      </x:c>
      <x:c r="AT84" s="18" t="str">
        <x:v>Postoperative sleep quality (PSQI/AIS)</x:v>
      </x:c>
      <x:c r="AU84" s="18" t="str">
        <x:v>POD1</x:v>
      </x:c>
      <x:c r="AV84" s="18" t="str">
        <x:v>High</x:v>
      </x:c>
      <x:c r="AW84" s="18" t="str">
        <x:v>Yes — selected RoB is for a different result/timepoint</x:v>
      </x:c>
      <x:c r="AX84" s="18" t="str">
        <x:v>Wang 2023</x:v>
      </x:c>
      <x:c r="AY84" s="18" t="str">
        <x:v>Primary eligible contrast</x:v>
      </x:c>
      <x:c r="AZ84" s="18" t="str">
        <x:v>Count this study once per synthesis unless a valid multi-arm method is used.</x:v>
      </x:c>
    </x:row>
    <x:row r="85">
      <x:c r="A85" s="18" t="str">
        <x:v>Wang 2024</x:v>
      </x:c>
      <x:c r="B85" s="18" t="str">
        <x:v>WANG24_SNVP_ODT_vs_OD_PONV6_12</x:v>
      </x:c>
      <x:c r="C85" s="18" t="str">
        <x:v>SNVP: ondansetron+dexamethasone+TEAS</x:v>
      </x:c>
      <x:c r="D85" s="18" t="str">
        <x:v>SNVP: ondansetron+dexamethasone</x:v>
      </x:c>
      <x:c r="E85" s="18" t="str">
        <x:v>PONV</x:v>
      </x:c>
      <x:c r="F85" s="18" t="str">
        <x:v>PONV incidence</x:v>
      </x:c>
      <x:c r="G85" s="18" t="str">
        <x:v>6-12 h</x:v>
      </x:c>
      <x:c r="H85" s="18" t="str">
        <x:v>Events/total</x:v>
      </x:c>
      <x:c r="I85" s="18" t="n">
        <x:v>35</x:v>
      </x:c>
      <x:c r="J85" s="18" t="n">
        <x:v>35</x:v>
      </x:c>
      <x:c r="K85" s="18" t="n">
        <x:v>33</x:v>
      </x:c>
      <x:c r="L85" s="18" t="n">
        <x:v>35</x:v>
      </x:c>
      <x:c r="M85" s="18"/>
      <x:c r="N85" s="18"/>
      <x:c r="O85" s="18"/>
      <x:c r="P85" s="18"/>
      <x:c r="Q85" s="18"/>
      <x:c r="R85" s="18" t="n">
        <x:v>7</x:v>
      </x:c>
      <x:c r="S85" s="18"/>
      <x:c r="T85" s="18"/>
      <x:c r="U85" s="18"/>
      <x:c r="V85" s="18"/>
      <x:c r="W85" s="18"/>
      <x:c r="X85" s="18" t="n">
        <x:v>16</x:v>
      </x:c>
      <x:c r="Y85" s="18" t="str">
        <x:v>participants</x:v>
      </x:c>
      <x:c r="Z85" s="18" t="str">
        <x:v>0.033</x:v>
      </x:c>
      <x:c r="AA85" s="18" t="str">
        <x:v>Yes</x:v>
      </x:c>
      <x:c r="AB85" s="18" t="str">
        <x:v>No</x:v>
      </x:c>
      <x:c r="AC85" s="18" t="str">
        <x:v>RR</x:v>
      </x:c>
      <x:c r="AD85" s="18" t="n">
        <x:v>0.46401515151515155</x:v>
      </x:c>
      <x:c r="AE85" s="18" t="str">
        <x:v>No</x:v>
      </x:c>
      <x:c r="AF85" s="18" t="str">
        <x:v>No</x:v>
      </x:c>
      <x:c r="AG85" s="18" t="str">
        <x:v>Eligible for stratum-specific dichotomous PONV analysis</x:v>
      </x:c>
      <x:c r="AH85" s="18" t="str">
        <x:v>No</x:v>
      </x:c>
      <x:c r="AI85" s="18" t="str">
        <x:v>Do not pool across SNVP/MNVP as if strata were randomized; 2 ODT patients excluded after randomization due postoperative fever</x:v>
      </x:c>
      <x:c r="AJ85" s="18" t="str">
        <x:v>Table 3 / SNVP randomized contrast</x:v>
      </x:c>
      <x:c r="AK85" s="18" t="str">
        <x:v>https://drive.google.com/file/d/1U8tkq6mKFO0IkA2glfgLjN4Krwku3FZn/view?usp=drivesdk</x:v>
      </x:c>
      <x:c r="AL85" s="18" t="str">
        <x:v>SOURCE-VERIFIED / STRATIFIED RCT</x:v>
      </x:c>
      <x:c r="AM85" s="18" t="str">
        <x:v>PONV</x:v>
      </x:c>
      <x:c r="AN85" s="18" t="str">
        <x:v>6-12 h</x:v>
      </x:c>
      <x:c r="AO85" s="18" t="str">
        <x:v>CONDITIONAL</x:v>
      </x:c>
      <x:c r="AP85" s="18" t="str">
        <x:v>Valid PONV result, but the postoperative observation window should be matched to the intended synthesis.</x:v>
      </x:c>
      <x:c r="AQ85" s="18" t="str">
        <x:v>No</x:v>
      </x:c>
      <x:c r="AR85" s="18" t="str"/>
      <x:c r="AS85" s="18" t="str">
        <x:v>Binary effect measure (RR preferred per protocol)</x:v>
      </x:c>
      <x:c r="AT85" s="18" t="str">
        <x:v>PONV incidence</x:v>
      </x:c>
      <x:c r="AU85" s="18" t="str">
        <x:v>12-24 h</x:v>
      </x:c>
      <x:c r="AV85" s="18" t="str">
        <x:v>High</x:v>
      </x:c>
      <x:c r="AW85" s="18" t="str">
        <x:v>No — selected RoB matches this result</x:v>
      </x:c>
      <x:c r="AX85" s="18" t="str">
        <x:v>Wang 2024</x:v>
      </x:c>
      <x:c r="AY85" s="18" t="str">
        <x:v>Risk-stratum randomized contrast</x:v>
      </x:c>
      <x:c r="AZ85" s="18" t="str">
        <x:v>SNVP and MNVP are separate randomized strata; do not pool across strata as one undifferentiated treatment contrast without a stratum-aware method.</x:v>
      </x:c>
    </x:row>
    <x:row r="86">
      <x:c r="A86" s="18" t="str">
        <x:v>Wang 2024</x:v>
      </x:c>
      <x:c r="B86" s="18" t="str">
        <x:v>WANG24_SNVP_ODT_vs_OD_PONV12_24</x:v>
      </x:c>
      <x:c r="C86" s="18" t="str">
        <x:v>SNVP: ondansetron+dexamethasone+TEAS</x:v>
      </x:c>
      <x:c r="D86" s="18" t="str">
        <x:v>SNVP: ondansetron+dexamethasone</x:v>
      </x:c>
      <x:c r="E86" s="18" t="str">
        <x:v>PONV</x:v>
      </x:c>
      <x:c r="F86" s="18" t="str">
        <x:v>PONV incidence</x:v>
      </x:c>
      <x:c r="G86" s="18" t="str">
        <x:v>12-24 h</x:v>
      </x:c>
      <x:c r="H86" s="18" t="str">
        <x:v>Events/total</x:v>
      </x:c>
      <x:c r="I86" s="18" t="n">
        <x:v>35</x:v>
      </x:c>
      <x:c r="J86" s="18" t="n">
        <x:v>35</x:v>
      </x:c>
      <x:c r="K86" s="18" t="n">
        <x:v>33</x:v>
      </x:c>
      <x:c r="L86" s="18" t="n">
        <x:v>35</x:v>
      </x:c>
      <x:c r="M86" s="18"/>
      <x:c r="N86" s="18"/>
      <x:c r="O86" s="18"/>
      <x:c r="P86" s="18"/>
      <x:c r="Q86" s="18"/>
      <x:c r="R86" s="18" t="n">
        <x:v>2</x:v>
      </x:c>
      <x:c r="S86" s="18"/>
      <x:c r="T86" s="18"/>
      <x:c r="U86" s="18"/>
      <x:c r="V86" s="18"/>
      <x:c r="W86" s="18"/>
      <x:c r="X86" s="18" t="n">
        <x:v>11</x:v>
      </x:c>
      <x:c r="Y86" s="18" t="str">
        <x:v>participants</x:v>
      </x:c>
      <x:c r="Z86" s="18" t="str">
        <x:v>0.008</x:v>
      </x:c>
      <x:c r="AA86" s="18" t="str">
        <x:v>Yes</x:v>
      </x:c>
      <x:c r="AB86" s="18" t="str">
        <x:v>No</x:v>
      </x:c>
      <x:c r="AC86" s="18" t="str">
        <x:v>RR</x:v>
      </x:c>
      <x:c r="AD86" s="18" t="n">
        <x:v>0.1928374655647383</x:v>
      </x:c>
      <x:c r="AE86" s="18" t="str">
        <x:v>No</x:v>
      </x:c>
      <x:c r="AF86" s="18" t="str">
        <x:v>No</x:v>
      </x:c>
      <x:c r="AG86" s="18" t="str">
        <x:v>Eligible for stratum-specific dichotomous PONV analysis</x:v>
      </x:c>
      <x:c r="AH86" s="18" t="str">
        <x:v>No</x:v>
      </x:c>
      <x:c r="AI86" s="18" t="str">
        <x:v>Two post-randomization ODT exclusions; marked surgical-procedure imbalance (radical mastectomy + axillary dissection 36.4% vs 71.4%)</x:v>
      </x:c>
      <x:c r="AJ86" s="18" t="str">
        <x:v>Table 3 / SNVP randomized contrast</x:v>
      </x:c>
      <x:c r="AK86" s="18" t="str">
        <x:v>https://drive.google.com/file/d/1U8tkq6mKFO0IkA2glfgLjN4Krwku3FZn/view?usp=drivesdk</x:v>
      </x:c>
      <x:c r="AL86" s="18" t="str">
        <x:v>SOURCE-VERIFIED / STRATIFIED RCT / ATTRITION QC</x:v>
      </x:c>
      <x:c r="AM86" s="18" t="str">
        <x:v>PONV</x:v>
      </x:c>
      <x:c r="AN86" s="18" t="str">
        <x:v>Contains 24 h but definition differs</x:v>
      </x:c>
      <x:c r="AO86" s="18" t="str">
        <x:v>CONDITIONAL</x:v>
      </x:c>
      <x:c r="AP86" s="18" t="str">
        <x:v>Valid PONV result, but the postoperative observation window should be matched to the intended synthesis.</x:v>
      </x:c>
      <x:c r="AQ86" s="18" t="str">
        <x:v>No</x:v>
      </x:c>
      <x:c r="AR86" s="18" t="str"/>
      <x:c r="AS86" s="18" t="str">
        <x:v>Binary effect measure (RR preferred per protocol)</x:v>
      </x:c>
      <x:c r="AT86" s="18" t="str">
        <x:v>PONV incidence</x:v>
      </x:c>
      <x:c r="AU86" s="18" t="str">
        <x:v>12-24 h</x:v>
      </x:c>
      <x:c r="AV86" s="18" t="str">
        <x:v>High</x:v>
      </x:c>
      <x:c r="AW86" s="18" t="str">
        <x:v>No — selected RoB matches this result</x:v>
      </x:c>
      <x:c r="AX86" s="18" t="str">
        <x:v>Wang 2024</x:v>
      </x:c>
      <x:c r="AY86" s="18" t="str">
        <x:v>Risk-stratum randomized contrast</x:v>
      </x:c>
      <x:c r="AZ86" s="18" t="str">
        <x:v>SNVP and MNVP are separate randomized strata; do not pool across strata as one undifferentiated treatment contrast without a stratum-aware method.</x:v>
      </x:c>
    </x:row>
    <x:row r="87">
      <x:c r="A87" s="18" t="str">
        <x:v>Wang 2024</x:v>
      </x:c>
      <x:c r="B87" s="18" t="str">
        <x:v>WANG24_SNVP_ODT_vs_OD_TOTALPONV</x:v>
      </x:c>
      <x:c r="C87" s="18" t="str">
        <x:v>SNVP: ondansetron+dexamethasone+TEAS</x:v>
      </x:c>
      <x:c r="D87" s="18" t="str">
        <x:v>SNVP: ondansetron+dexamethasone</x:v>
      </x:c>
      <x:c r="E87" s="18" t="str">
        <x:v>PONV</x:v>
      </x:c>
      <x:c r="F87" s="18" t="str">
        <x:v>Any PONV over reported follow-up</x:v>
      </x:c>
      <x:c r="G87" s="18" t="str">
        <x:v>0-36 h</x:v>
      </x:c>
      <x:c r="H87" s="18" t="str">
        <x:v>Events/total</x:v>
      </x:c>
      <x:c r="I87" s="18" t="n">
        <x:v>35</x:v>
      </x:c>
      <x:c r="J87" s="18" t="n">
        <x:v>35</x:v>
      </x:c>
      <x:c r="K87" s="18" t="n">
        <x:v>33</x:v>
      </x:c>
      <x:c r="L87" s="18" t="n">
        <x:v>35</x:v>
      </x:c>
      <x:c r="M87" s="18"/>
      <x:c r="N87" s="18"/>
      <x:c r="O87" s="18"/>
      <x:c r="P87" s="18"/>
      <x:c r="Q87" s="18"/>
      <x:c r="R87" s="18" t="n">
        <x:v>14</x:v>
      </x:c>
      <x:c r="S87" s="18"/>
      <x:c r="T87" s="18"/>
      <x:c r="U87" s="18"/>
      <x:c r="V87" s="18"/>
      <x:c r="W87" s="18"/>
      <x:c r="X87" s="18" t="n">
        <x:v>20</x:v>
      </x:c>
      <x:c r="Y87" s="18" t="str">
        <x:v>participants</x:v>
      </x:c>
      <x:c r="Z87" s="18" t="str">
        <x:v>0.225</x:v>
      </x:c>
      <x:c r="AA87" s="18" t="str">
        <x:v>Yes</x:v>
      </x:c>
      <x:c r="AB87" s="18" t="str">
        <x:v>No</x:v>
      </x:c>
      <x:c r="AC87" s="18" t="str">
        <x:v>RR</x:v>
      </x:c>
      <x:c r="AD87" s="18" t="n">
        <x:v>0.7424242424242424</x:v>
      </x:c>
      <x:c r="AE87" s="18" t="str">
        <x:v>No</x:v>
      </x:c>
      <x:c r="AF87" s="18" t="str">
        <x:v>No</x:v>
      </x:c>
      <x:c r="AG87" s="18" t="str">
        <x:v>Eligible for stratum-specific total-PONV analysis</x:v>
      </x:c>
      <x:c r="AH87" s="18" t="str">
        <x:v>No</x:v>
      </x:c>
      <x:c r="AI87" s="18" t="str">
        <x:v>No significant overall treatment effect despite time-specific benefits</x:v>
      </x:c>
      <x:c r="AJ87" s="18" t="str">
        <x:v>Table 3 / total PONV</x:v>
      </x:c>
      <x:c r="AK87" s="18" t="str">
        <x:v>https://drive.google.com/file/d/1U8tkq6mKFO0IkA2glfgLjN4Krwku3FZn/view?usp=drivesdk</x:v>
      </x:c>
      <x:c r="AL87" s="18" t="str">
        <x:v>SOURCE-VERIFIED / STRATIFIED RCT</x:v>
      </x:c>
      <x:c r="AM87" s="18" t="str">
        <x:v>PONV</x:v>
      </x:c>
      <x:c r="AN87" s="18" t="str">
        <x:v>0-36 h</x:v>
      </x:c>
      <x:c r="AO87" s="18" t="str">
        <x:v>CONDITIONAL</x:v>
      </x:c>
      <x:c r="AP87" s="18" t="str">
        <x:v>Valid PONV result, but the postoperative observation window should be matched to the intended synthesis.</x:v>
      </x:c>
      <x:c r="AQ87" s="18" t="str">
        <x:v>No</x:v>
      </x:c>
      <x:c r="AR87" s="18" t="str"/>
      <x:c r="AS87" s="18" t="str">
        <x:v>Binary effect measure (RR preferred per protocol)</x:v>
      </x:c>
      <x:c r="AT87" s="18" t="str">
        <x:v>PONV incidence</x:v>
      </x:c>
      <x:c r="AU87" s="18" t="str">
        <x:v>12-24 h</x:v>
      </x:c>
      <x:c r="AV87" s="18" t="str">
        <x:v>High</x:v>
      </x:c>
      <x:c r="AW87" s="18" t="str">
        <x:v>Yes — selected RoB is for a different result/timepoint</x:v>
      </x:c>
      <x:c r="AX87" s="18" t="str">
        <x:v>Wang 2024</x:v>
      </x:c>
      <x:c r="AY87" s="18" t="str">
        <x:v>Risk-stratum randomized contrast</x:v>
      </x:c>
      <x:c r="AZ87" s="18" t="str">
        <x:v>SNVP and MNVP are separate randomized strata; do not pool across strata as one undifferentiated treatment contrast without a stratum-aware method.</x:v>
      </x:c>
    </x:row>
    <x:row r="88">
      <x:c r="A88" s="18" t="str">
        <x:v>Wang 2024</x:v>
      </x:c>
      <x:c r="B88" s="18" t="str">
        <x:v>WANG24_MNVP_ODT_vs_OD_PONV0_2</x:v>
      </x:c>
      <x:c r="C88" s="18" t="str">
        <x:v>MNVP: ondansetron+dexamethasone+TEAS</x:v>
      </x:c>
      <x:c r="D88" s="18" t="str">
        <x:v>MNVP: ondansetron+dexamethasone</x:v>
      </x:c>
      <x:c r="E88" s="18" t="str">
        <x:v>PONV</x:v>
      </x:c>
      <x:c r="F88" s="18" t="str">
        <x:v>PONV incidence</x:v>
      </x:c>
      <x:c r="G88" s="18" t="str">
        <x:v>0-2 h</x:v>
      </x:c>
      <x:c r="H88" s="18" t="str">
        <x:v>Events/total</x:v>
      </x:c>
      <x:c r="I88" s="18" t="n">
        <x:v>35</x:v>
      </x:c>
      <x:c r="J88" s="18" t="n">
        <x:v>35</x:v>
      </x:c>
      <x:c r="K88" s="18" t="n">
        <x:v>35</x:v>
      </x:c>
      <x:c r="L88" s="18" t="n">
        <x:v>35</x:v>
      </x:c>
      <x:c r="M88" s="18"/>
      <x:c r="N88" s="18"/>
      <x:c r="O88" s="18"/>
      <x:c r="P88" s="18"/>
      <x:c r="Q88" s="18"/>
      <x:c r="R88" s="18" t="n">
        <x:v>2</x:v>
      </x:c>
      <x:c r="S88" s="18"/>
      <x:c r="T88" s="18"/>
      <x:c r="U88" s="18"/>
      <x:c r="V88" s="18"/>
      <x:c r="W88" s="18"/>
      <x:c r="X88" s="18" t="n">
        <x:v>9</x:v>
      </x:c>
      <x:c r="Y88" s="18" t="str">
        <x:v>participants</x:v>
      </x:c>
      <x:c r="Z88" s="18" t="str">
        <x:v>0.022</x:v>
      </x:c>
      <x:c r="AA88" s="18" t="str">
        <x:v>Yes</x:v>
      </x:c>
      <x:c r="AB88" s="18" t="str">
        <x:v>No</x:v>
      </x:c>
      <x:c r="AC88" s="18" t="str">
        <x:v>RR</x:v>
      </x:c>
      <x:c r="AD88" s="18" t="n">
        <x:v>0.22222222222222224</x:v>
      </x:c>
      <x:c r="AE88" s="18" t="str">
        <x:v>No</x:v>
      </x:c>
      <x:c r="AF88" s="18" t="str">
        <x:v>No</x:v>
      </x:c>
      <x:c r="AG88" s="18" t="str">
        <x:v>Eligible for stratum-specific dichotomous PONV analysis</x:v>
      </x:c>
      <x:c r="AH88" s="18" t="str">
        <x:v>No</x:v>
      </x:c>
      <x:c r="AI88" s="18" t="str">
        <x:v>Keep separate from SNVP; MNVP-ODT had more segmental mastectomy + axillary dissection (20.0% vs 2.9%)</x:v>
      </x:c>
      <x:c r="AJ88" s="18" t="str">
        <x:v>Table 3 / MNVP randomized contrast</x:v>
      </x:c>
      <x:c r="AK88" s="18" t="str">
        <x:v>https://drive.google.com/file/d/1U8tkq6mKFO0IkA2glfgLjN4Krwku3FZn/view?usp=drivesdk</x:v>
      </x:c>
      <x:c r="AL88" s="18" t="str">
        <x:v>SOURCE-VERIFIED / STRATIFIED RCT</x:v>
      </x:c>
      <x:c r="AM88" s="18" t="str">
        <x:v>PONV</x:v>
      </x:c>
      <x:c r="AN88" s="18" t="str">
        <x:v>0-2 h</x:v>
      </x:c>
      <x:c r="AO88" s="18" t="str">
        <x:v>CONDITIONAL</x:v>
      </x:c>
      <x:c r="AP88" s="18" t="str">
        <x:v>Valid PONV result, but the postoperative observation window should be matched to the intended synthesis.</x:v>
      </x:c>
      <x:c r="AQ88" s="18" t="str">
        <x:v>No</x:v>
      </x:c>
      <x:c r="AR88" s="18" t="str"/>
      <x:c r="AS88" s="18" t="str">
        <x:v>Binary effect measure (RR preferred per protocol)</x:v>
      </x:c>
      <x:c r="AT88" s="18" t="str">
        <x:v>PONV incidence</x:v>
      </x:c>
      <x:c r="AU88" s="18" t="str">
        <x:v>12-24 h</x:v>
      </x:c>
      <x:c r="AV88" s="18" t="str">
        <x:v>High</x:v>
      </x:c>
      <x:c r="AW88" s="18" t="str">
        <x:v>No — selected RoB matches this result</x:v>
      </x:c>
      <x:c r="AX88" s="18" t="str">
        <x:v>Wang 2024</x:v>
      </x:c>
      <x:c r="AY88" s="18" t="str">
        <x:v>Risk-stratum randomized contrast</x:v>
      </x:c>
      <x:c r="AZ88" s="18" t="str">
        <x:v>SNVP and MNVP are separate randomized strata; do not pool across strata as one undifferentiated treatment contrast without a stratum-aware method.</x:v>
      </x:c>
    </x:row>
    <x:row r="89">
      <x:c r="A89" s="18" t="str">
        <x:v>Wang 2024</x:v>
      </x:c>
      <x:c r="B89" s="18" t="str">
        <x:v>WANG24_MNVP_ODT_vs_OD_PONV2_6</x:v>
      </x:c>
      <x:c r="C89" s="18" t="str">
        <x:v>MNVP: ondansetron+dexamethasone+TEAS</x:v>
      </x:c>
      <x:c r="D89" s="18" t="str">
        <x:v>MNVP: ondansetron+dexamethasone</x:v>
      </x:c>
      <x:c r="E89" s="18" t="str">
        <x:v>PONV</x:v>
      </x:c>
      <x:c r="F89" s="18" t="str">
        <x:v>PONV incidence</x:v>
      </x:c>
      <x:c r="G89" s="18" t="str">
        <x:v>2-6 h</x:v>
      </x:c>
      <x:c r="H89" s="18" t="str">
        <x:v>Events/total</x:v>
      </x:c>
      <x:c r="I89" s="18" t="n">
        <x:v>35</x:v>
      </x:c>
      <x:c r="J89" s="18" t="n">
        <x:v>35</x:v>
      </x:c>
      <x:c r="K89" s="18" t="n">
        <x:v>35</x:v>
      </x:c>
      <x:c r="L89" s="18" t="n">
        <x:v>35</x:v>
      </x:c>
      <x:c r="M89" s="18"/>
      <x:c r="N89" s="18"/>
      <x:c r="O89" s="18"/>
      <x:c r="P89" s="18"/>
      <x:c r="Q89" s="18"/>
      <x:c r="R89" s="18" t="n">
        <x:v>2</x:v>
      </x:c>
      <x:c r="S89" s="18"/>
      <x:c r="T89" s="18"/>
      <x:c r="U89" s="18"/>
      <x:c r="V89" s="18"/>
      <x:c r="W89" s="18"/>
      <x:c r="X89" s="18" t="n">
        <x:v>8</x:v>
      </x:c>
      <x:c r="Y89" s="18" t="str">
        <x:v>participants</x:v>
      </x:c>
      <x:c r="Z89" s="18" t="str">
        <x:v>0.040</x:v>
      </x:c>
      <x:c r="AA89" s="18" t="str">
        <x:v>Yes</x:v>
      </x:c>
      <x:c r="AB89" s="18" t="str">
        <x:v>No</x:v>
      </x:c>
      <x:c r="AC89" s="18" t="str">
        <x:v>RR</x:v>
      </x:c>
      <x:c r="AD89" s="18" t="n">
        <x:v>0.25</x:v>
      </x:c>
      <x:c r="AE89" s="18" t="str">
        <x:v>No</x:v>
      </x:c>
      <x:c r="AF89" s="18" t="str">
        <x:v>No</x:v>
      </x:c>
      <x:c r="AG89" s="18" t="str">
        <x:v>Eligible for stratum-specific dichotomous PONV analysis</x:v>
      </x:c>
      <x:c r="AH89" s="18" t="str">
        <x:v>No</x:v>
      </x:c>
      <x:c r="AI89" s="18" t="str">
        <x:v>Keep separate from SNVP risk stratum</x:v>
      </x:c>
      <x:c r="AJ89" s="18" t="str">
        <x:v>Table 3 / MNVP randomized contrast</x:v>
      </x:c>
      <x:c r="AK89" s="18" t="str">
        <x:v>https://drive.google.com/file/d/1U8tkq6mKFO0IkA2glfgLjN4Krwku3FZn/view?usp=drivesdk</x:v>
      </x:c>
      <x:c r="AL89" s="18" t="str">
        <x:v>SOURCE-VERIFIED / STRATIFIED RCT</x:v>
      </x:c>
      <x:c r="AM89" s="18" t="str">
        <x:v>PONV</x:v>
      </x:c>
      <x:c r="AN89" s="18" t="str">
        <x:v>2-6 h</x:v>
      </x:c>
      <x:c r="AO89" s="18" t="str">
        <x:v>CONDITIONAL</x:v>
      </x:c>
      <x:c r="AP89" s="18" t="str">
        <x:v>Valid PONV result, but the postoperative observation window should be matched to the intended synthesis.</x:v>
      </x:c>
      <x:c r="AQ89" s="18" t="str">
        <x:v>No</x:v>
      </x:c>
      <x:c r="AR89" s="18" t="str"/>
      <x:c r="AS89" s="18" t="str">
        <x:v>Binary effect measure (RR preferred per protocol)</x:v>
      </x:c>
      <x:c r="AT89" s="18" t="str">
        <x:v>PONV incidence</x:v>
      </x:c>
      <x:c r="AU89" s="18" t="str">
        <x:v>12-24 h</x:v>
      </x:c>
      <x:c r="AV89" s="18" t="str">
        <x:v>High</x:v>
      </x:c>
      <x:c r="AW89" s="18" t="str">
        <x:v>No — selected RoB matches this result</x:v>
      </x:c>
      <x:c r="AX89" s="18" t="str">
        <x:v>Wang 2024</x:v>
      </x:c>
      <x:c r="AY89" s="18" t="str">
        <x:v>Risk-stratum randomized contrast</x:v>
      </x:c>
      <x:c r="AZ89" s="18" t="str">
        <x:v>SNVP and MNVP are separate randomized strata; do not pool across strata as one undifferentiated treatment contrast without a stratum-aware method.</x:v>
      </x:c>
    </x:row>
    <x:row r="90">
      <x:c r="A90" s="18" t="str">
        <x:v>Wang 2024</x:v>
      </x:c>
      <x:c r="B90" s="18" t="str">
        <x:v>WANG24_MNVP_ODT_vs_OD_TOTALPONV</x:v>
      </x:c>
      <x:c r="C90" s="18" t="str">
        <x:v>MNVP: ondansetron+dexamethasone+TEAS</x:v>
      </x:c>
      <x:c r="D90" s="18" t="str">
        <x:v>MNVP: ondansetron+dexamethasone</x:v>
      </x:c>
      <x:c r="E90" s="18" t="str">
        <x:v>PONV</x:v>
      </x:c>
      <x:c r="F90" s="18" t="str">
        <x:v>Any PONV over reported follow-up</x:v>
      </x:c>
      <x:c r="G90" s="18" t="str">
        <x:v>0-36 h</x:v>
      </x:c>
      <x:c r="H90" s="18" t="str">
        <x:v>Events/total</x:v>
      </x:c>
      <x:c r="I90" s="18" t="n">
        <x:v>35</x:v>
      </x:c>
      <x:c r="J90" s="18" t="n">
        <x:v>35</x:v>
      </x:c>
      <x:c r="K90" s="18" t="n">
        <x:v>35</x:v>
      </x:c>
      <x:c r="L90" s="18" t="n">
        <x:v>35</x:v>
      </x:c>
      <x:c r="M90" s="18"/>
      <x:c r="N90" s="18"/>
      <x:c r="O90" s="18"/>
      <x:c r="P90" s="18"/>
      <x:c r="Q90" s="18"/>
      <x:c r="R90" s="18" t="n">
        <x:v>5</x:v>
      </x:c>
      <x:c r="S90" s="18"/>
      <x:c r="T90" s="18"/>
      <x:c r="U90" s="18"/>
      <x:c r="V90" s="18"/>
      <x:c r="W90" s="18"/>
      <x:c r="X90" s="18" t="n">
        <x:v>10</x:v>
      </x:c>
      <x:c r="Y90" s="18" t="str">
        <x:v>participants</x:v>
      </x:c>
      <x:c r="Z90" s="18" t="str">
        <x:v>0.145</x:v>
      </x:c>
      <x:c r="AA90" s="18" t="str">
        <x:v>Yes</x:v>
      </x:c>
      <x:c r="AB90" s="18" t="str">
        <x:v>No</x:v>
      </x:c>
      <x:c r="AC90" s="18" t="str">
        <x:v>RR</x:v>
      </x:c>
      <x:c r="AD90" s="18" t="n">
        <x:v>0.5</x:v>
      </x:c>
      <x:c r="AE90" s="18" t="str">
        <x:v>No</x:v>
      </x:c>
      <x:c r="AF90" s="18" t="str">
        <x:v>No</x:v>
      </x:c>
      <x:c r="AG90" s="18" t="str">
        <x:v>Eligible for stratum-specific total-PONV analysis</x:v>
      </x:c>
      <x:c r="AH90" s="18" t="str">
        <x:v>No</x:v>
      </x:c>
      <x:c r="AI90" s="18" t="str">
        <x:v>No significant overall treatment effect despite early time-specific benefit</x:v>
      </x:c>
      <x:c r="AJ90" s="18" t="str">
        <x:v>Table 3 / total PONV</x:v>
      </x:c>
      <x:c r="AK90" s="18" t="str">
        <x:v>https://drive.google.com/file/d/1U8tkq6mKFO0IkA2glfgLjN4Krwku3FZn/view?usp=drivesdk</x:v>
      </x:c>
      <x:c r="AL90" s="18" t="str">
        <x:v>SOURCE-VERIFIED / STRATIFIED RCT</x:v>
      </x:c>
      <x:c r="AM90" s="18" t="str">
        <x:v>PONV</x:v>
      </x:c>
      <x:c r="AN90" s="18" t="str">
        <x:v>0-36 h</x:v>
      </x:c>
      <x:c r="AO90" s="18" t="str">
        <x:v>CONDITIONAL</x:v>
      </x:c>
      <x:c r="AP90" s="18" t="str">
        <x:v>Valid PONV result, but the postoperative observation window should be matched to the intended synthesis.</x:v>
      </x:c>
      <x:c r="AQ90" s="18" t="str">
        <x:v>No</x:v>
      </x:c>
      <x:c r="AR90" s="18" t="str"/>
      <x:c r="AS90" s="18" t="str">
        <x:v>Binary effect measure (RR preferred per protocol)</x:v>
      </x:c>
      <x:c r="AT90" s="18" t="str">
        <x:v>PONV incidence</x:v>
      </x:c>
      <x:c r="AU90" s="18" t="str">
        <x:v>12-24 h</x:v>
      </x:c>
      <x:c r="AV90" s="18" t="str">
        <x:v>High</x:v>
      </x:c>
      <x:c r="AW90" s="18" t="str">
        <x:v>Yes — selected RoB is for a different result/timepoint</x:v>
      </x:c>
      <x:c r="AX90" s="18" t="str">
        <x:v>Wang 2024</x:v>
      </x:c>
      <x:c r="AY90" s="18" t="str">
        <x:v>Risk-stratum randomized contrast</x:v>
      </x:c>
      <x:c r="AZ90" s="18" t="str">
        <x:v>SNVP and MNVP are separate randomized strata; do not pool across strata as one undifferentiated treatment contrast without a stratum-aware method.</x:v>
      </x:c>
    </x:row>
    <x:row r="91">
      <x:c r="A91" s="18" t="str">
        <x:v>Wang 2024</x:v>
      </x:c>
      <x:c r="B91" s="18" t="str">
        <x:v>WANG24_SNVP_ODT_vs_OD_INTRAOPSUF</x:v>
      </x:c>
      <x:c r="C91" s="18" t="str">
        <x:v>SNVP: ondansetron+dexamethasone+TEAS</x:v>
      </x:c>
      <x:c r="D91" s="18" t="str">
        <x:v>SNVP: ondansetron+dexamethasone</x:v>
      </x:c>
      <x:c r="E91" s="18" t="str">
        <x:v>Intraoperative opioid</x:v>
      </x:c>
      <x:c r="F91" s="18" t="str">
        <x:v>Total sufentanil</x:v>
      </x:c>
      <x:c r="G91" s="18" t="str">
        <x:v>Intraoperative</x:v>
      </x:c>
      <x:c r="H91" s="18" t="str">
        <x:v>Mean/SD</x:v>
      </x:c>
      <x:c r="I91" s="18" t="n">
        <x:v>35</x:v>
      </x:c>
      <x:c r="J91" s="18" t="n">
        <x:v>35</x:v>
      </x:c>
      <x:c r="K91" s="18" t="n">
        <x:v>33</x:v>
      </x:c>
      <x:c r="L91" s="18" t="n">
        <x:v>35</x:v>
      </x:c>
      <x:c r="M91" s="18" t="n">
        <x:v>21.2</x:v>
      </x:c>
      <x:c r="N91" s="18" t="n">
        <x:v>3.1</x:v>
      </x:c>
      <x:c r="O91" s="18"/>
      <x:c r="P91" s="18"/>
      <x:c r="Q91" s="18"/>
      <x:c r="R91" s="18"/>
      <x:c r="S91" s="18" t="n">
        <x:v>21.9</x:v>
      </x:c>
      <x:c r="T91" s="18" t="n">
        <x:v>3.2</x:v>
      </x:c>
      <x:c r="U91" s="18"/>
      <x:c r="V91" s="18"/>
      <x:c r="W91" s="18"/>
      <x:c r="X91" s="18"/>
      <x:c r="Y91" s="18" t="str">
        <x:v>µg sufentanil</x:v>
      </x:c>
      <x:c r="Z91" s="18" t="str">
        <x:v>0.402</x:v>
      </x:c>
      <x:c r="AA91" s="18" t="str">
        <x:v>Yes</x:v>
      </x:c>
      <x:c r="AB91" s="18" t="str">
        <x:v>No</x:v>
      </x:c>
      <x:c r="AC91" s="18" t="str">
        <x:v>MD</x:v>
      </x:c>
      <x:c r="AD91" s="18" t="n">
        <x:v>-0.6999999999999993</x:v>
      </x:c>
      <x:c r="AE91" s="18" t="str">
        <x:v>No</x:v>
      </x:c>
      <x:c r="AF91" s="18" t="str">
        <x:v>No</x:v>
      </x:c>
      <x:c r="AG91" s="18" t="str">
        <x:v>Eligible for intraoperative opioid analysis</x:v>
      </x:c>
      <x:c r="AH91" s="18" t="str">
        <x:v>No</x:v>
      </x:c>
      <x:c r="AI91" s="18" t="str">
        <x:v>No intraoperative opioid-sparing effect</x:v>
      </x:c>
      <x:c r="AJ91" s="18" t="str">
        <x:v>Table 1 / SNVP sufentanil</x:v>
      </x:c>
      <x:c r="AK91" s="18" t="str">
        <x:v>https://drive.google.com/file/d/1U8tkq6mKFO0IkA2glfgLjN4Krwku3FZn/view?usp=drivesdk</x:v>
      </x:c>
      <x:c r="AL91" s="18" t="str">
        <x:v>SOURCE-VERIFIED</x:v>
      </x:c>
      <x:c r="AM91" s="18" t="str">
        <x:v>Intraoperative opioid</x:v>
      </x:c>
      <x:c r="AN91" s="18" t="str">
        <x:v>Intraoperative</x:v>
      </x:c>
      <x:c r="AO91" s="18" t="str">
        <x:v>INCLUDE — INTRAOPERATIVE</x:v>
      </x:c>
      <x:c r="AP91" s="18" t="str">
        <x:v>Valid intraoperative opioid endpoint; must remain separate from postoperative opioid consumption.</x:v>
      </x:c>
      <x:c r="AQ91" s="18" t="str">
        <x:v>No</x:v>
      </x:c>
      <x:c r="AR91" s="18" t="str"/>
      <x:c r="AS91" s="18" t="str">
        <x:v>None</x:v>
      </x:c>
      <x:c r="AT91" s="18" t="str">
        <x:v>PONV incidence</x:v>
      </x:c>
      <x:c r="AU91" s="18" t="str">
        <x:v>12-24 h</x:v>
      </x:c>
      <x:c r="AV91" s="18" t="str">
        <x:v>High</x:v>
      </x:c>
      <x:c r="AW91" s="18" t="str">
        <x:v>Yes — selected RoB is for a different result/timepoint</x:v>
      </x:c>
      <x:c r="AX91" s="18" t="str">
        <x:v>Wang 2024</x:v>
      </x:c>
      <x:c r="AY91" s="18" t="str">
        <x:v>Risk-stratum randomized contrast</x:v>
      </x:c>
      <x:c r="AZ91" s="18" t="str">
        <x:v>SNVP and MNVP are separate randomized strata; do not pool across strata as one undifferentiated treatment contrast without a stratum-aware method.</x:v>
      </x:c>
    </x:row>
    <x:row r="92">
      <x:c r="A92" s="18" t="str">
        <x:v>Wang 2024</x:v>
      </x:c>
      <x:c r="B92" s="18" t="str">
        <x:v>WANG24_MNVP_ODT_vs_OD_INTRAOPSUF</x:v>
      </x:c>
      <x:c r="C92" s="18" t="str">
        <x:v>MNVP: ondansetron+dexamethasone+TEAS</x:v>
      </x:c>
      <x:c r="D92" s="18" t="str">
        <x:v>MNVP: ondansetron+dexamethasone</x:v>
      </x:c>
      <x:c r="E92" s="18" t="str">
        <x:v>Intraoperative opioid</x:v>
      </x:c>
      <x:c r="F92" s="18" t="str">
        <x:v>Total sufentanil</x:v>
      </x:c>
      <x:c r="G92" s="18" t="str">
        <x:v>Intraoperative</x:v>
      </x:c>
      <x:c r="H92" s="18" t="str">
        <x:v>Mean/SD</x:v>
      </x:c>
      <x:c r="I92" s="18" t="n">
        <x:v>35</x:v>
      </x:c>
      <x:c r="J92" s="18" t="n">
        <x:v>35</x:v>
      </x:c>
      <x:c r="K92" s="18" t="n">
        <x:v>35</x:v>
      </x:c>
      <x:c r="L92" s="18" t="n">
        <x:v>35</x:v>
      </x:c>
      <x:c r="M92" s="18" t="n">
        <x:v>21</x:v>
      </x:c>
      <x:c r="N92" s="18" t="n">
        <x:v>3.4</x:v>
      </x:c>
      <x:c r="O92" s="18"/>
      <x:c r="P92" s="18"/>
      <x:c r="Q92" s="18"/>
      <x:c r="R92" s="18"/>
      <x:c r="S92" s="18" t="n">
        <x:v>20.9</x:v>
      </x:c>
      <x:c r="T92" s="18" t="n">
        <x:v>3.1</x:v>
      </x:c>
      <x:c r="U92" s="18"/>
      <x:c r="V92" s="18"/>
      <x:c r="W92" s="18"/>
      <x:c r="X92" s="18"/>
      <x:c r="Y92" s="18" t="str">
        <x:v>µg sufentanil</x:v>
      </x:c>
      <x:c r="Z92" s="18" t="str">
        <x:v>0.854</x:v>
      </x:c>
      <x:c r="AA92" s="18" t="str">
        <x:v>Yes</x:v>
      </x:c>
      <x:c r="AB92" s="18" t="str">
        <x:v>No</x:v>
      </x:c>
      <x:c r="AC92" s="18" t="str">
        <x:v>MD</x:v>
      </x:c>
      <x:c r="AD92" s="18" t="n">
        <x:v>0.10000000000000142</x:v>
      </x:c>
      <x:c r="AE92" s="18" t="str">
        <x:v>No</x:v>
      </x:c>
      <x:c r="AF92" s="18" t="str">
        <x:v>No</x:v>
      </x:c>
      <x:c r="AG92" s="18" t="str">
        <x:v>Eligible for intraoperative opioid analysis</x:v>
      </x:c>
      <x:c r="AH92" s="18" t="str">
        <x:v>No</x:v>
      </x:c>
      <x:c r="AI92" s="18" t="str">
        <x:v>No intraoperative opioid-sparing effect</x:v>
      </x:c>
      <x:c r="AJ92" s="18" t="str">
        <x:v>Table 1 / MNVP sufentanil</x:v>
      </x:c>
      <x:c r="AK92" s="18" t="str">
        <x:v>https://drive.google.com/file/d/1U8tkq6mKFO0IkA2glfgLjN4Krwku3FZn/view?usp=drivesdk</x:v>
      </x:c>
      <x:c r="AL92" s="18" t="str">
        <x:v>SOURCE-VERIFIED</x:v>
      </x:c>
      <x:c r="AM92" s="18" t="str">
        <x:v>Intraoperative opioid</x:v>
      </x:c>
      <x:c r="AN92" s="18" t="str">
        <x:v>Intraoperative</x:v>
      </x:c>
      <x:c r="AO92" s="18" t="str">
        <x:v>INCLUDE — INTRAOPERATIVE</x:v>
      </x:c>
      <x:c r="AP92" s="18" t="str">
        <x:v>Valid intraoperative opioid endpoint; must remain separate from postoperative opioid consumption.</x:v>
      </x:c>
      <x:c r="AQ92" s="18" t="str">
        <x:v>No</x:v>
      </x:c>
      <x:c r="AR92" s="18" t="str"/>
      <x:c r="AS92" s="18" t="str">
        <x:v>None</x:v>
      </x:c>
      <x:c r="AT92" s="18" t="str">
        <x:v>PONV incidence</x:v>
      </x:c>
      <x:c r="AU92" s="18" t="str">
        <x:v>12-24 h</x:v>
      </x:c>
      <x:c r="AV92" s="18" t="str">
        <x:v>High</x:v>
      </x:c>
      <x:c r="AW92" s="18" t="str">
        <x:v>Yes — selected RoB is for a different result/timepoint</x:v>
      </x:c>
      <x:c r="AX92" s="18" t="str">
        <x:v>Wang 2024</x:v>
      </x:c>
      <x:c r="AY92" s="18" t="str">
        <x:v>Risk-stratum randomized contrast</x:v>
      </x:c>
      <x:c r="AZ92" s="18" t="str">
        <x:v>SNVP and MNVP are separate randomized strata; do not pool across strata as one undifferentiated treatment contrast without a stratum-aware method.</x:v>
      </x:c>
    </x:row>
    <x:row r="93">
      <x:c r="A93" s="18" t="str">
        <x:v>Wang 2024</x:v>
      </x:c>
      <x:c r="B93" s="18" t="str">
        <x:v>WANG24_POSTOP_OPIOID24</x:v>
      </x:c>
      <x:c r="C93" s="18" t="str">
        <x:v>TEAS within risk strata</x:v>
      </x:c>
      <x:c r="D93" s="18" t="str">
        <x:v>OD within risk strata</x:v>
      </x:c>
      <x:c r="E93" s="18" t="str">
        <x:v>Opioid consumption</x:v>
      </x:c>
      <x:c r="F93" s="18" t="str">
        <x:v>Postoperative opioid consumption</x:v>
      </x:c>
      <x:c r="G93" s="18" t="str">
        <x:v>0-24 h</x:v>
      </x:c>
      <x:c r="H93" s="18" t="str">
        <x:v>Not reported</x:v>
      </x:c>
      <x:c r="I93" s="18"/>
      <x:c r="J93" s="18"/>
      <x:c r="K93" s="18"/>
      <x:c r="L93" s="18"/>
      <x:c r="M93" s="18"/>
      <x:c r="N93" s="18"/>
      <x:c r="O93" s="18"/>
      <x:c r="P93" s="18"/>
      <x:c r="Q93" s="18"/>
      <x:c r="R93" s="18"/>
      <x:c r="S93" s="18"/>
      <x:c r="T93" s="18"/>
      <x:c r="U93" s="18"/>
      <x:c r="V93" s="18"/>
      <x:c r="W93" s="18"/>
      <x:c r="X93" s="18"/>
      <x:c r="Y93" s="18" t="str">
        <x:v>mg/µg</x:v>
      </x:c>
      <x:c r="Z93" s="18"/>
      <x:c r="AA93" s="18" t="str">
        <x:v>No</x:v>
      </x:c>
      <x:c r="AB93" s="18" t="str">
        <x:v>No</x:v>
      </x:c>
      <x:c r="AC93" s="18"/>
      <x:c r="AD93" s="18"/>
      <x:c r="AE93" s="18" t="str">
        <x:v>No</x:v>
      </x:c>
      <x:c r="AF93" s="18" t="str">
        <x:v>No</x:v>
      </x:c>
      <x:c r="AG93" s="18" t="str">
        <x:v>Not eligible for postoperative 24-h opioid meta-analysis</x:v>
      </x:c>
      <x:c r="AH93" s="18" t="str">
        <x:v>No</x:v>
      </x:c>
      <x:c r="AI93" s="18" t="str">
        <x:v>Postoperative rescue analgesia was non-opioid flurbiprofen; no postoperative opioid-consumption endpoint</x:v>
      </x:c>
      <x:c r="AJ93" s="18" t="str">
        <x:v>Postoperative analgesia section</x:v>
      </x:c>
      <x:c r="AK93" s="18" t="str">
        <x:v>https://drive.google.com/file/d/1U8tkq6mKFO0IkA2glfgLjN4Krwku3FZn/view?usp=drivesdk</x:v>
      </x:c>
      <x:c r="AL93" s="18" t="str">
        <x:v>NOT REPORTED / NO POSTOP OPIOID ENDPOINT</x:v>
      </x:c>
      <x:c r="AM93" s="18" t="str">
        <x:v>Postoperative opioid consumption</x:v>
      </x:c>
      <x:c r="AN93" s="18" t="str">
        <x:v>Exact/explicit 24 h</x:v>
      </x:c>
      <x:c r="AO93" s="18" t="str">
        <x:v>EXCLUDE — DATA UNAVAILABLE</x:v>
      </x:c>
      <x:c r="AP93" s="18" t="str">
        <x:v>The source does not provide a defensible quantitative value for this analysis.</x:v>
      </x:c>
      <x:c r="AQ93" s="18" t="str">
        <x:v>No</x:v>
      </x:c>
      <x:c r="AR93" s="18" t="str"/>
      <x:c r="AS93" s="18" t="str">
        <x:v>None</x:v>
      </x:c>
      <x:c r="AT93" s="18" t="str">
        <x:v>PONV incidence</x:v>
      </x:c>
      <x:c r="AU93" s="18" t="str">
        <x:v>12-24 h</x:v>
      </x:c>
      <x:c r="AV93" s="18" t="str">
        <x:v>High</x:v>
      </x:c>
      <x:c r="AW93" s="18" t="str">
        <x:v>Yes — selected RoB is for a different result/timepoint</x:v>
      </x:c>
      <x:c r="AX93" s="18" t="str">
        <x:v>Wang 2024</x:v>
      </x:c>
      <x:c r="AY93" s="18" t="str">
        <x:v>Risk-stratum randomized contrast</x:v>
      </x:c>
      <x:c r="AZ93" s="18" t="str">
        <x:v>SNVP and MNVP are separate randomized strata; do not pool across strata as one undifferentiated treatment contrast without a stratum-aware method.</x:v>
      </x:c>
    </x:row>
    <x:row r="94">
      <x:c r="A94" s="18" t="str">
        <x:v>Tu 2024</x:v>
      </x:c>
      <x:c r="B94" s="18" t="str">
        <x:v>TU24_TEAS_vs_SHAM_VOMIT2_6</x:v>
      </x:c>
      <x:c r="C94" s="18" t="str">
        <x:v>Postoperative TEAS</x:v>
      </x:c>
      <x:c r="D94" s="18" t="str">
        <x:v>Sham/no current</x:v>
      </x:c>
      <x:c r="E94" s="18" t="str">
        <x:v>PONV</x:v>
      </x:c>
      <x:c r="F94" s="18" t="str">
        <x:v>Vomiting incidence</x:v>
      </x:c>
      <x:c r="G94" s="18" t="str">
        <x:v>2-6 h</x:v>
      </x:c>
      <x:c r="H94" s="18" t="str">
        <x:v>Events/total</x:v>
      </x:c>
      <x:c r="I94" s="18" t="n">
        <x:v>60</x:v>
      </x:c>
      <x:c r="J94" s="18" t="n">
        <x:v>60</x:v>
      </x:c>
      <x:c r="K94" s="18" t="n">
        <x:v>57</x:v>
      </x:c>
      <x:c r="L94" s="18" t="n">
        <x:v>58</x:v>
      </x:c>
      <x:c r="M94" s="18"/>
      <x:c r="N94" s="18"/>
      <x:c r="O94" s="18"/>
      <x:c r="P94" s="18"/>
      <x:c r="Q94" s="18"/>
      <x:c r="R94" s="18" t="n">
        <x:v>8</x:v>
      </x:c>
      <x:c r="S94" s="18"/>
      <x:c r="T94" s="18"/>
      <x:c r="U94" s="18"/>
      <x:c r="V94" s="18"/>
      <x:c r="W94" s="18"/>
      <x:c r="X94" s="18" t="n">
        <x:v>17</x:v>
      </x:c>
      <x:c r="Y94" s="18" t="str">
        <x:v>participants</x:v>
      </x:c>
      <x:c r="Z94" s="18" t="str">
        <x:v>0.047</x:v>
      </x:c>
      <x:c r="AA94" s="18" t="str">
        <x:v>Yes</x:v>
      </x:c>
      <x:c r="AB94" s="18" t="str">
        <x:v>No</x:v>
      </x:c>
      <x:c r="AC94" s="18" t="str">
        <x:v>RR</x:v>
      </x:c>
      <x:c r="AD94" s="18" t="n">
        <x:v>0.478844169246646</x:v>
      </x:c>
      <x:c r="AE94" s="18" t="str">
        <x:v>No</x:v>
      </x:c>
      <x:c r="AF94" s="18" t="str">
        <x:v>No</x:v>
      </x:c>
      <x:c r="AG94" s="18" t="str">
        <x:v>Eligible for dichotomous vomiting analysis</x:v>
      </x:c>
      <x:c r="AH94" s="18" t="str">
        <x:v>No</x:v>
      </x:c>
      <x:c r="AI94" s="18" t="str">
        <x:v>Five post-randomization exclusions include one sham participant excluded specifically for vomiting caused by intracranial hypertension</x:v>
      </x:c>
      <x:c r="AJ94" s="18" t="str">
        <x:v>Table 3 / vomiting 2-6 h</x:v>
      </x:c>
      <x:c r="AK94" s="18" t="str">
        <x:v>https://drive.google.com/file/d/1xQ9SbXVZblphUrb0-T9xpnAXk-_z5nBX/view?usp=drivesdk</x:v>
      </x:c>
      <x:c r="AL94" s="18" t="str">
        <x:v>SOURCE-VERIFIED / MISSINGNESS QC</x:v>
      </x:c>
      <x:c r="AM94" s="18" t="str">
        <x:v>PONV</x:v>
      </x:c>
      <x:c r="AN94" s="18" t="str">
        <x:v>2-6 h</x:v>
      </x:c>
      <x:c r="AO94" s="18" t="str">
        <x:v>EXCLUDE — DATA UNAVAILABLE</x:v>
      </x:c>
      <x:c r="AP94" s="18" t="str">
        <x:v>The source does not provide a defensible quantitative value for this analysis.</x:v>
      </x:c>
      <x:c r="AQ94" s="18" t="str">
        <x:v>No</x:v>
      </x:c>
      <x:c r="AR94" s="18" t="str"/>
      <x:c r="AS94" s="18" t="str">
        <x:v>Binary effect measure (RR preferred per protocol)</x:v>
      </x:c>
      <x:c r="AT94" s="18" t="str">
        <x:v>Vomiting incidence</x:v>
      </x:c>
      <x:c r="AU94" s="18" t="str">
        <x:v>2-6 h</x:v>
      </x:c>
      <x:c r="AV94" s="18" t="str">
        <x:v>High</x:v>
      </x:c>
      <x:c r="AW94" s="18" t="str">
        <x:v>No — selected RoB matches this result</x:v>
      </x:c>
      <x:c r="AX94" s="18" t="str">
        <x:v>Tu 2024</x:v>
      </x:c>
      <x:c r="AY94" s="18" t="str">
        <x:v>Primary eligible contrast</x:v>
      </x:c>
      <x:c r="AZ94" s="18" t="str">
        <x:v>Count this study once per synthesis unless a valid multi-arm method is used.</x:v>
      </x:c>
    </x:row>
    <x:row r="95">
      <x:c r="A95" s="18" t="str">
        <x:v>Tu 2024</x:v>
      </x:c>
      <x:c r="B95" s="18" t="str">
        <x:v>TU24_TEAS_vs_SHAM_VOMIT6_24</x:v>
      </x:c>
      <x:c r="C95" s="18" t="str">
        <x:v>Postoperative TEAS</x:v>
      </x:c>
      <x:c r="D95" s="18" t="str">
        <x:v>Sham/no current</x:v>
      </x:c>
      <x:c r="E95" s="18" t="str">
        <x:v>PONV</x:v>
      </x:c>
      <x:c r="F95" s="18" t="str">
        <x:v>Vomiting incidence</x:v>
      </x:c>
      <x:c r="G95" s="18" t="str">
        <x:v>6-24 h</x:v>
      </x:c>
      <x:c r="H95" s="18" t="str">
        <x:v>Events/total</x:v>
      </x:c>
      <x:c r="I95" s="18" t="n">
        <x:v>60</x:v>
      </x:c>
      <x:c r="J95" s="18" t="n">
        <x:v>60</x:v>
      </x:c>
      <x:c r="K95" s="18" t="n">
        <x:v>57</x:v>
      </x:c>
      <x:c r="L95" s="18" t="n">
        <x:v>58</x:v>
      </x:c>
      <x:c r="M95" s="18"/>
      <x:c r="N95" s="18"/>
      <x:c r="O95" s="18"/>
      <x:c r="P95" s="18"/>
      <x:c r="Q95" s="18"/>
      <x:c r="R95" s="18" t="n">
        <x:v>11</x:v>
      </x:c>
      <x:c r="S95" s="18"/>
      <x:c r="T95" s="18"/>
      <x:c r="U95" s="18"/>
      <x:c r="V95" s="18"/>
      <x:c r="W95" s="18"/>
      <x:c r="X95" s="18" t="n">
        <x:v>15</x:v>
      </x:c>
      <x:c r="Y95" s="18" t="str">
        <x:v>participants</x:v>
      </x:c>
      <x:c r="Z95" s="18" t="str">
        <x:v>0.405</x:v>
      </x:c>
      <x:c r="AA95" s="18" t="str">
        <x:v>Yes</x:v>
      </x:c>
      <x:c r="AB95" s="18" t="str">
        <x:v>No</x:v>
      </x:c>
      <x:c r="AC95" s="18" t="str">
        <x:v>RR</x:v>
      </x:c>
      <x:c r="AD95" s="18" t="n">
        <x:v>0.7461988304093566</x:v>
      </x:c>
      <x:c r="AE95" s="18" t="str">
        <x:v>No</x:v>
      </x:c>
      <x:c r="AF95" s="18" t="str">
        <x:v>No</x:v>
      </x:c>
      <x:c r="AG95" s="18" t="str">
        <x:v>Eligible for dichotomous vomiting analysis</x:v>
      </x:c>
      <x:c r="AH95" s="18" t="str">
        <x:v>No</x:v>
      </x:c>
      <x:c r="AI95" s="18" t="str">
        <x:v>Same post-randomization exclusion concern</x:v>
      </x:c>
      <x:c r="AJ95" s="18" t="str">
        <x:v>Table 3 / vomiting 6-24 h</x:v>
      </x:c>
      <x:c r="AK95" s="18" t="str">
        <x:v>https://drive.google.com/file/d/1xQ9SbXVZblphUrb0-T9xpnAXk-_z5nBX/view?usp=drivesdk</x:v>
      </x:c>
      <x:c r="AL95" s="18" t="str">
        <x:v>SOURCE-VERIFIED / MISSINGNESS QC</x:v>
      </x:c>
      <x:c r="AM95" s="18" t="str">
        <x:v>PONV</x:v>
      </x:c>
      <x:c r="AN95" s="18" t="str">
        <x:v>Contains 24 h but definition differs</x:v>
      </x:c>
      <x:c r="AO95" s="18" t="str">
        <x:v>EXCLUDE — DATA UNAVAILABLE</x:v>
      </x:c>
      <x:c r="AP95" s="18" t="str">
        <x:v>The source does not provide a defensible quantitative value for this analysis.</x:v>
      </x:c>
      <x:c r="AQ95" s="18" t="str">
        <x:v>No</x:v>
      </x:c>
      <x:c r="AR95" s="18" t="str"/>
      <x:c r="AS95" s="18" t="str">
        <x:v>Binary effect measure (RR preferred per protocol)</x:v>
      </x:c>
      <x:c r="AT95" s="18" t="str">
        <x:v>Vomiting incidence</x:v>
      </x:c>
      <x:c r="AU95" s="18" t="str">
        <x:v>2-6 h</x:v>
      </x:c>
      <x:c r="AV95" s="18" t="str">
        <x:v>High</x:v>
      </x:c>
      <x:c r="AW95" s="18" t="str">
        <x:v>No — selected RoB matches this result</x:v>
      </x:c>
      <x:c r="AX95" s="18" t="str">
        <x:v>Tu 2024</x:v>
      </x:c>
      <x:c r="AY95" s="18" t="str">
        <x:v>Primary eligible contrast</x:v>
      </x:c>
      <x:c r="AZ95" s="18" t="str">
        <x:v>Count this study once per synthesis unless a valid multi-arm method is used.</x:v>
      </x:c>
    </x:row>
    <x:row r="96">
      <x:c r="A96" s="18" t="str">
        <x:v>Tu 2024</x:v>
      </x:c>
      <x:c r="B96" s="18" t="str">
        <x:v>TU24_TEAS_vs_SHAM_PAIN6_24</x:v>
      </x:c>
      <x:c r="C96" s="18" t="str">
        <x:v>Postoperative TEAS</x:v>
      </x:c>
      <x:c r="D96" s="18" t="str">
        <x:v>Sham/no current</x:v>
      </x:c>
      <x:c r="E96" s="18" t="str">
        <x:v>Pain</x:v>
      </x:c>
      <x:c r="F96" s="18" t="str">
        <x:v>VAS pain intensity</x:v>
      </x:c>
      <x:c r="G96" s="18" t="str">
        <x:v>6-24 h</x:v>
      </x:c>
      <x:c r="H96" s="18" t="str">
        <x:v>Median/IQR</x:v>
      </x:c>
      <x:c r="I96" s="18" t="n">
        <x:v>60</x:v>
      </x:c>
      <x:c r="J96" s="18" t="n">
        <x:v>60</x:v>
      </x:c>
      <x:c r="K96" s="18" t="n">
        <x:v>57</x:v>
      </x:c>
      <x:c r="L96" s="18" t="n">
        <x:v>58</x:v>
      </x:c>
      <x:c r="M96" s="18"/>
      <x:c r="N96" s="18"/>
      <x:c r="O96" s="18" t="n">
        <x:v>2</x:v>
      </x:c>
      <x:c r="P96" s="18" t="n">
        <x:v>0.5</x:v>
      </x:c>
      <x:c r="Q96" s="18" t="n">
        <x:v>3</x:v>
      </x:c>
      <x:c r="R96" s="18"/>
      <x:c r="S96" s="18"/>
      <x:c r="T96" s="18"/>
      <x:c r="U96" s="18" t="n">
        <x:v>4</x:v>
      </x:c>
      <x:c r="V96" s="18" t="n">
        <x:v>3</x:v>
      </x:c>
      <x:c r="W96" s="18" t="n">
        <x:v>4</x:v>
      </x:c>
      <x:c r="X96" s="18"/>
      <x:c r="Y96" s="18" t="str">
        <x:v>VAS 0-10</x:v>
      </x:c>
      <x:c r="Z96" s="18" t="str">
        <x:v>0.001</x:v>
      </x:c>
      <x:c r="AA96" s="18" t="str">
        <x:v>Yes</x:v>
      </x:c>
      <x:c r="AB96" s="18" t="str">
        <x:v>No</x:v>
      </x:c>
      <x:c r="AC96" s="18"/>
      <x:c r="AD96" s="18"/>
      <x:c r="AE96" s="18" t="str">
        <x:v>No</x:v>
      </x:c>
      <x:c r="AF96" s="18" t="str">
        <x:v>No</x:v>
      </x:c>
      <x:c r="AG96" s="18" t="str">
        <x:v>Eligible for pain analysis using median/IQR methods</x:v>
      </x:c>
      <x:c r="AH96" s="18" t="str">
        <x:v>No</x:v>
      </x:c>
      <x:c r="AI96" s="18" t="str">
        <x:v>Subjective outcome; sensory difference between active de qi and no-current sham may affect participant masking</x:v>
      </x:c>
      <x:c r="AJ96" s="18" t="str">
        <x:v>Pain outcome 6-24 h</x:v>
      </x:c>
      <x:c r="AK96" s="18" t="str">
        <x:v>https://drive.google.com/file/d/1xQ9SbXVZblphUrb0-T9xpnAXk-_z5nBX/view?usp=drivesdk</x:v>
      </x:c>
      <x:c r="AL96" s="18" t="str">
        <x:v>SOURCE-VERIFIED / SUBJECTIVE OUTCOME QC</x:v>
      </x:c>
      <x:c r="AM96" s="18" t="str">
        <x:v>Pain</x:v>
      </x:c>
      <x:c r="AN96" s="18" t="str">
        <x:v>Contains 24 h but definition differs</x:v>
      </x:c>
      <x:c r="AO96" s="18" t="str">
        <x:v>CONDITIONAL</x:v>
      </x:c>
      <x:c r="AP96" s="18" t="str">
        <x:v>Contains a 24-h measurement but timepoint definition differs from the strict analysis.</x:v>
      </x:c>
      <x:c r="AQ96" s="18" t="str">
        <x:v>No</x:v>
      </x:c>
      <x:c r="AR96" s="18" t="str"/>
      <x:c r="AS96" s="18" t="str">
        <x:v>Use median/IQR-compatible meta-analysis method; do not relabel as mean/SD</x:v>
      </x:c>
      <x:c r="AT96" s="18" t="str">
        <x:v>Vomiting incidence</x:v>
      </x:c>
      <x:c r="AU96" s="18" t="str">
        <x:v>2-6 h</x:v>
      </x:c>
      <x:c r="AV96" s="18" t="str">
        <x:v>High</x:v>
      </x:c>
      <x:c r="AW96" s="18" t="str">
        <x:v>Yes — selected RoB is for a different result/timepoint</x:v>
      </x:c>
      <x:c r="AX96" s="18" t="str">
        <x:v>Tu 2024</x:v>
      </x:c>
      <x:c r="AY96" s="18" t="str">
        <x:v>Primary eligible contrast</x:v>
      </x:c>
      <x:c r="AZ96" s="18" t="str">
        <x:v>Count this study once per synthesis unless a valid multi-arm method is used.</x:v>
      </x:c>
    </x:row>
    <x:row r="97">
      <x:c r="A97" s="18" t="str">
        <x:v>Tu 2024</x:v>
      </x:c>
      <x:c r="B97" s="18" t="str">
        <x:v>TU24_TEAS_vs_SHAM_TRAMADOL</x:v>
      </x:c>
      <x:c r="C97" s="18" t="str">
        <x:v>Postoperative TEAS</x:v>
      </x:c>
      <x:c r="D97" s="18" t="str">
        <x:v>Sham/no current</x:v>
      </x:c>
      <x:c r="E97" s="18" t="str">
        <x:v>Rescue opioid use</x:v>
      </x:c>
      <x:c r="F97" s="18" t="str">
        <x:v>Any rescue tramadol use</x:v>
      </x:c>
      <x:c r="G97" s="18" t="str">
        <x:v>Within 24 h</x:v>
      </x:c>
      <x:c r="H97" s="18" t="str">
        <x:v>Events/total</x:v>
      </x:c>
      <x:c r="I97" s="18" t="n">
        <x:v>60</x:v>
      </x:c>
      <x:c r="J97" s="18" t="n">
        <x:v>60</x:v>
      </x:c>
      <x:c r="K97" s="18" t="n">
        <x:v>57</x:v>
      </x:c>
      <x:c r="L97" s="18" t="n">
        <x:v>58</x:v>
      </x:c>
      <x:c r="M97" s="18"/>
      <x:c r="N97" s="18"/>
      <x:c r="O97" s="18"/>
      <x:c r="P97" s="18"/>
      <x:c r="Q97" s="18"/>
      <x:c r="R97" s="18" t="n">
        <x:v>3</x:v>
      </x:c>
      <x:c r="S97" s="18"/>
      <x:c r="T97" s="18"/>
      <x:c r="U97" s="18"/>
      <x:c r="V97" s="18"/>
      <x:c r="W97" s="18"/>
      <x:c r="X97" s="18" t="n">
        <x:v>6</x:v>
      </x:c>
      <x:c r="Y97" s="18" t="str">
        <x:v>participants</x:v>
      </x:c>
      <x:c r="Z97" s="18" t="str">
        <x:v>0.315</x:v>
      </x:c>
      <x:c r="AA97" s="18" t="str">
        <x:v>Yes</x:v>
      </x:c>
      <x:c r="AB97" s="18" t="str">
        <x:v>No</x:v>
      </x:c>
      <x:c r="AC97" s="18" t="str">
        <x:v>RR</x:v>
      </x:c>
      <x:c r="AD97" s="18" t="n">
        <x:v>0.5087719298245614</x:v>
      </x:c>
      <x:c r="AE97" s="18" t="str">
        <x:v>No</x:v>
      </x:c>
      <x:c r="AF97" s="18" t="str">
        <x:v>No</x:v>
      </x:c>
      <x:c r="AG97" s="18" t="str">
        <x:v>Eligible only for binary rescue-opioid-use analysis</x:v>
      </x:c>
      <x:c r="AH97" s="18" t="str">
        <x:v>No</x:v>
      </x:c>
      <x:c r="AI97" s="18" t="str">
        <x:v>Tramadol was 10 mg IM for VAS &gt;6; number of doses/cumulative tramadol per patient is not reported</x:v>
      </x:c>
      <x:c r="AJ97" s="18" t="str">
        <x:v>Rescue analgesia outcome</x:v>
      </x:c>
      <x:c r="AK97" s="18" t="str">
        <x:v>https://drive.google.com/file/d/1xQ9SbXVZblphUrb0-T9xpnAXk-_z5nBX/view?usp=drivesdk</x:v>
      </x:c>
      <x:c r="AL97" s="18" t="str">
        <x:v>SOURCE-VERIFIED / DOSE MISSING</x:v>
      </x:c>
      <x:c r="AM97" s="18" t="str">
        <x:v>Rescue opioid use</x:v>
      </x:c>
      <x:c r="AN97" s="18" t="str">
        <x:v>Contains 24 h but definition differs</x:v>
      </x:c>
      <x:c r="AO97" s="18" t="str">
        <x:v>EXCLUDE — DATA UNAVAILABLE</x:v>
      </x:c>
      <x:c r="AP97" s="18" t="str">
        <x:v>The source does not provide a defensible quantitative value for this analysis.</x:v>
      </x:c>
      <x:c r="AQ97" s="18" t="str">
        <x:v>No</x:v>
      </x:c>
      <x:c r="AR97" s="18" t="str"/>
      <x:c r="AS97" s="18" t="str">
        <x:v>Binary effect measure (RR preferred per protocol)</x:v>
      </x:c>
      <x:c r="AT97" s="18" t="str">
        <x:v>Vomiting incidence</x:v>
      </x:c>
      <x:c r="AU97" s="18" t="str">
        <x:v>2-6 h</x:v>
      </x:c>
      <x:c r="AV97" s="18" t="str">
        <x:v>High</x:v>
      </x:c>
      <x:c r="AW97" s="18" t="str">
        <x:v>Yes — selected RoB is for a different result/timepoint</x:v>
      </x:c>
      <x:c r="AX97" s="18" t="str">
        <x:v>Tu 2024</x:v>
      </x:c>
      <x:c r="AY97" s="18" t="str">
        <x:v>Primary eligible contrast</x:v>
      </x:c>
      <x:c r="AZ97" s="18" t="str">
        <x:v>Count this study once per synthesis unless a valid multi-arm method is used.</x:v>
      </x:c>
    </x:row>
    <x:row r="98">
      <x:c r="A98" s="18" t="str">
        <x:v>Tu 2024</x:v>
      </x:c>
      <x:c r="B98" s="18" t="str">
        <x:v>TU24_TEAS_vs_SHAM_OPIOID24</x:v>
      </x:c>
      <x:c r="C98" s="18" t="str">
        <x:v>Postoperative TEAS</x:v>
      </x:c>
      <x:c r="D98" s="18" t="str">
        <x:v>Sham/no current</x:v>
      </x:c>
      <x:c r="E98" s="18" t="str">
        <x:v>Opioid consumption</x:v>
      </x:c>
      <x:c r="F98" s="18" t="str">
        <x:v>Cumulative rescue tramadol consumption</x:v>
      </x:c>
      <x:c r="G98" s="18" t="str">
        <x:v>0-24 h</x:v>
      </x:c>
      <x:c r="H98" s="18" t="str">
        <x:v>Not reported</x:v>
      </x:c>
      <x:c r="I98" s="18" t="n">
        <x:v>60</x:v>
      </x:c>
      <x:c r="J98" s="18" t="n">
        <x:v>60</x:v>
      </x:c>
      <x:c r="K98" s="18" t="n">
        <x:v>57</x:v>
      </x:c>
      <x:c r="L98" s="18" t="n">
        <x:v>58</x:v>
      </x:c>
      <x:c r="M98" s="18"/>
      <x:c r="N98" s="18"/>
      <x:c r="O98" s="18"/>
      <x:c r="P98" s="18"/>
      <x:c r="Q98" s="18"/>
      <x:c r="R98" s="18"/>
      <x:c r="S98" s="18"/>
      <x:c r="T98" s="18"/>
      <x:c r="U98" s="18"/>
      <x:c r="V98" s="18"/>
      <x:c r="W98" s="18"/>
      <x:c r="X98" s="18"/>
      <x:c r="Y98" s="18" t="str">
        <x:v>mg tramadol</x:v>
      </x:c>
      <x:c r="Z98" s="18"/>
      <x:c r="AA98" s="18" t="str">
        <x:v>No</x:v>
      </x:c>
      <x:c r="AB98" s="18" t="str">
        <x:v>No</x:v>
      </x:c>
      <x:c r="AC98" s="18"/>
      <x:c r="AD98" s="18"/>
      <x:c r="AE98" s="18" t="str">
        <x:v>No</x:v>
      </x:c>
      <x:c r="AF98" s="18" t="str">
        <x:v>No</x:v>
      </x:c>
      <x:c r="AG98" s="18" t="str">
        <x:v>Not eligible for continuous 24-h opioid meta-analysis</x:v>
      </x:c>
      <x:c r="AH98" s="18" t="str">
        <x:v>No</x:v>
      </x:c>
      <x:c r="AI98" s="18" t="str">
        <x:v>Only number of patients receiving rescue tramadol is reported; cumulative dose is unavailable</x:v>
      </x:c>
      <x:c r="AJ98" s="18" t="str">
        <x:v>Rescue analgesia section</x:v>
      </x:c>
      <x:c r="AK98" s="18" t="str">
        <x:v>https://drive.google.com/file/d/1xQ9SbXVZblphUrb0-T9xpnAXk-_z5nBX/view?usp=drivesdk</x:v>
      </x:c>
      <x:c r="AL98" s="18" t="str">
        <x:v>MISSING / CUMULATIVE DOSE NOT REPORTED</x:v>
      </x:c>
      <x:c r="AM98" s="18" t="str">
        <x:v>Postoperative opioid consumption</x:v>
      </x:c>
      <x:c r="AN98" s="18" t="str">
        <x:v>Exact/explicit 24 h</x:v>
      </x:c>
      <x:c r="AO98" s="18" t="str">
        <x:v>EXCLUDE — DATA UNAVAILABLE</x:v>
      </x:c>
      <x:c r="AP98" s="18" t="str">
        <x:v>The source does not provide a defensible quantitative value for this analysis.</x:v>
      </x:c>
      <x:c r="AQ98" s="18" t="str">
        <x:v>No</x:v>
      </x:c>
      <x:c r="AR98" s="18" t="str"/>
      <x:c r="AS98" s="18" t="str">
        <x:v>Opioid/MME conversion required using prespecified review conversion</x:v>
      </x:c>
      <x:c r="AT98" s="18" t="str">
        <x:v>Vomiting incidence</x:v>
      </x:c>
      <x:c r="AU98" s="18" t="str">
        <x:v>2-6 h</x:v>
      </x:c>
      <x:c r="AV98" s="18" t="str">
        <x:v>High</x:v>
      </x:c>
      <x:c r="AW98" s="18" t="str">
        <x:v>Yes — selected RoB is for a different result/timepoint</x:v>
      </x:c>
      <x:c r="AX98" s="18" t="str">
        <x:v>Tu 2024</x:v>
      </x:c>
      <x:c r="AY98" s="18" t="str">
        <x:v>Primary eligible contrast</x:v>
      </x:c>
      <x:c r="AZ98" s="18" t="str">
        <x:v>Count this study once per synthesis unless a valid multi-arm method is used.</x:v>
      </x:c>
    </x:row>
    <x:row r="99">
      <x:c r="A99" s="18" t="str">
        <x:v>Sun 2017</x:v>
      </x:c>
      <x:c r="B99" s="18" t="str">
        <x:v>SUN17_TSS_vs_SSS_ACTIVITY24</x:v>
      </x:c>
      <x:c r="C99" s="18" t="str">
        <x:v>Preoperative true TEAS only</x:v>
      </x:c>
      <x:c r="D99" s="18" t="str">
        <x:v>All-period sham TEAS (SSS)</x:v>
      </x:c>
      <x:c r="E99" s="18" t="str">
        <x:v>Pain</x:v>
      </x:c>
      <x:c r="F99" s="18" t="str">
        <x:v>Activity-evoked VAS</x:v>
      </x:c>
      <x:c r="G99" s="18" t="str">
        <x:v>24 h</x:v>
      </x:c>
      <x:c r="H99" s="18" t="str">
        <x:v>Median/IQR</x:v>
      </x:c>
      <x:c r="I99" s="18" t="n">
        <x:v>95</x:v>
      </x:c>
      <x:c r="J99" s="18" t="n">
        <x:v>95</x:v>
      </x:c>
      <x:c r="K99" s="18" t="n">
        <x:v>91</x:v>
      </x:c>
      <x:c r="L99" s="18" t="n">
        <x:v>90</x:v>
      </x:c>
      <x:c r="M99" s="18"/>
      <x:c r="N99" s="18"/>
      <x:c r="O99" s="18" t="n">
        <x:v>4</x:v>
      </x:c>
      <x:c r="P99" s="18" t="n">
        <x:v>4</x:v>
      </x:c>
      <x:c r="Q99" s="18" t="n">
        <x:v>5</x:v>
      </x:c>
      <x:c r="R99" s="18"/>
      <x:c r="S99" s="18"/>
      <x:c r="T99" s="18"/>
      <x:c r="U99" s="18" t="n">
        <x:v>4</x:v>
      </x:c>
      <x:c r="V99" s="18" t="n">
        <x:v>3.8</x:v>
      </x:c>
      <x:c r="W99" s="18" t="n">
        <x:v>5</x:v>
      </x:c>
      <x:c r="X99" s="18"/>
      <x:c r="Y99" s="18" t="str">
        <x:v>VAS 0-10</x:v>
      </x:c>
      <x:c r="Z99" s="18" t="str">
        <x:v>&lt;0.001 reported comparisons</x:v>
      </x:c>
      <x:c r="AA99" s="18" t="str">
        <x:v>Yes</x:v>
      </x:c>
      <x:c r="AB99" s="18" t="str">
        <x:v>No</x:v>
      </x:c>
      <x:c r="AC99" s="18"/>
      <x:c r="AD99" s="18"/>
      <x:c r="AE99" s="18" t="str">
        <x:v>No</x:v>
      </x:c>
      <x:c r="AF99" s="18" t="str">
        <x:v>No</x:v>
      </x:c>
      <x:c r="AG99" s="18" t="str">
        <x:v>Eligible for 24-h movement-pain analysis with multi-arm/shared-control adjustment</x:v>
      </x:c>
      <x:c r="AH99" s="18" t="str">
        <x:v>Yes</x:v>
      </x:c>
      <x:c r="AI99" s="18" t="str">
        <x:v>Four-arm timing trial; sham received 5 min perceptible low-current stimulation, not electrically inert</x:v>
      </x:c>
      <x:c r="AJ99" s="18" t="str">
        <x:v>Primary activity-pain outcome, 24 h</x:v>
      </x:c>
      <x:c r="AK99" s="18" t="str">
        <x:v>https://drive.google.com/file/d/1lELlw0IpkhqoB8OuintAI22fxKfNEcEd/view?usp=drivesdk</x:v>
      </x:c>
      <x:c r="AL99" s="18" t="str">
        <x:v>SOURCE-VERIFIED</x:v>
      </x:c>
      <x:c r="AM99" s="18" t="str">
        <x:v>Pain</x:v>
      </x:c>
      <x:c r="AN99" s="18" t="str">
        <x:v>Exact/explicit 24 h</x:v>
      </x:c>
      <x:c r="AO99" s="18" t="str">
        <x:v>INCLUDE</x:v>
      </x:c>
      <x:c r="AP99" s="18" t="str">
        <x:v>Explicit 24-h pain endpoint with quantitative source data.</x:v>
      </x:c>
      <x:c r="AQ99" s="18" t="str">
        <x:v>Yes</x:v>
      </x:c>
      <x:c r="AR99" s="18" t="str"/>
      <x:c r="AS99" s="18" t="str">
        <x:v>Use median/IQR-compatible meta-analysis method; do not relabel as mean/SD</x:v>
      </x:c>
      <x:c r="AT99" s="18" t="str">
        <x:v>Activity-evoked VAS</x:v>
      </x:c>
      <x:c r="AU99" s="18" t="str">
        <x:v>24 h</x:v>
      </x:c>
      <x:c r="AV99" s="18" t="str">
        <x:v>Some concerns</x:v>
      </x:c>
      <x:c r="AW99" s="18" t="str">
        <x:v>No — selected RoB matches this result</x:v>
      </x:c>
      <x:c r="AX99" s="18" t="str">
        <x:v>Sun 2017</x:v>
      </x:c>
      <x:c r="AY99" s="18" t="str">
        <x:v>TEAS timing-arm contrast</x:v>
      </x:c>
      <x:c r="AZ99" s="18" t="str">
        <x:v>Four-arm timing trial with shared sham; do not count timing arms as independent studies.</x:v>
      </x:c>
    </x:row>
    <x:row r="100">
      <x:c r="A100" s="18" t="str">
        <x:v>Sun 2017</x:v>
      </x:c>
      <x:c r="B100" s="18" t="str">
        <x:v>SUN17_TTS_vs_SSS_ACTIVITY24</x:v>
      </x:c>
      <x:c r="C100" s="18" t="str">
        <x:v>Preoperative + intraoperative true TEAS</x:v>
      </x:c>
      <x:c r="D100" s="18" t="str">
        <x:v>All-period sham TEAS (SSS)</x:v>
      </x:c>
      <x:c r="E100" s="18" t="str">
        <x:v>Pain</x:v>
      </x:c>
      <x:c r="F100" s="18" t="str">
        <x:v>Activity-evoked VAS</x:v>
      </x:c>
      <x:c r="G100" s="18" t="str">
        <x:v>24 h</x:v>
      </x:c>
      <x:c r="H100" s="18" t="str">
        <x:v>Median/IQR</x:v>
      </x:c>
      <x:c r="I100" s="18" t="n">
        <x:v>95</x:v>
      </x:c>
      <x:c r="J100" s="18" t="n">
        <x:v>95</x:v>
      </x:c>
      <x:c r="K100" s="18" t="n">
        <x:v>91</x:v>
      </x:c>
      <x:c r="L100" s="18" t="n">
        <x:v>90</x:v>
      </x:c>
      <x:c r="M100" s="18"/>
      <x:c r="N100" s="18"/>
      <x:c r="O100" s="18" t="n">
        <x:v>4</x:v>
      </x:c>
      <x:c r="P100" s="18" t="n">
        <x:v>3</x:v>
      </x:c>
      <x:c r="Q100" s="18" t="n">
        <x:v>4</x:v>
      </x:c>
      <x:c r="R100" s="18"/>
      <x:c r="S100" s="18"/>
      <x:c r="T100" s="18"/>
      <x:c r="U100" s="18" t="n">
        <x:v>4</x:v>
      </x:c>
      <x:c r="V100" s="18" t="n">
        <x:v>3.8</x:v>
      </x:c>
      <x:c r="W100" s="18" t="n">
        <x:v>5</x:v>
      </x:c>
      <x:c r="X100" s="18"/>
      <x:c r="Y100" s="18" t="str">
        <x:v>VAS 0-10</x:v>
      </x:c>
      <x:c r="Z100" s="18" t="str">
        <x:v>&lt;0.001 reported comparisons</x:v>
      </x:c>
      <x:c r="AA100" s="18" t="str">
        <x:v>Yes</x:v>
      </x:c>
      <x:c r="AB100" s="18" t="str">
        <x:v>No</x:v>
      </x:c>
      <x:c r="AC100" s="18"/>
      <x:c r="AD100" s="18"/>
      <x:c r="AE100" s="18" t="str">
        <x:v>No</x:v>
      </x:c>
      <x:c r="AF100" s="18" t="str">
        <x:v>No</x:v>
      </x:c>
      <x:c r="AG100" s="18" t="str">
        <x:v>Eligible for 24-h movement-pain analysis with multi-arm/shared-control adjustment</x:v>
      </x:c>
      <x:c r="AH100" s="18" t="str">
        <x:v>Yes</x:v>
      </x:c>
      <x:c r="AI100" s="18" t="str">
        <x:v>Four-arm timing trial; sham received 5 min perceptible low-current stimulation, not electrically inert</x:v>
      </x:c>
      <x:c r="AJ100" s="18" t="str">
        <x:v>Primary activity-pain outcome, 24 h</x:v>
      </x:c>
      <x:c r="AK100" s="18" t="str">
        <x:v>https://drive.google.com/file/d/1lELlw0IpkhqoB8OuintAI22fxKfNEcEd/view?usp=drivesdk</x:v>
      </x:c>
      <x:c r="AL100" s="18" t="str">
        <x:v>SOURCE-VERIFIED</x:v>
      </x:c>
      <x:c r="AM100" s="18" t="str">
        <x:v>Pain</x:v>
      </x:c>
      <x:c r="AN100" s="18" t="str">
        <x:v>Exact/explicit 24 h</x:v>
      </x:c>
      <x:c r="AO100" s="18" t="str">
        <x:v>INCLUDE</x:v>
      </x:c>
      <x:c r="AP100" s="18" t="str">
        <x:v>Explicit 24-h pain endpoint with quantitative source data.</x:v>
      </x:c>
      <x:c r="AQ100" s="18" t="str">
        <x:v>Yes</x:v>
      </x:c>
      <x:c r="AR100" s="18" t="str"/>
      <x:c r="AS100" s="18" t="str">
        <x:v>Use median/IQR-compatible meta-analysis method; do not relabel as mean/SD</x:v>
      </x:c>
      <x:c r="AT100" s="18" t="str">
        <x:v>Activity-evoked VAS</x:v>
      </x:c>
      <x:c r="AU100" s="18" t="str">
        <x:v>24 h</x:v>
      </x:c>
      <x:c r="AV100" s="18" t="str">
        <x:v>Some concerns</x:v>
      </x:c>
      <x:c r="AW100" s="18" t="str">
        <x:v>No — selected RoB matches this result</x:v>
      </x:c>
      <x:c r="AX100" s="18" t="str">
        <x:v>Sun 2017</x:v>
      </x:c>
      <x:c r="AY100" s="18" t="str">
        <x:v>TEAS timing-arm contrast</x:v>
      </x:c>
      <x:c r="AZ100" s="18" t="str">
        <x:v>Four-arm timing trial with shared sham; do not count timing arms as independent studies.</x:v>
      </x:c>
    </x:row>
    <x:row r="101">
      <x:c r="A101" s="18" t="str">
        <x:v>Sun 2017</x:v>
      </x:c>
      <x:c r="B101" s="18" t="str">
        <x:v>SUN17_TST_vs_SSS_ACTIVITY24</x:v>
      </x:c>
      <x:c r="C101" s="18" t="str">
        <x:v>Preoperative + postoperative true TEAS</x:v>
      </x:c>
      <x:c r="D101" s="18" t="str">
        <x:v>All-period sham TEAS (SSS)</x:v>
      </x:c>
      <x:c r="E101" s="18" t="str">
        <x:v>Pain</x:v>
      </x:c>
      <x:c r="F101" s="18" t="str">
        <x:v>Activity-evoked VAS</x:v>
      </x:c>
      <x:c r="G101" s="18" t="str">
        <x:v>24 h</x:v>
      </x:c>
      <x:c r="H101" s="18" t="str">
        <x:v>Median/IQR</x:v>
      </x:c>
      <x:c r="I101" s="18" t="n">
        <x:v>95</x:v>
      </x:c>
      <x:c r="J101" s="18" t="n">
        <x:v>95</x:v>
      </x:c>
      <x:c r="K101" s="18" t="n">
        <x:v>89</x:v>
      </x:c>
      <x:c r="L101" s="18" t="n">
        <x:v>90</x:v>
      </x:c>
      <x:c r="M101" s="18"/>
      <x:c r="N101" s="18"/>
      <x:c r="O101" s="18" t="n">
        <x:v>3</x:v>
      </x:c>
      <x:c r="P101" s="18" t="n">
        <x:v>3</x:v>
      </x:c>
      <x:c r="Q101" s="18" t="n">
        <x:v>4</x:v>
      </x:c>
      <x:c r="R101" s="18"/>
      <x:c r="S101" s="18"/>
      <x:c r="T101" s="18"/>
      <x:c r="U101" s="18" t="n">
        <x:v>4</x:v>
      </x:c>
      <x:c r="V101" s="18" t="n">
        <x:v>3.8</x:v>
      </x:c>
      <x:c r="W101" s="18" t="n">
        <x:v>5</x:v>
      </x:c>
      <x:c r="X101" s="18"/>
      <x:c r="Y101" s="18" t="str">
        <x:v>VAS 0-10</x:v>
      </x:c>
      <x:c r="Z101" s="18" t="str">
        <x:v>&lt;0.001 reported comparisons</x:v>
      </x:c>
      <x:c r="AA101" s="18" t="str">
        <x:v>Yes</x:v>
      </x:c>
      <x:c r="AB101" s="18" t="str">
        <x:v>No</x:v>
      </x:c>
      <x:c r="AC101" s="18"/>
      <x:c r="AD101" s="18"/>
      <x:c r="AE101" s="18" t="str">
        <x:v>No</x:v>
      </x:c>
      <x:c r="AF101" s="18" t="str">
        <x:v>No</x:v>
      </x:c>
      <x:c r="AG101" s="18" t="str">
        <x:v>Eligible for 24-h movement-pain analysis with multi-arm/shared-control adjustment</x:v>
      </x:c>
      <x:c r="AH101" s="18" t="str">
        <x:v>Yes</x:v>
      </x:c>
      <x:c r="AI101" s="18" t="str">
        <x:v>Four-arm timing trial; sham received 5 min perceptible low-current stimulation, not electrically inert</x:v>
      </x:c>
      <x:c r="AJ101" s="18" t="str">
        <x:v>Primary activity-pain outcome, 24 h</x:v>
      </x:c>
      <x:c r="AK101" s="18" t="str">
        <x:v>https://drive.google.com/file/d/1lELlw0IpkhqoB8OuintAI22fxKfNEcEd/view?usp=drivesdk</x:v>
      </x:c>
      <x:c r="AL101" s="18" t="str">
        <x:v>SOURCE-VERIFIED</x:v>
      </x:c>
      <x:c r="AM101" s="18" t="str">
        <x:v>Pain</x:v>
      </x:c>
      <x:c r="AN101" s="18" t="str">
        <x:v>Exact/explicit 24 h</x:v>
      </x:c>
      <x:c r="AO101" s="18" t="str">
        <x:v>INCLUDE</x:v>
      </x:c>
      <x:c r="AP101" s="18" t="str">
        <x:v>Explicit 24-h pain endpoint with quantitative source data.</x:v>
      </x:c>
      <x:c r="AQ101" s="18" t="str">
        <x:v>Yes</x:v>
      </x:c>
      <x:c r="AR101" s="18" t="str"/>
      <x:c r="AS101" s="18" t="str">
        <x:v>Use median/IQR-compatible meta-analysis method; do not relabel as mean/SD</x:v>
      </x:c>
      <x:c r="AT101" s="18" t="str">
        <x:v>Activity-evoked VAS</x:v>
      </x:c>
      <x:c r="AU101" s="18" t="str">
        <x:v>24 h</x:v>
      </x:c>
      <x:c r="AV101" s="18" t="str">
        <x:v>Some concerns</x:v>
      </x:c>
      <x:c r="AW101" s="18" t="str">
        <x:v>No — selected RoB matches this result</x:v>
      </x:c>
      <x:c r="AX101" s="18" t="str">
        <x:v>Sun 2017</x:v>
      </x:c>
      <x:c r="AY101" s="18" t="str">
        <x:v>TEAS timing-arm contrast</x:v>
      </x:c>
      <x:c r="AZ101" s="18" t="str">
        <x:v>Four-arm timing trial with shared sham; do not count timing arms as independent studies.</x:v>
      </x:c>
    </x:row>
    <x:row r="102">
      <x:c r="A102" s="18" t="str">
        <x:v>Sun 2017</x:v>
      </x:c>
      <x:c r="B102" s="18" t="str">
        <x:v>SUN17_TSS_vs_SSS_NSAID48</x:v>
      </x:c>
      <x:c r="C102" s="18" t="str">
        <x:v>Preoperative true TEAS only</x:v>
      </x:c>
      <x:c r="D102" s="18" t="str">
        <x:v>All-period sham TEAS (SSS)</x:v>
      </x:c>
      <x:c r="E102" s="18" t="str">
        <x:v>Rescue analgesia</x:v>
      </x:c>
      <x:c r="F102" s="18" t="str">
        <x:v>Supplemental flurbiprofen axetil requirement</x:v>
      </x:c>
      <x:c r="G102" s="18" t="str">
        <x:v>Within 48 h</x:v>
      </x:c>
      <x:c r="H102" s="18" t="str">
        <x:v>Published percentage</x:v>
      </x:c>
      <x:c r="I102" s="18" t="n">
        <x:v>95</x:v>
      </x:c>
      <x:c r="J102" s="18" t="n">
        <x:v>95</x:v>
      </x:c>
      <x:c r="K102" s="18" t="n">
        <x:v>91</x:v>
      </x:c>
      <x:c r="L102" s="18" t="n">
        <x:v>90</x:v>
      </x:c>
      <x:c r="M102" s="18"/>
      <x:c r="N102" s="18"/>
      <x:c r="O102" s="18"/>
      <x:c r="P102" s="18"/>
      <x:c r="Q102" s="18"/>
      <x:c r="R102" s="18"/>
      <x:c r="S102" s="18"/>
      <x:c r="T102" s="18"/>
      <x:c r="U102" s="18"/>
      <x:c r="V102" s="18"/>
      <x:c r="W102" s="18"/>
      <x:c r="X102" s="18"/>
      <x:c r="Y102" s="18" t="str">
        <x:v>11.0% intervention vs 23.3% SSS</x:v>
      </x:c>
      <x:c r="Z102" s="18" t="str">
        <x:v>0.020 overall; TST vs SSS significant</x:v>
      </x:c>
      <x:c r="AA102" s="18" t="str">
        <x:v>Yes</x:v>
      </x:c>
      <x:c r="AB102" s="18" t="str">
        <x:v>No</x:v>
      </x:c>
      <x:c r="AC102" s="18"/>
      <x:c r="AD102" s="18"/>
      <x:c r="AE102" s="18" t="str">
        <x:v>No</x:v>
      </x:c>
      <x:c r="AF102" s="18" t="str">
        <x:v>No</x:v>
      </x:c>
      <x:c r="AG102" s="18" t="str">
        <x:v>Eligible for 48-h non-opioid rescue-analgesia analysis; not an opioid outcome</x:v>
      </x:c>
      <x:c r="AH102" s="18" t="str">
        <x:v>Yes</x:v>
      </x:c>
      <x:c r="AI102" s="18" t="str">
        <x:v>Do not convert printed percentages to exact event counts without confirmation</x:v>
      </x:c>
      <x:c r="AJ102" s="18" t="str">
        <x:v>Table 2 / supplemental analgesic requirement</x:v>
      </x:c>
      <x:c r="AK102" s="18" t="str">
        <x:v>https://drive.google.com/file/d/1lELlw0IpkhqoB8OuintAI22fxKfNEcEd/view?usp=drivesdk</x:v>
      </x:c>
      <x:c r="AL102" s="18" t="str">
        <x:v>SOURCE-VERIFIED / PERCENTAGES ONLY</x:v>
      </x:c>
      <x:c r="AM102" s="18" t="str">
        <x:v>Rescue analgesia</x:v>
      </x:c>
      <x:c r="AN102" s="18" t="str">
        <x:v>48 h</x:v>
      </x:c>
      <x:c r="AO102" s="18" t="str">
        <x:v>CONDITIONAL</x:v>
      </x:c>
      <x:c r="AP102" s="18" t="str">
        <x:v>Source-grounded but carries a QC qualification.</x:v>
      </x:c>
      <x:c r="AQ102" s="18" t="str">
        <x:v>No</x:v>
      </x:c>
      <x:c r="AR102" s="18" t="str"/>
      <x:c r="AS102" s="18" t="str">
        <x:v>None</x:v>
      </x:c>
      <x:c r="AT102" s="18" t="str">
        <x:v>Activity-evoked VAS</x:v>
      </x:c>
      <x:c r="AU102" s="18" t="str">
        <x:v>24 h</x:v>
      </x:c>
      <x:c r="AV102" s="18" t="str">
        <x:v>Some concerns</x:v>
      </x:c>
      <x:c r="AW102" s="18" t="str">
        <x:v>Yes — selected RoB is for a different result/timepoint</x:v>
      </x:c>
      <x:c r="AX102" s="18" t="str">
        <x:v>Sun 2017</x:v>
      </x:c>
      <x:c r="AY102" s="18" t="str">
        <x:v>TEAS timing-arm contrast</x:v>
      </x:c>
      <x:c r="AZ102" s="18" t="str">
        <x:v>Four-arm timing trial with shared sham; do not count timing arms as independent studies.</x:v>
      </x:c>
    </x:row>
    <x:row r="103">
      <x:c r="A103" s="18" t="str">
        <x:v>Sun 2017</x:v>
      </x:c>
      <x:c r="B103" s="18" t="str">
        <x:v>SUN17_TTS_vs_SSS_NSAID48</x:v>
      </x:c>
      <x:c r="C103" s="18" t="str">
        <x:v>Preoperative + intraoperative true TEAS</x:v>
      </x:c>
      <x:c r="D103" s="18" t="str">
        <x:v>All-period sham TEAS (SSS)</x:v>
      </x:c>
      <x:c r="E103" s="18" t="str">
        <x:v>Rescue analgesia</x:v>
      </x:c>
      <x:c r="F103" s="18" t="str">
        <x:v>Supplemental flurbiprofen axetil requirement</x:v>
      </x:c>
      <x:c r="G103" s="18" t="str">
        <x:v>Within 48 h</x:v>
      </x:c>
      <x:c r="H103" s="18" t="str">
        <x:v>Published percentage</x:v>
      </x:c>
      <x:c r="I103" s="18" t="n">
        <x:v>95</x:v>
      </x:c>
      <x:c r="J103" s="18" t="n">
        <x:v>95</x:v>
      </x:c>
      <x:c r="K103" s="18" t="n">
        <x:v>91</x:v>
      </x:c>
      <x:c r="L103" s="18" t="n">
        <x:v>90</x:v>
      </x:c>
      <x:c r="M103" s="18"/>
      <x:c r="N103" s="18"/>
      <x:c r="O103" s="18"/>
      <x:c r="P103" s="18"/>
      <x:c r="Q103" s="18"/>
      <x:c r="R103" s="18"/>
      <x:c r="S103" s="18"/>
      <x:c r="T103" s="18"/>
      <x:c r="U103" s="18"/>
      <x:c r="V103" s="18"/>
      <x:c r="W103" s="18"/>
      <x:c r="X103" s="18"/>
      <x:c r="Y103" s="18" t="str">
        <x:v>15.4% intervention vs 23.3% SSS</x:v>
      </x:c>
      <x:c r="Z103" s="18" t="str">
        <x:v>0.020 overall; TST vs SSS significant</x:v>
      </x:c>
      <x:c r="AA103" s="18" t="str">
        <x:v>Yes</x:v>
      </x:c>
      <x:c r="AB103" s="18" t="str">
        <x:v>No</x:v>
      </x:c>
      <x:c r="AC103" s="18"/>
      <x:c r="AD103" s="18"/>
      <x:c r="AE103" s="18" t="str">
        <x:v>No</x:v>
      </x:c>
      <x:c r="AF103" s="18" t="str">
        <x:v>No</x:v>
      </x:c>
      <x:c r="AG103" s="18" t="str">
        <x:v>Eligible for 48-h non-opioid rescue-analgesia analysis; not an opioid outcome</x:v>
      </x:c>
      <x:c r="AH103" s="18" t="str">
        <x:v>Yes</x:v>
      </x:c>
      <x:c r="AI103" s="18" t="str">
        <x:v>Do not convert printed percentages to exact event counts without confirmation</x:v>
      </x:c>
      <x:c r="AJ103" s="18" t="str">
        <x:v>Table 2 / supplemental analgesic requirement</x:v>
      </x:c>
      <x:c r="AK103" s="18" t="str">
        <x:v>https://drive.google.com/file/d/1lELlw0IpkhqoB8OuintAI22fxKfNEcEd/view?usp=drivesdk</x:v>
      </x:c>
      <x:c r="AL103" s="18" t="str">
        <x:v>SOURCE-VERIFIED / PERCENTAGES ONLY</x:v>
      </x:c>
      <x:c r="AM103" s="18" t="str">
        <x:v>Rescue analgesia</x:v>
      </x:c>
      <x:c r="AN103" s="18" t="str">
        <x:v>48 h</x:v>
      </x:c>
      <x:c r="AO103" s="18" t="str">
        <x:v>CONDITIONAL</x:v>
      </x:c>
      <x:c r="AP103" s="18" t="str">
        <x:v>Source-grounded but carries a QC qualification.</x:v>
      </x:c>
      <x:c r="AQ103" s="18" t="str">
        <x:v>No</x:v>
      </x:c>
      <x:c r="AR103" s="18" t="str"/>
      <x:c r="AS103" s="18" t="str">
        <x:v>None</x:v>
      </x:c>
      <x:c r="AT103" s="18" t="str">
        <x:v>Activity-evoked VAS</x:v>
      </x:c>
      <x:c r="AU103" s="18" t="str">
        <x:v>24 h</x:v>
      </x:c>
      <x:c r="AV103" s="18" t="str">
        <x:v>Some concerns</x:v>
      </x:c>
      <x:c r="AW103" s="18" t="str">
        <x:v>Yes — selected RoB is for a different result/timepoint</x:v>
      </x:c>
      <x:c r="AX103" s="18" t="str">
        <x:v>Sun 2017</x:v>
      </x:c>
      <x:c r="AY103" s="18" t="str">
        <x:v>TEAS timing-arm contrast</x:v>
      </x:c>
      <x:c r="AZ103" s="18" t="str">
        <x:v>Four-arm timing trial with shared sham; do not count timing arms as independent studies.</x:v>
      </x:c>
    </x:row>
    <x:row r="104">
      <x:c r="A104" s="18" t="str">
        <x:v>Sun 2017</x:v>
      </x:c>
      <x:c r="B104" s="18" t="str">
        <x:v>SUN17_TST_vs_SSS_NSAID48</x:v>
      </x:c>
      <x:c r="C104" s="18" t="str">
        <x:v>Preoperative + postoperative true TEAS</x:v>
      </x:c>
      <x:c r="D104" s="18" t="str">
        <x:v>All-period sham TEAS (SSS)</x:v>
      </x:c>
      <x:c r="E104" s="18" t="str">
        <x:v>Rescue analgesia</x:v>
      </x:c>
      <x:c r="F104" s="18" t="str">
        <x:v>Supplemental flurbiprofen axetil requirement</x:v>
      </x:c>
      <x:c r="G104" s="18" t="str">
        <x:v>Within 48 h</x:v>
      </x:c>
      <x:c r="H104" s="18" t="str">
        <x:v>Published percentage</x:v>
      </x:c>
      <x:c r="I104" s="18" t="n">
        <x:v>95</x:v>
      </x:c>
      <x:c r="J104" s="18" t="n">
        <x:v>95</x:v>
      </x:c>
      <x:c r="K104" s="18" t="n">
        <x:v>89</x:v>
      </x:c>
      <x:c r="L104" s="18" t="n">
        <x:v>90</x:v>
      </x:c>
      <x:c r="M104" s="18"/>
      <x:c r="N104" s="18"/>
      <x:c r="O104" s="18"/>
      <x:c r="P104" s="18"/>
      <x:c r="Q104" s="18"/>
      <x:c r="R104" s="18"/>
      <x:c r="S104" s="18"/>
      <x:c r="T104" s="18"/>
      <x:c r="U104" s="18"/>
      <x:c r="V104" s="18"/>
      <x:c r="W104" s="18"/>
      <x:c r="X104" s="18"/>
      <x:c r="Y104" s="18" t="str">
        <x:v>7.9% intervention vs 23.3% SSS</x:v>
      </x:c>
      <x:c r="Z104" s="18" t="str">
        <x:v>0.020 overall; TST vs SSS significant</x:v>
      </x:c>
      <x:c r="AA104" s="18" t="str">
        <x:v>Yes</x:v>
      </x:c>
      <x:c r="AB104" s="18" t="str">
        <x:v>No</x:v>
      </x:c>
      <x:c r="AC104" s="18"/>
      <x:c r="AD104" s="18"/>
      <x:c r="AE104" s="18" t="str">
        <x:v>No</x:v>
      </x:c>
      <x:c r="AF104" s="18" t="str">
        <x:v>No</x:v>
      </x:c>
      <x:c r="AG104" s="18" t="str">
        <x:v>Eligible for 48-h non-opioid rescue-analgesia analysis; not an opioid outcome</x:v>
      </x:c>
      <x:c r="AH104" s="18" t="str">
        <x:v>Yes</x:v>
      </x:c>
      <x:c r="AI104" s="18" t="str">
        <x:v>Do not convert printed percentages to exact event counts without confirmation</x:v>
      </x:c>
      <x:c r="AJ104" s="18" t="str">
        <x:v>Table 2 / supplemental analgesic requirement</x:v>
      </x:c>
      <x:c r="AK104" s="18" t="str">
        <x:v>https://drive.google.com/file/d/1lELlw0IpkhqoB8OuintAI22fxKfNEcEd/view?usp=drivesdk</x:v>
      </x:c>
      <x:c r="AL104" s="18" t="str">
        <x:v>SOURCE-VERIFIED / PERCENTAGES ONLY</x:v>
      </x:c>
      <x:c r="AM104" s="18" t="str">
        <x:v>Rescue analgesia</x:v>
      </x:c>
      <x:c r="AN104" s="18" t="str">
        <x:v>48 h</x:v>
      </x:c>
      <x:c r="AO104" s="18" t="str">
        <x:v>CONDITIONAL</x:v>
      </x:c>
      <x:c r="AP104" s="18" t="str">
        <x:v>Source-grounded but carries a QC qualification.</x:v>
      </x:c>
      <x:c r="AQ104" s="18" t="str">
        <x:v>No</x:v>
      </x:c>
      <x:c r="AR104" s="18" t="str"/>
      <x:c r="AS104" s="18" t="str">
        <x:v>None</x:v>
      </x:c>
      <x:c r="AT104" s="18" t="str">
        <x:v>Activity-evoked VAS</x:v>
      </x:c>
      <x:c r="AU104" s="18" t="str">
        <x:v>24 h</x:v>
      </x:c>
      <x:c r="AV104" s="18" t="str">
        <x:v>Some concerns</x:v>
      </x:c>
      <x:c r="AW104" s="18" t="str">
        <x:v>Yes — selected RoB is for a different result/timepoint</x:v>
      </x:c>
      <x:c r="AX104" s="18" t="str">
        <x:v>Sun 2017</x:v>
      </x:c>
      <x:c r="AY104" s="18" t="str">
        <x:v>TEAS timing-arm contrast</x:v>
      </x:c>
      <x:c r="AZ104" s="18" t="str">
        <x:v>Four-arm timing trial with shared sham; do not count timing arms as independent studies.</x:v>
      </x:c>
    </x:row>
    <x:row r="105">
      <x:c r="A105" s="18" t="str">
        <x:v>Sun 2017</x:v>
      </x:c>
      <x:c r="B105" s="18" t="str">
        <x:v>SUN17_INTRAOP_MORPH_EQUIV</x:v>
      </x:c>
      <x:c r="C105" s="18" t="str">
        <x:v>Pre/intraoperative TEAS timing arms</x:v>
      </x:c>
      <x:c r="D105" s="18" t="str">
        <x:v>All-period sham TEAS</x:v>
      </x:c>
      <x:c r="E105" s="18" t="str">
        <x:v>Intraoperative opioid</x:v>
      </x:c>
      <x:c r="F105" s="18" t="str">
        <x:v>Author-defined intraoperative morphine-equivalent exposure</x:v>
      </x:c>
      <x:c r="G105" s="18" t="str">
        <x:v>Intraoperative</x:v>
      </x:c>
      <x:c r="H105" s="18" t="str">
        <x:v>Study-defined converted metric</x:v>
      </x:c>
      <x:c r="I105" s="18" t="n">
        <x:v>95</x:v>
      </x:c>
      <x:c r="J105" s="18" t="n">
        <x:v>95</x:v>
      </x:c>
      <x:c r="K105" s="18" t="n">
        <x:v>91</x:v>
      </x:c>
      <x:c r="L105" s="18" t="n">
        <x:v>90</x:v>
      </x:c>
      <x:c r="M105" s="18"/>
      <x:c r="N105" s="18"/>
      <x:c r="O105" s="18"/>
      <x:c r="P105" s="18"/>
      <x:c r="Q105" s="18"/>
      <x:c r="R105" s="18"/>
      <x:c r="S105" s="18"/>
      <x:c r="T105" s="18"/>
      <x:c r="U105" s="18"/>
      <x:c r="V105" s="18"/>
      <x:c r="W105" s="18"/>
      <x:c r="X105" s="18"/>
      <x:c r="Y105" s="18" t="str">
        <x:v>mg/kg morphine-equivalent</x:v>
      </x:c>
      <x:c r="Z105" s="18" t="str">
        <x:v>0.303</x:v>
      </x:c>
      <x:c r="AA105" s="18" t="str">
        <x:v>Yes</x:v>
      </x:c>
      <x:c r="AB105" s="18" t="str">
        <x:v>Yes</x:v>
      </x:c>
      <x:c r="AC105" s="18"/>
      <x:c r="AD105" s="18"/>
      <x:c r="AE105" s="18" t="str">
        <x:v>No</x:v>
      </x:c>
      <x:c r="AF105" s="18" t="str">
        <x:v>No</x:v>
      </x:c>
      <x:c r="AG105" s="18" t="str">
        <x:v>Not directly harmonized to review MME until conversion method is adjudicated</x:v>
      </x:c>
      <x:c r="AH105" s="18" t="str">
        <x:v>Yes</x:v>
      </x:c>
      <x:c r="AI105" s="18" t="str">
        <x:v>Values ~1.5-1.6 mg/kg across all four groups; study-specific conversion of sufentanil/remifentanil</x:v>
      </x:c>
      <x:c r="AJ105" s="18" t="str">
        <x:v>Table 2 / intraoperative anesthetic consumption</x:v>
      </x:c>
      <x:c r="AK105" s="18" t="str">
        <x:v>https://drive.google.com/file/d/1lELlw0IpkhqoB8OuintAI22fxKfNEcEd/view?usp=drivesdk</x:v>
      </x:c>
      <x:c r="AL105" s="18" t="str">
        <x:v>SOURCE-VERIFIED / STUDY-DEFINED CONVERSION</x:v>
      </x:c>
      <x:c r="AM105" s="18" t="str">
        <x:v>Intraoperative opioid</x:v>
      </x:c>
      <x:c r="AN105" s="18" t="str">
        <x:v>Intraoperative</x:v>
      </x:c>
      <x:c r="AO105" s="18" t="str">
        <x:v>INCLUDE — INTRAOPERATIVE</x:v>
      </x:c>
      <x:c r="AP105" s="18" t="str">
        <x:v>Valid intraoperative opioid endpoint; must remain separate from postoperative opioid consumption.</x:v>
      </x:c>
      <x:c r="AQ105" s="18" t="str">
        <x:v>No</x:v>
      </x:c>
      <x:c r="AR105" s="18" t="str"/>
      <x:c r="AS105" s="18" t="str">
        <x:v>None</x:v>
      </x:c>
      <x:c r="AT105" s="18" t="str">
        <x:v>Activity-evoked VAS</x:v>
      </x:c>
      <x:c r="AU105" s="18" t="str">
        <x:v>24 h</x:v>
      </x:c>
      <x:c r="AV105" s="18" t="str">
        <x:v>Some concerns</x:v>
      </x:c>
      <x:c r="AW105" s="18" t="str">
        <x:v>Yes — selected RoB is for a different result/timepoint</x:v>
      </x:c>
      <x:c r="AX105" s="18" t="str">
        <x:v>Sun 2017</x:v>
      </x:c>
      <x:c r="AY105" s="18" t="str">
        <x:v>TEAS timing-arm contrast</x:v>
      </x:c>
      <x:c r="AZ105" s="18" t="str">
        <x:v>Four-arm timing trial with shared sham; do not count timing arms as independent studies.</x:v>
      </x:c>
    </x:row>
    <x:row r="106">
      <x:c r="A106" s="18" t="str">
        <x:v>Sun 2017</x:v>
      </x:c>
      <x:c r="B106" s="18" t="str">
        <x:v>SUN17_POSTOP_OPIOID24</x:v>
      </x:c>
      <x:c r="C106" s="18" t="str">
        <x:v>True TEAS timing arms</x:v>
      </x:c>
      <x:c r="D106" s="18" t="str">
        <x:v>All-period sham TEAS</x:v>
      </x:c>
      <x:c r="E106" s="18" t="str">
        <x:v>Opioid consumption</x:v>
      </x:c>
      <x:c r="F106" s="18" t="str">
        <x:v>Postoperative opioid consumption</x:v>
      </x:c>
      <x:c r="G106" s="18" t="str">
        <x:v>0-24 h</x:v>
      </x:c>
      <x:c r="H106" s="18" t="str">
        <x:v>Not applicable / not reported</x:v>
      </x:c>
      <x:c r="I106" s="18" t="n">
        <x:v>95</x:v>
      </x:c>
      <x:c r="J106" s="18" t="n">
        <x:v>95</x:v>
      </x:c>
      <x:c r="K106" s="18"/>
      <x:c r="L106" s="18"/>
      <x:c r="M106" s="18"/>
      <x:c r="N106" s="18"/>
      <x:c r="O106" s="18"/>
      <x:c r="P106" s="18"/>
      <x:c r="Q106" s="18"/>
      <x:c r="R106" s="18"/>
      <x:c r="S106" s="18"/>
      <x:c r="T106" s="18"/>
      <x:c r="U106" s="18"/>
      <x:c r="V106" s="18"/>
      <x:c r="W106" s="18"/>
      <x:c r="X106" s="18"/>
      <x:c r="Y106" s="18" t="str">
        <x:v>mg/µg</x:v>
      </x:c>
      <x:c r="Z106" s="18"/>
      <x:c r="AA106" s="18" t="str">
        <x:v>No</x:v>
      </x:c>
      <x:c r="AB106" s="18" t="str">
        <x:v>No</x:v>
      </x:c>
      <x:c r="AC106" s="18"/>
      <x:c r="AD106" s="18"/>
      <x:c r="AE106" s="18" t="str">
        <x:v>No</x:v>
      </x:c>
      <x:c r="AF106" s="18" t="str">
        <x:v>No</x:v>
      </x:c>
      <x:c r="AG106" s="18" t="str">
        <x:v>Not eligible for postoperative opioid meta-analysis</x:v>
      </x:c>
      <x:c r="AH106" s="18" t="str">
        <x:v>Yes</x:v>
      </x:c>
      <x:c r="AI106" s="18" t="str">
        <x:v>Postoperative rescue analgesia was flurbiprofen axetil (NSAID), not an opioid</x:v>
      </x:c>
      <x:c r="AJ106" s="18" t="str">
        <x:v>Postoperative analgesia protocol</x:v>
      </x:c>
      <x:c r="AK106" s="18" t="str">
        <x:v>https://drive.google.com/file/d/1lELlw0IpkhqoB8OuintAI22fxKfNEcEd/view?usp=drivesdk</x:v>
      </x:c>
      <x:c r="AL106" s="18" t="str">
        <x:v>NO POSTOPERATIVE OPIOID OUTCOME</x:v>
      </x:c>
      <x:c r="AM106" s="18" t="str">
        <x:v>Postoperative opioid consumption</x:v>
      </x:c>
      <x:c r="AN106" s="18" t="str">
        <x:v>Exact/explicit 24 h</x:v>
      </x:c>
      <x:c r="AO106" s="18" t="str">
        <x:v>EXCLUDE — NOT PRIMARY 24H OPIOID</x:v>
      </x:c>
      <x:c r="AP106" s="18" t="str">
        <x:v>Not a strict 0-24-h postoperative opioid-consumption endpoint.</x:v>
      </x:c>
      <x:c r="AQ106" s="18" t="str">
        <x:v>No</x:v>
      </x:c>
      <x:c r="AR106" s="18" t="str"/>
      <x:c r="AS106" s="18" t="str">
        <x:v>None</x:v>
      </x:c>
      <x:c r="AT106" s="18" t="str">
        <x:v>Activity-evoked VAS</x:v>
      </x:c>
      <x:c r="AU106" s="18" t="str">
        <x:v>24 h</x:v>
      </x:c>
      <x:c r="AV106" s="18" t="str">
        <x:v>Some concerns</x:v>
      </x:c>
      <x:c r="AW106" s="18" t="str">
        <x:v>Yes — selected RoB is for a different result/timepoint</x:v>
      </x:c>
      <x:c r="AX106" s="18" t="str">
        <x:v>Sun 2017</x:v>
      </x:c>
      <x:c r="AY106" s="18" t="str">
        <x:v>TEAS timing-arm contrast</x:v>
      </x:c>
      <x:c r="AZ106" s="18" t="str">
        <x:v>Four-arm timing trial with shared sham; do not count timing arms as independent studies.</x:v>
      </x:c>
    </x:row>
    <x:row r="107">
      <x:c r="A107" s="18" t="str">
        <x:v>Sim 2002</x:v>
      </x:c>
      <x:c r="B107" s="18" t="str">
        <x:v>SIM02_PREOP_vs_PLACEBO_MORPH24</x:v>
      </x:c>
      <x:c r="C107" s="18" t="str">
        <x:v>Preoperative EA</x:v>
      </x:c>
      <x:c r="D107" s="18" t="str">
        <x:v>Placebo EA</x:v>
      </x:c>
      <x:c r="E107" s="18" t="str">
        <x:v>Opioid consumption</x:v>
      </x:c>
      <x:c r="F107" s="18" t="str">
        <x:v>Cumulative postoperative IV PCA morphine</x:v>
      </x:c>
      <x:c r="G107" s="18" t="str">
        <x:v>0-24 h</x:v>
      </x:c>
      <x:c r="H107" s="18" t="str">
        <x:v>Mean/SD</x:v>
      </x:c>
      <x:c r="I107" s="18" t="n">
        <x:v>30</x:v>
      </x:c>
      <x:c r="J107" s="18" t="n">
        <x:v>30</x:v>
      </x:c>
      <x:c r="K107" s="18" t="n">
        <x:v>30</x:v>
      </x:c>
      <x:c r="L107" s="18" t="n">
        <x:v>30</x:v>
      </x:c>
      <x:c r="M107" s="18" t="n">
        <x:v>0.52</x:v>
      </x:c>
      <x:c r="N107" s="18" t="n">
        <x:v>0.19</x:v>
      </x:c>
      <x:c r="O107" s="18"/>
      <x:c r="P107" s="18"/>
      <x:c r="Q107" s="18"/>
      <x:c r="R107" s="18"/>
      <x:c r="S107" s="18" t="n">
        <x:v>0.68</x:v>
      </x:c>
      <x:c r="T107" s="18" t="n">
        <x:v>0.38</x:v>
      </x:c>
      <x:c r="U107" s="18"/>
      <x:c r="V107" s="18"/>
      <x:c r="W107" s="18"/>
      <x:c r="X107" s="18"/>
      <x:c r="Y107" s="18" t="str">
        <x:v>mg/kg morphine</x:v>
      </x:c>
      <x:c r="Z107" s="18" t="str">
        <x:v>NS overall 24-h cumulative comparison</x:v>
      </x:c>
      <x:c r="AA107" s="18" t="str">
        <x:v>Yes</x:v>
      </x:c>
      <x:c r="AB107" s="18" t="str">
        <x:v>No</x:v>
      </x:c>
      <x:c r="AC107" s="18" t="str">
        <x:v>MD</x:v>
      </x:c>
      <x:c r="AD107" s="18" t="n">
        <x:v>-0.16000000000000003</x:v>
      </x:c>
      <x:c r="AE107" s="18" t="str">
        <x:v>Yes</x:v>
      </x:c>
      <x:c r="AF107" s="18" t="str">
        <x:v>Conditional</x:v>
      </x:c>
      <x:c r="AG107" s="18" t="str">
        <x:v>Direct weight-normalized 24-h morphine endpoint; pool only if protocol permits mg/kg or a prespecified standardization method</x:v>
      </x:c>
      <x:c r="AH107" s="18" t="str">
        <x:v>Yes</x:v>
      </x:c>
      <x:c r="AI107" s="18" t="str">
        <x:v>Do not convert mg/kg to absolute mg using group mean body weight; aggregate means cannot reconstruct individual absolute dose</x:v>
      </x:c>
      <x:c r="AJ107" s="18" t="str">
        <x:v>Figure 4 / cumulative 24-h morphine</x:v>
      </x:c>
      <x:c r="AK107" s="18" t="str">
        <x:v>https://drive.google.com/file/d/1YsNHL-J3Kgfu8mCanRrNu_bHk_roj0w6/view?usp=drivesdk</x:v>
      </x:c>
      <x:c r="AL107" s="18" t="str">
        <x:v>SOURCE-VERIFIED</x:v>
      </x:c>
      <x:c r="AM107" s="18" t="str">
        <x:v>Postoperative opioid consumption</x:v>
      </x:c>
      <x:c r="AN107" s="18" t="str">
        <x:v>Exact/explicit 24 h</x:v>
      </x:c>
      <x:c r="AO107" s="18" t="str">
        <x:v>CONDITIONAL</x:v>
      </x:c>
      <x:c r="AP107" s="18" t="str">
        <x:v>24-h opioid endpoint exists but requires a prespecified route/unit/time-window or derived-value rule.</x:v>
      </x:c>
      <x:c r="AQ107" s="18" t="str">
        <x:v>No</x:v>
      </x:c>
      <x:c r="AR107" s="18" t="str"/>
      <x:c r="AS107" s="18" t="str">
        <x:v>Weight-normalized endpoint; do not reconstruct absolute dose from group mean weight</x:v>
      </x:c>
      <x:c r="AT107" s="18" t="str">
        <x:v>Cumulative postoperative IV PCA morphine</x:v>
      </x:c>
      <x:c r="AU107" s="18" t="str">
        <x:v>0-24 h</x:v>
      </x:c>
      <x:c r="AV107" s="18" t="str">
        <x:v>Some concerns</x:v>
      </x:c>
      <x:c r="AW107" s="18" t="str">
        <x:v>No — selected RoB matches this result</x:v>
      </x:c>
      <x:c r="AX107" s="18" t="str">
        <x:v>Sim 2002</x:v>
      </x:c>
      <x:c r="AY107" s="18" t="str">
        <x:v>Timing-arm contrast</x:v>
      </x:c>
      <x:c r="AZ107" s="18" t="str">
        <x:v>Three-arm trial with shared placebo; preop and postop EA are not independent studies.</x:v>
      </x:c>
    </x:row>
    <x:row r="108">
      <x:c r="A108" s="18" t="str">
        <x:v>Sim 2002</x:v>
      </x:c>
      <x:c r="B108" s="18" t="str">
        <x:v>SIM02_POSTOP_vs_PLACEBO_MORPH24</x:v>
      </x:c>
      <x:c r="C108" s="18" t="str">
        <x:v>Postoperative EA</x:v>
      </x:c>
      <x:c r="D108" s="18" t="str">
        <x:v>Placebo EA</x:v>
      </x:c>
      <x:c r="E108" s="18" t="str">
        <x:v>Opioid consumption</x:v>
      </x:c>
      <x:c r="F108" s="18" t="str">
        <x:v>Cumulative postoperative IV PCA morphine</x:v>
      </x:c>
      <x:c r="G108" s="18" t="str">
        <x:v>0-24 h</x:v>
      </x:c>
      <x:c r="H108" s="18" t="str">
        <x:v>Mean/SD</x:v>
      </x:c>
      <x:c r="I108" s="18" t="n">
        <x:v>30</x:v>
      </x:c>
      <x:c r="J108" s="18" t="n">
        <x:v>30</x:v>
      </x:c>
      <x:c r="K108" s="18" t="n">
        <x:v>30</x:v>
      </x:c>
      <x:c r="L108" s="18" t="n">
        <x:v>30</x:v>
      </x:c>
      <x:c r="M108" s="18" t="n">
        <x:v>0.58</x:v>
      </x:c>
      <x:c r="N108" s="18" t="n">
        <x:v>0.27</x:v>
      </x:c>
      <x:c r="O108" s="18"/>
      <x:c r="P108" s="18"/>
      <x:c r="Q108" s="18"/>
      <x:c r="R108" s="18"/>
      <x:c r="S108" s="18" t="n">
        <x:v>0.68</x:v>
      </x:c>
      <x:c r="T108" s="18" t="n">
        <x:v>0.38</x:v>
      </x:c>
      <x:c r="U108" s="18"/>
      <x:c r="V108" s="18"/>
      <x:c r="W108" s="18"/>
      <x:c r="X108" s="18"/>
      <x:c r="Y108" s="18" t="str">
        <x:v>mg/kg morphine</x:v>
      </x:c>
      <x:c r="Z108" s="18" t="str">
        <x:v>NS overall 24-h cumulative comparison</x:v>
      </x:c>
      <x:c r="AA108" s="18" t="str">
        <x:v>Yes</x:v>
      </x:c>
      <x:c r="AB108" s="18" t="str">
        <x:v>No</x:v>
      </x:c>
      <x:c r="AC108" s="18" t="str">
        <x:v>MD</x:v>
      </x:c>
      <x:c r="AD108" s="18" t="n">
        <x:v>-0.10000000000000009</x:v>
      </x:c>
      <x:c r="AE108" s="18" t="str">
        <x:v>Yes</x:v>
      </x:c>
      <x:c r="AF108" s="18" t="str">
        <x:v>Conditional</x:v>
      </x:c>
      <x:c r="AG108" s="18" t="str">
        <x:v>Timing-comparator 24-h morphine endpoint</x:v>
      </x:c>
      <x:c r="AH108" s="18" t="str">
        <x:v>Yes</x:v>
      </x:c>
      <x:c r="AI108" s="18" t="str">
        <x:v>Postoperative EA is a distinct randomized timing arm and must not be merged with preoperative EA</x:v>
      </x:c>
      <x:c r="AJ108" s="18" t="str">
        <x:v>Figure 4 / cumulative 24-h morphine</x:v>
      </x:c>
      <x:c r="AK108" s="18" t="str">
        <x:v>https://drive.google.com/file/d/1YsNHL-J3Kgfu8mCanRrNu_bHk_roj0w6/view?usp=drivesdk</x:v>
      </x:c>
      <x:c r="AL108" s="18" t="str">
        <x:v>SOURCE-VERIFIED</x:v>
      </x:c>
      <x:c r="AM108" s="18" t="str">
        <x:v>Postoperative opioid consumption</x:v>
      </x:c>
      <x:c r="AN108" s="18" t="str">
        <x:v>Exact/explicit 24 h</x:v>
      </x:c>
      <x:c r="AO108" s="18" t="str">
        <x:v>CONDITIONAL</x:v>
      </x:c>
      <x:c r="AP108" s="18" t="str">
        <x:v>24-h opioid endpoint exists but requires a prespecified route/unit/time-window or derived-value rule.</x:v>
      </x:c>
      <x:c r="AQ108" s="18" t="str">
        <x:v>No</x:v>
      </x:c>
      <x:c r="AR108" s="18" t="str"/>
      <x:c r="AS108" s="18" t="str">
        <x:v>Weight-normalized endpoint; do not reconstruct absolute dose from group mean weight</x:v>
      </x:c>
      <x:c r="AT108" s="18" t="str">
        <x:v>Cumulative postoperative IV PCA morphine</x:v>
      </x:c>
      <x:c r="AU108" s="18" t="str">
        <x:v>0-24 h</x:v>
      </x:c>
      <x:c r="AV108" s="18" t="str">
        <x:v>Some concerns</x:v>
      </x:c>
      <x:c r="AW108" s="18" t="str">
        <x:v>No — selected RoB matches this result</x:v>
      </x:c>
      <x:c r="AX108" s="18" t="str">
        <x:v>Sim 2002</x:v>
      </x:c>
      <x:c r="AY108" s="18" t="str">
        <x:v>Timing-arm contrast</x:v>
      </x:c>
      <x:c r="AZ108" s="18" t="str">
        <x:v>Three-arm trial with shared placebo; preop and postop EA are not independent studies.</x:v>
      </x:c>
    </x:row>
    <x:row r="109">
      <x:c r="A109" s="18" t="str">
        <x:v>Sim 2002</x:v>
      </x:c>
      <x:c r="B109" s="18" t="str">
        <x:v>SIM02_PREOP_vs_PLACEBO_MORPH6_12</x:v>
      </x:c>
      <x:c r="C109" s="18" t="str">
        <x:v>Preoperative EA</x:v>
      </x:c>
      <x:c r="D109" s="18" t="str">
        <x:v>Placebo EA</x:v>
      </x:c>
      <x:c r="E109" s="18" t="str">
        <x:v>Opioid consumption</x:v>
      </x:c>
      <x:c r="F109" s="18" t="str">
        <x:v>Postoperative IV PCA morphine</x:v>
      </x:c>
      <x:c r="G109" s="18" t="str">
        <x:v>6-12 h</x:v>
      </x:c>
      <x:c r="H109" s="18" t="str">
        <x:v>Median/IQR</x:v>
      </x:c>
      <x:c r="I109" s="18" t="n">
        <x:v>30</x:v>
      </x:c>
      <x:c r="J109" s="18" t="n">
        <x:v>30</x:v>
      </x:c>
      <x:c r="K109" s="18" t="n">
        <x:v>30</x:v>
      </x:c>
      <x:c r="L109" s="18" t="n">
        <x:v>30</x:v>
      </x:c>
      <x:c r="M109" s="18"/>
      <x:c r="N109" s="18"/>
      <x:c r="O109" s="18" t="n">
        <x:v>0.03</x:v>
      </x:c>
      <x:c r="P109" s="18"/>
      <x:c r="Q109" s="18"/>
      <x:c r="R109" s="18"/>
      <x:c r="S109" s="18"/>
      <x:c r="T109" s="18"/>
      <x:c r="U109" s="18" t="n">
        <x:v>0.1</x:v>
      </x:c>
      <x:c r="V109" s="18"/>
      <x:c r="W109" s="18"/>
      <x:c r="X109" s="18"/>
      <x:c r="Y109" s="18" t="str">
        <x:v>mg/kg morphine</x:v>
      </x:c>
      <x:c r="Z109" s="18" t="str">
        <x:v>0.015</x:v>
      </x:c>
      <x:c r="AA109" s="18" t="str">
        <x:v>Yes</x:v>
      </x:c>
      <x:c r="AB109" s="18" t="str">
        <x:v>No</x:v>
      </x:c>
      <x:c r="AC109" s="18"/>
      <x:c r="AD109" s="18"/>
      <x:c r="AE109" s="18" t="str">
        <x:v>No</x:v>
      </x:c>
      <x:c r="AF109" s="18" t="str">
        <x:v>No</x:v>
      </x:c>
      <x:c r="AG109" s="18" t="str">
        <x:v>Eligible for interval-specific opioid analysis only</x:v>
      </x:c>
      <x:c r="AH109" s="18" t="str">
        <x:v>Yes</x:v>
      </x:c>
      <x:c r="AI109" s="18" t="str">
        <x:v>Source reports median (IQR) as 0.03 (0.05) vs 0.10 (0.11); IQR is reported as a single width rather than Q1/Q3</x:v>
      </x:c>
      <x:c r="AJ109" s="18" t="str">
        <x:v>6-12-h morphine interval</x:v>
      </x:c>
      <x:c r="AK109" s="18" t="str">
        <x:v>https://drive.google.com/file/d/1YsNHL-J3Kgfu8mCanRrNu_bHk_roj0w6/view?usp=drivesdk</x:v>
      </x:c>
      <x:c r="AL109" s="18" t="str">
        <x:v>SOURCE-VERIFIED / IQR FORMAT QC</x:v>
      </x:c>
      <x:c r="AM109" s="18" t="str">
        <x:v>Postoperative opioid consumption</x:v>
      </x:c>
      <x:c r="AN109" s="18" t="str">
        <x:v>6-12 h</x:v>
      </x:c>
      <x:c r="AO109" s="18" t="str">
        <x:v>EXCLUDE — NOT PRIMARY 24H OPIOID</x:v>
      </x:c>
      <x:c r="AP109" s="18" t="str">
        <x:v>Not a strict 0-24-h postoperative opioid-consumption endpoint.</x:v>
      </x:c>
      <x:c r="AQ109" s="18" t="str">
        <x:v>No</x:v>
      </x:c>
      <x:c r="AR109" s="18" t="str"/>
      <x:c r="AS109" s="18" t="str">
        <x:v>Weight-normalized endpoint; do not reconstruct absolute dose from group mean weight</x:v>
      </x:c>
      <x:c r="AT109" s="18" t="str">
        <x:v>Cumulative postoperative IV PCA morphine</x:v>
      </x:c>
      <x:c r="AU109" s="18" t="str">
        <x:v>0-24 h</x:v>
      </x:c>
      <x:c r="AV109" s="18" t="str">
        <x:v>Some concerns</x:v>
      </x:c>
      <x:c r="AW109" s="18" t="str">
        <x:v>Yes — selected RoB is for a different result/timepoint</x:v>
      </x:c>
      <x:c r="AX109" s="18" t="str">
        <x:v>Sim 2002</x:v>
      </x:c>
      <x:c r="AY109" s="18" t="str">
        <x:v>Timing-arm contrast</x:v>
      </x:c>
      <x:c r="AZ109" s="18" t="str">
        <x:v>Three-arm trial with shared placebo; preop and postop EA are not independent studies.</x:v>
      </x:c>
    </x:row>
    <x:row r="110">
      <x:c r="A110" s="18" t="str">
        <x:v>Sim 2002</x:v>
      </x:c>
      <x:c r="B110" s="18" t="str">
        <x:v>SIM02_PREOP_vs_PLACEBO_ALFENT</x:v>
      </x:c>
      <x:c r="C110" s="18" t="str">
        <x:v>Preoperative EA</x:v>
      </x:c>
      <x:c r="D110" s="18" t="str">
        <x:v>Placebo EA</x:v>
      </x:c>
      <x:c r="E110" s="18" t="str">
        <x:v>Intraoperative opioid</x:v>
      </x:c>
      <x:c r="F110" s="18" t="str">
        <x:v>Alfentanil requirement rate</x:v>
      </x:c>
      <x:c r="G110" s="18" t="str">
        <x:v>Intraoperative</x:v>
      </x:c>
      <x:c r="H110" s="18" t="str">
        <x:v>Mean/SD</x:v>
      </x:c>
      <x:c r="I110" s="18" t="n">
        <x:v>30</x:v>
      </x:c>
      <x:c r="J110" s="18" t="n">
        <x:v>30</x:v>
      </x:c>
      <x:c r="K110" s="18" t="n">
        <x:v>30</x:v>
      </x:c>
      <x:c r="L110" s="18" t="n">
        <x:v>30</x:v>
      </x:c>
      <x:c r="M110" s="18" t="n">
        <x:v>0.44</x:v>
      </x:c>
      <x:c r="N110" s="18" t="n">
        <x:v>0.15</x:v>
      </x:c>
      <x:c r="O110" s="18"/>
      <x:c r="P110" s="18"/>
      <x:c r="Q110" s="18"/>
      <x:c r="R110" s="18"/>
      <x:c r="S110" s="18" t="n">
        <x:v>0.51</x:v>
      </x:c>
      <x:c r="T110" s="18" t="n">
        <x:v>0.21</x:v>
      </x:c>
      <x:c r="U110" s="18"/>
      <x:c r="V110" s="18"/>
      <x:c r="W110" s="18"/>
      <x:c r="X110" s="18"/>
      <x:c r="Y110" s="18" t="str">
        <x:v>µg/kg/min</x:v>
      </x:c>
      <x:c r="Z110" s="18" t="str">
        <x:v>0.472</x:v>
      </x:c>
      <x:c r="AA110" s="18" t="str">
        <x:v>Yes</x:v>
      </x:c>
      <x:c r="AB110" s="18" t="str">
        <x:v>No</x:v>
      </x:c>
      <x:c r="AC110" s="18" t="str">
        <x:v>MD</x:v>
      </x:c>
      <x:c r="AD110" s="18" t="n">
        <x:v>-0.07</x:v>
      </x:c>
      <x:c r="AE110" s="18" t="str">
        <x:v>No</x:v>
      </x:c>
      <x:c r="AF110" s="18" t="str">
        <x:v>No</x:v>
      </x:c>
      <x:c r="AG110" s="18" t="str">
        <x:v>Eligible for intraoperative opioid analysis</x:v>
      </x:c>
      <x:c r="AH110" s="18" t="str">
        <x:v>Yes</x:v>
      </x:c>
      <x:c r="AI110" s="18" t="str">
        <x:v>No significant placebo-controlled intraoperative opioid-sparing effect</x:v>
      </x:c>
      <x:c r="AJ110" s="18" t="str">
        <x:v>Figure 2 / alfentanil requirement</x:v>
      </x:c>
      <x:c r="AK110" s="18" t="str">
        <x:v>https://drive.google.com/file/d/1YsNHL-J3Kgfu8mCanRrNu_bHk_roj0w6/view?usp=drivesdk</x:v>
      </x:c>
      <x:c r="AL110" s="18" t="str">
        <x:v>SOURCE-VERIFIED</x:v>
      </x:c>
      <x:c r="AM110" s="18" t="str">
        <x:v>Intraoperative opioid</x:v>
      </x:c>
      <x:c r="AN110" s="18" t="str">
        <x:v>Intraoperative</x:v>
      </x:c>
      <x:c r="AO110" s="18" t="str">
        <x:v>INCLUDE — INTRAOPERATIVE</x:v>
      </x:c>
      <x:c r="AP110" s="18" t="str">
        <x:v>Valid intraoperative opioid endpoint; must remain separate from postoperative opioid consumption.</x:v>
      </x:c>
      <x:c r="AQ110" s="18" t="str">
        <x:v>No</x:v>
      </x:c>
      <x:c r="AR110" s="18" t="str"/>
      <x:c r="AS110" s="18" t="str">
        <x:v>None</x:v>
      </x:c>
      <x:c r="AT110" s="18" t="str">
        <x:v>Cumulative postoperative IV PCA morphine</x:v>
      </x:c>
      <x:c r="AU110" s="18" t="str">
        <x:v>0-24 h</x:v>
      </x:c>
      <x:c r="AV110" s="18" t="str">
        <x:v>Some concerns</x:v>
      </x:c>
      <x:c r="AW110" s="18" t="str">
        <x:v>Yes — selected RoB is for a different result/timepoint</x:v>
      </x:c>
      <x:c r="AX110" s="18" t="str">
        <x:v>Sim 2002</x:v>
      </x:c>
      <x:c r="AY110" s="18" t="str">
        <x:v>Timing-arm contrast</x:v>
      </x:c>
      <x:c r="AZ110" s="18" t="str">
        <x:v>Three-arm trial with shared placebo; preop and postop EA are not independent studies.</x:v>
      </x:c>
    </x:row>
    <x:row r="111">
      <x:c r="A111" s="18" t="str">
        <x:v>Ntritsou 2014</x:v>
      </x:c>
      <x:c r="B111" s="18" t="str">
        <x:v>NTRI14_EA_vs_SHAM_TRAMSUM</x:v>
      </x:c>
      <x:c r="C111" s="18" t="str">
        <x:v>Perioperative EA + tramadol/ketamine</x:v>
      </x:c>
      <x:c r="D111" s="18" t="str">
        <x:v>Sham + tramadol/ketamine</x:v>
      </x:c>
      <x:c r="E111" s="18" t="str">
        <x:v>Opioid consumption</x:v>
      </x:c>
      <x:c r="F111" s="18" t="str">
        <x:v>Total tramadol exposure</x:v>
      </x:c>
      <x:c r="G111" s="18" t="str">
        <x:v>Perioperative / first 24 h most consistent with protocol; table does not restate window</x:v>
      </x:c>
      <x:c r="H111" s="18" t="str">
        <x:v>Mean/SD</x:v>
      </x:c>
      <x:c r="I111" s="18" t="n">
        <x:v>37</x:v>
      </x:c>
      <x:c r="J111" s="18" t="n">
        <x:v>38</x:v>
      </x:c>
      <x:c r="K111" s="18" t="n">
        <x:v>35</x:v>
      </x:c>
      <x:c r="L111" s="18" t="n">
        <x:v>35</x:v>
      </x:c>
      <x:c r="M111" s="18" t="n">
        <x:v>443.7</x:v>
      </x:c>
      <x:c r="N111" s="18" t="n">
        <x:v>67.4</x:v>
      </x:c>
      <x:c r="O111" s="18"/>
      <x:c r="P111" s="18"/>
      <x:c r="Q111" s="18"/>
      <x:c r="R111" s="18"/>
      <x:c r="S111" s="18" t="n">
        <x:v>461.5</x:v>
      </x:c>
      <x:c r="T111" s="18" t="n">
        <x:v>63.2</x:v>
      </x:c>
      <x:c r="U111" s="18"/>
      <x:c r="V111" s="18"/>
      <x:c r="W111" s="18"/>
      <x:c r="X111" s="18"/>
      <x:c r="Y111" s="18" t="str">
        <x:v>mg tramadol</x:v>
      </x:c>
      <x:c r="Z111" s="18" t="str">
        <x:v>0.257</x:v>
      </x:c>
      <x:c r="AA111" s="18" t="str">
        <x:v>Yes</x:v>
      </x:c>
      <x:c r="AB111" s="18" t="str">
        <x:v>No</x:v>
      </x:c>
      <x:c r="AC111" s="18" t="str">
        <x:v>MD</x:v>
      </x:c>
      <x:c r="AD111" s="18" t="n">
        <x:v>-17.80000000000001</x:v>
      </x:c>
      <x:c r="AE111" s="18" t="str">
        <x:v>Conditional</x:v>
      </x:c>
      <x:c r="AF111" s="18" t="str">
        <x:v>No</x:v>
      </x:c>
      <x:c r="AG111" s="18" t="str">
        <x:v>Continuous opioid-related quantity available, but not suitable as complete 24-h MME without confirming window and rescue morphine</x:v>
      </x:c>
      <x:c r="AH111" s="18" t="str">
        <x:v>No</x:v>
      </x:c>
      <x:c r="AI111" s="18" t="str">
        <x:v>Includes scheduled/background tramadol and likely rescue tramadol; rescue morphine quantity not reported</x:v>
      </x:c>
      <x:c r="AJ111" s="18" t="str">
        <x:v>Table 1 / tramadol sum</x:v>
      </x:c>
      <x:c r="AK111" s="18" t="str">
        <x:v>https://drive.google.com/file/d/1u_kNuuXF8upB3gJA2aDq8NldYDfhnWy3/view?usp=drivesdk</x:v>
      </x:c>
      <x:c r="AL111" s="18" t="str">
        <x:v>SOURCE-VERIFIED / WINDOW + CO-OPIOID QC</x:v>
      </x:c>
      <x:c r="AM111" s="18" t="str">
        <x:v>Postoperative opioid consumption</x:v>
      </x:c>
      <x:c r="AN111" s="18" t="str">
        <x:v>Exact/explicit 24 h</x:v>
      </x:c>
      <x:c r="AO111" s="18" t="str">
        <x:v>EXCLUDE — NOT PRIMARY 24H OPIOID</x:v>
      </x:c>
      <x:c r="AP111" s="18" t="str">
        <x:v>Not a strict 0-24-h postoperative opioid-consumption endpoint.</x:v>
      </x:c>
      <x:c r="AQ111" s="18" t="str">
        <x:v>No</x:v>
      </x:c>
      <x:c r="AR111" s="18" t="str"/>
      <x:c r="AS111" s="18" t="str">
        <x:v>Opioid/MME conversion required using prespecified review conversion</x:v>
      </x:c>
      <x:c r="AT111" s="18" t="str">
        <x:v>Total tramadol exposure</x:v>
      </x:c>
      <x:c r="AU111" s="18" t="str">
        <x:v>First 24 h most consistent with protocol</x:v>
      </x:c>
      <x:c r="AV111" s="18" t="str">
        <x:v>High</x:v>
      </x:c>
      <x:c r="AW111" s="18" t="str">
        <x:v>No — selected RoB matches this result</x:v>
      </x:c>
      <x:c r="AX111" s="18" t="str">
        <x:v>Ntritsou 2014</x:v>
      </x:c>
      <x:c r="AY111" s="18" t="str">
        <x:v>Primary eligible contrast</x:v>
      </x:c>
      <x:c r="AZ111" s="18" t="str">
        <x:v>Count this study once per synthesis unless a valid multi-arm method is used.</x:v>
      </x:c>
    </x:row>
    <x:row r="112">
      <x:c r="A112" s="18" t="str">
        <x:v>Ntritsou 2014</x:v>
      </x:c>
      <x:c r="B112" s="18" t="str">
        <x:v>NTRI14_EA_vs_SHAM_REMI</x:v>
      </x:c>
      <x:c r="C112" s="18" t="str">
        <x:v>Perioperative EA + tramadol/ketamine</x:v>
      </x:c>
      <x:c r="D112" s="18" t="str">
        <x:v>Sham + tramadol/ketamine</x:v>
      </x:c>
      <x:c r="E112" s="18" t="str">
        <x:v>Intraoperative opioid</x:v>
      </x:c>
      <x:c r="F112" s="18" t="str">
        <x:v>Remifentanil consumption</x:v>
      </x:c>
      <x:c r="G112" s="18" t="str">
        <x:v>Intraoperative</x:v>
      </x:c>
      <x:c r="H112" s="18" t="str">
        <x:v>Mean/SD</x:v>
      </x:c>
      <x:c r="I112" s="18" t="n">
        <x:v>37</x:v>
      </x:c>
      <x:c r="J112" s="18" t="n">
        <x:v>38</x:v>
      </x:c>
      <x:c r="K112" s="18" t="n">
        <x:v>35</x:v>
      </x:c>
      <x:c r="L112" s="18" t="n">
        <x:v>35</x:v>
      </x:c>
      <x:c r="M112" s="18" t="n">
        <x:v>1003.6</x:v>
      </x:c>
      <x:c r="N112" s="18" t="n">
        <x:v>522.7</x:v>
      </x:c>
      <x:c r="O112" s="18"/>
      <x:c r="P112" s="18"/>
      <x:c r="Q112" s="18"/>
      <x:c r="R112" s="18"/>
      <x:c r="S112" s="18" t="n">
        <x:v>1041.9</x:v>
      </x:c>
      <x:c r="T112" s="18" t="n">
        <x:v>631.9</x:v>
      </x:c>
      <x:c r="U112" s="18"/>
      <x:c r="V112" s="18"/>
      <x:c r="W112" s="18"/>
      <x:c r="X112" s="18"/>
      <x:c r="Y112" s="18" t="str">
        <x:v>µg remifentanil</x:v>
      </x:c>
      <x:c r="Z112" s="18" t="str">
        <x:v>0.783</x:v>
      </x:c>
      <x:c r="AA112" s="18" t="str">
        <x:v>Yes</x:v>
      </x:c>
      <x:c r="AB112" s="18" t="str">
        <x:v>No</x:v>
      </x:c>
      <x:c r="AC112" s="18" t="str">
        <x:v>MD</x:v>
      </x:c>
      <x:c r="AD112" s="18" t="n">
        <x:v>-38.30000000000007</x:v>
      </x:c>
      <x:c r="AE112" s="18" t="str">
        <x:v>No</x:v>
      </x:c>
      <x:c r="AF112" s="18" t="str">
        <x:v>No</x:v>
      </x:c>
      <x:c r="AG112" s="18" t="str">
        <x:v>Eligible for intraoperative opioid analysis</x:v>
      </x:c>
      <x:c r="AH112" s="18" t="str">
        <x:v>No</x:v>
      </x:c>
      <x:c r="AI112" s="18" t="str">
        <x:v>No significant intraoperative opioid-sparing effect</x:v>
      </x:c>
      <x:c r="AJ112" s="18" t="str">
        <x:v>Table 1 / remifentanil</x:v>
      </x:c>
      <x:c r="AK112" s="18" t="str">
        <x:v>https://drive.google.com/file/d/1u_kNuuXF8upB3gJA2aDq8NldYDfhnWy3/view?usp=drivesdk</x:v>
      </x:c>
      <x:c r="AL112" s="18" t="str">
        <x:v>SOURCE-VERIFIED</x:v>
      </x:c>
      <x:c r="AM112" s="18" t="str">
        <x:v>Intraoperative opioid</x:v>
      </x:c>
      <x:c r="AN112" s="18" t="str">
        <x:v>Intraoperative</x:v>
      </x:c>
      <x:c r="AO112" s="18" t="str">
        <x:v>INCLUDE — INTRAOPERATIVE</x:v>
      </x:c>
      <x:c r="AP112" s="18" t="str">
        <x:v>Valid intraoperative opioid endpoint; must remain separate from postoperative opioid consumption.</x:v>
      </x:c>
      <x:c r="AQ112" s="18" t="str">
        <x:v>No</x:v>
      </x:c>
      <x:c r="AR112" s="18" t="str"/>
      <x:c r="AS112" s="18" t="str">
        <x:v>None</x:v>
      </x:c>
      <x:c r="AT112" s="18" t="str">
        <x:v>Total tramadol exposure</x:v>
      </x:c>
      <x:c r="AU112" s="18" t="str">
        <x:v>First 24 h most consistent with protocol</x:v>
      </x:c>
      <x:c r="AV112" s="18" t="str">
        <x:v>High</x:v>
      </x:c>
      <x:c r="AW112" s="18" t="str">
        <x:v>Yes — selected RoB is for a different result/timepoint</x:v>
      </x:c>
      <x:c r="AX112" s="18" t="str">
        <x:v>Ntritsou 2014</x:v>
      </x:c>
      <x:c r="AY112" s="18" t="str">
        <x:v>Primary eligible contrast</x:v>
      </x:c>
      <x:c r="AZ112" s="18" t="str">
        <x:v>Count this study once per synthesis unless a valid multi-arm method is used.</x:v>
      </x:c>
    </x:row>
    <x:row r="113">
      <x:c r="A113" s="18" t="str">
        <x:v>Ntritsou 2014</x:v>
      </x:c>
      <x:c r="B113" s="18" t="str">
        <x:v>NTRI14_EA_vs_SHAM_RESCUE</x:v>
      </x:c>
      <x:c r="C113" s="18" t="str">
        <x:v>Perioperative EA + tramadol/ketamine</x:v>
      </x:c>
      <x:c r="D113" s="18" t="str">
        <x:v>Sham + tramadol/ketamine</x:v>
      </x:c>
      <x:c r="E113" s="18" t="str">
        <x:v>Rescue opioid use</x:v>
      </x:c>
      <x:c r="F113" s="18" t="str">
        <x:v>Total rescue analgesia</x:v>
      </x:c>
      <x:c r="G113" s="18" t="str">
        <x:v>First 24 h</x:v>
      </x:c>
      <x:c r="H113" s="18" t="str">
        <x:v>Qualitative / exact quantities unavailable</x:v>
      </x:c>
      <x:c r="I113" s="18" t="n">
        <x:v>37</x:v>
      </x:c>
      <x:c r="J113" s="18" t="n">
        <x:v>38</x:v>
      </x:c>
      <x:c r="K113" s="18" t="n">
        <x:v>35</x:v>
      </x:c>
      <x:c r="L113" s="18" t="n">
        <x:v>35</x:v>
      </x:c>
      <x:c r="M113" s="18"/>
      <x:c r="N113" s="18"/>
      <x:c r="O113" s="18"/>
      <x:c r="P113" s="18"/>
      <x:c r="Q113" s="18"/>
      <x:c r="R113" s="18"/>
      <x:c r="S113" s="18"/>
      <x:c r="T113" s="18"/>
      <x:c r="U113" s="18"/>
      <x:c r="V113" s="18"/>
      <x:c r="W113" s="18"/>
      <x:c r="X113" s="18"/>
      <x:c r="Y113" s="18" t="str">
        <x:v>tramadol 50 mg IV then morphine 2 mg IV as needed</x:v>
      </x:c>
      <x:c r="Z113" s="18" t="str">
        <x:v>P&lt;0.001 reported</x:v>
      </x:c>
      <x:c r="AA113" s="18" t="str">
        <x:v>No</x:v>
      </x:c>
      <x:c r="AB113" s="18" t="str">
        <x:v>No</x:v>
      </x:c>
      <x:c r="AC113" s="18"/>
      <x:c r="AD113" s="18"/>
      <x:c r="AE113" s="18" t="str">
        <x:v>No</x:v>
      </x:c>
      <x:c r="AF113" s="18" t="str">
        <x:v>No</x:v>
      </x:c>
      <x:c r="AG113" s="18" t="str">
        <x:v>Not quantitatively poolable from main article</x:v>
      </x:c>
      <x:c r="AH113" s="18" t="str">
        <x:v>No</x:v>
      </x:c>
      <x:c r="AI113" s="18" t="str">
        <x:v>Main article reports significantly less total rescue analgesia but does not tabulate exact rescue tramadol/morphine quantities</x:v>
      </x:c>
      <x:c r="AJ113" s="18" t="str">
        <x:v>Rescue analgesia results</x:v>
      </x:c>
      <x:c r="AK113" s="18" t="str">
        <x:v>https://drive.google.com/file/d/1u_kNuuXF8upB3gJA2aDq8NldYDfhnWy3/view?usp=drivesdk</x:v>
      </x:c>
      <x:c r="AL113" s="18" t="str">
        <x:v>MISSING / EXACT RESCUE DOSES NOT REPORTED</x:v>
      </x:c>
      <x:c r="AM113" s="18" t="str">
        <x:v>Rescue opioid use</x:v>
      </x:c>
      <x:c r="AN113" s="18" t="str">
        <x:v>Exact/explicit 24 h</x:v>
      </x:c>
      <x:c r="AO113" s="18" t="str">
        <x:v>EXCLUDE — DATA UNAVAILABLE</x:v>
      </x:c>
      <x:c r="AP113" s="18" t="str">
        <x:v>The source does not provide a defensible quantitative value for this analysis.</x:v>
      </x:c>
      <x:c r="AQ113" s="18" t="str">
        <x:v>No</x:v>
      </x:c>
      <x:c r="AR113" s="18" t="str"/>
      <x:c r="AS113" s="18" t="str">
        <x:v>None</x:v>
      </x:c>
      <x:c r="AT113" s="18" t="str">
        <x:v>Total tramadol exposure</x:v>
      </x:c>
      <x:c r="AU113" s="18" t="str">
        <x:v>First 24 h most consistent with protocol</x:v>
      </x:c>
      <x:c r="AV113" s="18" t="str">
        <x:v>High</x:v>
      </x:c>
      <x:c r="AW113" s="18" t="str">
        <x:v>Yes — selected RoB is for a different result/timepoint</x:v>
      </x:c>
      <x:c r="AX113" s="18" t="str">
        <x:v>Ntritsou 2014</x:v>
      </x:c>
      <x:c r="AY113" s="18" t="str">
        <x:v>Primary eligible contrast</x:v>
      </x:c>
      <x:c r="AZ113" s="18" t="str">
        <x:v>Count this study once per synthesis unless a valid multi-arm method is used.</x:v>
      </x:c>
    </x:row>
    <x:row r="114">
      <x:c r="A114" s="18" t="str">
        <x:v>Ntritsou 2014</x:v>
      </x:c>
      <x:c r="B114" s="18" t="str">
        <x:v>NTRI14_EA_vs_SHAM_MME24</x:v>
      </x:c>
      <x:c r="C114" s="18" t="str">
        <x:v>Perioperative EA + tramadol/ketamine</x:v>
      </x:c>
      <x:c r="D114" s="18" t="str">
        <x:v>Sham + tramadol/ketamine</x:v>
      </x:c>
      <x:c r="E114" s="18" t="str">
        <x:v>Opioid consumption</x:v>
      </x:c>
      <x:c r="F114" s="18" t="str">
        <x:v>Complete 24-h opioid/MME exposure</x:v>
      </x:c>
      <x:c r="G114" s="18" t="str">
        <x:v>0-24 h</x:v>
      </x:c>
      <x:c r="H114" s="18" t="str">
        <x:v>Not calculable</x:v>
      </x:c>
      <x:c r="I114" s="18" t="n">
        <x:v>37</x:v>
      </x:c>
      <x:c r="J114" s="18" t="n">
        <x:v>38</x:v>
      </x:c>
      <x:c r="K114" s="18" t="n">
        <x:v>35</x:v>
      </x:c>
      <x:c r="L114" s="18" t="n">
        <x:v>35</x:v>
      </x:c>
      <x:c r="M114" s="18"/>
      <x:c r="N114" s="18"/>
      <x:c r="O114" s="18"/>
      <x:c r="P114" s="18"/>
      <x:c r="Q114" s="18"/>
      <x:c r="R114" s="18"/>
      <x:c r="S114" s="18"/>
      <x:c r="T114" s="18"/>
      <x:c r="U114" s="18"/>
      <x:c r="V114" s="18"/>
      <x:c r="W114" s="18"/>
      <x:c r="X114" s="18"/>
      <x:c r="Y114" s="18" t="str">
        <x:v>MME</x:v>
      </x:c>
      <x:c r="Z114" s="18"/>
      <x:c r="AA114" s="18" t="str">
        <x:v>No</x:v>
      </x:c>
      <x:c r="AB114" s="18" t="str">
        <x:v>No</x:v>
      </x:c>
      <x:c r="AC114" s="18"/>
      <x:c r="AD114" s="18"/>
      <x:c r="AE114" s="18" t="str">
        <x:v>No</x:v>
      </x:c>
      <x:c r="AF114" s="18" t="str">
        <x:v>No</x:v>
      </x:c>
      <x:c r="AG114" s="18" t="str">
        <x:v>Not eligible for final 24-h MME until rescue morphine and tramadol-sum window are confirmed</x:v>
      </x:c>
      <x:c r="AH114" s="18" t="str">
        <x:v>No</x:v>
      </x:c>
      <x:c r="AI114" s="18" t="str">
        <x:v>Do not equate lower rescue use with significantly lower total opioid exposure</x:v>
      </x:c>
      <x:c r="AJ114" s="18" t="str">
        <x:v>Combined opioid exposure</x:v>
      </x:c>
      <x:c r="AK114" s="18" t="str">
        <x:v>https://drive.google.com/file/d/1u_kNuuXF8upB3gJA2aDq8NldYDfhnWy3/view?usp=drivesdk</x:v>
      </x:c>
      <x:c r="AL114" s="18" t="str">
        <x:v>MISSING / AUTHOR DATA NEEDED</x:v>
      </x:c>
      <x:c r="AM114" s="18" t="str">
        <x:v>Postoperative opioid consumption</x:v>
      </x:c>
      <x:c r="AN114" s="18" t="str">
        <x:v>Exact/explicit 24 h</x:v>
      </x:c>
      <x:c r="AO114" s="18" t="str">
        <x:v>EXCLUDE — DATA UNAVAILABLE</x:v>
      </x:c>
      <x:c r="AP114" s="18" t="str">
        <x:v>The source does not provide a defensible quantitative value for this analysis.</x:v>
      </x:c>
      <x:c r="AQ114" s="18" t="str">
        <x:v>No</x:v>
      </x:c>
      <x:c r="AR114" s="18" t="str"/>
      <x:c r="AS114" s="18" t="str">
        <x:v>None</x:v>
      </x:c>
      <x:c r="AT114" s="18" t="str">
        <x:v>Total tramadol exposure</x:v>
      </x:c>
      <x:c r="AU114" s="18" t="str">
        <x:v>First 24 h most consistent with protocol</x:v>
      </x:c>
      <x:c r="AV114" s="18" t="str">
        <x:v>High</x:v>
      </x:c>
      <x:c r="AW114" s="18" t="str">
        <x:v>Yes — selected RoB is for a different result/timepoint</x:v>
      </x:c>
      <x:c r="AX114" s="18" t="str">
        <x:v>Ntritsou 2014</x:v>
      </x:c>
      <x:c r="AY114" s="18" t="str">
        <x:v>Primary eligible contrast</x:v>
      </x:c>
      <x:c r="AZ114" s="18" t="str">
        <x:v>Count this study once per synthesis unless a valid multi-arm method is used.</x:v>
      </x:c>
    </x:row>
    <x:row r="115">
      <x:c r="A115" s="18" t="str">
        <x:v>Ng 2013</x:v>
      </x:c>
      <x:c r="B115" s="18" t="str">
        <x:v>NG13_EA_vs_SHAM_BOWEL</x:v>
      </x:c>
      <x:c r="C115" s="18" t="str">
        <x:v>Electroacupuncture</x:v>
      </x:c>
      <x:c r="D115" s="18" t="str">
        <x:v>Sham acupuncture</x:v>
      </x:c>
      <x:c r="E115" s="18" t="str">
        <x:v>GI recovery</x:v>
      </x:c>
      <x:c r="F115" s="18" t="str">
        <x:v>Time to first bowel motion / defecation</x:v>
      </x:c>
      <x:c r="G115" s="18" t="str">
        <x:v>Postoperative</x:v>
      </x:c>
      <x:c r="H115" s="18" t="str">
        <x:v>Mean/SD</x:v>
      </x:c>
      <x:c r="I115" s="18" t="n">
        <x:v>55</x:v>
      </x:c>
      <x:c r="J115" s="18" t="n">
        <x:v>55</x:v>
      </x:c>
      <x:c r="K115" s="18" t="n">
        <x:v>55</x:v>
      </x:c>
      <x:c r="L115" s="18" t="n">
        <x:v>55</x:v>
      </x:c>
      <x:c r="M115" s="18" t="n">
        <x:v>85.9</x:v>
      </x:c>
      <x:c r="N115" s="18" t="n">
        <x:v>36.1</x:v>
      </x:c>
      <x:c r="O115" s="18"/>
      <x:c r="P115" s="18"/>
      <x:c r="Q115" s="18"/>
      <x:c r="R115" s="18"/>
      <x:c r="S115" s="18" t="n">
        <x:v>107.5</x:v>
      </x:c>
      <x:c r="T115" s="18" t="n">
        <x:v>46.2</x:v>
      </x:c>
      <x:c r="U115" s="18"/>
      <x:c r="V115" s="18"/>
      <x:c r="W115" s="18"/>
      <x:c r="X115" s="18"/>
      <x:c r="Y115" s="18" t="str">
        <x:v>hours</x:v>
      </x:c>
      <x:c r="Z115" s="18" t="str">
        <x:v>0.007</x:v>
      </x:c>
      <x:c r="AA115" s="18" t="str">
        <x:v>Yes</x:v>
      </x:c>
      <x:c r="AB115" s="18" t="str">
        <x:v>No</x:v>
      </x:c>
      <x:c r="AC115" s="18" t="str">
        <x:v>MD</x:v>
      </x:c>
      <x:c r="AD115" s="18" t="n">
        <x:v>-21.599999999999994</x:v>
      </x:c>
      <x:c r="AE115" s="18" t="str">
        <x:v>No</x:v>
      </x:c>
      <x:c r="AF115" s="18" t="str">
        <x:v>No</x:v>
      </x:c>
      <x:c r="AG115" s="18" t="str">
        <x:v>Eligible for GI-recovery meta-analysis</x:v>
      </x:c>
      <x:c r="AH115" s="18" t="str">
        <x:v>Yes</x:v>
      </x:c>
      <x:c r="AI115" s="18" t="str">
        <x:v>Allocation used sealed nonopaque envelopes; EA-vs-sham participants and outcome assessors were blinded</x:v>
      </x:c>
      <x:c r="AJ115" s="18" t="str">
        <x:v>Primary outcome / first bowel motion</x:v>
      </x:c>
      <x:c r="AK115" s="18" t="str">
        <x:v>https://drive.google.com/file/d/1R1zCiyfWvuSp99Hi2U_K1__8kgdi90gd/view?usp=drivesdk</x:v>
      </x:c>
      <x:c r="AL115" s="18" t="str">
        <x:v>SOURCE-VERIFIED / ALLOCATION-CONCEALMENT QC</x:v>
      </x:c>
      <x:c r="AM115" s="18" t="str">
        <x:v>GI recovery</x:v>
      </x:c>
      <x:c r="AN115" s="18" t="str">
        <x:v>Postoperative</x:v>
      </x:c>
      <x:c r="AO115" s="18" t="str">
        <x:v>INCLUDE — SECONDARY GI</x:v>
      </x:c>
      <x:c r="AP115" s="18" t="str">
        <x:v>Source-valid GI recovery outcome; analyze separately by outcome definition.</x:v>
      </x:c>
      <x:c r="AQ115" s="18" t="str">
        <x:v>No</x:v>
      </x:c>
      <x:c r="AR115" s="18" t="str"/>
      <x:c r="AS115" s="18" t="str">
        <x:v>None</x:v>
      </x:c>
      <x:c r="AT115" s="18" t="str">
        <x:v>Time to first bowel motion</x:v>
      </x:c>
      <x:c r="AU115" s="18" t="str">
        <x:v>Postoperative</x:v>
      </x:c>
      <x:c r="AV115" s="18" t="str">
        <x:v>Some concerns</x:v>
      </x:c>
      <x:c r="AW115" s="18" t="str">
        <x:v>Yes — selected RoB is for a different result/timepoint</x:v>
      </x:c>
      <x:c r="AX115" s="18" t="str">
        <x:v>Ng 2013</x:v>
      </x:c>
      <x:c r="AY115" s="18" t="str">
        <x:v>Shared-control / multi-arm contrast</x:v>
      </x:c>
      <x:c r="AZ115" s="18" t="str">
        <x:v>Shared comparator present; avoid double-counting controls.</x:v>
      </x:c>
    </x:row>
    <x:row r="116">
      <x:c r="A116" s="18" t="str">
        <x:v>Ng 2013</x:v>
      </x:c>
      <x:c r="B116" s="18" t="str">
        <x:v>NG13_EA_vs_NOACU_BOWEL</x:v>
      </x:c>
      <x:c r="C116" s="18" t="str">
        <x:v>Electroacupuncture</x:v>
      </x:c>
      <x:c r="D116" s="18" t="str">
        <x:v>No acupuncture</x:v>
      </x:c>
      <x:c r="E116" s="18" t="str">
        <x:v>GI recovery</x:v>
      </x:c>
      <x:c r="F116" s="18" t="str">
        <x:v>Time to first bowel motion / defecation</x:v>
      </x:c>
      <x:c r="G116" s="18" t="str">
        <x:v>Postoperative</x:v>
      </x:c>
      <x:c r="H116" s="18" t="str">
        <x:v>Mean/SD</x:v>
      </x:c>
      <x:c r="I116" s="18" t="n">
        <x:v>55</x:v>
      </x:c>
      <x:c r="J116" s="18" t="n">
        <x:v>55</x:v>
      </x:c>
      <x:c r="K116" s="18" t="n">
        <x:v>55</x:v>
      </x:c>
      <x:c r="L116" s="18" t="n">
        <x:v>55</x:v>
      </x:c>
      <x:c r="M116" s="18" t="n">
        <x:v>85.9</x:v>
      </x:c>
      <x:c r="N116" s="18" t="n">
        <x:v>36.1</x:v>
      </x:c>
      <x:c r="O116" s="18"/>
      <x:c r="P116" s="18"/>
      <x:c r="Q116" s="18"/>
      <x:c r="R116" s="18"/>
      <x:c r="S116" s="18" t="n">
        <x:v>122.1</x:v>
      </x:c>
      <x:c r="T116" s="18" t="n">
        <x:v>53.5</x:v>
      </x:c>
      <x:c r="U116" s="18"/>
      <x:c r="V116" s="18"/>
      <x:c r="W116" s="18"/>
      <x:c r="X116" s="18"/>
      <x:c r="Y116" s="18" t="str">
        <x:v>hours</x:v>
      </x:c>
      <x:c r="Z116" s="18" t="str">
        <x:v>&lt;0.001</x:v>
      </x:c>
      <x:c r="AA116" s="18" t="str">
        <x:v>Yes</x:v>
      </x:c>
      <x:c r="AB116" s="18" t="str">
        <x:v>No</x:v>
      </x:c>
      <x:c r="AC116" s="18" t="str">
        <x:v>MD</x:v>
      </x:c>
      <x:c r="AD116" s="18" t="n">
        <x:v>-36.19999999999999</x:v>
      </x:c>
      <x:c r="AE116" s="18" t="str">
        <x:v>No</x:v>
      </x:c>
      <x:c r="AF116" s="18" t="str">
        <x:v>No</x:v>
      </x:c>
      <x:c r="AG116" s="18" t="str">
        <x:v>Eligible for GI-recovery meta-analysis as active-vs-usual-care contrast</x:v>
      </x:c>
      <x:c r="AH116" s="18" t="str">
        <x:v>Yes</x:v>
      </x:c>
      <x:c r="AI116" s="18" t="str">
        <x:v>No-acupuncture group could not be participant blinded</x:v>
      </x:c>
      <x:c r="AJ116" s="18" t="str">
        <x:v>Primary outcome / first bowel motion</x:v>
      </x:c>
      <x:c r="AK116" s="18" t="str">
        <x:v>https://drive.google.com/file/d/1R1zCiyfWvuSp99Hi2U_K1__8kgdi90gd/view?usp=drivesdk</x:v>
      </x:c>
      <x:c r="AL116" s="18" t="str">
        <x:v>SOURCE-VERIFIED</x:v>
      </x:c>
      <x:c r="AM116" s="18" t="str">
        <x:v>GI recovery</x:v>
      </x:c>
      <x:c r="AN116" s="18" t="str">
        <x:v>Postoperative</x:v>
      </x:c>
      <x:c r="AO116" s="18" t="str">
        <x:v>INCLUDE — SECONDARY GI</x:v>
      </x:c>
      <x:c r="AP116" s="18" t="str">
        <x:v>Source-valid GI recovery outcome; analyze separately by outcome definition.</x:v>
      </x:c>
      <x:c r="AQ116" s="18" t="str">
        <x:v>No</x:v>
      </x:c>
      <x:c r="AR116" s="18" t="str"/>
      <x:c r="AS116" s="18" t="str">
        <x:v>None</x:v>
      </x:c>
      <x:c r="AT116" s="18" t="str">
        <x:v>Time to first bowel motion</x:v>
      </x:c>
      <x:c r="AU116" s="18" t="str">
        <x:v>Postoperative</x:v>
      </x:c>
      <x:c r="AV116" s="18" t="str">
        <x:v>Some concerns</x:v>
      </x:c>
      <x:c r="AW116" s="18" t="str">
        <x:v>Yes — selected RoB is for a different result/timepoint</x:v>
      </x:c>
      <x:c r="AX116" s="18" t="str">
        <x:v>Ng 2013</x:v>
      </x:c>
      <x:c r="AY116" s="18" t="str">
        <x:v>Shared-control / multi-arm contrast</x:v>
      </x:c>
      <x:c r="AZ116" s="18" t="str">
        <x:v>Shared comparator present; avoid double-counting controls.</x:v>
      </x:c>
    </x:row>
    <x:row r="117">
      <x:c r="A117" s="18" t="str">
        <x:v>Ng 2013</x:v>
      </x:c>
      <x:c r="B117" s="18" t="str">
        <x:v>NG13_EA_vs_SHAM_FLATUS</x:v>
      </x:c>
      <x:c r="C117" s="18" t="str">
        <x:v>Electroacupuncture</x:v>
      </x:c>
      <x:c r="D117" s="18" t="str">
        <x:v>Sham acupuncture</x:v>
      </x:c>
      <x:c r="E117" s="18" t="str">
        <x:v>GI recovery</x:v>
      </x:c>
      <x:c r="F117" s="18" t="str">
        <x:v>Time to first flatus</x:v>
      </x:c>
      <x:c r="G117" s="18" t="str">
        <x:v>Postoperative</x:v>
      </x:c>
      <x:c r="H117" s="18" t="str">
        <x:v>Mean/SD</x:v>
      </x:c>
      <x:c r="I117" s="18" t="n">
        <x:v>55</x:v>
      </x:c>
      <x:c r="J117" s="18" t="n">
        <x:v>55</x:v>
      </x:c>
      <x:c r="K117" s="18" t="n">
        <x:v>55</x:v>
      </x:c>
      <x:c r="L117" s="18" t="n">
        <x:v>55</x:v>
      </x:c>
      <x:c r="M117" s="18" t="n">
        <x:v>2</x:v>
      </x:c>
      <x:c r="N117" s="18" t="n">
        <x:v>0.9</x:v>
      </x:c>
      <x:c r="O117" s="18"/>
      <x:c r="P117" s="18"/>
      <x:c r="Q117" s="18"/>
      <x:c r="R117" s="18"/>
      <x:c r="S117" s="18" t="n">
        <x:v>2.3</x:v>
      </x:c>
      <x:c r="T117" s="18" t="n">
        <x:v>1.1</x:v>
      </x:c>
      <x:c r="U117" s="18"/>
      <x:c r="V117" s="18"/>
      <x:c r="W117" s="18"/>
      <x:c r="X117" s="18"/>
      <x:c r="Y117" s="18" t="str">
        <x:v>days</x:v>
      </x:c>
      <x:c r="Z117" s="18" t="str">
        <x:v>0.095</x:v>
      </x:c>
      <x:c r="AA117" s="18" t="str">
        <x:v>Yes</x:v>
      </x:c>
      <x:c r="AB117" s="18" t="str">
        <x:v>No</x:v>
      </x:c>
      <x:c r="AC117" s="18" t="str">
        <x:v>MD</x:v>
      </x:c>
      <x:c r="AD117" s="18" t="n">
        <x:v>-0.2999999999999998</x:v>
      </x:c>
      <x:c r="AE117" s="18" t="str">
        <x:v>No</x:v>
      </x:c>
      <x:c r="AF117" s="18" t="str">
        <x:v>No</x:v>
      </x:c>
      <x:c r="AG117" s="18" t="str">
        <x:v>Eligible for GI-recovery analysis</x:v>
      </x:c>
      <x:c r="AH117" s="18" t="str">
        <x:v>Yes</x:v>
      </x:c>
      <x:c r="AI117" s="18" t="str">
        <x:v>No statistically significant EA-vs-sham difference</x:v>
      </x:c>
      <x:c r="AJ117" s="18" t="str">
        <x:v>Secondary outcome / first flatus</x:v>
      </x:c>
      <x:c r="AK117" s="18" t="str">
        <x:v>https://drive.google.com/file/d/1R1zCiyfWvuSp99Hi2U_K1__8kgdi90gd/view?usp=drivesdk</x:v>
      </x:c>
      <x:c r="AL117" s="18" t="str">
        <x:v>SOURCE-VERIFIED</x:v>
      </x:c>
      <x:c r="AM117" s="18" t="str">
        <x:v>GI recovery</x:v>
      </x:c>
      <x:c r="AN117" s="18" t="str">
        <x:v>Postoperative</x:v>
      </x:c>
      <x:c r="AO117" s="18" t="str">
        <x:v>INCLUDE</x:v>
      </x:c>
      <x:c r="AP117" s="18" t="str">
        <x:v>Source-valid first-flatus/ileus endpoint; retain reported distribution (mean/SD, median/IQR, or events).</x:v>
      </x:c>
      <x:c r="AQ117" s="18" t="str">
        <x:v>Yes</x:v>
      </x:c>
      <x:c r="AR117" s="18" t="str"/>
      <x:c r="AS117" s="18" t="str">
        <x:v>None</x:v>
      </x:c>
      <x:c r="AT117" s="18" t="str">
        <x:v>Time to first bowel motion</x:v>
      </x:c>
      <x:c r="AU117" s="18" t="str">
        <x:v>Postoperative</x:v>
      </x:c>
      <x:c r="AV117" s="18" t="str">
        <x:v>Some concerns</x:v>
      </x:c>
      <x:c r="AW117" s="18" t="str">
        <x:v>Yes — selected RoB is for a different result/timepoint</x:v>
      </x:c>
      <x:c r="AX117" s="18" t="str">
        <x:v>Ng 2013</x:v>
      </x:c>
      <x:c r="AY117" s="18" t="str">
        <x:v>Shared-control / multi-arm contrast</x:v>
      </x:c>
      <x:c r="AZ117" s="18" t="str">
        <x:v>Shared comparator present; avoid double-counting controls.</x:v>
      </x:c>
    </x:row>
    <x:row r="118">
      <x:c r="A118" s="18" t="str">
        <x:v>Ng 2013</x:v>
      </x:c>
      <x:c r="B118" s="18" t="str">
        <x:v>NG13_EA_vs_SHAM_PAINPOD1</x:v>
      </x:c>
      <x:c r="C118" s="18" t="str">
        <x:v>Electroacupuncture</x:v>
      </x:c>
      <x:c r="D118" s="18" t="str">
        <x:v>Sham acupuncture</x:v>
      </x:c>
      <x:c r="E118" s="18" t="str">
        <x:v>Pain</x:v>
      </x:c>
      <x:c r="F118" s="18" t="str">
        <x:v>VAS pain intensity</x:v>
      </x:c>
      <x:c r="G118" s="18" t="str">
        <x:v>POD1</x:v>
      </x:c>
      <x:c r="H118" s="18" t="str">
        <x:v>Mean/SD</x:v>
      </x:c>
      <x:c r="I118" s="18" t="n">
        <x:v>55</x:v>
      </x:c>
      <x:c r="J118" s="18" t="n">
        <x:v>55</x:v>
      </x:c>
      <x:c r="K118" s="18" t="n">
        <x:v>55</x:v>
      </x:c>
      <x:c r="L118" s="18" t="n">
        <x:v>55</x:v>
      </x:c>
      <x:c r="M118" s="18" t="n">
        <x:v>5.6</x:v>
      </x:c>
      <x:c r="N118" s="18" t="n">
        <x:v>2</x:v>
      </x:c>
      <x:c r="O118" s="18"/>
      <x:c r="P118" s="18"/>
      <x:c r="Q118" s="18"/>
      <x:c r="R118" s="18"/>
      <x:c r="S118" s="18" t="n">
        <x:v>5.8</x:v>
      </x:c>
      <x:c r="T118" s="18" t="n">
        <x:v>1.9</x:v>
      </x:c>
      <x:c r="U118" s="18"/>
      <x:c r="V118" s="18"/>
      <x:c r="W118" s="18"/>
      <x:c r="X118" s="18"/>
      <x:c r="Y118" s="18" t="str">
        <x:v>VAS 0-10</x:v>
      </x:c>
      <x:c r="Z118" s="18" t="str">
        <x:v>0.655</x:v>
      </x:c>
      <x:c r="AA118" s="18" t="str">
        <x:v>Yes</x:v>
      </x:c>
      <x:c r="AB118" s="18" t="str">
        <x:v>No</x:v>
      </x:c>
      <x:c r="AC118" s="18" t="str">
        <x:v>MD</x:v>
      </x:c>
      <x:c r="AD118" s="18" t="n">
        <x:v>-0.20000000000000018</x:v>
      </x:c>
      <x:c r="AE118" s="18" t="str">
        <x:v>No</x:v>
      </x:c>
      <x:c r="AF118" s="18" t="str">
        <x:v>No</x:v>
      </x:c>
      <x:c r="AG118" s="18" t="str">
        <x:v>Eligible for POD1 pain analysis if POD1 timing meets protocol</x:v>
      </x:c>
      <x:c r="AH118" s="18" t="str">
        <x:v>Yes</x:v>
      </x:c>
      <x:c r="AI118" s="18" t="str">
        <x:v>POD1 is not an exact clock-defined 24-h point</x:v>
      </x:c>
      <x:c r="AJ118" s="18" t="str">
        <x:v>Pain outcome / POD1</x:v>
      </x:c>
      <x:c r="AK118" s="18" t="str">
        <x:v>https://drive.google.com/file/d/1R1zCiyfWvuSp99Hi2U_K1__8kgdi90gd/view?usp=drivesdk</x:v>
      </x:c>
      <x:c r="AL118" s="18" t="str">
        <x:v>SOURCE-VERIFIED / POD LABEL</x:v>
      </x:c>
      <x:c r="AM118" s="18" t="str">
        <x:v>Pain</x:v>
      </x:c>
      <x:c r="AN118" s="18" t="str">
        <x:v>POD1 / approximate 24 h</x:v>
      </x:c>
      <x:c r="AO118" s="18" t="str">
        <x:v>CONDITIONAL — POD1</x:v>
      </x:c>
      <x:c r="AP118" s="18" t="str">
        <x:v>POD1/day-after-surgery is not necessarily a clock-defined 24-h measurement; pool only if protocol permits.</x:v>
      </x:c>
      <x:c r="AQ118" s="18" t="str">
        <x:v>No</x:v>
      </x:c>
      <x:c r="AR118" s="18" t="str"/>
      <x:c r="AS118" s="18" t="str">
        <x:v>None</x:v>
      </x:c>
      <x:c r="AT118" s="18" t="str">
        <x:v>Time to first bowel motion</x:v>
      </x:c>
      <x:c r="AU118" s="18" t="str">
        <x:v>Postoperative</x:v>
      </x:c>
      <x:c r="AV118" s="18" t="str">
        <x:v>Some concerns</x:v>
      </x:c>
      <x:c r="AW118" s="18" t="str">
        <x:v>Yes — selected RoB is for a different result/timepoint</x:v>
      </x:c>
      <x:c r="AX118" s="18" t="str">
        <x:v>Ng 2013</x:v>
      </x:c>
      <x:c r="AY118" s="18" t="str">
        <x:v>Shared-control / multi-arm contrast</x:v>
      </x:c>
      <x:c r="AZ118" s="18" t="str">
        <x:v>Shared comparator present; avoid double-counting controls.</x:v>
      </x:c>
    </x:row>
    <x:row r="119">
      <x:c r="A119" s="18" t="str">
        <x:v>Ng 2013</x:v>
      </x:c>
      <x:c r="B119" s="18" t="str">
        <x:v>NG13_EA_vs_SHAM_PETHCOUNT</x:v>
      </x:c>
      <x:c r="C119" s="18" t="str">
        <x:v>Electroacupuncture</x:v>
      </x:c>
      <x:c r="D119" s="18" t="str">
        <x:v>Sham acupuncture</x:v>
      </x:c>
      <x:c r="E119" s="18" t="str">
        <x:v>Opioid demand</x:v>
      </x:c>
      <x:c r="F119" s="18" t="str">
        <x:v>Number of postoperative pethidine injections</x:v>
      </x:c>
      <x:c r="G119" s="18" t="str">
        <x:v>Postoperative; exact window NR</x:v>
      </x:c>
      <x:c r="H119" s="18" t="str">
        <x:v>Mean/SD</x:v>
      </x:c>
      <x:c r="I119" s="18" t="n">
        <x:v>55</x:v>
      </x:c>
      <x:c r="J119" s="18" t="n">
        <x:v>55</x:v>
      </x:c>
      <x:c r="K119" s="18" t="n">
        <x:v>55</x:v>
      </x:c>
      <x:c r="L119" s="18" t="n">
        <x:v>55</x:v>
      </x:c>
      <x:c r="M119" s="18" t="n">
        <x:v>2.7</x:v>
      </x:c>
      <x:c r="N119" s="18" t="n">
        <x:v>2.3</x:v>
      </x:c>
      <x:c r="O119" s="18"/>
      <x:c r="P119" s="18"/>
      <x:c r="Q119" s="18"/>
      <x:c r="R119" s="18"/>
      <x:c r="S119" s="18" t="n">
        <x:v>5.2</x:v>
      </x:c>
      <x:c r="T119" s="18" t="n">
        <x:v>4.7</x:v>
      </x:c>
      <x:c r="U119" s="18"/>
      <x:c r="V119" s="18"/>
      <x:c r="W119" s="18"/>
      <x:c r="X119" s="18"/>
      <x:c r="Y119" s="18" t="str">
        <x:v>number of injections</x:v>
      </x:c>
      <x:c r="Z119" s="18" t="str">
        <x:v>NR</x:v>
      </x:c>
      <x:c r="AA119" s="18" t="str">
        <x:v>Yes</x:v>
      </x:c>
      <x:c r="AB119" s="18" t="str">
        <x:v>No</x:v>
      </x:c>
      <x:c r="AC119" s="18" t="str">
        <x:v>MD</x:v>
      </x:c>
      <x:c r="AD119" s="18" t="n">
        <x:v>-2.5</x:v>
      </x:c>
      <x:c r="AE119" s="18" t="str">
        <x:v>No</x:v>
      </x:c>
      <x:c r="AF119" s="18" t="str">
        <x:v>No</x:v>
      </x:c>
      <x:c r="AG119" s="18" t="str">
        <x:v>Eligible only as opioid-injection-count outcome after time-window clarification</x:v>
      </x:c>
      <x:c r="AH119" s="18" t="str">
        <x:v>Yes</x:v>
      </x:c>
      <x:c r="AI119" s="18" t="str">
        <x:v>Methods say 1 mg/kg q4h PRN, tables say 50-mg injections; exact observation window and route not clearly defined</x:v>
      </x:c>
      <x:c r="AJ119" s="18" t="str">
        <x:v>Analgesic requirement tables</x:v>
      </x:c>
      <x:c r="AK119" s="18" t="str">
        <x:v>https://drive.google.com/file/d/1R1zCiyfWvuSp99Hi2U_K1__8kgdi90gd/view?usp=drivesdk</x:v>
      </x:c>
      <x:c r="AL119" s="18" t="str">
        <x:v>SOURCE-VERIFIED / DOSE + WINDOW QC</x:v>
      </x:c>
      <x:c r="AM119" s="18" t="str">
        <x:v>PCA demand/proxy</x:v>
      </x:c>
      <x:c r="AN119" s="18" t="str">
        <x:v>Postoperative; exact window NR</x:v>
      </x:c>
      <x:c r="AO119" s="18" t="str">
        <x:v>SECONDARY / PROXY ONLY</x:v>
      </x:c>
      <x:c r="AP119" s="18" t="str">
        <x:v>PCA presses, attempts, deliveries, or solution volume are not equivalent to opioid dose unless the pump prescription permits exact reconstruction.</x:v>
      </x:c>
      <x:c r="AQ119" s="18" t="str">
        <x:v>No</x:v>
      </x:c>
      <x:c r="AR119" s="18" t="str"/>
      <x:c r="AS119" s="18" t="str">
        <x:v>None</x:v>
      </x:c>
      <x:c r="AT119" s="18" t="str">
        <x:v>Time to first bowel motion</x:v>
      </x:c>
      <x:c r="AU119" s="18" t="str">
        <x:v>Postoperative</x:v>
      </x:c>
      <x:c r="AV119" s="18" t="str">
        <x:v>Some concerns</x:v>
      </x:c>
      <x:c r="AW119" s="18" t="str">
        <x:v>Yes — selected RoB is for a different result/timepoint</x:v>
      </x:c>
      <x:c r="AX119" s="18" t="str">
        <x:v>Ng 2013</x:v>
      </x:c>
      <x:c r="AY119" s="18" t="str">
        <x:v>Shared-control / multi-arm contrast</x:v>
      </x:c>
      <x:c r="AZ119" s="18" t="str">
        <x:v>Shared comparator present; avoid double-counting controls.</x:v>
      </x:c>
    </x:row>
    <x:row r="120">
      <x:c r="A120" s="18" t="str">
        <x:v>Ng 2013</x:v>
      </x:c>
      <x:c r="B120" s="18" t="str">
        <x:v>NG13_EA_vs_SHAM_OPIOID24</x:v>
      </x:c>
      <x:c r="C120" s="18" t="str">
        <x:v>Electroacupuncture</x:v>
      </x:c>
      <x:c r="D120" s="18" t="str">
        <x:v>Sham acupuncture</x:v>
      </x:c>
      <x:c r="E120" s="18" t="str">
        <x:v>Opioid consumption</x:v>
      </x:c>
      <x:c r="F120" s="18" t="str">
        <x:v>Cumulative pethidine consumption</x:v>
      </x:c>
      <x:c r="G120" s="18" t="str">
        <x:v>0-24 h</x:v>
      </x:c>
      <x:c r="H120" s="18" t="str">
        <x:v>Not reported</x:v>
      </x:c>
      <x:c r="I120" s="18" t="n">
        <x:v>55</x:v>
      </x:c>
      <x:c r="J120" s="18" t="n">
        <x:v>55</x:v>
      </x:c>
      <x:c r="K120" s="18" t="n">
        <x:v>55</x:v>
      </x:c>
      <x:c r="L120" s="18" t="n">
        <x:v>55</x:v>
      </x:c>
      <x:c r="M120" s="18"/>
      <x:c r="N120" s="18"/>
      <x:c r="O120" s="18"/>
      <x:c r="P120" s="18"/>
      <x:c r="Q120" s="18"/>
      <x:c r="R120" s="18"/>
      <x:c r="S120" s="18"/>
      <x:c r="T120" s="18"/>
      <x:c r="U120" s="18"/>
      <x:c r="V120" s="18"/>
      <x:c r="W120" s="18"/>
      <x:c r="X120" s="18"/>
      <x:c r="Y120" s="18" t="str">
        <x:v>mg pethidine</x:v>
      </x:c>
      <x:c r="Z120" s="18"/>
      <x:c r="AA120" s="18" t="str">
        <x:v>No</x:v>
      </x:c>
      <x:c r="AB120" s="18" t="str">
        <x:v>No</x:v>
      </x:c>
      <x:c r="AC120" s="18"/>
      <x:c r="AD120" s="18"/>
      <x:c r="AE120" s="18" t="str">
        <x:v>No</x:v>
      </x:c>
      <x:c r="AF120" s="18" t="str">
        <x:v>No</x:v>
      </x:c>
      <x:c r="AG120" s="18" t="str">
        <x:v>Not eligible for strict continuous 24-h opioid meta-analysis without author data</x:v>
      </x:c>
      <x:c r="AH120" s="18" t="str">
        <x:v>Yes</x:v>
      </x:c>
      <x:c r="AI120" s="18" t="str">
        <x:v>Do not multiply injection counts by 50 mg and call it a 24-h dose; source time window/dosing statement is ambiguous</x:v>
      </x:c>
      <x:c r="AJ120" s="18" t="str">
        <x:v>Exact 24-h opioid endpoint absent</x:v>
      </x:c>
      <x:c r="AK120" s="18" t="str">
        <x:v>https://drive.google.com/file/d/1R1zCiyfWvuSp99Hi2U_K1__8kgdi90gd/view?usp=drivesdk</x:v>
      </x:c>
      <x:c r="AL120" s="18" t="str">
        <x:v>MISSING / AUTHOR DATA NEEDED</x:v>
      </x:c>
      <x:c r="AM120" s="18" t="str">
        <x:v>Postoperative opioid consumption</x:v>
      </x:c>
      <x:c r="AN120" s="18" t="str">
        <x:v>Exact/explicit 24 h</x:v>
      </x:c>
      <x:c r="AO120" s="18" t="str">
        <x:v>EXCLUDE — DATA UNAVAILABLE</x:v>
      </x:c>
      <x:c r="AP120" s="18" t="str">
        <x:v>The source does not provide a defensible quantitative value for this analysis.</x:v>
      </x:c>
      <x:c r="AQ120" s="18" t="str">
        <x:v>No</x:v>
      </x:c>
      <x:c r="AR120" s="18" t="str"/>
      <x:c r="AS120" s="18" t="str">
        <x:v>None</x:v>
      </x:c>
      <x:c r="AT120" s="18" t="str">
        <x:v>Time to first bowel motion</x:v>
      </x:c>
      <x:c r="AU120" s="18" t="str">
        <x:v>Postoperative</x:v>
      </x:c>
      <x:c r="AV120" s="18" t="str">
        <x:v>Some concerns</x:v>
      </x:c>
      <x:c r="AW120" s="18" t="str">
        <x:v>Yes — selected RoB is for a different result/timepoint</x:v>
      </x:c>
      <x:c r="AX120" s="18" t="str">
        <x:v>Ng 2013</x:v>
      </x:c>
      <x:c r="AY120" s="18" t="str">
        <x:v>Shared-control / multi-arm contrast</x:v>
      </x:c>
      <x:c r="AZ120" s="18" t="str">
        <x:v>Shared comparator present; avoid double-counting controls.</x:v>
      </x:c>
    </x:row>
    <x:row r="121">
      <x:c r="A121" s="18" t="str">
        <x:v>Ma 2026</x:v>
      </x:c>
      <x:c r="B121" s="18" t="str">
        <x:v>MA26_T_vs_S_PAIN24</x:v>
      </x:c>
      <x:c r="C121" s="18" t="str">
        <x:v>Group T: sleep disturbance + preop TEAS</x:v>
      </x:c>
      <x:c r="D121" s="18" t="str">
        <x:v>Group S: sleep disturbance, no TEAS</x:v>
      </x:c>
      <x:c r="E121" s="18" t="str">
        <x:v>Pain</x:v>
      </x:c>
      <x:c r="F121" s="18" t="str">
        <x:v>Resting NRS pain</x:v>
      </x:c>
      <x:c r="G121" s="18" t="str">
        <x:v>24 h</x:v>
      </x:c>
      <x:c r="H121" s="18" t="str">
        <x:v>Graph-only continuous data</x:v>
      </x:c>
      <x:c r="I121" s="18" t="n">
        <x:v>18</x:v>
      </x:c>
      <x:c r="J121" s="18" t="n">
        <x:v>17</x:v>
      </x:c>
      <x:c r="K121" s="18" t="n">
        <x:v>17</x:v>
      </x:c>
      <x:c r="L121" s="18" t="n">
        <x:v>16</x:v>
      </x:c>
      <x:c r="M121" s="18"/>
      <x:c r="N121" s="18"/>
      <x:c r="O121" s="18"/>
      <x:c r="P121" s="18"/>
      <x:c r="Q121" s="18"/>
      <x:c r="R121" s="18"/>
      <x:c r="S121" s="18"/>
      <x:c r="T121" s="18"/>
      <x:c r="U121" s="18"/>
      <x:c r="V121" s="18"/>
      <x:c r="W121" s="18"/>
      <x:c r="X121" s="18"/>
      <x:c r="Y121" s="18" t="str">
        <x:v>NRS 0-10</x:v>
      </x:c>
      <x:c r="Z121" s="18" t="str">
        <x:v>P&lt;0.05 T vs S</x:v>
      </x:c>
      <x:c r="AA121" s="18" t="str">
        <x:v>No</x:v>
      </x:c>
      <x:c r="AB121" s="18" t="str">
        <x:v>No</x:v>
      </x:c>
      <x:c r="AC121" s="18"/>
      <x:c r="AD121" s="18"/>
      <x:c r="AE121" s="18" t="str">
        <x:v>No</x:v>
      </x:c>
      <x:c r="AF121" s="18" t="str">
        <x:v>No</x:v>
      </x:c>
      <x:c r="AG121" s="18" t="str">
        <x:v>Not ready for continuous meta-analysis without formal graph digitization or author data</x:v>
      </x:c>
      <x:c r="AH121" s="18" t="str">
        <x:v>No</x:v>
      </x:c>
      <x:c r="AI121" s="18" t="str">
        <x:v>Partially randomized trial: only T vs S is randomized. Exact 24-h means/SDs are graph-only and must not be inferred from Antigravity candidate values</x:v>
      </x:c>
      <x:c r="AJ121" s="18" t="str">
        <x:v>Figure / 24-h postoperative NRS</x:v>
      </x:c>
      <x:c r="AK121" s="18" t="str">
        <x:v>https://drive.google.com/file/d/1tMEOwvRWIMeEmBmKfeHEt7YF10yxslUe/view?usp=drivesdk</x:v>
      </x:c>
      <x:c r="AL121" s="18" t="str">
        <x:v>FIGURE ONLY / DIGITIZATION NEEDED</x:v>
      </x:c>
      <x:c r="AM121" s="18" t="str">
        <x:v>Pain</x:v>
      </x:c>
      <x:c r="AN121" s="18" t="str">
        <x:v>Exact/explicit 24 h</x:v>
      </x:c>
      <x:c r="AO121" s="18" t="str">
        <x:v>DIGITIZATION NEEDED</x:v>
      </x:c>
      <x:c r="AP121" s="18" t="str">
        <x:v>Exact numeric result is not tabulated; formal graph digitization or author data is required before quantitative pooling.</x:v>
      </x:c>
      <x:c r="AQ121" s="18" t="str">
        <x:v>No</x:v>
      </x:c>
      <x:c r="AR121" s="18" t="str"/>
      <x:c r="AS121" s="18" t="str">
        <x:v>None</x:v>
      </x:c>
      <x:c r="AT121" s="18" t="str">
        <x:v>Resting NRS pain</x:v>
      </x:c>
      <x:c r="AU121" s="18" t="str">
        <x:v>24 h</x:v>
      </x:c>
      <x:c r="AV121" s="18" t="str">
        <x:v>High</x:v>
      </x:c>
      <x:c r="AW121" s="18" t="str">
        <x:v>No — selected RoB matches this result</x:v>
      </x:c>
      <x:c r="AX121" s="18" t="str">
        <x:v>Ma 2026</x:v>
      </x:c>
      <x:c r="AY121" s="18" t="str">
        <x:v>Primary eligible contrast</x:v>
      </x:c>
      <x:c r="AZ121" s="18" t="str">
        <x:v>Count this study once per synthesis unless a valid multi-arm method is used.</x:v>
      </x:c>
    </x:row>
    <x:row r="122">
      <x:c r="A122" s="18" t="str">
        <x:v>Ma 2026</x:v>
      </x:c>
      <x:c r="B122" s="18" t="str">
        <x:v>MA26_T_vs_S_AISPOD1</x:v>
      </x:c>
      <x:c r="C122" s="18" t="str">
        <x:v>Group T: sleep disturbance + preop TEAS</x:v>
      </x:c>
      <x:c r="D122" s="18" t="str">
        <x:v>Group S: sleep disturbance, no TEAS</x:v>
      </x:c>
      <x:c r="E122" s="18" t="str">
        <x:v>Sleep quality</x:v>
      </x:c>
      <x:c r="F122" s="18" t="str">
        <x:v>Athens Insomnia Scale</x:v>
      </x:c>
      <x:c r="G122" s="18" t="str">
        <x:v>POD1</x:v>
      </x:c>
      <x:c r="H122" s="18" t="str">
        <x:v>Graph-only continuous data</x:v>
      </x:c>
      <x:c r="I122" s="18" t="n">
        <x:v>18</x:v>
      </x:c>
      <x:c r="J122" s="18" t="n">
        <x:v>17</x:v>
      </x:c>
      <x:c r="K122" s="18" t="n">
        <x:v>17</x:v>
      </x:c>
      <x:c r="L122" s="18" t="n">
        <x:v>16</x:v>
      </x:c>
      <x:c r="M122" s="18"/>
      <x:c r="N122" s="18"/>
      <x:c r="O122" s="18"/>
      <x:c r="P122" s="18"/>
      <x:c r="Q122" s="18"/>
      <x:c r="R122" s="18"/>
      <x:c r="S122" s="18"/>
      <x:c r="T122" s="18"/>
      <x:c r="U122" s="18"/>
      <x:c r="V122" s="18"/>
      <x:c r="W122" s="18"/>
      <x:c r="X122" s="18"/>
      <x:c r="Y122" s="18" t="str">
        <x:v>AIS points</x:v>
      </x:c>
      <x:c r="Z122" s="18" t="str">
        <x:v>P&lt;0.05 T vs S</x:v>
      </x:c>
      <x:c r="AA122" s="18" t="str">
        <x:v>No</x:v>
      </x:c>
      <x:c r="AB122" s="18" t="str">
        <x:v>No</x:v>
      </x:c>
      <x:c r="AC122" s="18"/>
      <x:c r="AD122" s="18"/>
      <x:c r="AE122" s="18" t="str">
        <x:v>No</x:v>
      </x:c>
      <x:c r="AF122" s="18" t="str">
        <x:v>No</x:v>
      </x:c>
      <x:c r="AG122" s="18" t="str">
        <x:v>Not ready for continuous meta-analysis without formal graph digitization or author data</x:v>
      </x:c>
      <x:c r="AH122" s="18" t="str">
        <x:v>No</x:v>
      </x:c>
      <x:c r="AI122" s="18" t="str">
        <x:v>Exact postoperative AIS means/SDs are graph-only; Group C is non-randomized and must not be used as a randomized comparator</x:v>
      </x:c>
      <x:c r="AJ122" s="18" t="str">
        <x:v>Figure 4 / POD1 AIS</x:v>
      </x:c>
      <x:c r="AK122" s="18" t="str">
        <x:v>https://drive.google.com/file/d/1tMEOwvRWIMeEmBmKfeHEt7YF10yxslUe/view?usp=drivesdk</x:v>
      </x:c>
      <x:c r="AL122" s="18" t="str">
        <x:v>FIGURE ONLY / DIGITIZATION NEEDED</x:v>
      </x:c>
      <x:c r="AM122" s="18" t="str">
        <x:v>Sleep</x:v>
      </x:c>
      <x:c r="AN122" s="18" t="str">
        <x:v>POD1 / approximate 24 h</x:v>
      </x:c>
      <x:c r="AO122" s="18" t="str">
        <x:v>DIGITIZATION NEEDED</x:v>
      </x:c>
      <x:c r="AP122" s="18" t="str">
        <x:v>Exact numeric result is not tabulated; formal graph digitization or author data is required before quantitative pooling.</x:v>
      </x:c>
      <x:c r="AQ122" s="18" t="str">
        <x:v>No</x:v>
      </x:c>
      <x:c r="AR122" s="18" t="str"/>
      <x:c r="AS122" s="18" t="str">
        <x:v>None</x:v>
      </x:c>
      <x:c r="AT122" s="18" t="str">
        <x:v>Resting NRS pain</x:v>
      </x:c>
      <x:c r="AU122" s="18" t="str">
        <x:v>24 h</x:v>
      </x:c>
      <x:c r="AV122" s="18" t="str">
        <x:v>High</x:v>
      </x:c>
      <x:c r="AW122" s="18" t="str">
        <x:v>Yes — selected RoB is for a different result/timepoint</x:v>
      </x:c>
      <x:c r="AX122" s="18" t="str">
        <x:v>Ma 2026</x:v>
      </x:c>
      <x:c r="AY122" s="18" t="str">
        <x:v>Primary eligible contrast</x:v>
      </x:c>
      <x:c r="AZ122" s="18" t="str">
        <x:v>Count this study once per synthesis unless a valid multi-arm method is used.</x:v>
      </x:c>
    </x:row>
    <x:row r="123">
      <x:c r="A123" s="18" t="str">
        <x:v>Ma 2026</x:v>
      </x:c>
      <x:c r="B123" s="18" t="str">
        <x:v>MA26_T_vs_S_NAUSEA24</x:v>
      </x:c>
      <x:c r="C123" s="18" t="str">
        <x:v>Group T: sleep disturbance + preop TEAS</x:v>
      </x:c>
      <x:c r="D123" s="18" t="str">
        <x:v>Group S: sleep disturbance, no TEAS</x:v>
      </x:c>
      <x:c r="E123" s="18" t="str">
        <x:v>PONV</x:v>
      </x:c>
      <x:c r="F123" s="18" t="str">
        <x:v>Nausea</x:v>
      </x:c>
      <x:c r="G123" s="18" t="str">
        <x:v>24 h</x:v>
      </x:c>
      <x:c r="H123" s="18" t="str">
        <x:v>Events/total</x:v>
      </x:c>
      <x:c r="I123" s="18" t="n">
        <x:v>18</x:v>
      </x:c>
      <x:c r="J123" s="18" t="n">
        <x:v>17</x:v>
      </x:c>
      <x:c r="K123" s="18" t="n">
        <x:v>17</x:v>
      </x:c>
      <x:c r="L123" s="18" t="n">
        <x:v>16</x:v>
      </x:c>
      <x:c r="M123" s="18"/>
      <x:c r="N123" s="18"/>
      <x:c r="O123" s="18"/>
      <x:c r="P123" s="18"/>
      <x:c r="Q123" s="18"/>
      <x:c r="R123" s="18" t="n">
        <x:v>6</x:v>
      </x:c>
      <x:c r="S123" s="18"/>
      <x:c r="T123" s="18"/>
      <x:c r="U123" s="18"/>
      <x:c r="V123" s="18"/>
      <x:c r="W123" s="18"/>
      <x:c r="X123" s="18" t="n">
        <x:v>8</x:v>
      </x:c>
      <x:c r="Y123" s="18" t="str">
        <x:v>participants</x:v>
      </x:c>
      <x:c r="Z123" s="18" t="str">
        <x:v>Overall 3-group P=0.590; randomized T-vs-S pairwise NR</x:v>
      </x:c>
      <x:c r="AA123" s="18" t="str">
        <x:v>Yes</x:v>
      </x:c>
      <x:c r="AB123" s="18" t="str">
        <x:v>No</x:v>
      </x:c>
      <x:c r="AC123" s="18" t="str">
        <x:v>RR</x:v>
      </x:c>
      <x:c r="AD123" s="18" t="n">
        <x:v>0.7058823529411765</x:v>
      </x:c>
      <x:c r="AE123" s="18" t="str">
        <x:v>No</x:v>
      </x:c>
      <x:c r="AF123" s="18" t="str">
        <x:v>No</x:v>
      </x:c>
      <x:c r="AG123" s="18" t="str">
        <x:v>Eligible for dichotomous 24-h nausea analysis using randomized T vs S contrast</x:v>
      </x:c>
      <x:c r="AH123" s="18" t="str">
        <x:v>No</x:v>
      </x:c>
      <x:c r="AI123" s="18" t="str">
        <x:v>Overall P-value includes non-randomized Group C; do not treat it as the randomized pairwise P-value</x:v>
      </x:c>
      <x:c r="AJ123" s="18" t="str">
        <x:v>24-h PONV table</x:v>
      </x:c>
      <x:c r="AK123" s="18" t="str">
        <x:v>https://drive.google.com/file/d/1tMEOwvRWIMeEmBmKfeHEt7YF10yxslUe/view?usp=drivesdk</x:v>
      </x:c>
      <x:c r="AL123" s="18" t="str">
        <x:v>SOURCE-VERIFIED</x:v>
      </x:c>
      <x:c r="AM123" s="18" t="str">
        <x:v>PONV</x:v>
      </x:c>
      <x:c r="AN123" s="18" t="str">
        <x:v>Exact/explicit 24 h</x:v>
      </x:c>
      <x:c r="AO123" s="18" t="str">
        <x:v>INCLUDE</x:v>
      </x:c>
      <x:c r="AP123" s="18" t="str">
        <x:v>Explicit 24-h PONV endpoint.</x:v>
      </x:c>
      <x:c r="AQ123" s="18" t="str">
        <x:v>Yes</x:v>
      </x:c>
      <x:c r="AR123" s="18" t="str"/>
      <x:c r="AS123" s="18" t="str">
        <x:v>Binary effect measure (RR preferred per protocol)</x:v>
      </x:c>
      <x:c r="AT123" s="18" t="str">
        <x:v>Resting NRS pain</x:v>
      </x:c>
      <x:c r="AU123" s="18" t="str">
        <x:v>24 h</x:v>
      </x:c>
      <x:c r="AV123" s="18" t="str">
        <x:v>High</x:v>
      </x:c>
      <x:c r="AW123" s="18" t="str">
        <x:v>Yes — selected RoB is for a different result/timepoint</x:v>
      </x:c>
      <x:c r="AX123" s="18" t="str">
        <x:v>Ma 2026</x:v>
      </x:c>
      <x:c r="AY123" s="18" t="str">
        <x:v>Primary eligible contrast</x:v>
      </x:c>
      <x:c r="AZ123" s="18" t="str">
        <x:v>Count this study once per synthesis unless a valid multi-arm method is used.</x:v>
      </x:c>
    </x:row>
    <x:row r="124">
      <x:c r="A124" s="18" t="str">
        <x:v>Ma 2026</x:v>
      </x:c>
      <x:c r="B124" s="18" t="str">
        <x:v>MA26_T_vs_S_VOMIT24</x:v>
      </x:c>
      <x:c r="C124" s="18" t="str">
        <x:v>Group T: sleep disturbance + preop TEAS</x:v>
      </x:c>
      <x:c r="D124" s="18" t="str">
        <x:v>Group S: sleep disturbance, no TEAS</x:v>
      </x:c>
      <x:c r="E124" s="18" t="str">
        <x:v>PONV</x:v>
      </x:c>
      <x:c r="F124" s="18" t="str">
        <x:v>Vomiting</x:v>
      </x:c>
      <x:c r="G124" s="18" t="str">
        <x:v>24 h</x:v>
      </x:c>
      <x:c r="H124" s="18" t="str">
        <x:v>Events/total</x:v>
      </x:c>
      <x:c r="I124" s="18" t="n">
        <x:v>18</x:v>
      </x:c>
      <x:c r="J124" s="18" t="n">
        <x:v>17</x:v>
      </x:c>
      <x:c r="K124" s="18" t="n">
        <x:v>17</x:v>
      </x:c>
      <x:c r="L124" s="18" t="n">
        <x:v>16</x:v>
      </x:c>
      <x:c r="M124" s="18"/>
      <x:c r="N124" s="18"/>
      <x:c r="O124" s="18"/>
      <x:c r="P124" s="18"/>
      <x:c r="Q124" s="18"/>
      <x:c r="R124" s="18" t="n">
        <x:v>6</x:v>
      </x:c>
      <x:c r="S124" s="18"/>
      <x:c r="T124" s="18"/>
      <x:c r="U124" s="18"/>
      <x:c r="V124" s="18"/>
      <x:c r="W124" s="18"/>
      <x:c r="X124" s="18" t="n">
        <x:v>7</x:v>
      </x:c>
      <x:c r="Y124" s="18" t="str">
        <x:v>participants</x:v>
      </x:c>
      <x:c r="Z124" s="18" t="str">
        <x:v>Overall 3-group P=0.863; randomized T-vs-S pairwise NR</x:v>
      </x:c>
      <x:c r="AA124" s="18" t="str">
        <x:v>Yes</x:v>
      </x:c>
      <x:c r="AB124" s="18" t="str">
        <x:v>No</x:v>
      </x:c>
      <x:c r="AC124" s="18" t="str">
        <x:v>RR</x:v>
      </x:c>
      <x:c r="AD124" s="18" t="n">
        <x:v>0.8067226890756303</x:v>
      </x:c>
      <x:c r="AE124" s="18" t="str">
        <x:v>No</x:v>
      </x:c>
      <x:c r="AF124" s="18" t="str">
        <x:v>No</x:v>
      </x:c>
      <x:c r="AG124" s="18" t="str">
        <x:v>Eligible for dichotomous 24-h vomiting analysis using randomized T vs S contrast</x:v>
      </x:c>
      <x:c r="AH124" s="18" t="str">
        <x:v>No</x:v>
      </x:c>
      <x:c r="AI124" s="18" t="str">
        <x:v>Overall P-value includes non-randomized Group C</x:v>
      </x:c>
      <x:c r="AJ124" s="18" t="str">
        <x:v>24-h PONV table</x:v>
      </x:c>
      <x:c r="AK124" s="18" t="str">
        <x:v>https://drive.google.com/file/d/1tMEOwvRWIMeEmBmKfeHEt7YF10yxslUe/view?usp=drivesdk</x:v>
      </x:c>
      <x:c r="AL124" s="18" t="str">
        <x:v>SOURCE-VERIFIED</x:v>
      </x:c>
      <x:c r="AM124" s="18" t="str">
        <x:v>PONV</x:v>
      </x:c>
      <x:c r="AN124" s="18" t="str">
        <x:v>Exact/explicit 24 h</x:v>
      </x:c>
      <x:c r="AO124" s="18" t="str">
        <x:v>INCLUDE</x:v>
      </x:c>
      <x:c r="AP124" s="18" t="str">
        <x:v>Explicit 24-h PONV endpoint.</x:v>
      </x:c>
      <x:c r="AQ124" s="18" t="str">
        <x:v>Yes</x:v>
      </x:c>
      <x:c r="AR124" s="18" t="str"/>
      <x:c r="AS124" s="18" t="str">
        <x:v>Binary effect measure (RR preferred per protocol)</x:v>
      </x:c>
      <x:c r="AT124" s="18" t="str">
        <x:v>Resting NRS pain</x:v>
      </x:c>
      <x:c r="AU124" s="18" t="str">
        <x:v>24 h</x:v>
      </x:c>
      <x:c r="AV124" s="18" t="str">
        <x:v>High</x:v>
      </x:c>
      <x:c r="AW124" s="18" t="str">
        <x:v>Yes — selected RoB is for a different result/timepoint</x:v>
      </x:c>
      <x:c r="AX124" s="18" t="str">
        <x:v>Ma 2026</x:v>
      </x:c>
      <x:c r="AY124" s="18" t="str">
        <x:v>Primary eligible contrast</x:v>
      </x:c>
      <x:c r="AZ124" s="18" t="str">
        <x:v>Count this study once per synthesis unless a valid multi-arm method is used.</x:v>
      </x:c>
    </x:row>
    <x:row r="125">
      <x:c r="A125" s="18" t="str">
        <x:v>Ma 2026</x:v>
      </x:c>
      <x:c r="B125" s="18" t="str">
        <x:v>MA26_T_vs_S_OPIOID24</x:v>
      </x:c>
      <x:c r="C125" s="18" t="str">
        <x:v>Group T: sleep disturbance + preop TEAS</x:v>
      </x:c>
      <x:c r="D125" s="18" t="str">
        <x:v>Group S: sleep disturbance, no TEAS</x:v>
      </x:c>
      <x:c r="E125" s="18" t="str">
        <x:v>Opioid consumption</x:v>
      </x:c>
      <x:c r="F125" s="18" t="str">
        <x:v>Cumulative postoperative opioid consumption</x:v>
      </x:c>
      <x:c r="G125" s="18" t="str">
        <x:v>0-24 h</x:v>
      </x:c>
      <x:c r="H125" s="18" t="str">
        <x:v>Not reported</x:v>
      </x:c>
      <x:c r="I125" s="18" t="n">
        <x:v>18</x:v>
      </x:c>
      <x:c r="J125" s="18" t="n">
        <x:v>17</x:v>
      </x:c>
      <x:c r="K125" s="18" t="n">
        <x:v>17</x:v>
      </x:c>
      <x:c r="L125" s="18" t="n">
        <x:v>16</x:v>
      </x:c>
      <x:c r="M125" s="18"/>
      <x:c r="N125" s="18"/>
      <x:c r="O125" s="18"/>
      <x:c r="P125" s="18"/>
      <x:c r="Q125" s="18"/>
      <x:c r="R125" s="18"/>
      <x:c r="S125" s="18"/>
      <x:c r="T125" s="18"/>
      <x:c r="U125" s="18"/>
      <x:c r="V125" s="18"/>
      <x:c r="W125" s="18"/>
      <x:c r="X125" s="18"/>
      <x:c r="Y125" s="18" t="str">
        <x:v>mg/µg</x:v>
      </x:c>
      <x:c r="Z125" s="18"/>
      <x:c r="AA125" s="18" t="str">
        <x:v>No</x:v>
      </x:c>
      <x:c r="AB125" s="18" t="str">
        <x:v>No</x:v>
      </x:c>
      <x:c r="AC125" s="18"/>
      <x:c r="AD125" s="18"/>
      <x:c r="AE125" s="18" t="str">
        <x:v>No</x:v>
      </x:c>
      <x:c r="AF125" s="18" t="str">
        <x:v>No</x:v>
      </x:c>
      <x:c r="AG125" s="18" t="str">
        <x:v>Not eligible for continuous 24-h opioid meta-analysis</x:v>
      </x:c>
      <x:c r="AH125" s="18" t="str">
        <x:v>No</x:v>
      </x:c>
      <x:c r="AI125" s="18" t="str">
        <x:v>Routine postoperative analgesia was non-opioid flurbiprofen; whether any postoperative opioid was given is not reported</x:v>
      </x:c>
      <x:c r="AJ125" s="18" t="str">
        <x:v>Postoperative analgesia section</x:v>
      </x:c>
      <x:c r="AK125" s="18" t="str">
        <x:v>https://drive.google.com/file/d/1tMEOwvRWIMeEmBmKfeHEt7YF10yxslUe/view?usp=drivesdk</x:v>
      </x:c>
      <x:c r="AL125" s="18" t="str">
        <x:v>MISSING / POSTOP OPIOID USE NR</x:v>
      </x:c>
      <x:c r="AM125" s="18" t="str">
        <x:v>Postoperative opioid consumption</x:v>
      </x:c>
      <x:c r="AN125" s="18" t="str">
        <x:v>Exact/explicit 24 h</x:v>
      </x:c>
      <x:c r="AO125" s="18" t="str">
        <x:v>EXCLUDE — DATA UNAVAILABLE</x:v>
      </x:c>
      <x:c r="AP125" s="18" t="str">
        <x:v>The source does not provide a defensible quantitative value for this analysis.</x:v>
      </x:c>
      <x:c r="AQ125" s="18" t="str">
        <x:v>No</x:v>
      </x:c>
      <x:c r="AR125" s="18" t="str"/>
      <x:c r="AS125" s="18" t="str">
        <x:v>None</x:v>
      </x:c>
      <x:c r="AT125" s="18" t="str">
        <x:v>Resting NRS pain</x:v>
      </x:c>
      <x:c r="AU125" s="18" t="str">
        <x:v>24 h</x:v>
      </x:c>
      <x:c r="AV125" s="18" t="str">
        <x:v>High</x:v>
      </x:c>
      <x:c r="AW125" s="18" t="str">
        <x:v>Yes — selected RoB is for a different result/timepoint</x:v>
      </x:c>
      <x:c r="AX125" s="18" t="str">
        <x:v>Ma 2026</x:v>
      </x:c>
      <x:c r="AY125" s="18" t="str">
        <x:v>Primary eligible contrast</x:v>
      </x:c>
      <x:c r="AZ125" s="18" t="str">
        <x:v>Count this study once per synthesis unless a valid multi-arm method is used.</x:v>
      </x:c>
    </x:row>
    <x:row r="126">
      <x:c r="A126" s="18" t="str">
        <x:v>Lu 2021</x:v>
      </x:c>
      <x:c r="B126" s="18" t="str">
        <x:v>LU21_COMB_vs_SHAM_CHRONIC6M</x:v>
      </x:c>
      <x:c r="C126" s="18" t="str">
        <x:v>Combined PC6+CV17 TEAS</x:v>
      </x:c>
      <x:c r="D126" s="18" t="str">
        <x:v>Sham/no current</x:v>
      </x:c>
      <x:c r="E126" s="18" t="str">
        <x:v>Chronic pain</x:v>
      </x:c>
      <x:c r="F126" s="18" t="str">
        <x:v>Post-mastectomy chronic pain incidence</x:v>
      </x:c>
      <x:c r="G126" s="18" t="str">
        <x:v>6 months</x:v>
      </x:c>
      <x:c r="H126" s="18" t="str">
        <x:v>Events/total</x:v>
      </x:c>
      <x:c r="I126" s="18" t="n">
        <x:v>190</x:v>
      </x:c>
      <x:c r="J126" s="18" t="n">
        <x:v>188</x:v>
      </x:c>
      <x:c r="K126" s="18" t="n">
        <x:v>190</x:v>
      </x:c>
      <x:c r="L126" s="18" t="n">
        <x:v>188</x:v>
      </x:c>
      <x:c r="M126" s="18"/>
      <x:c r="N126" s="18"/>
      <x:c r="O126" s="18"/>
      <x:c r="P126" s="18"/>
      <x:c r="Q126" s="18"/>
      <x:c r="R126" s="18" t="n">
        <x:v>42</x:v>
      </x:c>
      <x:c r="S126" s="18"/>
      <x:c r="T126" s="18"/>
      <x:c r="U126" s="18"/>
      <x:c r="V126" s="18"/>
      <x:c r="W126" s="18"/>
      <x:c r="X126" s="18" t="n">
        <x:v>65</x:v>
      </x:c>
      <x:c r="Y126" s="18" t="str">
        <x:v>participants</x:v>
      </x:c>
      <x:c r="Z126" s="18" t="str">
        <x:v>Overall P=0.005; combined vs sham pairwise P varies by article section</x:v>
      </x:c>
      <x:c r="AA126" s="18" t="str">
        <x:v>Yes</x:v>
      </x:c>
      <x:c r="AB126" s="18" t="str">
        <x:v>No</x:v>
      </x:c>
      <x:c r="AC126" s="18" t="str">
        <x:v>RR</x:v>
      </x:c>
      <x:c r="AD126" s="18" t="n">
        <x:v>0.6393522267206477</x:v>
      </x:c>
      <x:c r="AE126" s="18" t="str">
        <x:v>No</x:v>
      </x:c>
      <x:c r="AF126" s="18" t="str">
        <x:v>No</x:v>
      </x:c>
      <x:c r="AG126" s="18" t="str">
        <x:v>Eligible for dichotomous chronic-pain analysis using raw event counts</x:v>
      </x:c>
      <x:c r="AH126" s="18" t="str">
        <x:v>Yes</x:v>
      </x:c>
      <x:c r="AI126" s="18" t="str">
        <x:v>Printed RR/P-values conflict across abstract, Results and Table 2; raw counts 42/190 vs 65/188 are the stable source facts</x:v>
      </x:c>
      <x:c r="AJ126" s="18" t="str">
        <x:v>Table 2 / primary 6-month chronic pain</x:v>
      </x:c>
      <x:c r="AK126" s="18" t="str">
        <x:v>https://drive.google.com/file/d/1MgD_OucfiyNEDdDe3osh8W01U1yYZs08/view?usp=drivesdk</x:v>
      </x:c>
      <x:c r="AL126" s="18" t="str">
        <x:v>SOURCE-VERIFIED / PUBLISHED EFFECT QC</x:v>
      </x:c>
      <x:c r="AM126" s="18" t="str">
        <x:v>Pain</x:v>
      </x:c>
      <x:c r="AN126" s="18" t="str">
        <x:v>6 months</x:v>
      </x:c>
      <x:c r="AO126" s="18" t="str">
        <x:v>INCLUDE — OTHER TIMEPOINT</x:v>
      </x:c>
      <x:c r="AP126" s="18" t="str">
        <x:v>Source-valid pain outcome for a non-24-h analysis.</x:v>
      </x:c>
      <x:c r="AQ126" s="18" t="str">
        <x:v>No</x:v>
      </x:c>
      <x:c r="AR126" s="18" t="str"/>
      <x:c r="AS126" s="18" t="str">
        <x:v>Binary effect measure (RR preferred per protocol)</x:v>
      </x:c>
      <x:c r="AT126" s="18" t="str">
        <x:v>Post-mastectomy chronic pain incidence</x:v>
      </x:c>
      <x:c r="AU126" s="18" t="str">
        <x:v>6 months</x:v>
      </x:c>
      <x:c r="AV126" s="18" t="str">
        <x:v>High</x:v>
      </x:c>
      <x:c r="AW126" s="18" t="str">
        <x:v>No — selected RoB matches this result</x:v>
      </x:c>
      <x:c r="AX126" s="18" t="str">
        <x:v>Lu 2021</x:v>
      </x:c>
      <x:c r="AY126" s="18" t="str">
        <x:v>Acupoint-combination arm contrast</x:v>
      </x:c>
      <x:c r="AZ126" s="18" t="str">
        <x:v>Three-arm trial with shared sham; combined and single-point arms are not independent studies.</x:v>
      </x:c>
    </x:row>
    <x:row r="127">
      <x:c r="A127" s="18" t="str">
        <x:v>Lu 2021</x:v>
      </x:c>
      <x:c r="B127" s="18" t="str">
        <x:v>LU21_SINGLE_vs_SHAM_CHRONIC6M</x:v>
      </x:c>
      <x:c r="C127" s="18" t="str">
        <x:v>Single PC6 TEAS</x:v>
      </x:c>
      <x:c r="D127" s="18" t="str">
        <x:v>Sham/no current</x:v>
      </x:c>
      <x:c r="E127" s="18" t="str">
        <x:v>Chronic pain</x:v>
      </x:c>
      <x:c r="F127" s="18" t="str">
        <x:v>Post-mastectomy chronic pain incidence</x:v>
      </x:c>
      <x:c r="G127" s="18" t="str">
        <x:v>6 months</x:v>
      </x:c>
      <x:c r="H127" s="18" t="str">
        <x:v>Events/total</x:v>
      </x:c>
      <x:c r="I127" s="18" t="n">
        <x:v>198</x:v>
      </x:c>
      <x:c r="J127" s="18" t="n">
        <x:v>188</x:v>
      </x:c>
      <x:c r="K127" s="18" t="n">
        <x:v>198</x:v>
      </x:c>
      <x:c r="L127" s="18" t="n">
        <x:v>188</x:v>
      </x:c>
      <x:c r="M127" s="18"/>
      <x:c r="N127" s="18"/>
      <x:c r="O127" s="18"/>
      <x:c r="P127" s="18"/>
      <x:c r="Q127" s="18"/>
      <x:c r="R127" s="18" t="n">
        <x:v>72</x:v>
      </x:c>
      <x:c r="S127" s="18"/>
      <x:c r="T127" s="18"/>
      <x:c r="U127" s="18"/>
      <x:c r="V127" s="18"/>
      <x:c r="W127" s="18"/>
      <x:c r="X127" s="18" t="n">
        <x:v>65</x:v>
      </x:c>
      <x:c r="Y127" s="18" t="str">
        <x:v>participants</x:v>
      </x:c>
      <x:c r="Z127" s="18" t="str">
        <x:v>Overall P=0.005; single vs sham pairwise P reported 0.71 in Table 2</x:v>
      </x:c>
      <x:c r="AA127" s="18" t="str">
        <x:v>Yes</x:v>
      </x:c>
      <x:c r="AB127" s="18" t="str">
        <x:v>No</x:v>
      </x:c>
      <x:c r="AC127" s="18" t="str">
        <x:v>RR</x:v>
      </x:c>
      <x:c r="AD127" s="18" t="n">
        <x:v>1.0517482517482517</x:v>
      </x:c>
      <x:c r="AE127" s="18" t="str">
        <x:v>No</x:v>
      </x:c>
      <x:c r="AF127" s="18" t="str">
        <x:v>No</x:v>
      </x:c>
      <x:c r="AG127" s="18" t="str">
        <x:v>Eligible only with explicit source-conflict sensitivity handling</x:v>
      </x:c>
      <x:c r="AH127" s="18" t="str">
        <x:v>Yes</x:v>
      </x:c>
      <x:c r="AI127" s="18" t="str">
        <x:v>Table 2 gives 72/198; Results prose gives 79/196. Preserve Table 2 here and flag conflict rather than silently reconcile</x:v>
      </x:c>
      <x:c r="AJ127" s="18" t="str">
        <x:v>Table 2 / primary 6-month chronic pain</x:v>
      </x:c>
      <x:c r="AK127" s="18" t="str">
        <x:v>https://drive.google.com/file/d/1MgD_OucfiyNEDdDe3osh8W01U1yYZs08/view?usp=drivesdk</x:v>
      </x:c>
      <x:c r="AL127" s="18" t="str">
        <x:v>SOURCE-VERIFIED / DENOMINATOR CONFLICT</x:v>
      </x:c>
      <x:c r="AM127" s="18" t="str">
        <x:v>Pain</x:v>
      </x:c>
      <x:c r="AN127" s="18" t="str">
        <x:v>6 months</x:v>
      </x:c>
      <x:c r="AO127" s="18" t="str">
        <x:v>INCLUDE — OTHER TIMEPOINT</x:v>
      </x:c>
      <x:c r="AP127" s="18" t="str">
        <x:v>Source-valid pain outcome for a non-24-h analysis.</x:v>
      </x:c>
      <x:c r="AQ127" s="18" t="str">
        <x:v>No</x:v>
      </x:c>
      <x:c r="AR127" s="18" t="str"/>
      <x:c r="AS127" s="18" t="str">
        <x:v>Binary effect measure (RR preferred per protocol)</x:v>
      </x:c>
      <x:c r="AT127" s="18" t="str">
        <x:v>Post-mastectomy chronic pain incidence</x:v>
      </x:c>
      <x:c r="AU127" s="18" t="str">
        <x:v>6 months</x:v>
      </x:c>
      <x:c r="AV127" s="18" t="str">
        <x:v>High</x:v>
      </x:c>
      <x:c r="AW127" s="18" t="str">
        <x:v>No — selected RoB matches this result</x:v>
      </x:c>
      <x:c r="AX127" s="18" t="str">
        <x:v>Lu 2021</x:v>
      </x:c>
      <x:c r="AY127" s="18" t="str">
        <x:v>Acupoint-combination arm contrast</x:v>
      </x:c>
      <x:c r="AZ127" s="18" t="str">
        <x:v>Three-arm trial with shared sham; combined and single-point arms are not independent studies.</x:v>
      </x:c>
    </x:row>
    <x:row r="128">
      <x:c r="A128" s="18" t="str">
        <x:v>Lu 2021</x:v>
      </x:c>
      <x:c r="B128" s="18" t="str">
        <x:v>LU21_COMB_vs_SHAM_REMI</x:v>
      </x:c>
      <x:c r="C128" s="18" t="str">
        <x:v>Combined PC6+CV17 TEAS</x:v>
      </x:c>
      <x:c r="D128" s="18" t="str">
        <x:v>Sham/no current</x:v>
      </x:c>
      <x:c r="E128" s="18" t="str">
        <x:v>Intraoperative opioid</x:v>
      </x:c>
      <x:c r="F128" s="18" t="str">
        <x:v>Total remifentanil</x:v>
      </x:c>
      <x:c r="G128" s="18" t="str">
        <x:v>Intraoperative</x:v>
      </x:c>
      <x:c r="H128" s="18" t="str">
        <x:v>Mean/SD</x:v>
      </x:c>
      <x:c r="I128" s="18" t="n">
        <x:v>190</x:v>
      </x:c>
      <x:c r="J128" s="18" t="n">
        <x:v>188</x:v>
      </x:c>
      <x:c r="K128" s="18" t="n">
        <x:v>190</x:v>
      </x:c>
      <x:c r="L128" s="18" t="n">
        <x:v>188</x:v>
      </x:c>
      <x:c r="M128" s="18" t="n">
        <x:v>1.2</x:v>
      </x:c>
      <x:c r="N128" s="18" t="n">
        <x:v>0.5</x:v>
      </x:c>
      <x:c r="O128" s="18"/>
      <x:c r="P128" s="18"/>
      <x:c r="Q128" s="18"/>
      <x:c r="R128" s="18"/>
      <x:c r="S128" s="18" t="n">
        <x:v>1.4</x:v>
      </x:c>
      <x:c r="T128" s="18" t="n">
        <x:v>0.7</x:v>
      </x:c>
      <x:c r="U128" s="18"/>
      <x:c r="V128" s="18"/>
      <x:c r="W128" s="18"/>
      <x:c r="X128" s="18"/>
      <x:c r="Y128" s="18" t="str">
        <x:v>mg remifentanil</x:v>
      </x:c>
      <x:c r="Z128" s="18" t="str">
        <x:v>P&lt;0.001 combined vs sham</x:v>
      </x:c>
      <x:c r="AA128" s="18" t="str">
        <x:v>Yes</x:v>
      </x:c>
      <x:c r="AB128" s="18" t="str">
        <x:v>No</x:v>
      </x:c>
      <x:c r="AC128" s="18" t="str">
        <x:v>MD</x:v>
      </x:c>
      <x:c r="AD128" s="18" t="n">
        <x:v>-0.19999999999999996</x:v>
      </x:c>
      <x:c r="AE128" s="18" t="str">
        <x:v>No</x:v>
      </x:c>
      <x:c r="AF128" s="18" t="str">
        <x:v>No</x:v>
      </x:c>
      <x:c r="AG128" s="18" t="str">
        <x:v>Eligible for intraoperative opioid-sparing analysis</x:v>
      </x:c>
      <x:c r="AH128" s="18" t="str">
        <x:v>Yes</x:v>
      </x:c>
      <x:c r="AI128" s="18" t="str">
        <x:v>Three-arm trial; sham is a shared comparator</x:v>
      </x:c>
      <x:c r="AJ128" s="18" t="str">
        <x:v>Table 3 / intraoperative remifentanil</x:v>
      </x:c>
      <x:c r="AK128" s="18" t="str">
        <x:v>https://drive.google.com/file/d/1MgD_OucfiyNEDdDe3osh8W01U1yYZs08/view?usp=drivesdk</x:v>
      </x:c>
      <x:c r="AL128" s="18" t="str">
        <x:v>SOURCE-VERIFIED</x:v>
      </x:c>
      <x:c r="AM128" s="18" t="str">
        <x:v>Intraoperative opioid</x:v>
      </x:c>
      <x:c r="AN128" s="18" t="str">
        <x:v>Intraoperative</x:v>
      </x:c>
      <x:c r="AO128" s="18" t="str">
        <x:v>INCLUDE — INTRAOPERATIVE</x:v>
      </x:c>
      <x:c r="AP128" s="18" t="str">
        <x:v>Valid intraoperative opioid endpoint; must remain separate from postoperative opioid consumption.</x:v>
      </x:c>
      <x:c r="AQ128" s="18" t="str">
        <x:v>No</x:v>
      </x:c>
      <x:c r="AR128" s="18" t="str"/>
      <x:c r="AS128" s="18" t="str">
        <x:v>None</x:v>
      </x:c>
      <x:c r="AT128" s="18" t="str">
        <x:v>Post-mastectomy chronic pain incidence</x:v>
      </x:c>
      <x:c r="AU128" s="18" t="str">
        <x:v>6 months</x:v>
      </x:c>
      <x:c r="AV128" s="18" t="str">
        <x:v>High</x:v>
      </x:c>
      <x:c r="AW128" s="18" t="str">
        <x:v>Yes — selected RoB is for a different result/timepoint</x:v>
      </x:c>
      <x:c r="AX128" s="18" t="str">
        <x:v>Lu 2021</x:v>
      </x:c>
      <x:c r="AY128" s="18" t="str">
        <x:v>Acupoint-combination arm contrast</x:v>
      </x:c>
      <x:c r="AZ128" s="18" t="str">
        <x:v>Three-arm trial with shared sham; combined and single-point arms are not independent studies.</x:v>
      </x:c>
    </x:row>
    <x:row r="129">
      <x:c r="A129" s="18" t="str">
        <x:v>Lu 2021</x:v>
      </x:c>
      <x:c r="B129" s="18" t="str">
        <x:v>LU21_SINGLE_vs_SHAM_REMI</x:v>
      </x:c>
      <x:c r="C129" s="18" t="str">
        <x:v>Single PC6 TEAS</x:v>
      </x:c>
      <x:c r="D129" s="18" t="str">
        <x:v>Sham/no current</x:v>
      </x:c>
      <x:c r="E129" s="18" t="str">
        <x:v>Intraoperative opioid</x:v>
      </x:c>
      <x:c r="F129" s="18" t="str">
        <x:v>Total remifentanil</x:v>
      </x:c>
      <x:c r="G129" s="18" t="str">
        <x:v>Intraoperative</x:v>
      </x:c>
      <x:c r="H129" s="18" t="str">
        <x:v>Mean/SD</x:v>
      </x:c>
      <x:c r="I129" s="18" t="n">
        <x:v>198</x:v>
      </x:c>
      <x:c r="J129" s="18" t="n">
        <x:v>188</x:v>
      </x:c>
      <x:c r="K129" s="18" t="n">
        <x:v>198</x:v>
      </x:c>
      <x:c r="L129" s="18" t="n">
        <x:v>188</x:v>
      </x:c>
      <x:c r="M129" s="18" t="n">
        <x:v>1.3</x:v>
      </x:c>
      <x:c r="N129" s="18" t="n">
        <x:v>0.6</x:v>
      </x:c>
      <x:c r="O129" s="18"/>
      <x:c r="P129" s="18"/>
      <x:c r="Q129" s="18"/>
      <x:c r="R129" s="18"/>
      <x:c r="S129" s="18" t="n">
        <x:v>1.4</x:v>
      </x:c>
      <x:c r="T129" s="18" t="n">
        <x:v>0.7</x:v>
      </x:c>
      <x:c r="U129" s="18"/>
      <x:c r="V129" s="18"/>
      <x:c r="W129" s="18"/>
      <x:c r="X129" s="18"/>
      <x:c r="Y129" s="18" t="str">
        <x:v>mg remifentanil</x:v>
      </x:c>
      <x:c r="Z129" s="18" t="str">
        <x:v>P=0.04 single vs sham; not significant after Bonferroni alpha 0.0125</x:v>
      </x:c>
      <x:c r="AA129" s="18" t="str">
        <x:v>Yes</x:v>
      </x:c>
      <x:c r="AB129" s="18" t="str">
        <x:v>No</x:v>
      </x:c>
      <x:c r="AC129" s="18" t="str">
        <x:v>MD</x:v>
      </x:c>
      <x:c r="AD129" s="18" t="n">
        <x:v>-0.09999999999999987</x:v>
      </x:c>
      <x:c r="AE129" s="18" t="str">
        <x:v>No</x:v>
      </x:c>
      <x:c r="AF129" s="18" t="str">
        <x:v>No</x:v>
      </x:c>
      <x:c r="AG129" s="18" t="str">
        <x:v>Eligible for intraoperative opioid analysis with multiplicity-aware interpretation</x:v>
      </x:c>
      <x:c r="AH129" s="18" t="str">
        <x:v>Yes</x:v>
      </x:c>
      <x:c r="AI129" s="18" t="str">
        <x:v>Three-arm trial; do not describe P=0.04 as multiplicity-adjusted significant</x:v>
      </x:c>
      <x:c r="AJ129" s="18" t="str">
        <x:v>Table 3 / intraoperative remifentanil</x:v>
      </x:c>
      <x:c r="AK129" s="18" t="str">
        <x:v>https://drive.google.com/file/d/1MgD_OucfiyNEDdDe3osh8W01U1yYZs08/view?usp=drivesdk</x:v>
      </x:c>
      <x:c r="AL129" s="18" t="str">
        <x:v>SOURCE-VERIFIED</x:v>
      </x:c>
      <x:c r="AM129" s="18" t="str">
        <x:v>Intraoperative opioid</x:v>
      </x:c>
      <x:c r="AN129" s="18" t="str">
        <x:v>Intraoperative</x:v>
      </x:c>
      <x:c r="AO129" s="18" t="str">
        <x:v>INCLUDE — INTRAOPERATIVE</x:v>
      </x:c>
      <x:c r="AP129" s="18" t="str">
        <x:v>Valid intraoperative opioid endpoint; must remain separate from postoperative opioid consumption.</x:v>
      </x:c>
      <x:c r="AQ129" s="18" t="str">
        <x:v>No</x:v>
      </x:c>
      <x:c r="AR129" s="18" t="str"/>
      <x:c r="AS129" s="18" t="str">
        <x:v>None</x:v>
      </x:c>
      <x:c r="AT129" s="18" t="str">
        <x:v>Post-mastectomy chronic pain incidence</x:v>
      </x:c>
      <x:c r="AU129" s="18" t="str">
        <x:v>6 months</x:v>
      </x:c>
      <x:c r="AV129" s="18" t="str">
        <x:v>High</x:v>
      </x:c>
      <x:c r="AW129" s="18" t="str">
        <x:v>Yes — selected RoB is for a different result/timepoint</x:v>
      </x:c>
      <x:c r="AX129" s="18" t="str">
        <x:v>Lu 2021</x:v>
      </x:c>
      <x:c r="AY129" s="18" t="str">
        <x:v>Acupoint-combination arm contrast</x:v>
      </x:c>
      <x:c r="AZ129" s="18" t="str">
        <x:v>Three-arm trial with shared sham; combined and single-point arms are not independent studies.</x:v>
      </x:c>
    </x:row>
    <x:row r="130">
      <x:c r="A130" s="18" t="str">
        <x:v>Lu 2021</x:v>
      </x:c>
      <x:c r="B130" s="18" t="str">
        <x:v>LU21_COMB_vs_SHAM_PONV24</x:v>
      </x:c>
      <x:c r="C130" s="18" t="str">
        <x:v>Combined PC6+CV17 TEAS</x:v>
      </x:c>
      <x:c r="D130" s="18" t="str">
        <x:v>Sham/no current</x:v>
      </x:c>
      <x:c r="E130" s="18" t="str">
        <x:v>PONV</x:v>
      </x:c>
      <x:c r="F130" s="18" t="str">
        <x:v>Any PONV</x:v>
      </x:c>
      <x:c r="G130" s="18" t="str">
        <x:v>24 h</x:v>
      </x:c>
      <x:c r="H130" s="18" t="str">
        <x:v>Events/total</x:v>
      </x:c>
      <x:c r="I130" s="18" t="n">
        <x:v>190</x:v>
      </x:c>
      <x:c r="J130" s="18" t="n">
        <x:v>188</x:v>
      </x:c>
      <x:c r="K130" s="18" t="n">
        <x:v>190</x:v>
      </x:c>
      <x:c r="L130" s="18" t="n">
        <x:v>188</x:v>
      </x:c>
      <x:c r="M130" s="18"/>
      <x:c r="N130" s="18"/>
      <x:c r="O130" s="18"/>
      <x:c r="P130" s="18"/>
      <x:c r="Q130" s="18"/>
      <x:c r="R130" s="18" t="n">
        <x:v>35</x:v>
      </x:c>
      <x:c r="S130" s="18"/>
      <x:c r="T130" s="18"/>
      <x:c r="U130" s="18"/>
      <x:c r="V130" s="18"/>
      <x:c r="W130" s="18"/>
      <x:c r="X130" s="18" t="n">
        <x:v>68</x:v>
      </x:c>
      <x:c r="Y130" s="18" t="str">
        <x:v>participants</x:v>
      </x:c>
      <x:c r="Z130" s="18" t="str">
        <x:v>Overall P=0.0001</x:v>
      </x:c>
      <x:c r="AA130" s="18" t="str">
        <x:v>Yes</x:v>
      </x:c>
      <x:c r="AB130" s="18" t="str">
        <x:v>No</x:v>
      </x:c>
      <x:c r="AC130" s="18" t="str">
        <x:v>RR</x:v>
      </x:c>
      <x:c r="AD130" s="18" t="n">
        <x:v>0.5092879256965943</x:v>
      </x:c>
      <x:c r="AE130" s="18" t="str">
        <x:v>No</x:v>
      </x:c>
      <x:c r="AF130" s="18" t="str">
        <x:v>No</x:v>
      </x:c>
      <x:c r="AG130" s="18" t="str">
        <x:v>Eligible for dichotomous 24-h PONV analysis</x:v>
      </x:c>
      <x:c r="AH130" s="18" t="str">
        <x:v>Yes</x:v>
      </x:c>
      <x:c r="AI130" s="18" t="str">
        <x:v>Use raw event counts; three-arm shared sham comparator</x:v>
      </x:c>
      <x:c r="AJ130" s="18" t="str">
        <x:v>24-h PONV table</x:v>
      </x:c>
      <x:c r="AK130" s="18" t="str">
        <x:v>https://drive.google.com/file/d/1MgD_OucfiyNEDdDe3osh8W01U1yYZs08/view?usp=drivesdk</x:v>
      </x:c>
      <x:c r="AL130" s="18" t="str">
        <x:v>SOURCE-VERIFIED</x:v>
      </x:c>
      <x:c r="AM130" s="18" t="str">
        <x:v>PONV</x:v>
      </x:c>
      <x:c r="AN130" s="18" t="str">
        <x:v>Exact/explicit 24 h</x:v>
      </x:c>
      <x:c r="AO130" s="18" t="str">
        <x:v>INCLUDE</x:v>
      </x:c>
      <x:c r="AP130" s="18" t="str">
        <x:v>Explicit 24-h PONV endpoint.</x:v>
      </x:c>
      <x:c r="AQ130" s="18" t="str">
        <x:v>Yes</x:v>
      </x:c>
      <x:c r="AR130" s="18" t="str"/>
      <x:c r="AS130" s="18" t="str">
        <x:v>Binary effect measure (RR preferred per protocol)</x:v>
      </x:c>
      <x:c r="AT130" s="18" t="str">
        <x:v>Post-mastectomy chronic pain incidence</x:v>
      </x:c>
      <x:c r="AU130" s="18" t="str">
        <x:v>6 months</x:v>
      </x:c>
      <x:c r="AV130" s="18" t="str">
        <x:v>High</x:v>
      </x:c>
      <x:c r="AW130" s="18" t="str">
        <x:v>Yes — selected RoB is for a different result/timepoint</x:v>
      </x:c>
      <x:c r="AX130" s="18" t="str">
        <x:v>Lu 2021</x:v>
      </x:c>
      <x:c r="AY130" s="18" t="str">
        <x:v>Acupoint-combination arm contrast</x:v>
      </x:c>
      <x:c r="AZ130" s="18" t="str">
        <x:v>Three-arm trial with shared sham; combined and single-point arms are not independent studies.</x:v>
      </x:c>
    </x:row>
    <x:row r="131">
      <x:c r="A131" s="18" t="str">
        <x:v>Lu 2021</x:v>
      </x:c>
      <x:c r="B131" s="18" t="str">
        <x:v>LU21_SINGLE_vs_SHAM_PONV24</x:v>
      </x:c>
      <x:c r="C131" s="18" t="str">
        <x:v>Single PC6 TEAS</x:v>
      </x:c>
      <x:c r="D131" s="18" t="str">
        <x:v>Sham/no current</x:v>
      </x:c>
      <x:c r="E131" s="18" t="str">
        <x:v>PONV</x:v>
      </x:c>
      <x:c r="F131" s="18" t="str">
        <x:v>Any PONV</x:v>
      </x:c>
      <x:c r="G131" s="18" t="str">
        <x:v>24 h</x:v>
      </x:c>
      <x:c r="H131" s="18" t="str">
        <x:v>Events/total</x:v>
      </x:c>
      <x:c r="I131" s="18" t="n">
        <x:v>198</x:v>
      </x:c>
      <x:c r="J131" s="18" t="n">
        <x:v>188</x:v>
      </x:c>
      <x:c r="K131" s="18" t="n">
        <x:v>198</x:v>
      </x:c>
      <x:c r="L131" s="18" t="n">
        <x:v>188</x:v>
      </x:c>
      <x:c r="M131" s="18"/>
      <x:c r="N131" s="18"/>
      <x:c r="O131" s="18"/>
      <x:c r="P131" s="18"/>
      <x:c r="Q131" s="18"/>
      <x:c r="R131" s="18" t="n">
        <x:v>59</x:v>
      </x:c>
      <x:c r="S131" s="18"/>
      <x:c r="T131" s="18"/>
      <x:c r="U131" s="18"/>
      <x:c r="V131" s="18"/>
      <x:c r="W131" s="18"/>
      <x:c r="X131" s="18" t="n">
        <x:v>68</x:v>
      </x:c>
      <x:c r="Y131" s="18" t="str">
        <x:v>participants</x:v>
      </x:c>
      <x:c r="Z131" s="18" t="str">
        <x:v>Overall P=0.0001</x:v>
      </x:c>
      <x:c r="AA131" s="18" t="str">
        <x:v>Yes</x:v>
      </x:c>
      <x:c r="AB131" s="18" t="str">
        <x:v>No</x:v>
      </x:c>
      <x:c r="AC131" s="18" t="str">
        <x:v>RR</x:v>
      </x:c>
      <x:c r="AD131" s="18" t="n">
        <x:v>0.8238265002970884</x:v>
      </x:c>
      <x:c r="AE131" s="18" t="str">
        <x:v>No</x:v>
      </x:c>
      <x:c r="AF131" s="18" t="str">
        <x:v>No</x:v>
      </x:c>
      <x:c r="AG131" s="18" t="str">
        <x:v>Eligible for dichotomous 24-h PONV analysis with multi-arm adjustment</x:v>
      </x:c>
      <x:c r="AH131" s="18" t="str">
        <x:v>Yes</x:v>
      </x:c>
      <x:c r="AI131" s="18" t="str">
        <x:v>Overall P is three-group; pairwise significance should not be inferred unless directly reported</x:v>
      </x:c>
      <x:c r="AJ131" s="18" t="str">
        <x:v>24-h PONV table</x:v>
      </x:c>
      <x:c r="AK131" s="18" t="str">
        <x:v>https://drive.google.com/file/d/1MgD_OucfiyNEDdDe3osh8W01U1yYZs08/view?usp=drivesdk</x:v>
      </x:c>
      <x:c r="AL131" s="18" t="str">
        <x:v>SOURCE-VERIFIED</x:v>
      </x:c>
      <x:c r="AM131" s="18" t="str">
        <x:v>PONV</x:v>
      </x:c>
      <x:c r="AN131" s="18" t="str">
        <x:v>Exact/explicit 24 h</x:v>
      </x:c>
      <x:c r="AO131" s="18" t="str">
        <x:v>INCLUDE</x:v>
      </x:c>
      <x:c r="AP131" s="18" t="str">
        <x:v>Explicit 24-h PONV endpoint.</x:v>
      </x:c>
      <x:c r="AQ131" s="18" t="str">
        <x:v>Yes</x:v>
      </x:c>
      <x:c r="AR131" s="18" t="str"/>
      <x:c r="AS131" s="18" t="str">
        <x:v>Binary effect measure (RR preferred per protocol)</x:v>
      </x:c>
      <x:c r="AT131" s="18" t="str">
        <x:v>Post-mastectomy chronic pain incidence</x:v>
      </x:c>
      <x:c r="AU131" s="18" t="str">
        <x:v>6 months</x:v>
      </x:c>
      <x:c r="AV131" s="18" t="str">
        <x:v>High</x:v>
      </x:c>
      <x:c r="AW131" s="18" t="str">
        <x:v>Yes — selected RoB is for a different result/timepoint</x:v>
      </x:c>
      <x:c r="AX131" s="18" t="str">
        <x:v>Lu 2021</x:v>
      </x:c>
      <x:c r="AY131" s="18" t="str">
        <x:v>Acupoint-combination arm contrast</x:v>
      </x:c>
      <x:c r="AZ131" s="18" t="str">
        <x:v>Three-arm trial with shared sham; combined and single-point arms are not independent studies.</x:v>
      </x:c>
    </x:row>
    <x:row r="132">
      <x:c r="A132" s="18" t="str">
        <x:v>Lu 2021</x:v>
      </x:c>
      <x:c r="B132" s="18" t="str">
        <x:v>LU21_POSTOP_OPIOID24</x:v>
      </x:c>
      <x:c r="C132" s="18" t="str">
        <x:v>TEAS arms</x:v>
      </x:c>
      <x:c r="D132" s="18" t="str">
        <x:v>Sham/no current</x:v>
      </x:c>
      <x:c r="E132" s="18" t="str">
        <x:v>Opioid consumption</x:v>
      </x:c>
      <x:c r="F132" s="18" t="str">
        <x:v>Cumulative postoperative sufentanil PCA consumption</x:v>
      </x:c>
      <x:c r="G132" s="18" t="str">
        <x:v>0-24 h</x:v>
      </x:c>
      <x:c r="H132" s="18" t="str">
        <x:v>Not reported</x:v>
      </x:c>
      <x:c r="I132" s="18"/>
      <x:c r="J132" s="18"/>
      <x:c r="K132" s="18"/>
      <x:c r="L132" s="18"/>
      <x:c r="M132" s="18"/>
      <x:c r="N132" s="18"/>
      <x:c r="O132" s="18"/>
      <x:c r="P132" s="18"/>
      <x:c r="Q132" s="18"/>
      <x:c r="R132" s="18"/>
      <x:c r="S132" s="18"/>
      <x:c r="T132" s="18"/>
      <x:c r="U132" s="18"/>
      <x:c r="V132" s="18"/>
      <x:c r="W132" s="18"/>
      <x:c r="X132" s="18"/>
      <x:c r="Y132" s="18" t="str">
        <x:v>µg sufentanil</x:v>
      </x:c>
      <x:c r="Z132" s="18"/>
      <x:c r="AA132" s="18" t="str">
        <x:v>No</x:v>
      </x:c>
      <x:c r="AB132" s="18" t="str">
        <x:v>No</x:v>
      </x:c>
      <x:c r="AC132" s="18"/>
      <x:c r="AD132" s="18"/>
      <x:c r="AE132" s="18" t="str">
        <x:v>No</x:v>
      </x:c>
      <x:c r="AF132" s="18" t="str">
        <x:v>No</x:v>
      </x:c>
      <x:c r="AG132" s="18" t="str">
        <x:v>Not eligible for continuous 24-h postoperative opioid meta-analysis</x:v>
      </x:c>
      <x:c r="AH132" s="18" t="str">
        <x:v>Yes</x:v>
      </x:c>
      <x:c r="AI132" s="18" t="str">
        <x:v>PCA opioid is sufentanil but prescription and cumulative 24-h consumption are not reported</x:v>
      </x:c>
      <x:c r="AJ132" s="18" t="str">
        <x:v>Postoperative PCA section</x:v>
      </x:c>
      <x:c r="AK132" s="18" t="str">
        <x:v>https://drive.google.com/file/d/1MgD_OucfiyNEDdDe3osh8W01U1yYZs08/view?usp=drivesdk</x:v>
      </x:c>
      <x:c r="AL132" s="18" t="str">
        <x:v>MISSING / AUTHOR DATA NEEDED</x:v>
      </x:c>
      <x:c r="AM132" s="18" t="str">
        <x:v>Postoperative opioid consumption</x:v>
      </x:c>
      <x:c r="AN132" s="18" t="str">
        <x:v>Exact/explicit 24 h</x:v>
      </x:c>
      <x:c r="AO132" s="18" t="str">
        <x:v>EXCLUDE — DATA UNAVAILABLE</x:v>
      </x:c>
      <x:c r="AP132" s="18" t="str">
        <x:v>The source does not provide a defensible quantitative value for this analysis.</x:v>
      </x:c>
      <x:c r="AQ132" s="18" t="str">
        <x:v>No</x:v>
      </x:c>
      <x:c r="AR132" s="18" t="str"/>
      <x:c r="AS132" s="18" t="str">
        <x:v>Opioid/MME conversion required using prespecified review conversion</x:v>
      </x:c>
      <x:c r="AT132" s="18" t="str">
        <x:v>Post-mastectomy chronic pain incidence</x:v>
      </x:c>
      <x:c r="AU132" s="18" t="str">
        <x:v>6 months</x:v>
      </x:c>
      <x:c r="AV132" s="18" t="str">
        <x:v>High</x:v>
      </x:c>
      <x:c r="AW132" s="18" t="str">
        <x:v>Yes — selected RoB is for a different result/timepoint</x:v>
      </x:c>
      <x:c r="AX132" s="18" t="str">
        <x:v>Lu 2021</x:v>
      </x:c>
      <x:c r="AY132" s="18" t="str">
        <x:v>Acupoint-combination arm contrast</x:v>
      </x:c>
      <x:c r="AZ132" s="18" t="str">
        <x:v>Three-arm trial with shared sham; combined and single-point arms are not independent studies.</x:v>
      </x:c>
    </x:row>
    <x:row r="133">
      <x:c r="A133" s="18" t="str">
        <x:v>Lu 2022</x:v>
      </x:c>
      <x:c r="B133" s="18" t="str">
        <x:v>LU22_TEAS_vs_CTRL_DISCHARGE</x:v>
      </x:c>
      <x:c r="C133" s="18" t="str">
        <x:v>TEAS + ERAS</x:v>
      </x:c>
      <x:c r="D133" s="18" t="str">
        <x:v>No-current control + ERAS</x:v>
      </x:c>
      <x:c r="E133" s="18" t="str">
        <x:v>Recovery</x:v>
      </x:c>
      <x:c r="F133" s="18" t="str">
        <x:v>Time to meet discharge criteria</x:v>
      </x:c>
      <x:c r="G133" s="18" t="str">
        <x:v>Postoperative</x:v>
      </x:c>
      <x:c r="H133" s="18" t="str">
        <x:v>Mean/SD</x:v>
      </x:c>
      <x:c r="I133" s="18" t="n">
        <x:v>50</x:v>
      </x:c>
      <x:c r="J133" s="18" t="n">
        <x:v>50</x:v>
      </x:c>
      <x:c r="K133" s="18" t="n">
        <x:v>47</x:v>
      </x:c>
      <x:c r="L133" s="18" t="n">
        <x:v>47</x:v>
      </x:c>
      <x:c r="M133" s="18" t="n">
        <x:v>6</x:v>
      </x:c>
      <x:c r="N133" s="18" t="n">
        <x:v>1.8</x:v>
      </x:c>
      <x:c r="O133" s="18"/>
      <x:c r="P133" s="18"/>
      <x:c r="Q133" s="18"/>
      <x:c r="R133" s="18"/>
      <x:c r="S133" s="18" t="n">
        <x:v>7</x:v>
      </x:c>
      <x:c r="T133" s="18" t="n">
        <x:v>2.4</x:v>
      </x:c>
      <x:c r="U133" s="18"/>
      <x:c r="V133" s="18"/>
      <x:c r="W133" s="18"/>
      <x:c r="X133" s="18"/>
      <x:c r="Y133" s="18" t="str">
        <x:v>days</x:v>
      </x:c>
      <x:c r="Z133" s="18" t="str">
        <x:v>0.02</x:v>
      </x:c>
      <x:c r="AA133" s="18" t="str">
        <x:v>Yes</x:v>
      </x:c>
      <x:c r="AB133" s="18" t="str">
        <x:v>No</x:v>
      </x:c>
      <x:c r="AC133" s="18" t="str">
        <x:v>MD</x:v>
      </x:c>
      <x:c r="AD133" s="18" t="n">
        <x:v>-1</x:v>
      </x:c>
      <x:c r="AE133" s="18" t="str">
        <x:v>No</x:v>
      </x:c>
      <x:c r="AF133" s="18" t="str">
        <x:v>No</x:v>
      </x:c>
      <x:c r="AG133" s="18" t="str">
        <x:v>Eligible for recovery-time meta-analysis</x:v>
      </x:c>
      <x:c r="AH133" s="18" t="str">
        <x:v>No</x:v>
      </x:c>
      <x:c r="AI133" s="18" t="str">
        <x:v>Six randomized patients were excluded because they did not receive allocated intervention; open conversion is plausibly related to discharge time</x:v>
      </x:c>
      <x:c r="AJ133" s="18" t="str">
        <x:v>Primary outcome / time to discharge</x:v>
      </x:c>
      <x:c r="AK133" s="18" t="str">
        <x:v>https://drive.google.com/file/d/12Y86huNMuLC8cPH-L2vwlEd7r1X1Qela/view?usp=drivesdk</x:v>
      </x:c>
      <x:c r="AL133" s="18" t="str">
        <x:v>SOURCE-VERIFIED / ATTRITION QC</x:v>
      </x:c>
      <x:c r="AM133" s="18" t="str">
        <x:v>Recovery</x:v>
      </x:c>
      <x:c r="AN133" s="18" t="str">
        <x:v>Postoperative</x:v>
      </x:c>
      <x:c r="AO133" s="18" t="str">
        <x:v>CONDITIONAL</x:v>
      </x:c>
      <x:c r="AP133" s="18" t="str">
        <x:v>Source-grounded but carries a QC qualification.</x:v>
      </x:c>
      <x:c r="AQ133" s="18" t="str">
        <x:v>No</x:v>
      </x:c>
      <x:c r="AR133" s="18" t="str"/>
      <x:c r="AS133" s="18" t="str">
        <x:v>None</x:v>
      </x:c>
      <x:c r="AT133" s="18" t="str">
        <x:v>Time to meet discharge criteria</x:v>
      </x:c>
      <x:c r="AU133" s="18" t="str">
        <x:v>Postoperative</x:v>
      </x:c>
      <x:c r="AV133" s="18" t="str">
        <x:v>High</x:v>
      </x:c>
      <x:c r="AW133" s="18" t="str">
        <x:v>No — selected RoB matches this result</x:v>
      </x:c>
      <x:c r="AX133" s="18" t="str">
        <x:v>Lu 2022</x:v>
      </x:c>
      <x:c r="AY133" s="18" t="str">
        <x:v>Primary eligible contrast</x:v>
      </x:c>
      <x:c r="AZ133" s="18" t="str">
        <x:v>Count this study once per synthesis unless a valid multi-arm method is used.</x:v>
      </x:c>
    </x:row>
    <x:row r="134">
      <x:c r="A134" s="18" t="str">
        <x:v>Lu 2022</x:v>
      </x:c>
      <x:c r="B134" s="18" t="str">
        <x:v>LU22_TEAS_vs_CTRL_FLATUS</x:v>
      </x:c>
      <x:c r="C134" s="18" t="str">
        <x:v>TEAS + ERAS</x:v>
      </x:c>
      <x:c r="D134" s="18" t="str">
        <x:v>No-current control + ERAS</x:v>
      </x:c>
      <x:c r="E134" s="18" t="str">
        <x:v>GI recovery</x:v>
      </x:c>
      <x:c r="F134" s="18" t="str">
        <x:v>Time to first flatus</x:v>
      </x:c>
      <x:c r="G134" s="18" t="str">
        <x:v>Postoperative</x:v>
      </x:c>
      <x:c r="H134" s="18" t="str">
        <x:v>Mean/SD</x:v>
      </x:c>
      <x:c r="I134" s="18" t="n">
        <x:v>50</x:v>
      </x:c>
      <x:c r="J134" s="18" t="n">
        <x:v>50</x:v>
      </x:c>
      <x:c r="K134" s="18" t="n">
        <x:v>47</x:v>
      </x:c>
      <x:c r="L134" s="18" t="n">
        <x:v>47</x:v>
      </x:c>
      <x:c r="M134" s="18" t="n">
        <x:v>34.5</x:v>
      </x:c>
      <x:c r="N134" s="18" t="n">
        <x:v>16.7</x:v>
      </x:c>
      <x:c r="O134" s="18"/>
      <x:c r="P134" s="18"/>
      <x:c r="Q134" s="18"/>
      <x:c r="R134" s="18"/>
      <x:c r="S134" s="18" t="n">
        <x:v>42.4</x:v>
      </x:c>
      <x:c r="T134" s="18" t="n">
        <x:v>22.9</x:v>
      </x:c>
      <x:c r="U134" s="18"/>
      <x:c r="V134" s="18"/>
      <x:c r="W134" s="18"/>
      <x:c r="X134" s="18"/>
      <x:c r="Y134" s="18" t="str">
        <x:v>hours</x:v>
      </x:c>
      <x:c r="Z134" s="18" t="str">
        <x:v>0.03</x:v>
      </x:c>
      <x:c r="AA134" s="18" t="str">
        <x:v>Yes</x:v>
      </x:c>
      <x:c r="AB134" s="18" t="str">
        <x:v>No</x:v>
      </x:c>
      <x:c r="AC134" s="18" t="str">
        <x:v>MD</x:v>
      </x:c>
      <x:c r="AD134" s="18" t="n">
        <x:v>-7.899999999999999</x:v>
      </x:c>
      <x:c r="AE134" s="18" t="str">
        <x:v>No</x:v>
      </x:c>
      <x:c r="AF134" s="18" t="str">
        <x:v>No</x:v>
      </x:c>
      <x:c r="AG134" s="18" t="str">
        <x:v>Eligible for GI-recovery meta-analysis</x:v>
      </x:c>
      <x:c r="AH134" s="18" t="str">
        <x:v>No</x:v>
      </x:c>
      <x:c r="AI134" s="18" t="str">
        <x:v>Same 6 post-randomization exclusions apply</x:v>
      </x:c>
      <x:c r="AJ134" s="18" t="str">
        <x:v>First flatus result</x:v>
      </x:c>
      <x:c r="AK134" s="18" t="str">
        <x:v>https://drive.google.com/file/d/12Y86huNMuLC8cPH-L2vwlEd7r1X1Qela/view?usp=drivesdk</x:v>
      </x:c>
      <x:c r="AL134" s="18" t="str">
        <x:v>SOURCE-VERIFIED / ATTRITION QC</x:v>
      </x:c>
      <x:c r="AM134" s="18" t="str">
        <x:v>GI recovery</x:v>
      </x:c>
      <x:c r="AN134" s="18" t="str">
        <x:v>Postoperative</x:v>
      </x:c>
      <x:c r="AO134" s="18" t="str">
        <x:v>INCLUDE</x:v>
      </x:c>
      <x:c r="AP134" s="18" t="str">
        <x:v>Source-valid first-flatus/ileus endpoint; retain reported distribution (mean/SD, median/IQR, or events).</x:v>
      </x:c>
      <x:c r="AQ134" s="18" t="str">
        <x:v>Yes</x:v>
      </x:c>
      <x:c r="AR134" s="18" t="str"/>
      <x:c r="AS134" s="18" t="str">
        <x:v>None</x:v>
      </x:c>
      <x:c r="AT134" s="18" t="str">
        <x:v>Time to meet discharge criteria</x:v>
      </x:c>
      <x:c r="AU134" s="18" t="str">
        <x:v>Postoperative</x:v>
      </x:c>
      <x:c r="AV134" s="18" t="str">
        <x:v>High</x:v>
      </x:c>
      <x:c r="AW134" s="18" t="str">
        <x:v>Yes — selected RoB is for a different result/timepoint</x:v>
      </x:c>
      <x:c r="AX134" s="18" t="str">
        <x:v>Lu 2022</x:v>
      </x:c>
      <x:c r="AY134" s="18" t="str">
        <x:v>Primary eligible contrast</x:v>
      </x:c>
      <x:c r="AZ134" s="18" t="str">
        <x:v>Count this study once per synthesis unless a valid multi-arm method is used.</x:v>
      </x:c>
    </x:row>
    <x:row r="135">
      <x:c r="A135" s="18" t="str">
        <x:v>Lu 2022</x:v>
      </x:c>
      <x:c r="B135" s="18" t="str">
        <x:v>LU22_TEAS_vs_CTRL_DEFEC</x:v>
      </x:c>
      <x:c r="C135" s="18" t="str">
        <x:v>TEAS + ERAS</x:v>
      </x:c>
      <x:c r="D135" s="18" t="str">
        <x:v>No-current control + ERAS</x:v>
      </x:c>
      <x:c r="E135" s="18" t="str">
        <x:v>GI recovery</x:v>
      </x:c>
      <x:c r="F135" s="18" t="str">
        <x:v>Time to first defecation</x:v>
      </x:c>
      <x:c r="G135" s="18" t="str">
        <x:v>Postoperative</x:v>
      </x:c>
      <x:c r="H135" s="18" t="str">
        <x:v>Mean/SD</x:v>
      </x:c>
      <x:c r="I135" s="18" t="n">
        <x:v>50</x:v>
      </x:c>
      <x:c r="J135" s="18" t="n">
        <x:v>50</x:v>
      </x:c>
      <x:c r="K135" s="18" t="n">
        <x:v>47</x:v>
      </x:c>
      <x:c r="L135" s="18" t="n">
        <x:v>47</x:v>
      </x:c>
      <x:c r="M135" s="18" t="n">
        <x:v>42</x:v>
      </x:c>
      <x:c r="N135" s="18" t="n">
        <x:v>25</x:v>
      </x:c>
      <x:c r="O135" s="18"/>
      <x:c r="P135" s="18"/>
      <x:c r="Q135" s="18"/>
      <x:c r="R135" s="18"/>
      <x:c r="S135" s="18" t="n">
        <x:v>55.4</x:v>
      </x:c>
      <x:c r="T135" s="18" t="n">
        <x:v>29.7</x:v>
      </x:c>
      <x:c r="U135" s="18"/>
      <x:c r="V135" s="18"/>
      <x:c r="W135" s="18"/>
      <x:c r="X135" s="18"/>
      <x:c r="Y135" s="18" t="str">
        <x:v>hours</x:v>
      </x:c>
      <x:c r="Z135" s="18" t="str">
        <x:v>0.03</x:v>
      </x:c>
      <x:c r="AA135" s="18" t="str">
        <x:v>Yes</x:v>
      </x:c>
      <x:c r="AB135" s="18" t="str">
        <x:v>No</x:v>
      </x:c>
      <x:c r="AC135" s="18" t="str">
        <x:v>MD</x:v>
      </x:c>
      <x:c r="AD135" s="18" t="n">
        <x:v>-13.399999999999999</x:v>
      </x:c>
      <x:c r="AE135" s="18" t="str">
        <x:v>No</x:v>
      </x:c>
      <x:c r="AF135" s="18" t="str">
        <x:v>No</x:v>
      </x:c>
      <x:c r="AG135" s="18" t="str">
        <x:v>Eligible for GI-recovery meta-analysis</x:v>
      </x:c>
      <x:c r="AH135" s="18" t="str">
        <x:v>No</x:v>
      </x:c>
      <x:c r="AI135" s="18" t="str">
        <x:v>Same 6 post-randomization exclusions apply</x:v>
      </x:c>
      <x:c r="AJ135" s="18" t="str">
        <x:v>First defecation result</x:v>
      </x:c>
      <x:c r="AK135" s="18" t="str">
        <x:v>https://drive.google.com/file/d/12Y86huNMuLC8cPH-L2vwlEd7r1X1Qela/view?usp=drivesdk</x:v>
      </x:c>
      <x:c r="AL135" s="18" t="str">
        <x:v>SOURCE-VERIFIED / ATTRITION QC</x:v>
      </x:c>
      <x:c r="AM135" s="18" t="str">
        <x:v>GI recovery</x:v>
      </x:c>
      <x:c r="AN135" s="18" t="str">
        <x:v>Postoperative</x:v>
      </x:c>
      <x:c r="AO135" s="18" t="str">
        <x:v>INCLUDE — SECONDARY GI</x:v>
      </x:c>
      <x:c r="AP135" s="18" t="str">
        <x:v>Source-valid GI recovery outcome; analyze separately by outcome definition.</x:v>
      </x:c>
      <x:c r="AQ135" s="18" t="str">
        <x:v>No</x:v>
      </x:c>
      <x:c r="AR135" s="18" t="str"/>
      <x:c r="AS135" s="18" t="str">
        <x:v>None</x:v>
      </x:c>
      <x:c r="AT135" s="18" t="str">
        <x:v>Time to meet discharge criteria</x:v>
      </x:c>
      <x:c r="AU135" s="18" t="str">
        <x:v>Postoperative</x:v>
      </x:c>
      <x:c r="AV135" s="18" t="str">
        <x:v>High</x:v>
      </x:c>
      <x:c r="AW135" s="18" t="str">
        <x:v>Yes — selected RoB is for a different result/timepoint</x:v>
      </x:c>
      <x:c r="AX135" s="18" t="str">
        <x:v>Lu 2022</x:v>
      </x:c>
      <x:c r="AY135" s="18" t="str">
        <x:v>Primary eligible contrast</x:v>
      </x:c>
      <x:c r="AZ135" s="18" t="str">
        <x:v>Count this study once per synthesis unless a valid multi-arm method is used.</x:v>
      </x:c>
    </x:row>
    <x:row r="136">
      <x:c r="A136" s="18" t="str">
        <x:v>Lu 2022</x:v>
      </x:c>
      <x:c r="B136" s="18" t="str">
        <x:v>LU22_TEAS_vs_CTRL_PCAATTEMPT24</x:v>
      </x:c>
      <x:c r="C136" s="18" t="str">
        <x:v>TEAS + ERAS</x:v>
      </x:c>
      <x:c r="D136" s="18" t="str">
        <x:v>No-current control + ERAS</x:v>
      </x:c>
      <x:c r="E136" s="18" t="str">
        <x:v>Opioid demand</x:v>
      </x:c>
      <x:c r="F136" s="18" t="str">
        <x:v>PCA attempts</x:v>
      </x:c>
      <x:c r="G136" s="18" t="str">
        <x:v>24 h</x:v>
      </x:c>
      <x:c r="H136" s="18" t="str">
        <x:v>Median/IQR</x:v>
      </x:c>
      <x:c r="I136" s="18" t="n">
        <x:v>50</x:v>
      </x:c>
      <x:c r="J136" s="18" t="n">
        <x:v>50</x:v>
      </x:c>
      <x:c r="K136" s="18" t="n">
        <x:v>47</x:v>
      </x:c>
      <x:c r="L136" s="18" t="n">
        <x:v>47</x:v>
      </x:c>
      <x:c r="M136" s="18"/>
      <x:c r="N136" s="18"/>
      <x:c r="O136" s="18" t="n">
        <x:v>8</x:v>
      </x:c>
      <x:c r="P136" s="18" t="n">
        <x:v>3</x:v>
      </x:c>
      <x:c r="Q136" s="18" t="n">
        <x:v>18</x:v>
      </x:c>
      <x:c r="R136" s="18"/>
      <x:c r="S136" s="18"/>
      <x:c r="T136" s="18"/>
      <x:c r="U136" s="18" t="n">
        <x:v>16.5</x:v>
      </x:c>
      <x:c r="V136" s="18" t="n">
        <x:v>8</x:v>
      </x:c>
      <x:c r="W136" s="18" t="n">
        <x:v>38</x:v>
      </x:c>
      <x:c r="X136" s="18"/>
      <x:c r="Y136" s="18" t="str">
        <x:v>attempts</x:v>
      </x:c>
      <x:c r="Z136" s="18" t="str">
        <x:v>0.001</x:v>
      </x:c>
      <x:c r="AA136" s="18" t="str">
        <x:v>Yes</x:v>
      </x:c>
      <x:c r="AB136" s="18" t="str">
        <x:v>No</x:v>
      </x:c>
      <x:c r="AC136" s="18"/>
      <x:c r="AD136" s="18"/>
      <x:c r="AE136" s="18" t="str">
        <x:v>No</x:v>
      </x:c>
      <x:c r="AF136" s="18" t="str">
        <x:v>No</x:v>
      </x:c>
      <x:c r="AG136" s="18" t="str">
        <x:v>Eligible as 24-h PCA-demand proxy only</x:v>
      </x:c>
      <x:c r="AH136" s="18" t="str">
        <x:v>No</x:v>
      </x:c>
      <x:c r="AI136" s="18" t="str">
        <x:v>PCA drug, bolus dose, concentration, basal infusion and lockout are not reported</x:v>
      </x:c>
      <x:c r="AJ136" s="18" t="str">
        <x:v>PCA table / 24-h attempts</x:v>
      </x:c>
      <x:c r="AK136" s="18" t="str">
        <x:v>https://drive.google.com/file/d/12Y86huNMuLC8cPH-L2vwlEd7r1X1Qela/view?usp=drivesdk</x:v>
      </x:c>
      <x:c r="AL136" s="18" t="str">
        <x:v>SOURCE-VERIFIED / DOSE NOT RECONSTRUCTABLE</x:v>
      </x:c>
      <x:c r="AM136" s="18" t="str">
        <x:v>PCA demand/proxy</x:v>
      </x:c>
      <x:c r="AN136" s="18" t="str">
        <x:v>Exact/explicit 24 h</x:v>
      </x:c>
      <x:c r="AO136" s="18" t="str">
        <x:v>CONDITIONAL</x:v>
      </x:c>
      <x:c r="AP136" s="18" t="str">
        <x:v>Source value is valid in its native metric but cannot be converted to the target opioid mass/MME without additional information.</x:v>
      </x:c>
      <x:c r="AQ136" s="18" t="str">
        <x:v>No</x:v>
      </x:c>
      <x:c r="AR136" s="18" t="str"/>
      <x:c r="AS136" s="18" t="str">
        <x:v>Use median/IQR-compatible meta-analysis method; do not relabel as mean/SD</x:v>
      </x:c>
      <x:c r="AT136" s="18" t="str">
        <x:v>Time to meet discharge criteria</x:v>
      </x:c>
      <x:c r="AU136" s="18" t="str">
        <x:v>Postoperative</x:v>
      </x:c>
      <x:c r="AV136" s="18" t="str">
        <x:v>High</x:v>
      </x:c>
      <x:c r="AW136" s="18" t="str">
        <x:v>Yes — selected RoB is for a different result/timepoint</x:v>
      </x:c>
      <x:c r="AX136" s="18" t="str">
        <x:v>Lu 2022</x:v>
      </x:c>
      <x:c r="AY136" s="18" t="str">
        <x:v>Primary eligible contrast</x:v>
      </x:c>
      <x:c r="AZ136" s="18" t="str">
        <x:v>Count this study once per synthesis unless a valid multi-arm method is used.</x:v>
      </x:c>
    </x:row>
    <x:row r="137">
      <x:c r="A137" s="18" t="str">
        <x:v>Lu 2022</x:v>
      </x:c>
      <x:c r="B137" s="18" t="str">
        <x:v>LU22_TEAS_vs_CTRL_PCADELIV24</x:v>
      </x:c>
      <x:c r="C137" s="18" t="str">
        <x:v>TEAS + ERAS</x:v>
      </x:c>
      <x:c r="D137" s="18" t="str">
        <x:v>No-current control + ERAS</x:v>
      </x:c>
      <x:c r="E137" s="18" t="str">
        <x:v>Opioid demand</x:v>
      </x:c>
      <x:c r="F137" s="18" t="str">
        <x:v>Successful PCA deliveries</x:v>
      </x:c>
      <x:c r="G137" s="18" t="str">
        <x:v>24 h</x:v>
      </x:c>
      <x:c r="H137" s="18" t="str">
        <x:v>Median/IQR</x:v>
      </x:c>
      <x:c r="I137" s="18" t="n">
        <x:v>50</x:v>
      </x:c>
      <x:c r="J137" s="18" t="n">
        <x:v>50</x:v>
      </x:c>
      <x:c r="K137" s="18" t="n">
        <x:v>47</x:v>
      </x:c>
      <x:c r="L137" s="18" t="n">
        <x:v>47</x:v>
      </x:c>
      <x:c r="M137" s="18"/>
      <x:c r="N137" s="18"/>
      <x:c r="O137" s="18" t="n">
        <x:v>5</x:v>
      </x:c>
      <x:c r="P137" s="18" t="n">
        <x:v>2</x:v>
      </x:c>
      <x:c r="Q137" s="18" t="n">
        <x:v>12</x:v>
      </x:c>
      <x:c r="R137" s="18"/>
      <x:c r="S137" s="18"/>
      <x:c r="T137" s="18"/>
      <x:c r="U137" s="18" t="n">
        <x:v>12</x:v>
      </x:c>
      <x:c r="V137" s="18" t="n">
        <x:v>6</x:v>
      </x:c>
      <x:c r="W137" s="18" t="n">
        <x:v>22</x:v>
      </x:c>
      <x:c r="X137" s="18"/>
      <x:c r="Y137" s="18" t="str">
        <x:v>deliveries</x:v>
      </x:c>
      <x:c r="Z137" s="18" t="str">
        <x:v>0.001</x:v>
      </x:c>
      <x:c r="AA137" s="18" t="str">
        <x:v>Yes</x:v>
      </x:c>
      <x:c r="AB137" s="18" t="str">
        <x:v>No</x:v>
      </x:c>
      <x:c r="AC137" s="18"/>
      <x:c r="AD137" s="18"/>
      <x:c r="AE137" s="18" t="str">
        <x:v>No</x:v>
      </x:c>
      <x:c r="AF137" s="18" t="str">
        <x:v>No</x:v>
      </x:c>
      <x:c r="AG137" s="18" t="str">
        <x:v>Eligible as 24-h PCA-delivery proxy only</x:v>
      </x:c>
      <x:c r="AH137" s="18" t="str">
        <x:v>No</x:v>
      </x:c>
      <x:c r="AI137" s="18" t="str">
        <x:v>Do not convert successful deliveries into opioid dose because the PCA prescription is absent</x:v>
      </x:c>
      <x:c r="AJ137" s="18" t="str">
        <x:v>PCA table / 24-h deliveries</x:v>
      </x:c>
      <x:c r="AK137" s="18" t="str">
        <x:v>https://drive.google.com/file/d/12Y86huNMuLC8cPH-L2vwlEd7r1X1Qela/view?usp=drivesdk</x:v>
      </x:c>
      <x:c r="AL137" s="18" t="str">
        <x:v>SOURCE-VERIFIED / DOSE NOT RECONSTRUCTABLE</x:v>
      </x:c>
      <x:c r="AM137" s="18" t="str">
        <x:v>PCA demand/proxy</x:v>
      </x:c>
      <x:c r="AN137" s="18" t="str">
        <x:v>Exact/explicit 24 h</x:v>
      </x:c>
      <x:c r="AO137" s="18" t="str">
        <x:v>CONDITIONAL</x:v>
      </x:c>
      <x:c r="AP137" s="18" t="str">
        <x:v>Source value is valid in its native metric but cannot be converted to the target opioid mass/MME without additional information.</x:v>
      </x:c>
      <x:c r="AQ137" s="18" t="str">
        <x:v>No</x:v>
      </x:c>
      <x:c r="AR137" s="18" t="str"/>
      <x:c r="AS137" s="18" t="str">
        <x:v>Use median/IQR-compatible meta-analysis method; do not relabel as mean/SD</x:v>
      </x:c>
      <x:c r="AT137" s="18" t="str">
        <x:v>Time to meet discharge criteria</x:v>
      </x:c>
      <x:c r="AU137" s="18" t="str">
        <x:v>Postoperative</x:v>
      </x:c>
      <x:c r="AV137" s="18" t="str">
        <x:v>High</x:v>
      </x:c>
      <x:c r="AW137" s="18" t="str">
        <x:v>Yes — selected RoB is for a different result/timepoint</x:v>
      </x:c>
      <x:c r="AX137" s="18" t="str">
        <x:v>Lu 2022</x:v>
      </x:c>
      <x:c r="AY137" s="18" t="str">
        <x:v>Primary eligible contrast</x:v>
      </x:c>
      <x:c r="AZ137" s="18" t="str">
        <x:v>Count this study once per synthesis unless a valid multi-arm method is used.</x:v>
      </x:c>
    </x:row>
    <x:row r="138">
      <x:c r="A138" s="18" t="str">
        <x:v>Lu 2022</x:v>
      </x:c>
      <x:c r="B138" s="18" t="str">
        <x:v>LU22_TEAS_vs_CTRL_OPIOID24</x:v>
      </x:c>
      <x:c r="C138" s="18" t="str">
        <x:v>TEAS + ERAS</x:v>
      </x:c>
      <x:c r="D138" s="18" t="str">
        <x:v>No-current control + ERAS</x:v>
      </x:c>
      <x:c r="E138" s="18" t="str">
        <x:v>Opioid consumption</x:v>
      </x:c>
      <x:c r="F138" s="18" t="str">
        <x:v>Exact cumulative PCA opioid consumption</x:v>
      </x:c>
      <x:c r="G138" s="18" t="str">
        <x:v>0-24 h</x:v>
      </x:c>
      <x:c r="H138" s="18" t="str">
        <x:v>Not reported</x:v>
      </x:c>
      <x:c r="I138" s="18" t="n">
        <x:v>50</x:v>
      </x:c>
      <x:c r="J138" s="18" t="n">
        <x:v>50</x:v>
      </x:c>
      <x:c r="K138" s="18" t="n">
        <x:v>47</x:v>
      </x:c>
      <x:c r="L138" s="18" t="n">
        <x:v>47</x:v>
      </x:c>
      <x:c r="M138" s="18"/>
      <x:c r="N138" s="18"/>
      <x:c r="O138" s="18"/>
      <x:c r="P138" s="18"/>
      <x:c r="Q138" s="18"/>
      <x:c r="R138" s="18"/>
      <x:c r="S138" s="18"/>
      <x:c r="T138" s="18"/>
      <x:c r="U138" s="18"/>
      <x:c r="V138" s="18"/>
      <x:c r="W138" s="18"/>
      <x:c r="X138" s="18"/>
      <x:c r="Y138" s="18" t="str">
        <x:v>mg/µg</x:v>
      </x:c>
      <x:c r="Z138" s="18"/>
      <x:c r="AA138" s="18" t="str">
        <x:v>No</x:v>
      </x:c>
      <x:c r="AB138" s="18" t="str">
        <x:v>No</x:v>
      </x:c>
      <x:c r="AC138" s="18"/>
      <x:c r="AD138" s="18"/>
      <x:c r="AE138" s="18" t="str">
        <x:v>No</x:v>
      </x:c>
      <x:c r="AF138" s="18" t="str">
        <x:v>No</x:v>
      </x:c>
      <x:c r="AG138" s="18" t="str">
        <x:v>Not eligible for continuous 24-h opioid meta-analysis without supplementary/author data</x:v>
      </x:c>
      <x:c r="AH138" s="18" t="str">
        <x:v>No</x:v>
      </x:c>
      <x:c r="AI138" s="18" t="str">
        <x:v>The main article never identifies the PCA drug or dose</x:v>
      </x:c>
      <x:c r="AJ138" s="18" t="str">
        <x:v>Postoperative PCA section</x:v>
      </x:c>
      <x:c r="AK138" s="18" t="str">
        <x:v>https://drive.google.com/file/d/12Y86huNMuLC8cPH-L2vwlEd7r1X1Qela/view?usp=drivesdk</x:v>
      </x:c>
      <x:c r="AL138" s="18" t="str">
        <x:v>MISSING / PCA DRUG AND DOSE NR</x:v>
      </x:c>
      <x:c r="AM138" s="18" t="str">
        <x:v>Postoperative opioid consumption</x:v>
      </x:c>
      <x:c r="AN138" s="18" t="str">
        <x:v>Exact/explicit 24 h</x:v>
      </x:c>
      <x:c r="AO138" s="18" t="str">
        <x:v>EXCLUDE — DATA UNAVAILABLE</x:v>
      </x:c>
      <x:c r="AP138" s="18" t="str">
        <x:v>The source does not provide a defensible quantitative value for this analysis.</x:v>
      </x:c>
      <x:c r="AQ138" s="18" t="str">
        <x:v>No</x:v>
      </x:c>
      <x:c r="AR138" s="18" t="str"/>
      <x:c r="AS138" s="18" t="str">
        <x:v>None</x:v>
      </x:c>
      <x:c r="AT138" s="18" t="str">
        <x:v>Time to meet discharge criteria</x:v>
      </x:c>
      <x:c r="AU138" s="18" t="str">
        <x:v>Postoperative</x:v>
      </x:c>
      <x:c r="AV138" s="18" t="str">
        <x:v>High</x:v>
      </x:c>
      <x:c r="AW138" s="18" t="str">
        <x:v>Yes — selected RoB is for a different result/timepoint</x:v>
      </x:c>
      <x:c r="AX138" s="18" t="str">
        <x:v>Lu 2022</x:v>
      </x:c>
      <x:c r="AY138" s="18" t="str">
        <x:v>Primary eligible contrast</x:v>
      </x:c>
      <x:c r="AZ138" s="18" t="str">
        <x:v>Count this study once per synthesis unless a valid multi-arm method is used.</x:v>
      </x:c>
    </x:row>
    <x:row r="139">
      <x:c r="A139" s="18" t="str">
        <x:v>Luo 2026</x:v>
      </x:c>
      <x:c r="B139" s="18" t="str">
        <x:v>LUO26_TEAS_vs_SHAM_NAUSEA48</x:v>
      </x:c>
      <x:c r="C139" s="18" t="str">
        <x:v>Intraoperative PC6 TEAS + standard antiemetics</x:v>
      </x:c>
      <x:c r="D139" s="18" t="str">
        <x:v>Sham/no current + standard antiemetics</x:v>
      </x:c>
      <x:c r="E139" s="18" t="str">
        <x:v>PONV</x:v>
      </x:c>
      <x:c r="F139" s="18" t="str">
        <x:v>Cumulative postoperative nausea</x:v>
      </x:c>
      <x:c r="G139" s="18" t="str">
        <x:v>0-48 h</x:v>
      </x:c>
      <x:c r="H139" s="18" t="str">
        <x:v>Events/total</x:v>
      </x:c>
      <x:c r="I139" s="18" t="n">
        <x:v>138</x:v>
      </x:c>
      <x:c r="J139" s="18" t="n">
        <x:v>139</x:v>
      </x:c>
      <x:c r="K139" s="18" t="n">
        <x:v>138</x:v>
      </x:c>
      <x:c r="L139" s="18" t="n">
        <x:v>139</x:v>
      </x:c>
      <x:c r="M139" s="18"/>
      <x:c r="N139" s="18"/>
      <x:c r="O139" s="18"/>
      <x:c r="P139" s="18"/>
      <x:c r="Q139" s="18"/>
      <x:c r="R139" s="18" t="n">
        <x:v>24</x:v>
      </x:c>
      <x:c r="S139" s="18"/>
      <x:c r="T139" s="18"/>
      <x:c r="U139" s="18"/>
      <x:c r="V139" s="18"/>
      <x:c r="W139" s="18"/>
      <x:c r="X139" s="18" t="n">
        <x:v>53</x:v>
      </x:c>
      <x:c r="Y139" s="18" t="str">
        <x:v>participants</x:v>
      </x:c>
      <x:c r="Z139" s="18" t="str">
        <x:v>&lt;0.01</x:v>
      </x:c>
      <x:c r="AA139" s="18" t="str">
        <x:v>Yes</x:v>
      </x:c>
      <x:c r="AB139" s="18" t="str">
        <x:v>No</x:v>
      </x:c>
      <x:c r="AC139" s="18" t="str">
        <x:v>RR</x:v>
      </x:c>
      <x:c r="AD139" s="18" t="n">
        <x:v>0.45611156685808035</x:v>
      </x:c>
      <x:c r="AE139" s="18" t="str">
        <x:v>No</x:v>
      </x:c>
      <x:c r="AF139" s="18" t="str">
        <x:v>No</x:v>
      </x:c>
      <x:c r="AG139" s="18" t="str">
        <x:v>Eligible for dichotomous 48-h nausea analysis</x:v>
      </x:c>
      <x:c r="AH139" s="18" t="str">
        <x:v>No</x:v>
      </x:c>
      <x:c r="AI139" s="18" t="str">
        <x:v>Participant blinding was empirically poor: 77.5% of TEAS and 66.2% of sham participants correctly guessed allocation</x:v>
      </x:c>
      <x:c r="AJ139" s="18" t="str">
        <x:v>Primary outcome / cumulative nausea</x:v>
      </x:c>
      <x:c r="AK139" s="18" t="str">
        <x:v>https://drive.google.com/file/d/1xxZle6mPpcnmHLblJbsy1kA4CyQHpvm2/view?usp=drivesdk</x:v>
      </x:c>
      <x:c r="AL139" s="18" t="str">
        <x:v>SOURCE-VERIFIED</x:v>
      </x:c>
      <x:c r="AM139" s="18" t="str">
        <x:v>PONV</x:v>
      </x:c>
      <x:c r="AN139" s="18" t="str">
        <x:v>48 h</x:v>
      </x:c>
      <x:c r="AO139" s="18" t="str">
        <x:v>INCLUDE — SEPARATE TIME WINDOW</x:v>
      </x:c>
      <x:c r="AP139" s="18" t="str">
        <x:v>Valid 48 h PONV endpoint; analyze separately from 24-h PONV.</x:v>
      </x:c>
      <x:c r="AQ139" s="18" t="str">
        <x:v>No</x:v>
      </x:c>
      <x:c r="AR139" s="18" t="str"/>
      <x:c r="AS139" s="18" t="str">
        <x:v>Binary effect measure (RR preferred per protocol)</x:v>
      </x:c>
      <x:c r="AT139" s="18" t="str">
        <x:v>Cumulative postoperative nausea</x:v>
      </x:c>
      <x:c r="AU139" s="18" t="str">
        <x:v>0-48 h</x:v>
      </x:c>
      <x:c r="AV139" s="18" t="str">
        <x:v>Some concerns</x:v>
      </x:c>
      <x:c r="AW139" s="18" t="str">
        <x:v>No — selected RoB matches this result</x:v>
      </x:c>
      <x:c r="AX139" s="18" t="str">
        <x:v>Luo 2026</x:v>
      </x:c>
      <x:c r="AY139" s="18" t="str">
        <x:v>Primary eligible contrast</x:v>
      </x:c>
      <x:c r="AZ139" s="18" t="str">
        <x:v>Count this study once per synthesis unless a valid multi-arm method is used.</x:v>
      </x:c>
    </x:row>
    <x:row r="140">
      <x:c r="A140" s="18" t="str">
        <x:v>Luo 2026</x:v>
      </x:c>
      <x:c r="B140" s="18" t="str">
        <x:v>LUO26_TEAS_vs_SHAM_VOMIT48</x:v>
      </x:c>
      <x:c r="C140" s="18" t="str">
        <x:v>Intraoperative PC6 TEAS + standard antiemetics</x:v>
      </x:c>
      <x:c r="D140" s="18" t="str">
        <x:v>Sham/no current + standard antiemetics</x:v>
      </x:c>
      <x:c r="E140" s="18" t="str">
        <x:v>PONV</x:v>
      </x:c>
      <x:c r="F140" s="18" t="str">
        <x:v>Cumulative postoperative vomiting</x:v>
      </x:c>
      <x:c r="G140" s="18" t="str">
        <x:v>0-48 h</x:v>
      </x:c>
      <x:c r="H140" s="18" t="str">
        <x:v>Events/total</x:v>
      </x:c>
      <x:c r="I140" s="18" t="n">
        <x:v>138</x:v>
      </x:c>
      <x:c r="J140" s="18" t="n">
        <x:v>139</x:v>
      </x:c>
      <x:c r="K140" s="18" t="n">
        <x:v>138</x:v>
      </x:c>
      <x:c r="L140" s="18" t="n">
        <x:v>139</x:v>
      </x:c>
      <x:c r="M140" s="18"/>
      <x:c r="N140" s="18"/>
      <x:c r="O140" s="18"/>
      <x:c r="P140" s="18"/>
      <x:c r="Q140" s="18"/>
      <x:c r="R140" s="18" t="n">
        <x:v>9</x:v>
      </x:c>
      <x:c r="S140" s="18"/>
      <x:c r="T140" s="18"/>
      <x:c r="U140" s="18"/>
      <x:c r="V140" s="18"/>
      <x:c r="W140" s="18"/>
      <x:c r="X140" s="18" t="n">
        <x:v>27</x:v>
      </x:c>
      <x:c r="Y140" s="18" t="str">
        <x:v>participants</x:v>
      </x:c>
      <x:c r="Z140" s="18" t="str">
        <x:v>&lt;0.01</x:v>
      </x:c>
      <x:c r="AA140" s="18" t="str">
        <x:v>Yes</x:v>
      </x:c>
      <x:c r="AB140" s="18" t="str">
        <x:v>No</x:v>
      </x:c>
      <x:c r="AC140" s="18" t="str">
        <x:v>RR</x:v>
      </x:c>
      <x:c r="AD140" s="18" t="n">
        <x:v>0.3357487922705314</x:v>
      </x:c>
      <x:c r="AE140" s="18" t="str">
        <x:v>No</x:v>
      </x:c>
      <x:c r="AF140" s="18" t="str">
        <x:v>No</x:v>
      </x:c>
      <x:c r="AG140" s="18" t="str">
        <x:v>Eligible for dichotomous 48-h vomiting analysis</x:v>
      </x:c>
      <x:c r="AH140" s="18" t="str">
        <x:v>No</x:v>
      </x:c>
      <x:c r="AI140" s="18" t="str">
        <x:v>Vomiting is more objective than nausea, but participant masking was incomplete</x:v>
      </x:c>
      <x:c r="AJ140" s="18" t="str">
        <x:v>Primary outcome / cumulative vomiting</x:v>
      </x:c>
      <x:c r="AK140" s="18" t="str">
        <x:v>https://drive.google.com/file/d/1xxZle6mPpcnmHLblJbsy1kA4CyQHpvm2/view?usp=drivesdk</x:v>
      </x:c>
      <x:c r="AL140" s="18" t="str">
        <x:v>SOURCE-VERIFIED</x:v>
      </x:c>
      <x:c r="AM140" s="18" t="str">
        <x:v>PONV</x:v>
      </x:c>
      <x:c r="AN140" s="18" t="str">
        <x:v>48 h</x:v>
      </x:c>
      <x:c r="AO140" s="18" t="str">
        <x:v>INCLUDE — SEPARATE TIME WINDOW</x:v>
      </x:c>
      <x:c r="AP140" s="18" t="str">
        <x:v>Valid 48 h PONV endpoint; analyze separately from 24-h PONV.</x:v>
      </x:c>
      <x:c r="AQ140" s="18" t="str">
        <x:v>No</x:v>
      </x:c>
      <x:c r="AR140" s="18" t="str"/>
      <x:c r="AS140" s="18" t="str">
        <x:v>Binary effect measure (RR preferred per protocol)</x:v>
      </x:c>
      <x:c r="AT140" s="18" t="str">
        <x:v>Cumulative postoperative nausea</x:v>
      </x:c>
      <x:c r="AU140" s="18" t="str">
        <x:v>0-48 h</x:v>
      </x:c>
      <x:c r="AV140" s="18" t="str">
        <x:v>Some concerns</x:v>
      </x:c>
      <x:c r="AW140" s="18" t="str">
        <x:v>Yes — selected RoB is for a different result/timepoint</x:v>
      </x:c>
      <x:c r="AX140" s="18" t="str">
        <x:v>Luo 2026</x:v>
      </x:c>
      <x:c r="AY140" s="18" t="str">
        <x:v>Primary eligible contrast</x:v>
      </x:c>
      <x:c r="AZ140" s="18" t="str">
        <x:v>Count this study once per synthesis unless a valid multi-arm method is used.</x:v>
      </x:c>
    </x:row>
    <x:row r="141">
      <x:c r="A141" s="18" t="str">
        <x:v>Luo 2026</x:v>
      </x:c>
      <x:c r="B141" s="18" t="str">
        <x:v>LUO26_TEAS_vs_SHAM_COMPLETE48</x:v>
      </x:c>
      <x:c r="C141" s="18" t="str">
        <x:v>Intraoperative PC6 TEAS + standard antiemetics</x:v>
      </x:c>
      <x:c r="D141" s="18" t="str">
        <x:v>Sham/no current + standard antiemetics</x:v>
      </x:c>
      <x:c r="E141" s="18" t="str">
        <x:v>PONV</x:v>
      </x:c>
      <x:c r="F141" s="18" t="str">
        <x:v>Complete response: no vomiting and no rescue antiemetic</x:v>
      </x:c>
      <x:c r="G141" s="18" t="str">
        <x:v>0-48 h</x:v>
      </x:c>
      <x:c r="H141" s="18" t="str">
        <x:v>Events/total</x:v>
      </x:c>
      <x:c r="I141" s="18" t="n">
        <x:v>138</x:v>
      </x:c>
      <x:c r="J141" s="18" t="n">
        <x:v>139</x:v>
      </x:c>
      <x:c r="K141" s="18" t="n">
        <x:v>138</x:v>
      </x:c>
      <x:c r="L141" s="18" t="n">
        <x:v>139</x:v>
      </x:c>
      <x:c r="M141" s="18"/>
      <x:c r="N141" s="18"/>
      <x:c r="O141" s="18"/>
      <x:c r="P141" s="18"/>
      <x:c r="Q141" s="18"/>
      <x:c r="R141" s="18" t="n">
        <x:v>112</x:v>
      </x:c>
      <x:c r="S141" s="18"/>
      <x:c r="T141" s="18"/>
      <x:c r="U141" s="18"/>
      <x:c r="V141" s="18"/>
      <x:c r="W141" s="18"/>
      <x:c r="X141" s="18" t="n">
        <x:v>83</x:v>
      </x:c>
      <x:c r="Y141" s="18" t="str">
        <x:v>participants</x:v>
      </x:c>
      <x:c r="Z141" s="18" t="str">
        <x:v>&lt;0.01</x:v>
      </x:c>
      <x:c r="AA141" s="18" t="str">
        <x:v>Yes</x:v>
      </x:c>
      <x:c r="AB141" s="18" t="str">
        <x:v>No</x:v>
      </x:c>
      <x:c r="AC141" s="18" t="str">
        <x:v>RR</x:v>
      </x:c>
      <x:c r="AD141" s="18" t="n">
        <x:v>1.3591758337698623</x:v>
      </x:c>
      <x:c r="AE141" s="18" t="str">
        <x:v>No</x:v>
      </x:c>
      <x:c r="AF141" s="18" t="str">
        <x:v>No</x:v>
      </x:c>
      <x:c r="AG141" s="18" t="str">
        <x:v>Eligible for dichotomous complete-response analysis</x:v>
      </x:c>
      <x:c r="AH141" s="18" t="str">
        <x:v>No</x:v>
      </x:c>
      <x:c r="AI141" s="18" t="str">
        <x:v>Abstract percentage differs slightly from table-derived 112/138; use raw counts</x:v>
      </x:c>
      <x:c r="AJ141" s="18" t="str">
        <x:v>Complete-response result</x:v>
      </x:c>
      <x:c r="AK141" s="18" t="str">
        <x:v>https://drive.google.com/file/d/1xxZle6mPpcnmHLblJbsy1kA4CyQHpvm2/view?usp=drivesdk</x:v>
      </x:c>
      <x:c r="AL141" s="18" t="str">
        <x:v>SOURCE-VERIFIED / ABSTRACT % QC</x:v>
      </x:c>
      <x:c r="AM141" s="18" t="str">
        <x:v>PONV</x:v>
      </x:c>
      <x:c r="AN141" s="18" t="str">
        <x:v>48 h</x:v>
      </x:c>
      <x:c r="AO141" s="18" t="str">
        <x:v>INCLUDE — SEPARATE TIME WINDOW</x:v>
      </x:c>
      <x:c r="AP141" s="18" t="str">
        <x:v>Valid 48 h PONV endpoint; analyze separately from 24-h PONV.</x:v>
      </x:c>
      <x:c r="AQ141" s="18" t="str">
        <x:v>No</x:v>
      </x:c>
      <x:c r="AR141" s="18" t="str"/>
      <x:c r="AS141" s="18" t="str">
        <x:v>Binary effect measure (RR preferred per protocol)</x:v>
      </x:c>
      <x:c r="AT141" s="18" t="str">
        <x:v>Cumulative postoperative nausea</x:v>
      </x:c>
      <x:c r="AU141" s="18" t="str">
        <x:v>0-48 h</x:v>
      </x:c>
      <x:c r="AV141" s="18" t="str">
        <x:v>Some concerns</x:v>
      </x:c>
      <x:c r="AW141" s="18" t="str">
        <x:v>Yes — selected RoB is for a different result/timepoint</x:v>
      </x:c>
      <x:c r="AX141" s="18" t="str">
        <x:v>Luo 2026</x:v>
      </x:c>
      <x:c r="AY141" s="18" t="str">
        <x:v>Primary eligible contrast</x:v>
      </x:c>
      <x:c r="AZ141" s="18" t="str">
        <x:v>Count this study once per synthesis unless a valid multi-arm method is used.</x:v>
      </x:c>
    </x:row>
    <x:row r="142">
      <x:c r="A142" s="18" t="str">
        <x:v>Luo 2026</x:v>
      </x:c>
      <x:c r="B142" s="18" t="str">
        <x:v>LUO26_TEAS_vs_SHAM_NRS24</x:v>
      </x:c>
      <x:c r="C142" s="18" t="str">
        <x:v>Intraoperative PC6 TEAS + standard antiemetics</x:v>
      </x:c>
      <x:c r="D142" s="18" t="str">
        <x:v>Sham/no current + standard antiemetics</x:v>
      </x:c>
      <x:c r="E142" s="18" t="str">
        <x:v>Pain</x:v>
      </x:c>
      <x:c r="F142" s="18" t="str">
        <x:v>Postoperative NRS pain</x:v>
      </x:c>
      <x:c r="G142" s="18" t="str">
        <x:v>24 h</x:v>
      </x:c>
      <x:c r="H142" s="18" t="str">
        <x:v>Mean/SD</x:v>
      </x:c>
      <x:c r="I142" s="18" t="n">
        <x:v>138</x:v>
      </x:c>
      <x:c r="J142" s="18" t="n">
        <x:v>139</x:v>
      </x:c>
      <x:c r="K142" s="18" t="n">
        <x:v>138</x:v>
      </x:c>
      <x:c r="L142" s="18" t="n">
        <x:v>139</x:v>
      </x:c>
      <x:c r="M142" s="18" t="n">
        <x:v>1.3</x:v>
      </x:c>
      <x:c r="N142" s="18" t="n">
        <x:v>0.92</x:v>
      </x:c>
      <x:c r="O142" s="18"/>
      <x:c r="P142" s="18"/>
      <x:c r="Q142" s="18"/>
      <x:c r="R142" s="18"/>
      <x:c r="S142" s="18" t="n">
        <x:v>1.65</x:v>
      </x:c>
      <x:c r="T142" s="18" t="n">
        <x:v>0.95</x:v>
      </x:c>
      <x:c r="U142" s="18"/>
      <x:c r="V142" s="18"/>
      <x:c r="W142" s="18"/>
      <x:c r="X142" s="18"/>
      <x:c r="Y142" s="18" t="str">
        <x:v>NRS 0-10</x:v>
      </x:c>
      <x:c r="Z142" s="18" t="str">
        <x:v>&lt;0.01</x:v>
      </x:c>
      <x:c r="AA142" s="18" t="str">
        <x:v>Yes</x:v>
      </x:c>
      <x:c r="AB142" s="18" t="str">
        <x:v>No</x:v>
      </x:c>
      <x:c r="AC142" s="18" t="str">
        <x:v>MD</x:v>
      </x:c>
      <x:c r="AD142" s="18" t="n">
        <x:v>-0.34999999999999987</x:v>
      </x:c>
      <x:c r="AE142" s="18" t="str">
        <x:v>No</x:v>
      </x:c>
      <x:c r="AF142" s="18" t="str">
        <x:v>No</x:v>
      </x:c>
      <x:c r="AG142" s="18" t="str">
        <x:v>Eligible for 24-h pain analysis</x:v>
      </x:c>
      <x:c r="AH142" s="18" t="str">
        <x:v>No</x:v>
      </x:c>
      <x:c r="AI142" s="18" t="str">
        <x:v>Rest-versus-movement condition is not reported; participant masking was incomplete</x:v>
      </x:c>
      <x:c r="AJ142" s="18" t="str">
        <x:v>Postoperative pain table / 24 h</x:v>
      </x:c>
      <x:c r="AK142" s="18" t="str">
        <x:v>https://drive.google.com/file/d/1xxZle6mPpcnmHLblJbsy1kA4CyQHpvm2/view?usp=drivesdk</x:v>
      </x:c>
      <x:c r="AL142" s="18" t="str">
        <x:v>SOURCE-VERIFIED</x:v>
      </x:c>
      <x:c r="AM142" s="18" t="str">
        <x:v>Pain</x:v>
      </x:c>
      <x:c r="AN142" s="18" t="str">
        <x:v>Exact/explicit 24 h</x:v>
      </x:c>
      <x:c r="AO142" s="18" t="str">
        <x:v>INCLUDE</x:v>
      </x:c>
      <x:c r="AP142" s="18" t="str">
        <x:v>Explicit 24-h pain endpoint with quantitative source data.</x:v>
      </x:c>
      <x:c r="AQ142" s="18" t="str">
        <x:v>Yes</x:v>
      </x:c>
      <x:c r="AR142" s="18" t="str"/>
      <x:c r="AS142" s="18" t="str">
        <x:v>None</x:v>
      </x:c>
      <x:c r="AT142" s="18" t="str">
        <x:v>Cumulative postoperative nausea</x:v>
      </x:c>
      <x:c r="AU142" s="18" t="str">
        <x:v>0-48 h</x:v>
      </x:c>
      <x:c r="AV142" s="18" t="str">
        <x:v>Some concerns</x:v>
      </x:c>
      <x:c r="AW142" s="18" t="str">
        <x:v>Yes — selected RoB is for a different result/timepoint</x:v>
      </x:c>
      <x:c r="AX142" s="18" t="str">
        <x:v>Luo 2026</x:v>
      </x:c>
      <x:c r="AY142" s="18" t="str">
        <x:v>Primary eligible contrast</x:v>
      </x:c>
      <x:c r="AZ142" s="18" t="str">
        <x:v>Count this study once per synthesis unless a valid multi-arm method is used.</x:v>
      </x:c>
    </x:row>
    <x:row r="143">
      <x:c r="A143" s="18" t="str">
        <x:v>Luo 2026</x:v>
      </x:c>
      <x:c r="B143" s="18" t="str">
        <x:v>LUO26_TEAS_vs_SHAM_OPIOIDEQUIV</x:v>
      </x:c>
      <x:c r="C143" s="18" t="str">
        <x:v>Intraoperative PC6 TEAS + standard antiemetics</x:v>
      </x:c>
      <x:c r="D143" s="18" t="str">
        <x:v>Sham/no current + standard antiemetics</x:v>
      </x:c>
      <x:c r="E143" s="18" t="str">
        <x:v>Perioperative opioid</x:v>
      </x:c>
      <x:c r="F143" s="18" t="str">
        <x:v>Published 'sufentanil equivalents' metric</x:v>
      </x:c>
      <x:c r="G143" s="18" t="str">
        <x:v>Perioperative</x:v>
      </x:c>
      <x:c r="H143" s="18" t="str">
        <x:v>Mean/SD</x:v>
      </x:c>
      <x:c r="I143" s="18" t="n">
        <x:v>138</x:v>
      </x:c>
      <x:c r="J143" s="18" t="n">
        <x:v>139</x:v>
      </x:c>
      <x:c r="K143" s="18" t="n">
        <x:v>138</x:v>
      </x:c>
      <x:c r="L143" s="18" t="n">
        <x:v>139</x:v>
      </x:c>
      <x:c r="M143" s="18" t="n">
        <x:v>15.86</x:v>
      </x:c>
      <x:c r="N143" s="18" t="n">
        <x:v>5.11</x:v>
      </x:c>
      <x:c r="O143" s="18"/>
      <x:c r="P143" s="18"/>
      <x:c r="Q143" s="18"/>
      <x:c r="R143" s="18"/>
      <x:c r="S143" s="18" t="n">
        <x:v>15.18</x:v>
      </x:c>
      <x:c r="T143" s="18" t="n">
        <x:v>4.95</x:v>
      </x:c>
      <x:c r="U143" s="18"/>
      <x:c r="V143" s="18"/>
      <x:c r="W143" s="18"/>
      <x:c r="X143" s="18"/>
      <x:c r="Y143" s="18" t="str">
        <x:v>published as mg; definition/unit unresolved</x:v>
      </x:c>
      <x:c r="Z143" s="18" t="str">
        <x:v>0.27</x:v>
      </x:c>
      <x:c r="AA143" s="18" t="str">
        <x:v>Yes</x:v>
      </x:c>
      <x:c r="AB143" s="18" t="str">
        <x:v>No</x:v>
      </x:c>
      <x:c r="AC143" s="18" t="str">
        <x:v>MD</x:v>
      </x:c>
      <x:c r="AD143" s="18" t="n">
        <x:v>0.6799999999999997</x:v>
      </x:c>
      <x:c r="AE143" s="18" t="str">
        <x:v>No</x:v>
      </x:c>
      <x:c r="AF143" s="18" t="str">
        <x:v>No</x:v>
      </x:c>
      <x:c r="AG143" s="18" t="str">
        <x:v>Do not harmonize to MME or actual sufentanil mass until authors clarify conversion and unit</x:v>
      </x:c>
      <x:c r="AH143" s="18" t="str">
        <x:v>No</x:v>
      </x:c>
      <x:c r="AI143" s="18" t="str">
        <x:v>Source labels approximately 15-16 as 'sufentanil equivalents (mg)' without explaining conversion; preserve verbatim</x:v>
      </x:c>
      <x:c r="AJ143" s="18" t="str">
        <x:v>Table 1 / perioperative opioid metric</x:v>
      </x:c>
      <x:c r="AK143" s="18" t="str">
        <x:v>https://drive.google.com/file/d/1xxZle6mPpcnmHLblJbsy1kA4CyQHpvm2/view?usp=drivesdk</x:v>
      </x:c>
      <x:c r="AL143" s="18" t="str">
        <x:v>SOURCE-VERIFIED / UNIT UNRESOLVED</x:v>
      </x:c>
      <x:c r="AM143" s="18" t="str">
        <x:v>Postoperative opioid consumption</x:v>
      </x:c>
      <x:c r="AN143" s="18" t="str">
        <x:v>Perioperative</x:v>
      </x:c>
      <x:c r="AO143" s="18" t="str">
        <x:v>CONDITIONAL</x:v>
      </x:c>
      <x:c r="AP143" s="18" t="str">
        <x:v>Source value is valid in its native metric but cannot be converted to the target opioid mass/MME without additional information.</x:v>
      </x:c>
      <x:c r="AQ143" s="18" t="str">
        <x:v>No</x:v>
      </x:c>
      <x:c r="AR143" s="18" t="str"/>
      <x:c r="AS143" s="18" t="str">
        <x:v>None</x:v>
      </x:c>
      <x:c r="AT143" s="18" t="str">
        <x:v>Cumulative postoperative nausea</x:v>
      </x:c>
      <x:c r="AU143" s="18" t="str">
        <x:v>0-48 h</x:v>
      </x:c>
      <x:c r="AV143" s="18" t="str">
        <x:v>Some concerns</x:v>
      </x:c>
      <x:c r="AW143" s="18" t="str">
        <x:v>Yes — selected RoB is for a different result/timepoint</x:v>
      </x:c>
      <x:c r="AX143" s="18" t="str">
        <x:v>Luo 2026</x:v>
      </x:c>
      <x:c r="AY143" s="18" t="str">
        <x:v>Primary eligible contrast</x:v>
      </x:c>
      <x:c r="AZ143" s="18" t="str">
        <x:v>Count this study once per synthesis unless a valid multi-arm method is used.</x:v>
      </x:c>
    </x:row>
    <x:row r="144">
      <x:c r="A144" s="18" t="str">
        <x:v>Luo 2026</x:v>
      </x:c>
      <x:c r="B144" s="18" t="str">
        <x:v>LUO26_TEAS_vs_SHAM_OPIOID24</x:v>
      </x:c>
      <x:c r="C144" s="18" t="str">
        <x:v>Intraoperative PC6 TEAS + standard antiemetics</x:v>
      </x:c>
      <x:c r="D144" s="18" t="str">
        <x:v>Sham/no current + standard antiemetics</x:v>
      </x:c>
      <x:c r="E144" s="18" t="str">
        <x:v>Opioid consumption</x:v>
      </x:c>
      <x:c r="F144" s="18" t="str">
        <x:v>Cumulative postoperative oxycodone consumption</x:v>
      </x:c>
      <x:c r="G144" s="18" t="str">
        <x:v>0-24 h</x:v>
      </x:c>
      <x:c r="H144" s="18" t="str">
        <x:v>Not reported</x:v>
      </x:c>
      <x:c r="I144" s="18" t="n">
        <x:v>138</x:v>
      </x:c>
      <x:c r="J144" s="18" t="n">
        <x:v>139</x:v>
      </x:c>
      <x:c r="K144" s="18" t="n">
        <x:v>138</x:v>
      </x:c>
      <x:c r="L144" s="18" t="n">
        <x:v>139</x:v>
      </x:c>
      <x:c r="M144" s="18"/>
      <x:c r="N144" s="18"/>
      <x:c r="O144" s="18"/>
      <x:c r="P144" s="18"/>
      <x:c r="Q144" s="18"/>
      <x:c r="R144" s="18"/>
      <x:c r="S144" s="18"/>
      <x:c r="T144" s="18"/>
      <x:c r="U144" s="18"/>
      <x:c r="V144" s="18"/>
      <x:c r="W144" s="18"/>
      <x:c r="X144" s="18"/>
      <x:c r="Y144" s="18" t="str">
        <x:v>mg oxycodone</x:v>
      </x:c>
      <x:c r="Z144" s="18"/>
      <x:c r="AA144" s="18" t="str">
        <x:v>No</x:v>
      </x:c>
      <x:c r="AB144" s="18" t="str">
        <x:v>No</x:v>
      </x:c>
      <x:c r="AC144" s="18"/>
      <x:c r="AD144" s="18"/>
      <x:c r="AE144" s="18" t="str">
        <x:v>No</x:v>
      </x:c>
      <x:c r="AF144" s="18" t="str">
        <x:v>No</x:v>
      </x:c>
      <x:c r="AG144" s="18" t="str">
        <x:v>Not eligible for continuous 24-h opioid/MME meta-analysis</x:v>
      </x:c>
      <x:c r="AH144" s="18" t="str">
        <x:v>No</x:v>
      </x:c>
      <x:c r="AI144" s="18" t="str">
        <x:v>Postoperative IV oxycodone is described, but schedule and group-specific cumulative 24-h consumption are not reported</x:v>
      </x:c>
      <x:c r="AJ144" s="18" t="str">
        <x:v>Postoperative analgesia / exact 24-h endpoint absent</x:v>
      </x:c>
      <x:c r="AK144" s="18" t="str">
        <x:v>https://drive.google.com/file/d/1xxZle6mPpcnmHLblJbsy1kA4CyQHpvm2/view?usp=drivesdk</x:v>
      </x:c>
      <x:c r="AL144" s="18" t="str">
        <x:v>MISSING / AUTHOR DATA NEEDED</x:v>
      </x:c>
      <x:c r="AM144" s="18" t="str">
        <x:v>Postoperative opioid consumption</x:v>
      </x:c>
      <x:c r="AN144" s="18" t="str">
        <x:v>Exact/explicit 24 h</x:v>
      </x:c>
      <x:c r="AO144" s="18" t="str">
        <x:v>EXCLUDE — DATA UNAVAILABLE</x:v>
      </x:c>
      <x:c r="AP144" s="18" t="str">
        <x:v>The source does not provide a defensible quantitative value for this analysis.</x:v>
      </x:c>
      <x:c r="AQ144" s="18" t="str">
        <x:v>No</x:v>
      </x:c>
      <x:c r="AR144" s="18" t="str"/>
      <x:c r="AS144" s="18" t="str">
        <x:v>Opioid/MME conversion required using prespecified review conversion</x:v>
      </x:c>
      <x:c r="AT144" s="18" t="str">
        <x:v>Cumulative postoperative nausea</x:v>
      </x:c>
      <x:c r="AU144" s="18" t="str">
        <x:v>0-48 h</x:v>
      </x:c>
      <x:c r="AV144" s="18" t="str">
        <x:v>Some concerns</x:v>
      </x:c>
      <x:c r="AW144" s="18" t="str">
        <x:v>Yes — selected RoB is for a different result/timepoint</x:v>
      </x:c>
      <x:c r="AX144" s="18" t="str">
        <x:v>Luo 2026</x:v>
      </x:c>
      <x:c r="AY144" s="18" t="str">
        <x:v>Primary eligible contrast</x:v>
      </x:c>
      <x:c r="AZ144" s="18" t="str">
        <x:v>Count this study once per synthesis unless a valid multi-arm method is used.</x:v>
      </x:c>
    </x:row>
    <x:row r="145">
      <x:c r="A145" s="18" t="str">
        <x:v>Long 2025</x:v>
      </x:c>
      <x:c r="B145" s="18" t="str">
        <x:v>LONG25_TEAS_vs_CTRL_PND1</x:v>
      </x:c>
      <x:c r="C145" s="18" t="str">
        <x:v>Perioperative electrical acupoint stimulation</x:v>
      </x:c>
      <x:c r="D145" s="18" t="str">
        <x:v>Electrodes/no current</x:v>
      </x:c>
      <x:c r="E145" s="18" t="str">
        <x:v>Neurocognitive</x:v>
      </x:c>
      <x:c r="F145" s="18" t="str">
        <x:v>Perioperative neurocognitive disorder (PND)</x:v>
      </x:c>
      <x:c r="G145" s="18" t="str">
        <x:v>POD1</x:v>
      </x:c>
      <x:c r="H145" s="18" t="str">
        <x:v>Published event count + percentage; denominator inconsistent</x:v>
      </x:c>
      <x:c r="I145" s="18" t="n">
        <x:v>30</x:v>
      </x:c>
      <x:c r="J145" s="18" t="n">
        <x:v>30</x:v>
      </x:c>
      <x:c r="K145" s="18" t="n">
        <x:v>27</x:v>
      </x:c>
      <x:c r="L145" s="18" t="n">
        <x:v>26</x:v>
      </x:c>
      <x:c r="M145" s="18"/>
      <x:c r="N145" s="18"/>
      <x:c r="O145" s="18"/>
      <x:c r="P145" s="18"/>
      <x:c r="Q145" s="18"/>
      <x:c r="R145" s="18" t="n">
        <x:v>7</x:v>
      </x:c>
      <x:c r="S145" s="18"/>
      <x:c r="T145" s="18"/>
      <x:c r="U145" s="18"/>
      <x:c r="V145" s="18"/>
      <x:c r="W145" s="18"/>
      <x:c r="X145" s="18" t="n">
        <x:v>14</x:v>
      </x:c>
      <x:c r="Y145" s="18" t="str">
        <x:v>Active: 7 cases (25.0%); Control: 14 cases (56.0%)</x:v>
      </x:c>
      <x:c r="Z145" s="18" t="str">
        <x:v>NR</x:v>
      </x:c>
      <x:c r="AA145" s="18" t="str">
        <x:v>Yes</x:v>
      </x:c>
      <x:c r="AB145" s="18" t="str">
        <x:v>No</x:v>
      </x:c>
      <x:c r="AC145" s="18"/>
      <x:c r="AD145" s="18"/>
      <x:c r="AE145" s="18" t="str">
        <x:v>No</x:v>
      </x:c>
      <x:c r="AF145" s="18" t="str">
        <x:v>No</x:v>
      </x:c>
      <x:c r="AG145" s="18" t="str">
        <x:v>Not meta-analysis-ready until event denominators are clarified</x:v>
      </x:c>
      <x:c r="AH145" s="18" t="str">
        <x:v>No</x:v>
      </x:c>
      <x:c r="AI145" s="18" t="str">
        <x:v>Published percentages do not reconcile with final analyzed n=27 active/26 control; do not back-calculate denominators</x:v>
      </x:c>
      <x:c r="AJ145" s="18" t="str">
        <x:v>PND incidence table / POD1</x:v>
      </x:c>
      <x:c r="AK145" s="18" t="str">
        <x:v>https://drive.google.com/file/d/1LDqtQLq9-kZLP0Vv_G3iiK8QKjy4pRXP/view?usp=drivesdk</x:v>
      </x:c>
      <x:c r="AL145" s="18" t="str">
        <x:v>SOURCE-VERIFIED / DENOMINATOR INCONSISTENT</x:v>
      </x:c>
      <x:c r="AM145" s="18" t="str">
        <x:v>Neurocognitive</x:v>
      </x:c>
      <x:c r="AN145" s="18" t="str">
        <x:v>POD1 / approximate 24 h</x:v>
      </x:c>
      <x:c r="AO145" s="18" t="str">
        <x:v>QC HOLD</x:v>
      </x:c>
      <x:c r="AP145" s="18" t="str">
        <x:v>Event counts/percentages do not reconcile with published denominators; do not compute an effect until denominator is clarified.</x:v>
      </x:c>
      <x:c r="AQ145" s="18" t="str">
        <x:v>No</x:v>
      </x:c>
      <x:c r="AR145" s="18" t="str"/>
      <x:c r="AS145" s="18" t="str">
        <x:v>None</x:v>
      </x:c>
      <x:c r="AT145" s="18" t="str">
        <x:v>Perioperative neurocognitive disorder (PND)</x:v>
      </x:c>
      <x:c r="AU145" s="18" t="str">
        <x:v>POD3</x:v>
      </x:c>
      <x:c r="AV145" s="18" t="str">
        <x:v>High</x:v>
      </x:c>
      <x:c r="AW145" s="18" t="str">
        <x:v>No — selected RoB matches this result</x:v>
      </x:c>
      <x:c r="AX145" s="18" t="str">
        <x:v>Long 2025</x:v>
      </x:c>
      <x:c r="AY145" s="18" t="str">
        <x:v>Primary eligible contrast</x:v>
      </x:c>
      <x:c r="AZ145" s="18" t="str">
        <x:v>Count this study once per synthesis unless a valid multi-arm method is used.</x:v>
      </x:c>
    </x:row>
    <x:row r="146">
      <x:c r="A146" s="18" t="str">
        <x:v>Long 2025</x:v>
      </x:c>
      <x:c r="B146" s="18" t="str">
        <x:v>LONG25_TEAS_vs_CTRL_PND3</x:v>
      </x:c>
      <x:c r="C146" s="18" t="str">
        <x:v>Perioperative electrical acupoint stimulation</x:v>
      </x:c>
      <x:c r="D146" s="18" t="str">
        <x:v>Electrodes/no current</x:v>
      </x:c>
      <x:c r="E146" s="18" t="str">
        <x:v>Neurocognitive</x:v>
      </x:c>
      <x:c r="F146" s="18" t="str">
        <x:v>Perioperative neurocognitive disorder (PND)</x:v>
      </x:c>
      <x:c r="G146" s="18" t="str">
        <x:v>POD3</x:v>
      </x:c>
      <x:c r="H146" s="18" t="str">
        <x:v>Published event count + percentage; denominator inconsistent</x:v>
      </x:c>
      <x:c r="I146" s="18" t="n">
        <x:v>30</x:v>
      </x:c>
      <x:c r="J146" s="18" t="n">
        <x:v>30</x:v>
      </x:c>
      <x:c r="K146" s="18" t="n">
        <x:v>27</x:v>
      </x:c>
      <x:c r="L146" s="18" t="n">
        <x:v>26</x:v>
      </x:c>
      <x:c r="M146" s="18"/>
      <x:c r="N146" s="18"/>
      <x:c r="O146" s="18"/>
      <x:c r="P146" s="18"/>
      <x:c r="Q146" s="18"/>
      <x:c r="R146" s="18" t="n">
        <x:v>4</x:v>
      </x:c>
      <x:c r="S146" s="18"/>
      <x:c r="T146" s="18"/>
      <x:c r="U146" s="18"/>
      <x:c r="V146" s="18"/>
      <x:c r="W146" s="18"/>
      <x:c r="X146" s="18" t="n">
        <x:v>12</x:v>
      </x:c>
      <x:c r="Y146" s="18" t="str">
        <x:v>Active: 4 cases (14.3%); Control: 12 cases (48.0%)</x:v>
      </x:c>
      <x:c r="Z146" s="18" t="str">
        <x:v>NR</x:v>
      </x:c>
      <x:c r="AA146" s="18" t="str">
        <x:v>Yes</x:v>
      </x:c>
      <x:c r="AB146" s="18" t="str">
        <x:v>No</x:v>
      </x:c>
      <x:c r="AC146" s="18"/>
      <x:c r="AD146" s="18"/>
      <x:c r="AE146" s="18" t="str">
        <x:v>No</x:v>
      </x:c>
      <x:c r="AF146" s="18" t="str">
        <x:v>No</x:v>
      </x:c>
      <x:c r="AG146" s="18" t="str">
        <x:v>Not meta-analysis-ready until event denominators are clarified</x:v>
      </x:c>
      <x:c r="AH146" s="18" t="str">
        <x:v>No</x:v>
      </x:c>
      <x:c r="AI146" s="18" t="str">
        <x:v>Published percentages do not reconcile with reported analyzed denominators</x:v>
      </x:c>
      <x:c r="AJ146" s="18" t="str">
        <x:v>PND incidence table / POD3</x:v>
      </x:c>
      <x:c r="AK146" s="18" t="str">
        <x:v>https://drive.google.com/file/d/1LDqtQLq9-kZLP0Vv_G3iiK8QKjy4pRXP/view?usp=drivesdk</x:v>
      </x:c>
      <x:c r="AL146" s="18" t="str">
        <x:v>SOURCE-VERIFIED / DENOMINATOR INCONSISTENT</x:v>
      </x:c>
      <x:c r="AM146" s="18" t="str">
        <x:v>Neurocognitive</x:v>
      </x:c>
      <x:c r="AN146" s="18" t="str">
        <x:v>POD3</x:v>
      </x:c>
      <x:c r="AO146" s="18" t="str">
        <x:v>QC HOLD</x:v>
      </x:c>
      <x:c r="AP146" s="18" t="str">
        <x:v>Event counts/percentages do not reconcile with published denominators; do not compute an effect until denominator is clarified.</x:v>
      </x:c>
      <x:c r="AQ146" s="18" t="str">
        <x:v>No</x:v>
      </x:c>
      <x:c r="AR146" s="18" t="str"/>
      <x:c r="AS146" s="18" t="str">
        <x:v>None</x:v>
      </x:c>
      <x:c r="AT146" s="18" t="str">
        <x:v>Perioperative neurocognitive disorder (PND)</x:v>
      </x:c>
      <x:c r="AU146" s="18" t="str">
        <x:v>POD3</x:v>
      </x:c>
      <x:c r="AV146" s="18" t="str">
        <x:v>High</x:v>
      </x:c>
      <x:c r="AW146" s="18" t="str">
        <x:v>No — selected RoB matches this result</x:v>
      </x:c>
      <x:c r="AX146" s="18" t="str">
        <x:v>Long 2025</x:v>
      </x:c>
      <x:c r="AY146" s="18" t="str">
        <x:v>Primary eligible contrast</x:v>
      </x:c>
      <x:c r="AZ146" s="18" t="str">
        <x:v>Count this study once per synthesis unless a valid multi-arm method is used.</x:v>
      </x:c>
    </x:row>
    <x:row r="147">
      <x:c r="A147" s="18" t="str">
        <x:v>Long 2025</x:v>
      </x:c>
      <x:c r="B147" s="18" t="str">
        <x:v>LONG25_TEAS_vs_CTRL_VAS24</x:v>
      </x:c>
      <x:c r="C147" s="18" t="str">
        <x:v>Perioperative electrical acupoint stimulation</x:v>
      </x:c>
      <x:c r="D147" s="18" t="str">
        <x:v>Electrodes/no current</x:v>
      </x:c>
      <x:c r="E147" s="18" t="str">
        <x:v>Pain</x:v>
      </x:c>
      <x:c r="F147" s="18" t="str">
        <x:v>VAS pain intensity</x:v>
      </x:c>
      <x:c r="G147" s="18" t="str">
        <x:v>24 h</x:v>
      </x:c>
      <x:c r="H147" s="18" t="str">
        <x:v>Mean/SD</x:v>
      </x:c>
      <x:c r="I147" s="18" t="n">
        <x:v>30</x:v>
      </x:c>
      <x:c r="J147" s="18" t="n">
        <x:v>30</x:v>
      </x:c>
      <x:c r="K147" s="18" t="n">
        <x:v>27</x:v>
      </x:c>
      <x:c r="L147" s="18" t="n">
        <x:v>26</x:v>
      </x:c>
      <x:c r="M147" s="18" t="n">
        <x:v>2.78</x:v>
      </x:c>
      <x:c r="N147" s="18" t="n">
        <x:v>0.97</x:v>
      </x:c>
      <x:c r="O147" s="18"/>
      <x:c r="P147" s="18"/>
      <x:c r="Q147" s="18"/>
      <x:c r="R147" s="18"/>
      <x:c r="S147" s="18" t="n">
        <x:v>3.96</x:v>
      </x:c>
      <x:c r="T147" s="18" t="n">
        <x:v>0.96</x:v>
      </x:c>
      <x:c r="U147" s="18"/>
      <x:c r="V147" s="18"/>
      <x:c r="W147" s="18"/>
      <x:c r="X147" s="18"/>
      <x:c r="Y147" s="18" t="str">
        <x:v>VAS 0-10</x:v>
      </x:c>
      <x:c r="Z147" s="18" t="str">
        <x:v>&lt;0.001</x:v>
      </x:c>
      <x:c r="AA147" s="18" t="str">
        <x:v>Yes</x:v>
      </x:c>
      <x:c r="AB147" s="18" t="str">
        <x:v>No</x:v>
      </x:c>
      <x:c r="AC147" s="18" t="str">
        <x:v>MD</x:v>
      </x:c>
      <x:c r="AD147" s="18" t="n">
        <x:v>-1.1800000000000002</x:v>
      </x:c>
      <x:c r="AE147" s="18" t="str">
        <x:v>No</x:v>
      </x:c>
      <x:c r="AF147" s="18" t="str">
        <x:v>No</x:v>
      </x:c>
      <x:c r="AG147" s="18" t="str">
        <x:v>Eligible for 24-h pain analysis using Table 7 value</x:v>
      </x:c>
      <x:c r="AH147" s="18" t="str">
        <x:v>No</x:v>
      </x:c>
      <x:c r="AI147" s="18" t="str">
        <x:v>Abstract/Results prose gives active 2.65 ± 0.94; Table 7/Figure 9 gives 2.78 ± 0.97. Master uses the directly tabulated Table 7 value and retains discrepancy</x:v>
      </x:c>
      <x:c r="AJ147" s="18" t="str">
        <x:v>Table 7 / Figure 9</x:v>
      </x:c>
      <x:c r="AK147" s="18" t="str">
        <x:v>https://drive.google.com/file/d/1LDqtQLq9-kZLP0Vv_G3iiK8QKjy4pRXP/view?usp=drivesdk</x:v>
      </x:c>
      <x:c r="AL147" s="18" t="str">
        <x:v>SOURCE-VERIFIED / SOURCE VALUE CONFLICT</x:v>
      </x:c>
      <x:c r="AM147" s="18" t="str">
        <x:v>Pain</x:v>
      </x:c>
      <x:c r="AN147" s="18" t="str">
        <x:v>Exact/explicit 24 h</x:v>
      </x:c>
      <x:c r="AO147" s="18" t="str">
        <x:v>INCLUDE</x:v>
      </x:c>
      <x:c r="AP147" s="18" t="str">
        <x:v>Explicit 24-h pain endpoint with quantitative source data.</x:v>
      </x:c>
      <x:c r="AQ147" s="18" t="str">
        <x:v>Yes</x:v>
      </x:c>
      <x:c r="AR147" s="18" t="str"/>
      <x:c r="AS147" s="18" t="str">
        <x:v>None</x:v>
      </x:c>
      <x:c r="AT147" s="18" t="str">
        <x:v>Perioperative neurocognitive disorder (PND)</x:v>
      </x:c>
      <x:c r="AU147" s="18" t="str">
        <x:v>POD3</x:v>
      </x:c>
      <x:c r="AV147" s="18" t="str">
        <x:v>High</x:v>
      </x:c>
      <x:c r="AW147" s="18" t="str">
        <x:v>Yes — selected RoB is for a different result/timepoint</x:v>
      </x:c>
      <x:c r="AX147" s="18" t="str">
        <x:v>Long 2025</x:v>
      </x:c>
      <x:c r="AY147" s="18" t="str">
        <x:v>Primary eligible contrast</x:v>
      </x:c>
      <x:c r="AZ147" s="18" t="str">
        <x:v>Count this study once per synthesis unless a valid multi-arm method is used.</x:v>
      </x:c>
    </x:row>
    <x:row r="148">
      <x:c r="A148" s="18" t="str">
        <x:v>Long 2025</x:v>
      </x:c>
      <x:c r="B148" s="18" t="str">
        <x:v>LONG25_TEAS_vs_CTRL_PCIA48VOL</x:v>
      </x:c>
      <x:c r="C148" s="18" t="str">
        <x:v>Perioperative electrical acupoint stimulation</x:v>
      </x:c>
      <x:c r="D148" s="18" t="str">
        <x:v>Electrodes/no current</x:v>
      </x:c>
      <x:c r="E148" s="18" t="str">
        <x:v>Opioid demand</x:v>
      </x:c>
      <x:c r="F148" s="18" t="str">
        <x:v>PCIA solution consumption</x:v>
      </x:c>
      <x:c r="G148" s="18" t="str">
        <x:v>48 h</x:v>
      </x:c>
      <x:c r="H148" s="18" t="str">
        <x:v>Mean/SD</x:v>
      </x:c>
      <x:c r="I148" s="18" t="n">
        <x:v>30</x:v>
      </x:c>
      <x:c r="J148" s="18" t="n">
        <x:v>30</x:v>
      </x:c>
      <x:c r="K148" s="18" t="n">
        <x:v>27</x:v>
      </x:c>
      <x:c r="L148" s="18" t="n">
        <x:v>26</x:v>
      </x:c>
      <x:c r="M148" s="18" t="n">
        <x:v>86.22</x:v>
      </x:c>
      <x:c r="N148" s="18" t="n">
        <x:v>4.27</x:v>
      </x:c>
      <x:c r="O148" s="18"/>
      <x:c r="P148" s="18"/>
      <x:c r="Q148" s="18"/>
      <x:c r="R148" s="18"/>
      <x:c r="S148" s="18" t="n">
        <x:v>89.23</x:v>
      </x:c>
      <x:c r="T148" s="18" t="n">
        <x:v>3.67</x:v>
      </x:c>
      <x:c r="U148" s="18"/>
      <x:c r="V148" s="18"/>
      <x:c r="W148" s="18"/>
      <x:c r="X148" s="18"/>
      <x:c r="Y148" s="18" t="str">
        <x:v>mL of weight-based sufentanil solution</x:v>
      </x:c>
      <x:c r="Z148" s="18" t="str">
        <x:v>0.008</x:v>
      </x:c>
      <x:c r="AA148" s="18" t="str">
        <x:v>Yes</x:v>
      </x:c>
      <x:c r="AB148" s="18" t="str">
        <x:v>No</x:v>
      </x:c>
      <x:c r="AC148" s="18" t="str">
        <x:v>MD</x:v>
      </x:c>
      <x:c r="AD148" s="18" t="n">
        <x:v>-3.010000000000005</x:v>
      </x:c>
      <x:c r="AE148" s="18" t="str">
        <x:v>No</x:v>
      </x:c>
      <x:c r="AF148" s="18" t="str">
        <x:v>No</x:v>
      </x:c>
      <x:c r="AG148" s="18" t="str">
        <x:v>Eligible only as 48-h pump-volume outcome, not as sufentanil mass</x:v>
      </x:c>
      <x:c r="AH148" s="18" t="str">
        <x:v>No</x:v>
      </x:c>
      <x:c r="AI148" s="18" t="str">
        <x:v>Reservoir contains 2 µg/kg sufentanil in 100 mL; group body weight is unavailable, so solution volume cannot be converted to group mean opioid mass</x:v>
      </x:c>
      <x:c r="AJ148" s="18" t="str">
        <x:v>Table 7 / Figure 9</x:v>
      </x:c>
      <x:c r="AK148" s="18" t="str">
        <x:v>https://drive.google.com/file/d/1LDqtQLq9-kZLP0Vv_G3iiK8QKjy4pRXP/view?usp=drivesdk</x:v>
      </x:c>
      <x:c r="AL148" s="18" t="str">
        <x:v>SOURCE-VERIFIED / DOSE NOT RECONSTRUCTABLE</x:v>
      </x:c>
      <x:c r="AM148" s="18" t="str">
        <x:v>PCA demand/proxy</x:v>
      </x:c>
      <x:c r="AN148" s="18" t="str">
        <x:v>48 h</x:v>
      </x:c>
      <x:c r="AO148" s="18" t="str">
        <x:v>CONDITIONAL</x:v>
      </x:c>
      <x:c r="AP148" s="18" t="str">
        <x:v>Source value is valid in its native metric but cannot be converted to the target opioid mass/MME without additional information.</x:v>
      </x:c>
      <x:c r="AQ148" s="18" t="str">
        <x:v>No</x:v>
      </x:c>
      <x:c r="AR148" s="18" t="str"/>
      <x:c r="AS148" s="18" t="str">
        <x:v>None</x:v>
      </x:c>
      <x:c r="AT148" s="18" t="str">
        <x:v>Perioperative neurocognitive disorder (PND)</x:v>
      </x:c>
      <x:c r="AU148" s="18" t="str">
        <x:v>POD3</x:v>
      </x:c>
      <x:c r="AV148" s="18" t="str">
        <x:v>High</x:v>
      </x:c>
      <x:c r="AW148" s="18" t="str">
        <x:v>Yes — selected RoB is for a different result/timepoint</x:v>
      </x:c>
      <x:c r="AX148" s="18" t="str">
        <x:v>Long 2025</x:v>
      </x:c>
      <x:c r="AY148" s="18" t="str">
        <x:v>Primary eligible contrast</x:v>
      </x:c>
      <x:c r="AZ148" s="18" t="str">
        <x:v>Count this study once per synthesis unless a valid multi-arm method is used.</x:v>
      </x:c>
    </x:row>
    <x:row r="149">
      <x:c r="A149" s="18" t="str">
        <x:v>Long 2025</x:v>
      </x:c>
      <x:c r="B149" s="18" t="str">
        <x:v>LONG25_TEAS_vs_CTRL_PCIAPRESS48</x:v>
      </x:c>
      <x:c r="C149" s="18" t="str">
        <x:v>Perioperative electrical acupoint stimulation</x:v>
      </x:c>
      <x:c r="D149" s="18" t="str">
        <x:v>Electrodes/no current</x:v>
      </x:c>
      <x:c r="E149" s="18" t="str">
        <x:v>Opioid demand</x:v>
      </x:c>
      <x:c r="F149" s="18" t="str">
        <x:v>PCIA compression count</x:v>
      </x:c>
      <x:c r="G149" s="18" t="str">
        <x:v>48 h</x:v>
      </x:c>
      <x:c r="H149" s="18" t="str">
        <x:v>Mean/SD</x:v>
      </x:c>
      <x:c r="I149" s="18" t="n">
        <x:v>30</x:v>
      </x:c>
      <x:c r="J149" s="18" t="n">
        <x:v>30</x:v>
      </x:c>
      <x:c r="K149" s="18" t="n">
        <x:v>27</x:v>
      </x:c>
      <x:c r="L149" s="18" t="n">
        <x:v>26</x:v>
      </x:c>
      <x:c r="M149" s="18" t="n">
        <x:v>7.11</x:v>
      </x:c>
      <x:c r="N149" s="18" t="n">
        <x:v>2.14</x:v>
      </x:c>
      <x:c r="O149" s="18"/>
      <x:c r="P149" s="18"/>
      <x:c r="Q149" s="18"/>
      <x:c r="R149" s="18"/>
      <x:c r="S149" s="18" t="n">
        <x:v>8.62</x:v>
      </x:c>
      <x:c r="T149" s="18" t="n">
        <x:v>1.84</x:v>
      </x:c>
      <x:c r="U149" s="18"/>
      <x:c r="V149" s="18"/>
      <x:c r="W149" s="18"/>
      <x:c r="X149" s="18"/>
      <x:c r="Y149" s="18" t="str">
        <x:v>presses</x:v>
      </x:c>
      <x:c r="Z149" s="18" t="str">
        <x:v>0.008</x:v>
      </x:c>
      <x:c r="AA149" s="18" t="str">
        <x:v>Yes</x:v>
      </x:c>
      <x:c r="AB149" s="18" t="str">
        <x:v>No</x:v>
      </x:c>
      <x:c r="AC149" s="18" t="str">
        <x:v>MD</x:v>
      </x:c>
      <x:c r="AD149" s="18" t="n">
        <x:v>-1.509999999999999</x:v>
      </x:c>
      <x:c r="AE149" s="18" t="str">
        <x:v>No</x:v>
      </x:c>
      <x:c r="AF149" s="18" t="str">
        <x:v>No</x:v>
      </x:c>
      <x:c r="AG149" s="18" t="str">
        <x:v>Eligible as 48-h PCA-demand outcome only</x:v>
      </x:c>
      <x:c r="AH149" s="18" t="str">
        <x:v>No</x:v>
      </x:c>
      <x:c r="AI149" s="18" t="str">
        <x:v>Do not translate compression count into delivered sufentanil mass</x:v>
      </x:c>
      <x:c r="AJ149" s="18" t="str">
        <x:v>Table 7 / Figure 9</x:v>
      </x:c>
      <x:c r="AK149" s="18" t="str">
        <x:v>https://drive.google.com/file/d/1LDqtQLq9-kZLP0Vv_G3iiK8QKjy4pRXP/view?usp=drivesdk</x:v>
      </x:c>
      <x:c r="AL149" s="18" t="str">
        <x:v>SOURCE-VERIFIED</x:v>
      </x:c>
      <x:c r="AM149" s="18" t="str">
        <x:v>PCA demand/proxy</x:v>
      </x:c>
      <x:c r="AN149" s="18" t="str">
        <x:v>48 h</x:v>
      </x:c>
      <x:c r="AO149" s="18" t="str">
        <x:v>SECONDARY / PROXY ONLY</x:v>
      </x:c>
      <x:c r="AP149" s="18" t="str">
        <x:v>PCA presses, attempts, deliveries, or solution volume are not equivalent to opioid dose unless the pump prescription permits exact reconstruction.</x:v>
      </x:c>
      <x:c r="AQ149" s="18" t="str">
        <x:v>No</x:v>
      </x:c>
      <x:c r="AR149" s="18" t="str"/>
      <x:c r="AS149" s="18" t="str">
        <x:v>None</x:v>
      </x:c>
      <x:c r="AT149" s="18" t="str">
        <x:v>Perioperative neurocognitive disorder (PND)</x:v>
      </x:c>
      <x:c r="AU149" s="18" t="str">
        <x:v>POD3</x:v>
      </x:c>
      <x:c r="AV149" s="18" t="str">
        <x:v>High</x:v>
      </x:c>
      <x:c r="AW149" s="18" t="str">
        <x:v>Yes — selected RoB is for a different result/timepoint</x:v>
      </x:c>
      <x:c r="AX149" s="18" t="str">
        <x:v>Long 2025</x:v>
      </x:c>
      <x:c r="AY149" s="18" t="str">
        <x:v>Primary eligible contrast</x:v>
      </x:c>
      <x:c r="AZ149" s="18" t="str">
        <x:v>Count this study once per synthesis unless a valid multi-arm method is used.</x:v>
      </x:c>
    </x:row>
    <x:row r="150">
      <x:c r="A150" s="18" t="str">
        <x:v>Long 2025</x:v>
      </x:c>
      <x:c r="B150" s="18" t="str">
        <x:v>LONG25_TEAS_vs_CTRL_PONV</x:v>
      </x:c>
      <x:c r="C150" s="18" t="str">
        <x:v>Perioperative electrical acupoint stimulation</x:v>
      </x:c>
      <x:c r="D150" s="18" t="str">
        <x:v>Electrodes/no current</x:v>
      </x:c>
      <x:c r="E150" s="18" t="str">
        <x:v>PONV</x:v>
      </x:c>
      <x:c r="F150" s="18" t="str">
        <x:v>PONV incidence</x:v>
      </x:c>
      <x:c r="G150" s="18" t="str">
        <x:v>Postoperative</x:v>
      </x:c>
      <x:c r="H150" s="18" t="str">
        <x:v>Events/total</x:v>
      </x:c>
      <x:c r="I150" s="18" t="n">
        <x:v>30</x:v>
      </x:c>
      <x:c r="J150" s="18" t="n">
        <x:v>30</x:v>
      </x:c>
      <x:c r="K150" s="18" t="n">
        <x:v>27</x:v>
      </x:c>
      <x:c r="L150" s="18" t="n">
        <x:v>26</x:v>
      </x:c>
      <x:c r="M150" s="18"/>
      <x:c r="N150" s="18"/>
      <x:c r="O150" s="18"/>
      <x:c r="P150" s="18"/>
      <x:c r="Q150" s="18"/>
      <x:c r="R150" s="18" t="n">
        <x:v>1</x:v>
      </x:c>
      <x:c r="S150" s="18"/>
      <x:c r="T150" s="18"/>
      <x:c r="U150" s="18"/>
      <x:c r="V150" s="18"/>
      <x:c r="W150" s="18"/>
      <x:c r="X150" s="18" t="n">
        <x:v>8</x:v>
      </x:c>
      <x:c r="Y150" s="18" t="str">
        <x:v>participants</x:v>
      </x:c>
      <x:c r="Z150" s="18" t="str">
        <x:v>NR</x:v>
      </x:c>
      <x:c r="AA150" s="18" t="str">
        <x:v>Yes</x:v>
      </x:c>
      <x:c r="AB150" s="18" t="str">
        <x:v>No</x:v>
      </x:c>
      <x:c r="AC150" s="18" t="str">
        <x:v>RR</x:v>
      </x:c>
      <x:c r="AD150" s="18" t="n">
        <x:v>0.12037037037037036</x:v>
      </x:c>
      <x:c r="AE150" s="18" t="str">
        <x:v>No</x:v>
      </x:c>
      <x:c r="AF150" s="18" t="str">
        <x:v>No</x:v>
      </x:c>
      <x:c r="AG150" s="18" t="str">
        <x:v>Eligible for dichotomous PONV analysis using final analyzed denominators</x:v>
      </x:c>
      <x:c r="AH150" s="18" t="str">
        <x:v>No</x:v>
      </x:c>
      <x:c r="AI150" s="18" t="str">
        <x:v>Adverse-event percentages elsewhere are internally inconsistent; raw 1/27 vs 8/26 is retained</x:v>
      </x:c>
      <x:c r="AJ150" s="18" t="str">
        <x:v>Adverse events / PONV</x:v>
      </x:c>
      <x:c r="AK150" s="18" t="str">
        <x:v>https://drive.google.com/file/d/1LDqtQLq9-kZLP0Vv_G3iiK8QKjy4pRXP/view?usp=drivesdk</x:v>
      </x:c>
      <x:c r="AL150" s="18" t="str">
        <x:v>SOURCE-VERIFIED / PERCENTAGE QC</x:v>
      </x:c>
      <x:c r="AM150" s="18" t="str">
        <x:v>PONV</x:v>
      </x:c>
      <x:c r="AN150" s="18" t="str">
        <x:v>Postoperative</x:v>
      </x:c>
      <x:c r="AO150" s="18" t="str">
        <x:v>CONDITIONAL</x:v>
      </x:c>
      <x:c r="AP150" s="18" t="str">
        <x:v>Valid PONV result, but the postoperative observation window should be matched to the intended synthesis.</x:v>
      </x:c>
      <x:c r="AQ150" s="18" t="str">
        <x:v>No</x:v>
      </x:c>
      <x:c r="AR150" s="18" t="str"/>
      <x:c r="AS150" s="18" t="str">
        <x:v>Binary effect measure (RR preferred per protocol)</x:v>
      </x:c>
      <x:c r="AT150" s="18" t="str">
        <x:v>Perioperative neurocognitive disorder (PND)</x:v>
      </x:c>
      <x:c r="AU150" s="18" t="str">
        <x:v>POD3</x:v>
      </x:c>
      <x:c r="AV150" s="18" t="str">
        <x:v>High</x:v>
      </x:c>
      <x:c r="AW150" s="18" t="str">
        <x:v>Yes — selected RoB is for a different result/timepoint</x:v>
      </x:c>
      <x:c r="AX150" s="18" t="str">
        <x:v>Long 2025</x:v>
      </x:c>
      <x:c r="AY150" s="18" t="str">
        <x:v>Primary eligible contrast</x:v>
      </x:c>
      <x:c r="AZ150" s="18" t="str">
        <x:v>Count this study once per synthesis unless a valid multi-arm method is used.</x:v>
      </x:c>
    </x:row>
    <x:row r="151">
      <x:c r="A151" s="18" t="str">
        <x:v>Long 2025</x:v>
      </x:c>
      <x:c r="B151" s="18" t="str">
        <x:v>LONG25_TEAS_vs_CTRL_OPIOID24</x:v>
      </x:c>
      <x:c r="C151" s="18" t="str">
        <x:v>Perioperative electrical acupoint stimulation</x:v>
      </x:c>
      <x:c r="D151" s="18" t="str">
        <x:v>Electrodes/no current</x:v>
      </x:c>
      <x:c r="E151" s="18" t="str">
        <x:v>Opioid consumption</x:v>
      </x:c>
      <x:c r="F151" s="18" t="str">
        <x:v>Exact cumulative postoperative sufentanil consumption</x:v>
      </x:c>
      <x:c r="G151" s="18" t="str">
        <x:v>0-24 h</x:v>
      </x:c>
      <x:c r="H151" s="18" t="str">
        <x:v>Not reported</x:v>
      </x:c>
      <x:c r="I151" s="18" t="n">
        <x:v>30</x:v>
      </x:c>
      <x:c r="J151" s="18" t="n">
        <x:v>30</x:v>
      </x:c>
      <x:c r="K151" s="18" t="n">
        <x:v>27</x:v>
      </x:c>
      <x:c r="L151" s="18" t="n">
        <x:v>26</x:v>
      </x:c>
      <x:c r="M151" s="18"/>
      <x:c r="N151" s="18"/>
      <x:c r="O151" s="18"/>
      <x:c r="P151" s="18"/>
      <x:c r="Q151" s="18"/>
      <x:c r="R151" s="18"/>
      <x:c r="S151" s="18"/>
      <x:c r="T151" s="18"/>
      <x:c r="U151" s="18"/>
      <x:c r="V151" s="18"/>
      <x:c r="W151" s="18"/>
      <x:c r="X151" s="18"/>
      <x:c r="Y151" s="18" t="str">
        <x:v>µg sufentanil</x:v>
      </x:c>
      <x:c r="Z151" s="18"/>
      <x:c r="AA151" s="18" t="str">
        <x:v>No</x:v>
      </x:c>
      <x:c r="AB151" s="18" t="str">
        <x:v>No</x:v>
      </x:c>
      <x:c r="AC151" s="18"/>
      <x:c r="AD151" s="18"/>
      <x:c r="AE151" s="18" t="str">
        <x:v>No</x:v>
      </x:c>
      <x:c r="AF151" s="18" t="str">
        <x:v>No</x:v>
      </x:c>
      <x:c r="AG151" s="18" t="str">
        <x:v>Not eligible for continuous 24-h opioid/MME meta-analysis</x:v>
      </x:c>
      <x:c r="AH151" s="18" t="str">
        <x:v>No</x:v>
      </x:c>
      <x:c r="AI151" s="18" t="str">
        <x:v>24-h PCIA volume/compressions are not reported; even 48-h volume cannot be converted exactly to sufentanil mass without body weight</x:v>
      </x:c>
      <x:c r="AJ151" s="18" t="str">
        <x:v>Exact 24-h opioid endpoint absent</x:v>
      </x:c>
      <x:c r="AK151" s="18" t="str">
        <x:v>https://drive.google.com/file/d/1LDqtQLq9-kZLP0Vv_G3iiK8QKjy4pRXP/view?usp=drivesdk</x:v>
      </x:c>
      <x:c r="AL151" s="18" t="str">
        <x:v>MISSING / AUTHOR DATA NEEDED</x:v>
      </x:c>
      <x:c r="AM151" s="18" t="str">
        <x:v>Postoperative opioid consumption</x:v>
      </x:c>
      <x:c r="AN151" s="18" t="str">
        <x:v>Exact/explicit 24 h</x:v>
      </x:c>
      <x:c r="AO151" s="18" t="str">
        <x:v>EXCLUDE — DATA UNAVAILABLE</x:v>
      </x:c>
      <x:c r="AP151" s="18" t="str">
        <x:v>The source does not provide a defensible quantitative value for this analysis.</x:v>
      </x:c>
      <x:c r="AQ151" s="18" t="str">
        <x:v>No</x:v>
      </x:c>
      <x:c r="AR151" s="18" t="str"/>
      <x:c r="AS151" s="18" t="str">
        <x:v>Opioid/MME conversion required using prespecified review conversion</x:v>
      </x:c>
      <x:c r="AT151" s="18" t="str">
        <x:v>Perioperative neurocognitive disorder (PND)</x:v>
      </x:c>
      <x:c r="AU151" s="18" t="str">
        <x:v>POD3</x:v>
      </x:c>
      <x:c r="AV151" s="18" t="str">
        <x:v>High</x:v>
      </x:c>
      <x:c r="AW151" s="18" t="str">
        <x:v>Yes — selected RoB is for a different result/timepoint</x:v>
      </x:c>
      <x:c r="AX151" s="18" t="str">
        <x:v>Long 2025</x:v>
      </x:c>
      <x:c r="AY151" s="18" t="str">
        <x:v>Primary eligible contrast</x:v>
      </x:c>
      <x:c r="AZ151" s="18" t="str">
        <x:v>Count this study once per synthesis unless a valid multi-arm method is used.</x:v>
      </x:c>
    </x:row>
    <x:row r="152">
      <x:c r="A152" s="18" t="str">
        <x:v>Li 2021</x:v>
      </x:c>
      <x:c r="B152" s="18" t="str">
        <x:v>LI21_TEAS_vs_SHAM_BOWEL</x:v>
      </x:c>
      <x:c r="C152" s="18" t="str">
        <x:v>Perioperative TEAS</x:v>
      </x:c>
      <x:c r="D152" s="18" t="str">
        <x:v>Sham-point/no current</x:v>
      </x:c>
      <x:c r="E152" s="18" t="str">
        <x:v>GI recovery</x:v>
      </x:c>
      <x:c r="F152" s="18" t="str">
        <x:v>Time to first bowel motion by auscultation</x:v>
      </x:c>
      <x:c r="G152" s="18" t="str">
        <x:v>Postoperative</x:v>
      </x:c>
      <x:c r="H152" s="18" t="str">
        <x:v>Median/IQR</x:v>
      </x:c>
      <x:c r="I152" s="18" t="n">
        <x:v>154</x:v>
      </x:c>
      <x:c r="J152" s="18" t="n">
        <x:v>152</x:v>
      </x:c>
      <x:c r="K152" s="18" t="n">
        <x:v>140</x:v>
      </x:c>
      <x:c r="L152" s="18" t="n">
        <x:v>140</x:v>
      </x:c>
      <x:c r="M152" s="18"/>
      <x:c r="N152" s="18"/>
      <x:c r="O152" s="18" t="n">
        <x:v>31</x:v>
      </x:c>
      <x:c r="P152" s="18" t="n">
        <x:v>18.8</x:v>
      </x:c>
      <x:c r="Q152" s="18" t="n">
        <x:v>45.3</x:v>
      </x:c>
      <x:c r="R152" s="18"/>
      <x:c r="S152" s="18"/>
      <x:c r="T152" s="18"/>
      <x:c r="U152" s="18" t="n">
        <x:v>42</x:v>
      </x:c>
      <x:c r="V152" s="18" t="n">
        <x:v>22.1</x:v>
      </x:c>
      <x:c r="W152" s="18" t="n">
        <x:v>52.4</x:v>
      </x:c>
      <x:c r="X152" s="18"/>
      <x:c r="Y152" s="18" t="str">
        <x:v>hours</x:v>
      </x:c>
      <x:c r="Z152" s="18" t="str">
        <x:v>&lt;0.01</x:v>
      </x:c>
      <x:c r="AA152" s="18" t="str">
        <x:v>Yes</x:v>
      </x:c>
      <x:c r="AB152" s="18" t="str">
        <x:v>No</x:v>
      </x:c>
      <x:c r="AC152" s="18"/>
      <x:c r="AD152" s="18"/>
      <x:c r="AE152" s="18" t="str">
        <x:v>No</x:v>
      </x:c>
      <x:c r="AF152" s="18" t="str">
        <x:v>No</x:v>
      </x:c>
      <x:c r="AG152" s="18" t="str">
        <x:v>Eligible for GI-recovery meta-analysis using median/IQR methods</x:v>
      </x:c>
      <x:c r="AH152" s="18" t="str">
        <x:v>No</x:v>
      </x:c>
      <x:c r="AI152" s="18" t="str">
        <x:v>26/306 randomized patients excluded in per-protocol analysis; exclusions include ICU transfer and operation cancellation</x:v>
      </x:c>
      <x:c r="AJ152" s="18" t="str">
        <x:v>Primary outcome / first bowel motion</x:v>
      </x:c>
      <x:c r="AK152" s="18" t="str">
        <x:v>https://drive.google.com/file/d/1NvcLlsb17N6EMhtHs_L_WBnf40wsrtRz/view?usp=drivesdk</x:v>
      </x:c>
      <x:c r="AL152" s="18" t="str">
        <x:v>SOURCE-VERIFIED / ATTRITION QC</x:v>
      </x:c>
      <x:c r="AM152" s="18" t="str">
        <x:v>GI recovery</x:v>
      </x:c>
      <x:c r="AN152" s="18" t="str">
        <x:v>Postoperative</x:v>
      </x:c>
      <x:c r="AO152" s="18" t="str">
        <x:v>INCLUDE — SECONDARY GI</x:v>
      </x:c>
      <x:c r="AP152" s="18" t="str">
        <x:v>Source-valid GI recovery outcome; analyze separately by outcome definition.</x:v>
      </x:c>
      <x:c r="AQ152" s="18" t="str">
        <x:v>No</x:v>
      </x:c>
      <x:c r="AR152" s="18" t="str"/>
      <x:c r="AS152" s="18" t="str">
        <x:v>Use median/IQR-compatible meta-analysis method; do not relabel as mean/SD</x:v>
      </x:c>
      <x:c r="AT152" s="18" t="str">
        <x:v>Time to first bowel motion by auscultation</x:v>
      </x:c>
      <x:c r="AU152" s="18" t="str">
        <x:v>Postoperative</x:v>
      </x:c>
      <x:c r="AV152" s="18" t="str">
        <x:v>High</x:v>
      </x:c>
      <x:c r="AW152" s="18" t="str">
        <x:v>No — selected RoB matches this result</x:v>
      </x:c>
      <x:c r="AX152" s="18" t="str">
        <x:v>Li 2021</x:v>
      </x:c>
      <x:c r="AY152" s="18" t="str">
        <x:v>Primary eligible contrast</x:v>
      </x:c>
      <x:c r="AZ152" s="18" t="str">
        <x:v>Count this study once per synthesis unless a valid multi-arm method is used.</x:v>
      </x:c>
    </x:row>
    <x:row r="153">
      <x:c r="A153" s="18" t="str">
        <x:v>Li 2021</x:v>
      </x:c>
      <x:c r="B153" s="18" t="str">
        <x:v>LI21_TEAS_vs_SHAM_FLATUS</x:v>
      </x:c>
      <x:c r="C153" s="18" t="str">
        <x:v>Perioperative TEAS</x:v>
      </x:c>
      <x:c r="D153" s="18" t="str">
        <x:v>Sham-point/no current</x:v>
      </x:c>
      <x:c r="E153" s="18" t="str">
        <x:v>GI recovery</x:v>
      </x:c>
      <x:c r="F153" s="18" t="str">
        <x:v>Time to first flatus</x:v>
      </x:c>
      <x:c r="G153" s="18" t="str">
        <x:v>Postoperative</x:v>
      </x:c>
      <x:c r="H153" s="18" t="str">
        <x:v>Median/IQR</x:v>
      </x:c>
      <x:c r="I153" s="18" t="n">
        <x:v>154</x:v>
      </x:c>
      <x:c r="J153" s="18" t="n">
        <x:v>152</x:v>
      </x:c>
      <x:c r="K153" s="18" t="n">
        <x:v>140</x:v>
      </x:c>
      <x:c r="L153" s="18" t="n">
        <x:v>140</x:v>
      </x:c>
      <x:c r="M153" s="18"/>
      <x:c r="N153" s="18"/>
      <x:c r="O153" s="18" t="n">
        <x:v>44</x:v>
      </x:c>
      <x:c r="P153" s="18" t="n">
        <x:v>26.5</x:v>
      </x:c>
      <x:c r="Q153" s="18" t="n">
        <x:v>63.9</x:v>
      </x:c>
      <x:c r="R153" s="18"/>
      <x:c r="S153" s="18"/>
      <x:c r="T153" s="18"/>
      <x:c r="U153" s="18" t="n">
        <x:v>64</x:v>
      </x:c>
      <x:c r="V153" s="18" t="n">
        <x:v>30</x:v>
      </x:c>
      <x:c r="W153" s="18" t="n">
        <x:v>70.6</x:v>
      </x:c>
      <x:c r="X153" s="18"/>
      <x:c r="Y153" s="18" t="str">
        <x:v>hours</x:v>
      </x:c>
      <x:c r="Z153" s="18" t="str">
        <x:v>&lt;0.01</x:v>
      </x:c>
      <x:c r="AA153" s="18" t="str">
        <x:v>Yes</x:v>
      </x:c>
      <x:c r="AB153" s="18" t="str">
        <x:v>No</x:v>
      </x:c>
      <x:c r="AC153" s="18"/>
      <x:c r="AD153" s="18"/>
      <x:c r="AE153" s="18" t="str">
        <x:v>No</x:v>
      </x:c>
      <x:c r="AF153" s="18" t="str">
        <x:v>No</x:v>
      </x:c>
      <x:c r="AG153" s="18" t="str">
        <x:v>Eligible for GI-recovery meta-analysis using median/IQR methods</x:v>
      </x:c>
      <x:c r="AH153" s="18" t="str">
        <x:v>No</x:v>
      </x:c>
      <x:c r="AI153" s="18" t="str">
        <x:v>Use PP analyzed denominators explicitly; do not fabricate mean/SD</x:v>
      </x:c>
      <x:c r="AJ153" s="18" t="str">
        <x:v>First-flatus result</x:v>
      </x:c>
      <x:c r="AK153" s="18" t="str">
        <x:v>https://drive.google.com/file/d/1NvcLlsb17N6EMhtHs_L_WBnf40wsrtRz/view?usp=drivesdk</x:v>
      </x:c>
      <x:c r="AL153" s="18" t="str">
        <x:v>SOURCE-VERIFIED / ATTRITION QC</x:v>
      </x:c>
      <x:c r="AM153" s="18" t="str">
        <x:v>GI recovery</x:v>
      </x:c>
      <x:c r="AN153" s="18" t="str">
        <x:v>Postoperative</x:v>
      </x:c>
      <x:c r="AO153" s="18" t="str">
        <x:v>INCLUDE</x:v>
      </x:c>
      <x:c r="AP153" s="18" t="str">
        <x:v>Source-valid first-flatus/ileus endpoint; retain reported distribution (mean/SD, median/IQR, or events).</x:v>
      </x:c>
      <x:c r="AQ153" s="18" t="str">
        <x:v>Yes</x:v>
      </x:c>
      <x:c r="AR153" s="18" t="str"/>
      <x:c r="AS153" s="18" t="str">
        <x:v>Use median/IQR-compatible meta-analysis method; do not relabel as mean/SD</x:v>
      </x:c>
      <x:c r="AT153" s="18" t="str">
        <x:v>Time to first bowel motion by auscultation</x:v>
      </x:c>
      <x:c r="AU153" s="18" t="str">
        <x:v>Postoperative</x:v>
      </x:c>
      <x:c r="AV153" s="18" t="str">
        <x:v>High</x:v>
      </x:c>
      <x:c r="AW153" s="18" t="str">
        <x:v>Yes — selected RoB is for a different result/timepoint</x:v>
      </x:c>
      <x:c r="AX153" s="18" t="str">
        <x:v>Li 2021</x:v>
      </x:c>
      <x:c r="AY153" s="18" t="str">
        <x:v>Primary eligible contrast</x:v>
      </x:c>
      <x:c r="AZ153" s="18" t="str">
        <x:v>Count this study once per synthesis unless a valid multi-arm method is used.</x:v>
      </x:c>
    </x:row>
    <x:row r="154">
      <x:c r="A154" s="18" t="str">
        <x:v>Li 2021</x:v>
      </x:c>
      <x:c r="B154" s="18" t="str">
        <x:v>LI21_TEAS_vs_SHAM_PGD</x:v>
      </x:c>
      <x:c r="C154" s="18" t="str">
        <x:v>Perioperative TEAS</x:v>
      </x:c>
      <x:c r="D154" s="18" t="str">
        <x:v>Sham-point/no current</x:v>
      </x:c>
      <x:c r="E154" s="18" t="str">
        <x:v>GI recovery</x:v>
      </x:c>
      <x:c r="F154" s="18" t="str">
        <x:v>Postoperative gastrointestinal dysfunction: no bowel sounds &gt;48 h</x:v>
      </x:c>
      <x:c r="G154" s="18" t="str">
        <x:v>Postoperative</x:v>
      </x:c>
      <x:c r="H154" s="18" t="str">
        <x:v>Events/total</x:v>
      </x:c>
      <x:c r="I154" s="18" t="n">
        <x:v>154</x:v>
      </x:c>
      <x:c r="J154" s="18" t="n">
        <x:v>152</x:v>
      </x:c>
      <x:c r="K154" s="18" t="n">
        <x:v>140</x:v>
      </x:c>
      <x:c r="L154" s="18" t="n">
        <x:v>140</x:v>
      </x:c>
      <x:c r="M154" s="18"/>
      <x:c r="N154" s="18"/>
      <x:c r="O154" s="18"/>
      <x:c r="P154" s="18"/>
      <x:c r="Q154" s="18"/>
      <x:c r="R154" s="18" t="n">
        <x:v>26</x:v>
      </x:c>
      <x:c r="S154" s="18"/>
      <x:c r="T154" s="18"/>
      <x:c r="U154" s="18"/>
      <x:c r="V154" s="18"/>
      <x:c r="W154" s="18"/>
      <x:c r="X154" s="18" t="n">
        <x:v>44</x:v>
      </x:c>
      <x:c r="Y154" s="18" t="str">
        <x:v>participants</x:v>
      </x:c>
      <x:c r="Z154" s="18" t="str">
        <x:v>NR</x:v>
      </x:c>
      <x:c r="AA154" s="18" t="str">
        <x:v>Yes</x:v>
      </x:c>
      <x:c r="AB154" s="18" t="str">
        <x:v>No</x:v>
      </x:c>
      <x:c r="AC154" s="18" t="str">
        <x:v>RR</x:v>
      </x:c>
      <x:c r="AD154" s="18" t="n">
        <x:v>0.5909090909090909</x:v>
      </x:c>
      <x:c r="AE154" s="18" t="str">
        <x:v>No</x:v>
      </x:c>
      <x:c r="AF154" s="18" t="str">
        <x:v>No</x:v>
      </x:c>
      <x:c r="AG154" s="18" t="str">
        <x:v>Eligible for dichotomous PGD analysis</x:v>
      </x:c>
      <x:c r="AH154" s="18" t="str">
        <x:v>No</x:v>
      </x:c>
      <x:c r="AI154" s="18" t="str">
        <x:v>Study-specific PGD definition; majority of events were in colorectal stratum</x:v>
      </x:c>
      <x:c r="AJ154" s="18" t="str">
        <x:v>PGD incidence</x:v>
      </x:c>
      <x:c r="AK154" s="18" t="str">
        <x:v>https://drive.google.com/file/d/1NvcLlsb17N6EMhtHs_L_WBnf40wsrtRz/view?usp=drivesdk</x:v>
      </x:c>
      <x:c r="AL154" s="18" t="str">
        <x:v>SOURCE-VERIFIED</x:v>
      </x:c>
      <x:c r="AM154" s="18" t="str">
        <x:v>GI recovery</x:v>
      </x:c>
      <x:c r="AN154" s="18" t="str">
        <x:v>Postoperative</x:v>
      </x:c>
      <x:c r="AO154" s="18" t="str">
        <x:v>INCLUDE — SECONDARY GI</x:v>
      </x:c>
      <x:c r="AP154" s="18" t="str">
        <x:v>Source-valid GI recovery outcome; analyze separately by outcome definition.</x:v>
      </x:c>
      <x:c r="AQ154" s="18" t="str">
        <x:v>No</x:v>
      </x:c>
      <x:c r="AR154" s="18" t="str"/>
      <x:c r="AS154" s="18" t="str">
        <x:v>Binary effect measure (RR preferred per protocol)</x:v>
      </x:c>
      <x:c r="AT154" s="18" t="str">
        <x:v>Time to first bowel motion by auscultation</x:v>
      </x:c>
      <x:c r="AU154" s="18" t="str">
        <x:v>Postoperative</x:v>
      </x:c>
      <x:c r="AV154" s="18" t="str">
        <x:v>High</x:v>
      </x:c>
      <x:c r="AW154" s="18" t="str">
        <x:v>Yes — selected RoB is for a different result/timepoint</x:v>
      </x:c>
      <x:c r="AX154" s="18" t="str">
        <x:v>Li 2021</x:v>
      </x:c>
      <x:c r="AY154" s="18" t="str">
        <x:v>Primary eligible contrast</x:v>
      </x:c>
      <x:c r="AZ154" s="18" t="str">
        <x:v>Count this study once per synthesis unless a valid multi-arm method is used.</x:v>
      </x:c>
    </x:row>
    <x:row r="155">
      <x:c r="A155" s="18" t="str">
        <x:v>Li 2021</x:v>
      </x:c>
      <x:c r="B155" s="18" t="str">
        <x:v>LI21_TEAS_vs_SHAM_PAIN6</x:v>
      </x:c>
      <x:c r="C155" s="18" t="str">
        <x:v>Perioperative TEAS</x:v>
      </x:c>
      <x:c r="D155" s="18" t="str">
        <x:v>Sham-point/no current</x:v>
      </x:c>
      <x:c r="E155" s="18" t="str">
        <x:v>Pain</x:v>
      </x:c>
      <x:c r="F155" s="18" t="str">
        <x:v>VAS ≥4</x:v>
      </x:c>
      <x:c r="G155" s="18" t="str">
        <x:v>6 h</x:v>
      </x:c>
      <x:c r="H155" s="18" t="str">
        <x:v>Events/total</x:v>
      </x:c>
      <x:c r="I155" s="18" t="n">
        <x:v>154</x:v>
      </x:c>
      <x:c r="J155" s="18" t="n">
        <x:v>152</x:v>
      </x:c>
      <x:c r="K155" s="18" t="n">
        <x:v>140</x:v>
      </x:c>
      <x:c r="L155" s="18" t="n">
        <x:v>140</x:v>
      </x:c>
      <x:c r="M155" s="18"/>
      <x:c r="N155" s="18"/>
      <x:c r="O155" s="18"/>
      <x:c r="P155" s="18"/>
      <x:c r="Q155" s="18"/>
      <x:c r="R155" s="18" t="n">
        <x:v>30</x:v>
      </x:c>
      <x:c r="S155" s="18"/>
      <x:c r="T155" s="18"/>
      <x:c r="U155" s="18"/>
      <x:c r="V155" s="18"/>
      <x:c r="W155" s="18"/>
      <x:c r="X155" s="18" t="n">
        <x:v>50</x:v>
      </x:c>
      <x:c r="Y155" s="18" t="str">
        <x:v>participants</x:v>
      </x:c>
      <x:c r="Z155" s="18" t="str">
        <x:v>0.008</x:v>
      </x:c>
      <x:c r="AA155" s="18" t="str">
        <x:v>Yes</x:v>
      </x:c>
      <x:c r="AB155" s="18" t="str">
        <x:v>No</x:v>
      </x:c>
      <x:c r="AC155" s="18" t="str">
        <x:v>RR</x:v>
      </x:c>
      <x:c r="AD155" s="18" t="n">
        <x:v>0.6</x:v>
      </x:c>
      <x:c r="AE155" s="18" t="str">
        <x:v>No</x:v>
      </x:c>
      <x:c r="AF155" s="18" t="str">
        <x:v>No</x:v>
      </x:c>
      <x:c r="AG155" s="18" t="str">
        <x:v>Eligible for dichotomous 6-h significant-pain analysis</x:v>
      </x:c>
      <x:c r="AH155" s="18" t="str">
        <x:v>No</x:v>
      </x:c>
      <x:c r="AI155" s="18" t="str">
        <x:v>Pain is reported as binary VAS ≥4 rather than continuous score</x:v>
      </x:c>
      <x:c r="AJ155" s="18" t="str">
        <x:v>Postoperative pain table / 6 h</x:v>
      </x:c>
      <x:c r="AK155" s="18" t="str">
        <x:v>https://drive.google.com/file/d/1NvcLlsb17N6EMhtHs_L_WBnf40wsrtRz/view?usp=drivesdk</x:v>
      </x:c>
      <x:c r="AL155" s="18" t="str">
        <x:v>SOURCE-VERIFIED</x:v>
      </x:c>
      <x:c r="AM155" s="18" t="str">
        <x:v>Pain</x:v>
      </x:c>
      <x:c r="AN155" s="18" t="str">
        <x:v>6 h</x:v>
      </x:c>
      <x:c r="AO155" s="18" t="str">
        <x:v>INCLUDE — OTHER TIMEPOINT</x:v>
      </x:c>
      <x:c r="AP155" s="18" t="str">
        <x:v>Source-valid pain outcome for a non-24-h analysis.</x:v>
      </x:c>
      <x:c r="AQ155" s="18" t="str">
        <x:v>No</x:v>
      </x:c>
      <x:c r="AR155" s="18" t="str"/>
      <x:c r="AS155" s="18" t="str">
        <x:v>Binary effect measure (RR preferred per protocol)</x:v>
      </x:c>
      <x:c r="AT155" s="18" t="str">
        <x:v>Time to first bowel motion by auscultation</x:v>
      </x:c>
      <x:c r="AU155" s="18" t="str">
        <x:v>Postoperative</x:v>
      </x:c>
      <x:c r="AV155" s="18" t="str">
        <x:v>High</x:v>
      </x:c>
      <x:c r="AW155" s="18" t="str">
        <x:v>Yes — selected RoB is for a different result/timepoint</x:v>
      </x:c>
      <x:c r="AX155" s="18" t="str">
        <x:v>Li 2021</x:v>
      </x:c>
      <x:c r="AY155" s="18" t="str">
        <x:v>Primary eligible contrast</x:v>
      </x:c>
      <x:c r="AZ155" s="18" t="str">
        <x:v>Count this study once per synthesis unless a valid multi-arm method is used.</x:v>
      </x:c>
    </x:row>
    <x:row r="156">
      <x:c r="A156" s="18" t="str">
        <x:v>Li 2021</x:v>
      </x:c>
      <x:c r="B156" s="18" t="str">
        <x:v>LI21_TEAS_vs_SHAM_OPIOID24</x:v>
      </x:c>
      <x:c r="C156" s="18" t="str">
        <x:v>Perioperative TEAS</x:v>
      </x:c>
      <x:c r="D156" s="18" t="str">
        <x:v>Sham-point/no current</x:v>
      </x:c>
      <x:c r="E156" s="18" t="str">
        <x:v>Opioid consumption</x:v>
      </x:c>
      <x:c r="F156" s="18" t="str">
        <x:v>Cumulative postoperative sufentanil consumption</x:v>
      </x:c>
      <x:c r="G156" s="18" t="str">
        <x:v>0-24 h</x:v>
      </x:c>
      <x:c r="H156" s="18" t="str">
        <x:v>Not reported</x:v>
      </x:c>
      <x:c r="I156" s="18" t="n">
        <x:v>154</x:v>
      </x:c>
      <x:c r="J156" s="18" t="n">
        <x:v>152</x:v>
      </x:c>
      <x:c r="K156" s="18" t="n">
        <x:v>140</x:v>
      </x:c>
      <x:c r="L156" s="18" t="n">
        <x:v>140</x:v>
      </x:c>
      <x:c r="M156" s="18"/>
      <x:c r="N156" s="18"/>
      <x:c r="O156" s="18"/>
      <x:c r="P156" s="18"/>
      <x:c r="Q156" s="18"/>
      <x:c r="R156" s="18"/>
      <x:c r="S156" s="18"/>
      <x:c r="T156" s="18"/>
      <x:c r="U156" s="18"/>
      <x:c r="V156" s="18"/>
      <x:c r="W156" s="18"/>
      <x:c r="X156" s="18"/>
      <x:c r="Y156" s="18" t="str">
        <x:v>published pump formulation says 250 mg sufentanil/250 mL</x:v>
      </x:c>
      <x:c r="Z156" s="18"/>
      <x:c r="AA156" s="18" t="str">
        <x:v>No</x:v>
      </x:c>
      <x:c r="AB156" s="18" t="str">
        <x:v>No</x:v>
      </x:c>
      <x:c r="AC156" s="18"/>
      <x:c r="AD156" s="18"/>
      <x:c r="AE156" s="18" t="str">
        <x:v>No</x:v>
      </x:c>
      <x:c r="AF156" s="18" t="str">
        <x:v>No</x:v>
      </x:c>
      <x:c r="AG156" s="18" t="str">
        <x:v>Not eligible for continuous 24-h opioid/MME meta-analysis</x:v>
      </x:c>
      <x:c r="AH156" s="18" t="str">
        <x:v>No</x:v>
      </x:c>
      <x:c r="AI156" s="18" t="str">
        <x:v>Printed pump unit is clinically implausible, programming is missing, and actual 24-h delivered dose is not reported; do not silently change mg to µg</x:v>
      </x:c>
      <x:c r="AJ156" s="18" t="str">
        <x:v>Postoperative analgesia pump / exact 24-h endpoint absent</x:v>
      </x:c>
      <x:c r="AK156" s="18" t="str">
        <x:v>https://drive.google.com/file/d/1NvcLlsb17N6EMhtHs_L_WBnf40wsrtRz/view?usp=drivesdk</x:v>
      </x:c>
      <x:c r="AL156" s="18" t="str">
        <x:v>MISSING / UNIT + DOSE UNRESOLVED</x:v>
      </x:c>
      <x:c r="AM156" s="18" t="str">
        <x:v>Postoperative opioid consumption</x:v>
      </x:c>
      <x:c r="AN156" s="18" t="str">
        <x:v>Exact/explicit 24 h</x:v>
      </x:c>
      <x:c r="AO156" s="18" t="str">
        <x:v>EXCLUDE — DATA UNAVAILABLE</x:v>
      </x:c>
      <x:c r="AP156" s="18" t="str">
        <x:v>The source does not provide a defensible quantitative value for this analysis.</x:v>
      </x:c>
      <x:c r="AQ156" s="18" t="str">
        <x:v>No</x:v>
      </x:c>
      <x:c r="AR156" s="18" t="str"/>
      <x:c r="AS156" s="18" t="str">
        <x:v>Opioid/MME conversion required using prespecified review conversion</x:v>
      </x:c>
      <x:c r="AT156" s="18" t="str">
        <x:v>Time to first bowel motion by auscultation</x:v>
      </x:c>
      <x:c r="AU156" s="18" t="str">
        <x:v>Postoperative</x:v>
      </x:c>
      <x:c r="AV156" s="18" t="str">
        <x:v>High</x:v>
      </x:c>
      <x:c r="AW156" s="18" t="str">
        <x:v>Yes — selected RoB is for a different result/timepoint</x:v>
      </x:c>
      <x:c r="AX156" s="18" t="str">
        <x:v>Li 2021</x:v>
      </x:c>
      <x:c r="AY156" s="18" t="str">
        <x:v>Primary eligible contrast</x:v>
      </x:c>
      <x:c r="AZ156" s="18" t="str">
        <x:v>Count this study once per synthesis unless a valid multi-arm method is used.</x:v>
      </x:c>
    </x:row>
    <x:row r="157">
      <x:c r="A157" s="18" t="str">
        <x:v>Liu 2026 (ESD)</x:v>
      </x:c>
      <x:c r="B157" s="18" t="str">
        <x:v>LIU26ESD_TEAS_vs_SHAM_MODPAIN24</x:v>
      </x:c>
      <x:c r="C157" s="18" t="str">
        <x:v>Perioperative TEAS</x:v>
      </x:c>
      <x:c r="D157" s="18" t="str">
        <x:v>Sham-point/no current</x:v>
      </x:c>
      <x:c r="E157" s="18" t="str">
        <x:v>Pain</x:v>
      </x:c>
      <x:c r="F157" s="18" t="str">
        <x:v>Moderate-to-severe pain (NRS ≥4)</x:v>
      </x:c>
      <x:c r="G157" s="18" t="str">
        <x:v>Within 24 h</x:v>
      </x:c>
      <x:c r="H157" s="18" t="str">
        <x:v>Events/total</x:v>
      </x:c>
      <x:c r="I157" s="18" t="n">
        <x:v>64</x:v>
      </x:c>
      <x:c r="J157" s="18" t="n">
        <x:v>65</x:v>
      </x:c>
      <x:c r="K157" s="18" t="n">
        <x:v>58</x:v>
      </x:c>
      <x:c r="L157" s="18" t="n">
        <x:v>62</x:v>
      </x:c>
      <x:c r="M157" s="18"/>
      <x:c r="N157" s="18"/>
      <x:c r="O157" s="18"/>
      <x:c r="P157" s="18"/>
      <x:c r="Q157" s="18"/>
      <x:c r="R157" s="18" t="n">
        <x:v>22</x:v>
      </x:c>
      <x:c r="S157" s="18"/>
      <x:c r="T157" s="18"/>
      <x:c r="U157" s="18"/>
      <x:c r="V157" s="18"/>
      <x:c r="W157" s="18"/>
      <x:c r="X157" s="18" t="n">
        <x:v>40</x:v>
      </x:c>
      <x:c r="Y157" s="18" t="str">
        <x:v>participants</x:v>
      </x:c>
      <x:c r="Z157" s="18" t="str">
        <x:v>0.004</x:v>
      </x:c>
      <x:c r="AA157" s="18" t="str">
        <x:v>Yes</x:v>
      </x:c>
      <x:c r="AB157" s="18" t="str">
        <x:v>No</x:v>
      </x:c>
      <x:c r="AC157" s="18" t="str">
        <x:v>RR</x:v>
      </x:c>
      <x:c r="AD157" s="18" t="n">
        <x:v>0.5879310344827586</x:v>
      </x:c>
      <x:c r="AE157" s="18" t="str">
        <x:v>No</x:v>
      </x:c>
      <x:c r="AF157" s="18" t="str">
        <x:v>No</x:v>
      </x:c>
      <x:c r="AG157" s="18" t="str">
        <x:v>Eligible for dichotomous 24-h moderate-to-severe pain analysis</x:v>
      </x:c>
      <x:c r="AH157" s="18" t="str">
        <x:v>No</x:v>
      </x:c>
      <x:c r="AI157" s="18" t="str">
        <x:v>9/129 randomized participants excluded after randomization, including postoperative bleeding and conversion to laparotomy; no ITT sensitivity analysis</x:v>
      </x:c>
      <x:c r="AJ157" s="18" t="str">
        <x:v>Primary outcome / NRS ≥4 within 24 h</x:v>
      </x:c>
      <x:c r="AK157" s="18" t="str">
        <x:v>https://drive.google.com/file/d/1Hp7pCBP8iXkGGYVhlFY0BHTeaaM7bhdY/view?usp=drivesdk</x:v>
      </x:c>
      <x:c r="AL157" s="18" t="str">
        <x:v>SOURCE-VERIFIED / ATTRITION QC</x:v>
      </x:c>
      <x:c r="AM157" s="18" t="str">
        <x:v>Pain</x:v>
      </x:c>
      <x:c r="AN157" s="18" t="str">
        <x:v>Contains 24 h but definition differs</x:v>
      </x:c>
      <x:c r="AO157" s="18" t="str">
        <x:v>CONDITIONAL</x:v>
      </x:c>
      <x:c r="AP157" s="18" t="str">
        <x:v>Contains a 24-h measurement but timepoint definition differs from the strict analysis.</x:v>
      </x:c>
      <x:c r="AQ157" s="18" t="str">
        <x:v>No</x:v>
      </x:c>
      <x:c r="AR157" s="18" t="str"/>
      <x:c r="AS157" s="18" t="str">
        <x:v>Binary effect measure (RR preferred per protocol)</x:v>
      </x:c>
      <x:c r="AT157" s="18" t="str">
        <x:v>Moderate-to-severe pain (NRS ≥4)</x:v>
      </x:c>
      <x:c r="AU157" s="18" t="str">
        <x:v>Within 24 h</x:v>
      </x:c>
      <x:c r="AV157" s="18" t="str">
        <x:v>High</x:v>
      </x:c>
      <x:c r="AW157" s="18" t="str">
        <x:v>No — selected RoB matches this result</x:v>
      </x:c>
      <x:c r="AX157" s="18" t="str">
        <x:v>Liu 2026 (ESD)</x:v>
      </x:c>
      <x:c r="AY157" s="18" t="str">
        <x:v>Primary eligible contrast</x:v>
      </x:c>
      <x:c r="AZ157" s="18" t="str">
        <x:v>Count this study once per synthesis unless a valid multi-arm method is used.</x:v>
      </x:c>
    </x:row>
    <x:row r="158">
      <x:c r="A158" s="18" t="str">
        <x:v>Liu 2026 (ESD)</x:v>
      </x:c>
      <x:c r="B158" s="18" t="str">
        <x:v>LIU26ESD_TEAS_vs_SHAM_NRS24</x:v>
      </x:c>
      <x:c r="C158" s="18" t="str">
        <x:v>Perioperative TEAS</x:v>
      </x:c>
      <x:c r="D158" s="18" t="str">
        <x:v>Sham-point/no current</x:v>
      </x:c>
      <x:c r="E158" s="18" t="str">
        <x:v>Pain</x:v>
      </x:c>
      <x:c r="F158" s="18" t="str">
        <x:v>NRS pain intensity</x:v>
      </x:c>
      <x:c r="G158" s="18" t="str">
        <x:v>24 h</x:v>
      </x:c>
      <x:c r="H158" s="18" t="str">
        <x:v>Mean/SD</x:v>
      </x:c>
      <x:c r="I158" s="18" t="n">
        <x:v>64</x:v>
      </x:c>
      <x:c r="J158" s="18" t="n">
        <x:v>65</x:v>
      </x:c>
      <x:c r="K158" s="18" t="n">
        <x:v>58</x:v>
      </x:c>
      <x:c r="L158" s="18" t="n">
        <x:v>62</x:v>
      </x:c>
      <x:c r="M158" s="18" t="n">
        <x:v>1.2</x:v>
      </x:c>
      <x:c r="N158" s="18" t="n">
        <x:v>1.3</x:v>
      </x:c>
      <x:c r="O158" s="18"/>
      <x:c r="P158" s="18"/>
      <x:c r="Q158" s="18"/>
      <x:c r="R158" s="18"/>
      <x:c r="S158" s="18" t="n">
        <x:v>2.8</x:v>
      </x:c>
      <x:c r="T158" s="18" t="n">
        <x:v>1.9</x:v>
      </x:c>
      <x:c r="U158" s="18"/>
      <x:c r="V158" s="18"/>
      <x:c r="W158" s="18"/>
      <x:c r="X158" s="18"/>
      <x:c r="Y158" s="18" t="str">
        <x:v>NRS 0-10</x:v>
      </x:c>
      <x:c r="Z158" s="18" t="str">
        <x:v>0.001</x:v>
      </x:c>
      <x:c r="AA158" s="18" t="str">
        <x:v>Yes</x:v>
      </x:c>
      <x:c r="AB158" s="18" t="str">
        <x:v>No</x:v>
      </x:c>
      <x:c r="AC158" s="18" t="str">
        <x:v>MD</x:v>
      </x:c>
      <x:c r="AD158" s="18" t="n">
        <x:v>-1.5999999999999999</x:v>
      </x:c>
      <x:c r="AE158" s="18" t="str">
        <x:v>No</x:v>
      </x:c>
      <x:c r="AF158" s="18" t="str">
        <x:v>No</x:v>
      </x:c>
      <x:c r="AG158" s="18" t="str">
        <x:v>Eligible for 24-h pain meta-analysis</x:v>
      </x:c>
      <x:c r="AH158" s="18" t="str">
        <x:v>No</x:v>
      </x:c>
      <x:c r="AI158" s="18" t="str">
        <x:v>Active TEAS at maximum tolerated intensity vs sham no current; sensory blinding success was not tested</x:v>
      </x:c>
      <x:c r="AJ158" s="18" t="str">
        <x:v>Serial NRS results / 24 h</x:v>
      </x:c>
      <x:c r="AK158" s="18" t="str">
        <x:v>https://drive.google.com/file/d/1Hp7pCBP8iXkGGYVhlFY0BHTeaaM7bhdY/view?usp=drivesdk</x:v>
      </x:c>
      <x:c r="AL158" s="18" t="str">
        <x:v>SOURCE-VERIFIED</x:v>
      </x:c>
      <x:c r="AM158" s="18" t="str">
        <x:v>Pain</x:v>
      </x:c>
      <x:c r="AN158" s="18" t="str">
        <x:v>Exact/explicit 24 h</x:v>
      </x:c>
      <x:c r="AO158" s="18" t="str">
        <x:v>INCLUDE</x:v>
      </x:c>
      <x:c r="AP158" s="18" t="str">
        <x:v>Explicit 24-h pain endpoint with quantitative source data.</x:v>
      </x:c>
      <x:c r="AQ158" s="18" t="str">
        <x:v>Yes</x:v>
      </x:c>
      <x:c r="AR158" s="18" t="str"/>
      <x:c r="AS158" s="18" t="str">
        <x:v>None</x:v>
      </x:c>
      <x:c r="AT158" s="18" t="str">
        <x:v>Moderate-to-severe pain (NRS ≥4)</x:v>
      </x:c>
      <x:c r="AU158" s="18" t="str">
        <x:v>Within 24 h</x:v>
      </x:c>
      <x:c r="AV158" s="18" t="str">
        <x:v>High</x:v>
      </x:c>
      <x:c r="AW158" s="18" t="str">
        <x:v>Yes — selected RoB is for a different result/timepoint</x:v>
      </x:c>
      <x:c r="AX158" s="18" t="str">
        <x:v>Liu 2026 (ESD)</x:v>
      </x:c>
      <x:c r="AY158" s="18" t="str">
        <x:v>Primary eligible contrast</x:v>
      </x:c>
      <x:c r="AZ158" s="18" t="str">
        <x:v>Count this study once per synthesis unless a valid multi-arm method is used.</x:v>
      </x:c>
    </x:row>
    <x:row r="159">
      <x:c r="A159" s="18" t="str">
        <x:v>Liu 2026 (ESD)</x:v>
      </x:c>
      <x:c r="B159" s="18" t="str">
        <x:v>LIU26ESD_TEAS_vs_SHAM_ANYMORPH</x:v>
      </x:c>
      <x:c r="C159" s="18" t="str">
        <x:v>Perioperative TEAS</x:v>
      </x:c>
      <x:c r="D159" s="18" t="str">
        <x:v>Sham-point/no current</x:v>
      </x:c>
      <x:c r="E159" s="18" t="str">
        <x:v>Rescue opioid use</x:v>
      </x:c>
      <x:c r="F159" s="18" t="str">
        <x:v>Any rescue IV morphine use</x:v>
      </x:c>
      <x:c r="G159" s="18" t="str">
        <x:v>Through 48 h</x:v>
      </x:c>
      <x:c r="H159" s="18" t="str">
        <x:v>Events/total</x:v>
      </x:c>
      <x:c r="I159" s="18" t="n">
        <x:v>64</x:v>
      </x:c>
      <x:c r="J159" s="18" t="n">
        <x:v>65</x:v>
      </x:c>
      <x:c r="K159" s="18" t="n">
        <x:v>58</x:v>
      </x:c>
      <x:c r="L159" s="18" t="n">
        <x:v>62</x:v>
      </x:c>
      <x:c r="M159" s="18"/>
      <x:c r="N159" s="18"/>
      <x:c r="O159" s="18"/>
      <x:c r="P159" s="18"/>
      <x:c r="Q159" s="18"/>
      <x:c r="R159" s="18" t="n">
        <x:v>19</x:v>
      </x:c>
      <x:c r="S159" s="18"/>
      <x:c r="T159" s="18"/>
      <x:c r="U159" s="18"/>
      <x:c r="V159" s="18"/>
      <x:c r="W159" s="18"/>
      <x:c r="X159" s="18" t="n">
        <x:v>40</x:v>
      </x:c>
      <x:c r="Y159" s="18" t="str">
        <x:v>participants</x:v>
      </x:c>
      <x:c r="Z159" s="18" t="str">
        <x:v>&lt;0.001</x:v>
      </x:c>
      <x:c r="AA159" s="18" t="str">
        <x:v>Yes</x:v>
      </x:c>
      <x:c r="AB159" s="18" t="str">
        <x:v>No</x:v>
      </x:c>
      <x:c r="AC159" s="18" t="str">
        <x:v>RR</x:v>
      </x:c>
      <x:c r="AD159" s="18" t="n">
        <x:v>0.5077586206896552</x:v>
      </x:c>
      <x:c r="AE159" s="18" t="str">
        <x:v>No</x:v>
      </x:c>
      <x:c r="AF159" s="18" t="str">
        <x:v>No</x:v>
      </x:c>
      <x:c r="AG159" s="18" t="str">
        <x:v>Eligible for binary rescue-opioid-use analysis</x:v>
      </x:c>
      <x:c r="AH159" s="18" t="str">
        <x:v>No</x:v>
      </x:c>
      <x:c r="AI159" s="18" t="str">
        <x:v>Morphine was 1 mg IV per administration, but number of administrations and cumulative dose per patient are not reported</x:v>
      </x:c>
      <x:c r="AJ159" s="18" t="str">
        <x:v>Postoperative rescue analgesia</x:v>
      </x:c>
      <x:c r="AK159" s="18" t="str">
        <x:v>https://drive.google.com/file/d/1Hp7pCBP8iXkGGYVhlFY0BHTeaaM7bhdY/view?usp=drivesdk</x:v>
      </x:c>
      <x:c r="AL159" s="18" t="str">
        <x:v>SOURCE-VERIFIED</x:v>
      </x:c>
      <x:c r="AM159" s="18" t="str">
        <x:v>Rescue opioid use</x:v>
      </x:c>
      <x:c r="AN159" s="18" t="str">
        <x:v>48 h</x:v>
      </x:c>
      <x:c r="AO159" s="18" t="str">
        <x:v>INCLUDE — BINARY RESCUE USE</x:v>
      </x:c>
      <x:c r="AP159" s="18" t="str">
        <x:v>Valid binary rescue-opioid-use endpoint, separate from continuous opioid consumption.</x:v>
      </x:c>
      <x:c r="AQ159" s="18" t="str">
        <x:v>No</x:v>
      </x:c>
      <x:c r="AR159" s="18" t="str"/>
      <x:c r="AS159" s="18" t="str">
        <x:v>Binary effect measure (RR preferred per protocol)</x:v>
      </x:c>
      <x:c r="AT159" s="18" t="str">
        <x:v>Moderate-to-severe pain (NRS ≥4)</x:v>
      </x:c>
      <x:c r="AU159" s="18" t="str">
        <x:v>Within 24 h</x:v>
      </x:c>
      <x:c r="AV159" s="18" t="str">
        <x:v>High</x:v>
      </x:c>
      <x:c r="AW159" s="18" t="str">
        <x:v>Yes — selected RoB is for a different result/timepoint</x:v>
      </x:c>
      <x:c r="AX159" s="18" t="str">
        <x:v>Liu 2026 (ESD)</x:v>
      </x:c>
      <x:c r="AY159" s="18" t="str">
        <x:v>Primary eligible contrast</x:v>
      </x:c>
      <x:c r="AZ159" s="18" t="str">
        <x:v>Count this study once per synthesis unless a valid multi-arm method is used.</x:v>
      </x:c>
    </x:row>
    <x:row r="160">
      <x:c r="A160" s="18" t="str">
        <x:v>Liu 2026 (ESD)</x:v>
      </x:c>
      <x:c r="B160" s="18" t="str">
        <x:v>LIU26ESD_TEAS_vs_SHAM_PONV</x:v>
      </x:c>
      <x:c r="C160" s="18" t="str">
        <x:v>Perioperative TEAS</x:v>
      </x:c>
      <x:c r="D160" s="18" t="str">
        <x:v>Sham-point/no current</x:v>
      </x:c>
      <x:c r="E160" s="18" t="str">
        <x:v>PONV</x:v>
      </x:c>
      <x:c r="F160" s="18" t="str">
        <x:v>PONV incidence</x:v>
      </x:c>
      <x:c r="G160" s="18" t="str">
        <x:v>Postoperative follow-up</x:v>
      </x:c>
      <x:c r="H160" s="18" t="str">
        <x:v>Events/total</x:v>
      </x:c>
      <x:c r="I160" s="18" t="n">
        <x:v>64</x:v>
      </x:c>
      <x:c r="J160" s="18" t="n">
        <x:v>65</x:v>
      </x:c>
      <x:c r="K160" s="18" t="n">
        <x:v>58</x:v>
      </x:c>
      <x:c r="L160" s="18" t="n">
        <x:v>62</x:v>
      </x:c>
      <x:c r="M160" s="18"/>
      <x:c r="N160" s="18"/>
      <x:c r="O160" s="18"/>
      <x:c r="P160" s="18"/>
      <x:c r="Q160" s="18"/>
      <x:c r="R160" s="18" t="n">
        <x:v>4</x:v>
      </x:c>
      <x:c r="S160" s="18"/>
      <x:c r="T160" s="18"/>
      <x:c r="U160" s="18"/>
      <x:c r="V160" s="18"/>
      <x:c r="W160" s="18"/>
      <x:c r="X160" s="18" t="n">
        <x:v>14</x:v>
      </x:c>
      <x:c r="Y160" s="18" t="str">
        <x:v>participants</x:v>
      </x:c>
      <x:c r="Z160" s="18" t="str">
        <x:v>Published P/RR internally inconsistent</x:v>
      </x:c>
      <x:c r="AA160" s="18" t="str">
        <x:v>Yes</x:v>
      </x:c>
      <x:c r="AB160" s="18" t="str">
        <x:v>No</x:v>
      </x:c>
      <x:c r="AC160" s="18" t="str">
        <x:v>RR</x:v>
      </x:c>
      <x:c r="AD160" s="18" t="n">
        <x:v>0.3054187192118227</x:v>
      </x:c>
      <x:c r="AE160" s="18" t="str">
        <x:v>No</x:v>
      </x:c>
      <x:c r="AF160" s="18" t="str">
        <x:v>No</x:v>
      </x:c>
      <x:c r="AG160" s="18" t="str">
        <x:v>Eligible using raw event counts with source-statistic QC</x:v>
      </x:c>
      <x:c r="AH160" s="18" t="str">
        <x:v>No</x:v>
      </x:c>
      <x:c r="AI160" s="18" t="str">
        <x:v>Published RR/P-value for PONV are internally inconsistent; use raw 4/58 vs 14/62</x:v>
      </x:c>
      <x:c r="AJ160" s="18" t="str">
        <x:v>Postoperative complication table</x:v>
      </x:c>
      <x:c r="AK160" s="18" t="str">
        <x:v>https://drive.google.com/file/d/1Hp7pCBP8iXkGGYVhlFY0BHTeaaM7bhdY/view?usp=drivesdk</x:v>
      </x:c>
      <x:c r="AL160" s="18" t="str">
        <x:v>SOURCE-VERIFIED / PUBLISHED EFFECT QC</x:v>
      </x:c>
      <x:c r="AM160" s="18" t="str">
        <x:v>PONV</x:v>
      </x:c>
      <x:c r="AN160" s="18" t="str">
        <x:v>Postoperative follow-up</x:v>
      </x:c>
      <x:c r="AO160" s="18" t="str">
        <x:v>CONDITIONAL</x:v>
      </x:c>
      <x:c r="AP160" s="18" t="str">
        <x:v>Valid PONV result, but the postoperative observation window should be matched to the intended synthesis.</x:v>
      </x:c>
      <x:c r="AQ160" s="18" t="str">
        <x:v>No</x:v>
      </x:c>
      <x:c r="AR160" s="18" t="str"/>
      <x:c r="AS160" s="18" t="str">
        <x:v>Binary effect measure (RR preferred per protocol)</x:v>
      </x:c>
      <x:c r="AT160" s="18" t="str">
        <x:v>Moderate-to-severe pain (NRS ≥4)</x:v>
      </x:c>
      <x:c r="AU160" s="18" t="str">
        <x:v>Within 24 h</x:v>
      </x:c>
      <x:c r="AV160" s="18" t="str">
        <x:v>High</x:v>
      </x:c>
      <x:c r="AW160" s="18" t="str">
        <x:v>Yes — selected RoB is for a different result/timepoint</x:v>
      </x:c>
      <x:c r="AX160" s="18" t="str">
        <x:v>Liu 2026 (ESD)</x:v>
      </x:c>
      <x:c r="AY160" s="18" t="str">
        <x:v>Primary eligible contrast</x:v>
      </x:c>
      <x:c r="AZ160" s="18" t="str">
        <x:v>Count this study once per synthesis unless a valid multi-arm method is used.</x:v>
      </x:c>
    </x:row>
    <x:row r="161">
      <x:c r="A161" s="18" t="str">
        <x:v>Liu 2026 (ESD)</x:v>
      </x:c>
      <x:c r="B161" s="18" t="str">
        <x:v>LIU26ESD_TEAS_vs_SHAM_MORPH24</x:v>
      </x:c>
      <x:c r="C161" s="18" t="str">
        <x:v>Perioperative TEAS</x:v>
      </x:c>
      <x:c r="D161" s="18" t="str">
        <x:v>Sham-point/no current</x:v>
      </x:c>
      <x:c r="E161" s="18" t="str">
        <x:v>Opioid consumption</x:v>
      </x:c>
      <x:c r="F161" s="18" t="str">
        <x:v>Cumulative postoperative morphine consumption</x:v>
      </x:c>
      <x:c r="G161" s="18" t="str">
        <x:v>0-24 h</x:v>
      </x:c>
      <x:c r="H161" s="18" t="str">
        <x:v>Not reported</x:v>
      </x:c>
      <x:c r="I161" s="18" t="n">
        <x:v>64</x:v>
      </x:c>
      <x:c r="J161" s="18" t="n">
        <x:v>65</x:v>
      </x:c>
      <x:c r="K161" s="18" t="n">
        <x:v>58</x:v>
      </x:c>
      <x:c r="L161" s="18" t="n">
        <x:v>62</x:v>
      </x:c>
      <x:c r="M161" s="18"/>
      <x:c r="N161" s="18"/>
      <x:c r="O161" s="18"/>
      <x:c r="P161" s="18"/>
      <x:c r="Q161" s="18"/>
      <x:c r="R161" s="18"/>
      <x:c r="S161" s="18"/>
      <x:c r="T161" s="18"/>
      <x:c r="U161" s="18"/>
      <x:c r="V161" s="18"/>
      <x:c r="W161" s="18"/>
      <x:c r="X161" s="18"/>
      <x:c r="Y161" s="18" t="str">
        <x:v>mg IV morphine</x:v>
      </x:c>
      <x:c r="Z161" s="18"/>
      <x:c r="AA161" s="18" t="str">
        <x:v>No</x:v>
      </x:c>
      <x:c r="AB161" s="18" t="str">
        <x:v>No</x:v>
      </x:c>
      <x:c r="AC161" s="18"/>
      <x:c r="AD161" s="18"/>
      <x:c r="AE161" s="18" t="str">
        <x:v>No</x:v>
      </x:c>
      <x:c r="AF161" s="18" t="str">
        <x:v>No</x:v>
      </x:c>
      <x:c r="AG161" s="18" t="str">
        <x:v>Not eligible for continuous 24-h morphine/MME meta-analysis without author data</x:v>
      </x:c>
      <x:c r="AH161" s="18" t="str">
        <x:v>No</x:v>
      </x:c>
      <x:c r="AI161" s="18" t="str">
        <x:v>Binary morphine use is reported, but administration counts and cumulative dose are not</x:v>
      </x:c>
      <x:c r="AJ161" s="18" t="str">
        <x:v>Exact 24-h opioid dose absent</x:v>
      </x:c>
      <x:c r="AK161" s="18" t="str">
        <x:v>https://drive.google.com/file/d/1Hp7pCBP8iXkGGYVhlFY0BHTeaaM7bhdY/view?usp=drivesdk</x:v>
      </x:c>
      <x:c r="AL161" s="18" t="str">
        <x:v>MISSING / AUTHOR DATA NEEDED</x:v>
      </x:c>
      <x:c r="AM161" s="18" t="str">
        <x:v>Postoperative opioid consumption</x:v>
      </x:c>
      <x:c r="AN161" s="18" t="str">
        <x:v>Exact/explicit 24 h</x:v>
      </x:c>
      <x:c r="AO161" s="18" t="str">
        <x:v>EXCLUDE — DATA UNAVAILABLE</x:v>
      </x:c>
      <x:c r="AP161" s="18" t="str">
        <x:v>The source does not provide a defensible quantitative value for this analysis.</x:v>
      </x:c>
      <x:c r="AQ161" s="18" t="str">
        <x:v>No</x:v>
      </x:c>
      <x:c r="AR161" s="18" t="str"/>
      <x:c r="AS161" s="18" t="str">
        <x:v>Use native IV morphine; convert to review-standard MME only per prespecified rule</x:v>
      </x:c>
      <x:c r="AT161" s="18" t="str">
        <x:v>Moderate-to-severe pain (NRS ≥4)</x:v>
      </x:c>
      <x:c r="AU161" s="18" t="str">
        <x:v>Within 24 h</x:v>
      </x:c>
      <x:c r="AV161" s="18" t="str">
        <x:v>High</x:v>
      </x:c>
      <x:c r="AW161" s="18" t="str">
        <x:v>Yes — selected RoB is for a different result/timepoint</x:v>
      </x:c>
      <x:c r="AX161" s="18" t="str">
        <x:v>Liu 2026 (ESD)</x:v>
      </x:c>
      <x:c r="AY161" s="18" t="str">
        <x:v>Primary eligible contrast</x:v>
      </x:c>
      <x:c r="AZ161" s="18" t="str">
        <x:v>Count this study once per synthesis unless a valid multi-arm method is used.</x:v>
      </x:c>
    </x:row>
    <x:row r="162">
      <x:c r="A162" s="18" t="str">
        <x:v>Liu 2021</x:v>
      </x:c>
      <x:c r="B162" s="18" t="str">
        <x:v>LIU21_TEAS_vs_CTRL_POCD1</x:v>
      </x:c>
      <x:c r="C162" s="18" t="str">
        <x:v>Perioperative TEAS</x:v>
      </x:c>
      <x:c r="D162" s="18" t="str">
        <x:v>Electrodes/no current</x:v>
      </x:c>
      <x:c r="E162" s="18" t="str">
        <x:v>Neurocognitive</x:v>
      </x:c>
      <x:c r="F162" s="18" t="str">
        <x:v>Postoperative cognitive decline (MMSE Z-score ≤ -2)</x:v>
      </x:c>
      <x:c r="G162" s="18" t="str">
        <x:v>POD1</x:v>
      </x:c>
      <x:c r="H162" s="18" t="str">
        <x:v>Events/total</x:v>
      </x:c>
      <x:c r="I162" s="18" t="n">
        <x:v>50</x:v>
      </x:c>
      <x:c r="J162" s="18" t="n">
        <x:v>50</x:v>
      </x:c>
      <x:c r="K162" s="18" t="n">
        <x:v>50</x:v>
      </x:c>
      <x:c r="L162" s="18" t="n">
        <x:v>50</x:v>
      </x:c>
      <x:c r="M162" s="18"/>
      <x:c r="N162" s="18"/>
      <x:c r="O162" s="18"/>
      <x:c r="P162" s="18"/>
      <x:c r="Q162" s="18"/>
      <x:c r="R162" s="18" t="n">
        <x:v>5</x:v>
      </x:c>
      <x:c r="S162" s="18"/>
      <x:c r="T162" s="18"/>
      <x:c r="U162" s="18"/>
      <x:c r="V162" s="18"/>
      <x:c r="W162" s="18"/>
      <x:c r="X162" s="18" t="n">
        <x:v>11</x:v>
      </x:c>
      <x:c r="Y162" s="18" t="str">
        <x:v>participants</x:v>
      </x:c>
      <x:c r="Z162" s="18" t="str">
        <x:v>0.102</x:v>
      </x:c>
      <x:c r="AA162" s="18" t="str">
        <x:v>Yes</x:v>
      </x:c>
      <x:c r="AB162" s="18" t="str">
        <x:v>No</x:v>
      </x:c>
      <x:c r="AC162" s="18" t="str">
        <x:v>RR</x:v>
      </x:c>
      <x:c r="AD162" s="18" t="n">
        <x:v>0.4545454545454546</x:v>
      </x:c>
      <x:c r="AE162" s="18" t="str">
        <x:v>No</x:v>
      </x:c>
      <x:c r="AF162" s="18" t="str">
        <x:v>No</x:v>
      </x:c>
      <x:c r="AG162" s="18" t="str">
        <x:v>Eligible for dichotomous POD1 POCD analysis</x:v>
      </x:c>
      <x:c r="AH162" s="18" t="str">
        <x:v>No</x:v>
      </x:c>
      <x:c r="AI162" s="18" t="str">
        <x:v>Control prose prints 11 cases as 25%, but 11/50 = 22%; preserve count as authoritative</x:v>
      </x:c>
      <x:c r="AJ162" s="18" t="str">
        <x:v>POCD incidence table / POD1</x:v>
      </x:c>
      <x:c r="AK162" s="18" t="str">
        <x:v>https://drive.google.com/file/d/1TA4BstaUWY3EdQbDNEvvGxF35ekGanrm/view?usp=drivesdk</x:v>
      </x:c>
      <x:c r="AL162" s="18" t="str">
        <x:v>SOURCE-VERIFIED / PERCENTAGE QC</x:v>
      </x:c>
      <x:c r="AM162" s="18" t="str">
        <x:v>Neurocognitive</x:v>
      </x:c>
      <x:c r="AN162" s="18" t="str">
        <x:v>POD1 / approximate 24 h</x:v>
      </x:c>
      <x:c r="AO162" s="18" t="str">
        <x:v>CONDITIONAL</x:v>
      </x:c>
      <x:c r="AP162" s="18" t="str">
        <x:v>Source-grounded but carries a QC qualification.</x:v>
      </x:c>
      <x:c r="AQ162" s="18" t="str">
        <x:v>No</x:v>
      </x:c>
      <x:c r="AR162" s="18" t="str"/>
      <x:c r="AS162" s="18" t="str">
        <x:v>Binary effect measure (RR preferred per protocol)</x:v>
      </x:c>
      <x:c r="AT162" s="18" t="str">
        <x:v>Postoperative cognitive decline (MMSE Z-score ≤ -2)</x:v>
      </x:c>
      <x:c r="AU162" s="18" t="str">
        <x:v>POD1</x:v>
      </x:c>
      <x:c r="AV162" s="18" t="str">
        <x:v>Some concerns</x:v>
      </x:c>
      <x:c r="AW162" s="18" t="str">
        <x:v>No — selected RoB matches this result</x:v>
      </x:c>
      <x:c r="AX162" s="18" t="str">
        <x:v>Liu 2021</x:v>
      </x:c>
      <x:c r="AY162" s="18" t="str">
        <x:v>Primary eligible contrast</x:v>
      </x:c>
      <x:c r="AZ162" s="18" t="str">
        <x:v>Count this study once per synthesis unless a valid multi-arm method is used.</x:v>
      </x:c>
    </x:row>
    <x:row r="163">
      <x:c r="A163" s="18" t="str">
        <x:v>Liu 2021</x:v>
      </x:c>
      <x:c r="B163" s="18" t="str">
        <x:v>LIU21_TEAS_vs_CTRL_VASREST24</x:v>
      </x:c>
      <x:c r="C163" s="18" t="str">
        <x:v>Perioperative TEAS</x:v>
      </x:c>
      <x:c r="D163" s="18" t="str">
        <x:v>Electrodes/no current</x:v>
      </x:c>
      <x:c r="E163" s="18" t="str">
        <x:v>Pain</x:v>
      </x:c>
      <x:c r="F163" s="18" t="str">
        <x:v>VAS at rest</x:v>
      </x:c>
      <x:c r="G163" s="18" t="str">
        <x:v>24 h</x:v>
      </x:c>
      <x:c r="H163" s="18" t="str">
        <x:v>Mean/SD</x:v>
      </x:c>
      <x:c r="I163" s="18" t="n">
        <x:v>50</x:v>
      </x:c>
      <x:c r="J163" s="18" t="n">
        <x:v>50</x:v>
      </x:c>
      <x:c r="K163" s="18" t="n">
        <x:v>50</x:v>
      </x:c>
      <x:c r="L163" s="18" t="n">
        <x:v>50</x:v>
      </x:c>
      <x:c r="M163" s="18" t="n">
        <x:v>2.52</x:v>
      </x:c>
      <x:c r="N163" s="18" t="n">
        <x:v>0.505</x:v>
      </x:c>
      <x:c r="O163" s="18"/>
      <x:c r="P163" s="18"/>
      <x:c r="Q163" s="18"/>
      <x:c r="R163" s="18"/>
      <x:c r="S163" s="18" t="n">
        <x:v>2.66</x:v>
      </x:c>
      <x:c r="T163" s="18" t="n">
        <x:v>0.626</x:v>
      </x:c>
      <x:c r="U163" s="18"/>
      <x:c r="V163" s="18"/>
      <x:c r="W163" s="18"/>
      <x:c r="X163" s="18"/>
      <x:c r="Y163" s="18" t="str">
        <x:v>VAS</x:v>
      </x:c>
      <x:c r="Z163" s="18" t="str">
        <x:v>0.221</x:v>
      </x:c>
      <x:c r="AA163" s="18" t="str">
        <x:v>Yes</x:v>
      </x:c>
      <x:c r="AB163" s="18" t="str">
        <x:v>No</x:v>
      </x:c>
      <x:c r="AC163" s="18" t="str">
        <x:v>MD</x:v>
      </x:c>
      <x:c r="AD163" s="18" t="n">
        <x:v>-0.14000000000000012</x:v>
      </x:c>
      <x:c r="AE163" s="18" t="str">
        <x:v>No</x:v>
      </x:c>
      <x:c r="AF163" s="18" t="str">
        <x:v>No</x:v>
      </x:c>
      <x:c r="AG163" s="18" t="str">
        <x:v>Eligible for 24-h rest-pain analysis</x:v>
      </x:c>
      <x:c r="AH163" s="18" t="str">
        <x:v>No</x:v>
      </x:c>
      <x:c r="AI163" s="18" t="str">
        <x:v>Participant blinding is unclear because active stimulation was maximum tolerated and control received no current</x:v>
      </x:c>
      <x:c r="AJ163" s="18" t="str">
        <x:v>Table 2 / 24-h rest VAS</x:v>
      </x:c>
      <x:c r="AK163" s="18" t="str">
        <x:v>https://drive.google.com/file/d/1TA4BstaUWY3EdQbDNEvvGxF35ekGanrm/view?usp=drivesdk</x:v>
      </x:c>
      <x:c r="AL163" s="18" t="str">
        <x:v>SOURCE-VERIFIED</x:v>
      </x:c>
      <x:c r="AM163" s="18" t="str">
        <x:v>Pain</x:v>
      </x:c>
      <x:c r="AN163" s="18" t="str">
        <x:v>Exact/explicit 24 h</x:v>
      </x:c>
      <x:c r="AO163" s="18" t="str">
        <x:v>INCLUDE</x:v>
      </x:c>
      <x:c r="AP163" s="18" t="str">
        <x:v>Explicit 24-h pain endpoint with quantitative source data.</x:v>
      </x:c>
      <x:c r="AQ163" s="18" t="str">
        <x:v>Yes</x:v>
      </x:c>
      <x:c r="AR163" s="18" t="str"/>
      <x:c r="AS163" s="18" t="str">
        <x:v>None</x:v>
      </x:c>
      <x:c r="AT163" s="18" t="str">
        <x:v>Postoperative cognitive decline (MMSE Z-score ≤ -2)</x:v>
      </x:c>
      <x:c r="AU163" s="18" t="str">
        <x:v>POD1</x:v>
      </x:c>
      <x:c r="AV163" s="18" t="str">
        <x:v>Some concerns</x:v>
      </x:c>
      <x:c r="AW163" s="18" t="str">
        <x:v>Yes — selected RoB is for a different result/timepoint</x:v>
      </x:c>
      <x:c r="AX163" s="18" t="str">
        <x:v>Liu 2021</x:v>
      </x:c>
      <x:c r="AY163" s="18" t="str">
        <x:v>Primary eligible contrast</x:v>
      </x:c>
      <x:c r="AZ163" s="18" t="str">
        <x:v>Count this study once per synthesis unless a valid multi-arm method is used.</x:v>
      </x:c>
    </x:row>
    <x:row r="164">
      <x:c r="A164" s="18" t="str">
        <x:v>Liu 2021</x:v>
      </x:c>
      <x:c r="B164" s="18" t="str">
        <x:v>LIU21_TEAS_vs_CTRL_VASCOUGH24</x:v>
      </x:c>
      <x:c r="C164" s="18" t="str">
        <x:v>Perioperative TEAS</x:v>
      </x:c>
      <x:c r="D164" s="18" t="str">
        <x:v>Electrodes/no current</x:v>
      </x:c>
      <x:c r="E164" s="18" t="str">
        <x:v>Pain</x:v>
      </x:c>
      <x:c r="F164" s="18" t="str">
        <x:v>VAS with coughing</x:v>
      </x:c>
      <x:c r="G164" s="18" t="str">
        <x:v>24 h</x:v>
      </x:c>
      <x:c r="H164" s="18" t="str">
        <x:v>Mean/SD</x:v>
      </x:c>
      <x:c r="I164" s="18" t="n">
        <x:v>50</x:v>
      </x:c>
      <x:c r="J164" s="18" t="n">
        <x:v>50</x:v>
      </x:c>
      <x:c r="K164" s="18" t="n">
        <x:v>50</x:v>
      </x:c>
      <x:c r="L164" s="18" t="n">
        <x:v>50</x:v>
      </x:c>
      <x:c r="M164" s="18" t="n">
        <x:v>3.2</x:v>
      </x:c>
      <x:c r="N164" s="18" t="n">
        <x:v>0.571</x:v>
      </x:c>
      <x:c r="O164" s="18"/>
      <x:c r="P164" s="18"/>
      <x:c r="Q164" s="18"/>
      <x:c r="R164" s="18"/>
      <x:c r="S164" s="18" t="n">
        <x:v>3.16</x:v>
      </x:c>
      <x:c r="T164" s="18" t="n">
        <x:v>0.681</x:v>
      </x:c>
      <x:c r="U164" s="18"/>
      <x:c r="V164" s="18"/>
      <x:c r="W164" s="18"/>
      <x:c r="X164" s="18"/>
      <x:c r="Y164" s="18" t="str">
        <x:v>VAS</x:v>
      </x:c>
      <x:c r="Z164" s="18" t="str">
        <x:v>0.751</x:v>
      </x:c>
      <x:c r="AA164" s="18" t="str">
        <x:v>Yes</x:v>
      </x:c>
      <x:c r="AB164" s="18" t="str">
        <x:v>No</x:v>
      </x:c>
      <x:c r="AC164" s="18" t="str">
        <x:v>MD</x:v>
      </x:c>
      <x:c r="AD164" s="18" t="n">
        <x:v>0.040000000000000036</x:v>
      </x:c>
      <x:c r="AE164" s="18" t="str">
        <x:v>No</x:v>
      </x:c>
      <x:c r="AF164" s="18" t="str">
        <x:v>No</x:v>
      </x:c>
      <x:c r="AG164" s="18" t="str">
        <x:v>Eligible for 24-h movement/evoked-pain analysis</x:v>
      </x:c>
      <x:c r="AH164" s="18" t="str">
        <x:v>No</x:v>
      </x:c>
      <x:c r="AI164" s="18" t="str">
        <x:v>No evidence of analgesic benefit at 24 h</x:v>
      </x:c>
      <x:c r="AJ164" s="18" t="str">
        <x:v>Table 2 / 24-h coughing VAS</x:v>
      </x:c>
      <x:c r="AK164" s="18" t="str">
        <x:v>https://drive.google.com/file/d/1TA4BstaUWY3EdQbDNEvvGxF35ekGanrm/view?usp=drivesdk</x:v>
      </x:c>
      <x:c r="AL164" s="18" t="str">
        <x:v>SOURCE-VERIFIED</x:v>
      </x:c>
      <x:c r="AM164" s="18" t="str">
        <x:v>Pain</x:v>
      </x:c>
      <x:c r="AN164" s="18" t="str">
        <x:v>Exact/explicit 24 h</x:v>
      </x:c>
      <x:c r="AO164" s="18" t="str">
        <x:v>INCLUDE</x:v>
      </x:c>
      <x:c r="AP164" s="18" t="str">
        <x:v>Explicit 24-h pain endpoint with quantitative source data.</x:v>
      </x:c>
      <x:c r="AQ164" s="18" t="str">
        <x:v>Yes</x:v>
      </x:c>
      <x:c r="AR164" s="18" t="str"/>
      <x:c r="AS164" s="18" t="str">
        <x:v>None</x:v>
      </x:c>
      <x:c r="AT164" s="18" t="str">
        <x:v>Postoperative cognitive decline (MMSE Z-score ≤ -2)</x:v>
      </x:c>
      <x:c r="AU164" s="18" t="str">
        <x:v>POD1</x:v>
      </x:c>
      <x:c r="AV164" s="18" t="str">
        <x:v>Some concerns</x:v>
      </x:c>
      <x:c r="AW164" s="18" t="str">
        <x:v>Yes — selected RoB is for a different result/timepoint</x:v>
      </x:c>
      <x:c r="AX164" s="18" t="str">
        <x:v>Liu 2021</x:v>
      </x:c>
      <x:c r="AY164" s="18" t="str">
        <x:v>Primary eligible contrast</x:v>
      </x:c>
      <x:c r="AZ164" s="18" t="str">
        <x:v>Count this study once per synthesis unless a valid multi-arm method is used.</x:v>
      </x:c>
    </x:row>
    <x:row r="165">
      <x:c r="A165" s="18" t="str">
        <x:v>Liu 2021</x:v>
      </x:c>
      <x:c r="B165" s="18" t="str">
        <x:v>LIU21_TEAS_vs_CTRL_PCAPRESS24</x:v>
      </x:c>
      <x:c r="C165" s="18" t="str">
        <x:v>Perioperative TEAS</x:v>
      </x:c>
      <x:c r="D165" s="18" t="str">
        <x:v>Electrodes/no current</x:v>
      </x:c>
      <x:c r="E165" s="18" t="str">
        <x:v>Opioid demand</x:v>
      </x:c>
      <x:c r="F165" s="18" t="str">
        <x:v>PCA pump compressions</x:v>
      </x:c>
      <x:c r="G165" s="18" t="str">
        <x:v>0-24 h</x:v>
      </x:c>
      <x:c r="H165" s="18" t="str">
        <x:v>Mean/SD</x:v>
      </x:c>
      <x:c r="I165" s="18" t="n">
        <x:v>50</x:v>
      </x:c>
      <x:c r="J165" s="18" t="n">
        <x:v>50</x:v>
      </x:c>
      <x:c r="K165" s="18" t="n">
        <x:v>50</x:v>
      </x:c>
      <x:c r="L165" s="18" t="n">
        <x:v>50</x:v>
      </x:c>
      <x:c r="M165" s="18" t="n">
        <x:v>17.62</x:v>
      </x:c>
      <x:c r="N165" s="18" t="n">
        <x:v>2.687</x:v>
      </x:c>
      <x:c r="O165" s="18"/>
      <x:c r="P165" s="18"/>
      <x:c r="Q165" s="18"/>
      <x:c r="R165" s="18"/>
      <x:c r="S165" s="18" t="n">
        <x:v>17.38</x:v>
      </x:c>
      <x:c r="T165" s="18" t="n">
        <x:v>3.801</x:v>
      </x:c>
      <x:c r="U165" s="18"/>
      <x:c r="V165" s="18"/>
      <x:c r="W165" s="18"/>
      <x:c r="X165" s="18"/>
      <x:c r="Y165" s="18" t="str">
        <x:v>presses</x:v>
      </x:c>
      <x:c r="Z165" s="18" t="str">
        <x:v>0.716</x:v>
      </x:c>
      <x:c r="AA165" s="18" t="str">
        <x:v>Yes</x:v>
      </x:c>
      <x:c r="AB165" s="18" t="str">
        <x:v>No</x:v>
      </x:c>
      <x:c r="AC165" s="18" t="str">
        <x:v>MD</x:v>
      </x:c>
      <x:c r="AD165" s="18" t="n">
        <x:v>0.240000000000002</x:v>
      </x:c>
      <x:c r="AE165" s="18" t="str">
        <x:v>No</x:v>
      </x:c>
      <x:c r="AF165" s="18" t="str">
        <x:v>No</x:v>
      </x:c>
      <x:c r="AG165" s="18" t="str">
        <x:v>Eligible as 24-h PCA-demand outcome only</x:v>
      </x:c>
      <x:c r="AH165" s="18" t="str">
        <x:v>No</x:v>
      </x:c>
      <x:c r="AI165" s="18" t="str">
        <x:v>Compressions may represent demands rather than successful boluses; do not convert to sufentanil mass</x:v>
      </x:c>
      <x:c r="AJ165" s="18" t="str">
        <x:v>24-h PCA compression result</x:v>
      </x:c>
      <x:c r="AK165" s="18" t="str">
        <x:v>https://drive.google.com/file/d/1TA4BstaUWY3EdQbDNEvvGxF35ekGanrm/view?usp=drivesdk</x:v>
      </x:c>
      <x:c r="AL165" s="18" t="str">
        <x:v>SOURCE-VERIFIED / DOSE NOT RECONSTRUCTABLE</x:v>
      </x:c>
      <x:c r="AM165" s="18" t="str">
        <x:v>PCA demand/proxy</x:v>
      </x:c>
      <x:c r="AN165" s="18" t="str">
        <x:v>Exact/explicit 24 h</x:v>
      </x:c>
      <x:c r="AO165" s="18" t="str">
        <x:v>CONDITIONAL</x:v>
      </x:c>
      <x:c r="AP165" s="18" t="str">
        <x:v>Source value is valid in its native metric but cannot be converted to the target opioid mass/MME without additional information.</x:v>
      </x:c>
      <x:c r="AQ165" s="18" t="str">
        <x:v>No</x:v>
      </x:c>
      <x:c r="AR165" s="18" t="str"/>
      <x:c r="AS165" s="18" t="str">
        <x:v>None</x:v>
      </x:c>
      <x:c r="AT165" s="18" t="str">
        <x:v>Postoperative cognitive decline (MMSE Z-score ≤ -2)</x:v>
      </x:c>
      <x:c r="AU165" s="18" t="str">
        <x:v>POD1</x:v>
      </x:c>
      <x:c r="AV165" s="18" t="str">
        <x:v>Some concerns</x:v>
      </x:c>
      <x:c r="AW165" s="18" t="str">
        <x:v>Yes — selected RoB is for a different result/timepoint</x:v>
      </x:c>
      <x:c r="AX165" s="18" t="str">
        <x:v>Liu 2021</x:v>
      </x:c>
      <x:c r="AY165" s="18" t="str">
        <x:v>Primary eligible contrast</x:v>
      </x:c>
      <x:c r="AZ165" s="18" t="str">
        <x:v>Count this study once per synthesis unless a valid multi-arm method is used.</x:v>
      </x:c>
    </x:row>
    <x:row r="166">
      <x:c r="A166" s="18" t="str">
        <x:v>Liu 2021</x:v>
      </x:c>
      <x:c r="B166" s="18" t="str">
        <x:v>LIU21_TEAS_vs_CTRL_OPIOID24</x:v>
      </x:c>
      <x:c r="C166" s="18" t="str">
        <x:v>Perioperative TEAS</x:v>
      </x:c>
      <x:c r="D166" s="18" t="str">
        <x:v>Electrodes/no current</x:v>
      </x:c>
      <x:c r="E166" s="18" t="str">
        <x:v>Opioid consumption</x:v>
      </x:c>
      <x:c r="F166" s="18" t="str">
        <x:v>Cumulative postoperative sufentanil consumption</x:v>
      </x:c>
      <x:c r="G166" s="18" t="str">
        <x:v>0-24 h</x:v>
      </x:c>
      <x:c r="H166" s="18" t="str">
        <x:v>Not calculable</x:v>
      </x:c>
      <x:c r="I166" s="18" t="n">
        <x:v>50</x:v>
      </x:c>
      <x:c r="J166" s="18" t="n">
        <x:v>50</x:v>
      </x:c>
      <x:c r="K166" s="18" t="n">
        <x:v>50</x:v>
      </x:c>
      <x:c r="L166" s="18" t="n">
        <x:v>50</x:v>
      </x:c>
      <x:c r="M166" s="18"/>
      <x:c r="N166" s="18"/>
      <x:c r="O166" s="18"/>
      <x:c r="P166" s="18"/>
      <x:c r="Q166" s="18"/>
      <x:c r="R166" s="18"/>
      <x:c r="S166" s="18"/>
      <x:c r="T166" s="18"/>
      <x:c r="U166" s="18"/>
      <x:c r="V166" s="18"/>
      <x:c r="W166" s="18"/>
      <x:c r="X166" s="18"/>
      <x:c r="Y166" s="18" t="str">
        <x:v>published formulation 0.15 µg/kg in 100 mL</x:v>
      </x:c>
      <x:c r="Z166" s="18"/>
      <x:c r="AA166" s="18" t="str">
        <x:v>No</x:v>
      </x:c>
      <x:c r="AB166" s="18" t="str">
        <x:v>No</x:v>
      </x:c>
      <x:c r="AC166" s="18"/>
      <x:c r="AD166" s="18"/>
      <x:c r="AE166" s="18" t="str">
        <x:v>No</x:v>
      </x:c>
      <x:c r="AF166" s="18" t="str">
        <x:v>No</x:v>
      </x:c>
      <x:c r="AG166" s="18" t="str">
        <x:v>Not eligible for continuous 24-h opioid/MME meta-analysis</x:v>
      </x:c>
      <x:c r="AH166" s="18" t="str">
        <x:v>No</x:v>
      </x:c>
      <x:c r="AI166" s="18" t="str">
        <x:v>Published PCA formulation is ambiguous/implausibly low, successful delivered boluses are not reported, and actual cumulative sufentanil is unavailable</x:v>
      </x:c>
      <x:c r="AJ166" s="18" t="str">
        <x:v>Postoperative PCIA section</x:v>
      </x:c>
      <x:c r="AK166" s="18" t="str">
        <x:v>https://drive.google.com/file/d/1TA4BstaUWY3EdQbDNEvvGxF35ekGanrm/view?usp=drivesdk</x:v>
      </x:c>
      <x:c r="AL166" s="18" t="str">
        <x:v>MISSING / FORMULATION + DELIVERY UNRESOLVED</x:v>
      </x:c>
      <x:c r="AM166" s="18" t="str">
        <x:v>Postoperative opioid consumption</x:v>
      </x:c>
      <x:c r="AN166" s="18" t="str">
        <x:v>Exact/explicit 24 h</x:v>
      </x:c>
      <x:c r="AO166" s="18" t="str">
        <x:v>EXCLUDE — DATA UNAVAILABLE</x:v>
      </x:c>
      <x:c r="AP166" s="18" t="str">
        <x:v>The source does not provide a defensible quantitative value for this analysis.</x:v>
      </x:c>
      <x:c r="AQ166" s="18" t="str">
        <x:v>No</x:v>
      </x:c>
      <x:c r="AR166" s="18" t="str"/>
      <x:c r="AS166" s="18" t="str">
        <x:v>Weight-normalized endpoint; do not reconstruct absolute dose from group mean weight</x:v>
      </x:c>
      <x:c r="AT166" s="18" t="str">
        <x:v>Postoperative cognitive decline (MMSE Z-score ≤ -2)</x:v>
      </x:c>
      <x:c r="AU166" s="18" t="str">
        <x:v>POD1</x:v>
      </x:c>
      <x:c r="AV166" s="18" t="str">
        <x:v>Some concerns</x:v>
      </x:c>
      <x:c r="AW166" s="18" t="str">
        <x:v>Yes — selected RoB is for a different result/timepoint</x:v>
      </x:c>
      <x:c r="AX166" s="18" t="str">
        <x:v>Liu 2021</x:v>
      </x:c>
      <x:c r="AY166" s="18" t="str">
        <x:v>Primary eligible contrast</x:v>
      </x:c>
      <x:c r="AZ166" s="18" t="str">
        <x:v>Count this study once per synthesis unless a valid multi-arm method is used.</x:v>
      </x:c>
    </x:row>
    <x:row r="167">
      <x:c r="A167" s="18" t="str">
        <x:v>Liu 2026 (burn)</x:v>
      </x:c>
      <x:c r="B167" s="18" t="str">
        <x:v>LIU26BURN_TEAS_vs_SHAM_REMI</x:v>
      </x:c>
      <x:c r="C167" s="18" t="str">
        <x:v>Pre-induction TEAS</x:v>
      </x:c>
      <x:c r="D167" s="18" t="str">
        <x:v>Placebo/sham TEAS</x:v>
      </x:c>
      <x:c r="E167" s="18" t="str">
        <x:v>Intraoperative opioid</x:v>
      </x:c>
      <x:c r="F167" s="18" t="str">
        <x:v>Remifentanil consumption</x:v>
      </x:c>
      <x:c r="G167" s="18" t="str">
        <x:v>Intraoperative</x:v>
      </x:c>
      <x:c r="H167" s="18" t="str">
        <x:v>Median/IQR</x:v>
      </x:c>
      <x:c r="I167" s="18" t="n">
        <x:v>44</x:v>
      </x:c>
      <x:c r="J167" s="18" t="n">
        <x:v>44</x:v>
      </x:c>
      <x:c r="K167" s="18" t="n">
        <x:v>43</x:v>
      </x:c>
      <x:c r="L167" s="18" t="n">
        <x:v>43</x:v>
      </x:c>
      <x:c r="M167" s="18"/>
      <x:c r="N167" s="18"/>
      <x:c r="O167" s="18" t="n">
        <x:v>0.7</x:v>
      </x:c>
      <x:c r="P167" s="18" t="n">
        <x:v>0.5</x:v>
      </x:c>
      <x:c r="Q167" s="18" t="n">
        <x:v>1.1</x:v>
      </x:c>
      <x:c r="R167" s="18"/>
      <x:c r="S167" s="18"/>
      <x:c r="T167" s="18"/>
      <x:c r="U167" s="18" t="n">
        <x:v>0.9</x:v>
      </x:c>
      <x:c r="V167" s="18" t="n">
        <x:v>0.65</x:v>
      </x:c>
      <x:c r="W167" s="18" t="n">
        <x:v>1.25</x:v>
      </x:c>
      <x:c r="X167" s="18"/>
      <x:c r="Y167" s="18" t="str">
        <x:v>mg remifentanil</x:v>
      </x:c>
      <x:c r="Z167" s="18" t="str">
        <x:v>0.039</x:v>
      </x:c>
      <x:c r="AA167" s="18" t="str">
        <x:v>Yes</x:v>
      </x:c>
      <x:c r="AB167" s="18" t="str">
        <x:v>No</x:v>
      </x:c>
      <x:c r="AC167" s="18"/>
      <x:c r="AD167" s="18"/>
      <x:c r="AE167" s="18" t="str">
        <x:v>No</x:v>
      </x:c>
      <x:c r="AF167" s="18" t="str">
        <x:v>No</x:v>
      </x:c>
      <x:c r="AG167" s="18" t="str">
        <x:v>Eligible for intraoperative opioid-sparing analysis using median/IQR methods</x:v>
      </x:c>
      <x:c r="AH167" s="18" t="str">
        <x:v>No</x:v>
      </x:c>
      <x:c r="AI167" s="18" t="str">
        <x:v>Abstract gives TEAS 0.65 (0.45-1.00) and control 0.90 (0.67-1.23); master uses Results/Figure 4 values and retains source discrepancy</x:v>
      </x:c>
      <x:c r="AJ167" s="18" t="str">
        <x:v>Results / Figure 4</x:v>
      </x:c>
      <x:c r="AK167" s="18" t="str">
        <x:v>https://drive.google.com/file/d/1mvekGtHD2JAKCRbIXrvLw1Nz7hbQ1dZ3/view?usp=drivesdk</x:v>
      </x:c>
      <x:c r="AL167" s="18" t="str">
        <x:v>SOURCE-VERIFIED / ABSTRACT VALUE QC</x:v>
      </x:c>
      <x:c r="AM167" s="18" t="str">
        <x:v>Intraoperative opioid</x:v>
      </x:c>
      <x:c r="AN167" s="18" t="str">
        <x:v>Intraoperative</x:v>
      </x:c>
      <x:c r="AO167" s="18" t="str">
        <x:v>INCLUDE — INTRAOPERATIVE</x:v>
      </x:c>
      <x:c r="AP167" s="18" t="str">
        <x:v>Valid intraoperative opioid endpoint; must remain separate from postoperative opioid consumption.</x:v>
      </x:c>
      <x:c r="AQ167" s="18" t="str">
        <x:v>No</x:v>
      </x:c>
      <x:c r="AR167" s="18" t="str"/>
      <x:c r="AS167" s="18" t="str">
        <x:v>Use median/IQR-compatible meta-analysis method; do not relabel as mean/SD</x:v>
      </x:c>
      <x:c r="AT167" s="18" t="str">
        <x:v>Intraoperative remifentanil consumption</x:v>
      </x:c>
      <x:c r="AU167" s="18" t="str">
        <x:v>Intraoperative</x:v>
      </x:c>
      <x:c r="AV167" s="18" t="str">
        <x:v>Some concerns</x:v>
      </x:c>
      <x:c r="AW167" s="18" t="str">
        <x:v>Yes — selected RoB is for a different result/timepoint</x:v>
      </x:c>
      <x:c r="AX167" s="18" t="str">
        <x:v>Liu 2026 (burn)</x:v>
      </x:c>
      <x:c r="AY167" s="18" t="str">
        <x:v>Primary eligible contrast</x:v>
      </x:c>
      <x:c r="AZ167" s="18" t="str">
        <x:v>Count this study once per synthesis unless a valid multi-arm method is used.</x:v>
      </x:c>
    </x:row>
    <x:row r="168">
      <x:c r="A168" s="18" t="str">
        <x:v>Liu 2026 (burn)</x:v>
      </x:c>
      <x:c r="B168" s="18" t="str">
        <x:v>LIU26BURN_TEAS_vs_SHAM_PONV24</x:v>
      </x:c>
      <x:c r="C168" s="18" t="str">
        <x:v>Pre-induction TEAS</x:v>
      </x:c>
      <x:c r="D168" s="18" t="str">
        <x:v>Placebo/sham TEAS</x:v>
      </x:c>
      <x:c r="E168" s="18" t="str">
        <x:v>PONV</x:v>
      </x:c>
      <x:c r="F168" s="18" t="str">
        <x:v>Nausea-vomiting</x:v>
      </x:c>
      <x:c r="G168" s="18" t="str">
        <x:v>Through POD1 / approximately 24 h</x:v>
      </x:c>
      <x:c r="H168" s="18" t="str">
        <x:v>Events/total</x:v>
      </x:c>
      <x:c r="I168" s="18" t="n">
        <x:v>44</x:v>
      </x:c>
      <x:c r="J168" s="18" t="n">
        <x:v>44</x:v>
      </x:c>
      <x:c r="K168" s="18" t="n">
        <x:v>43</x:v>
      </x:c>
      <x:c r="L168" s="18" t="n">
        <x:v>43</x:v>
      </x:c>
      <x:c r="M168" s="18"/>
      <x:c r="N168" s="18"/>
      <x:c r="O168" s="18"/>
      <x:c r="P168" s="18"/>
      <x:c r="Q168" s="18"/>
      <x:c r="R168" s="18" t="n">
        <x:v>7</x:v>
      </x:c>
      <x:c r="S168" s="18"/>
      <x:c r="T168" s="18"/>
      <x:c r="U168" s="18"/>
      <x:c r="V168" s="18"/>
      <x:c r="W168" s="18"/>
      <x:c r="X168" s="18" t="n">
        <x:v>16</x:v>
      </x:c>
      <x:c r="Y168" s="18" t="str">
        <x:v>participants</x:v>
      </x:c>
      <x:c r="Z168" s="18" t="str">
        <x:v>Published P=0.011 vs 0.028 conflict</x:v>
      </x:c>
      <x:c r="AA168" s="18" t="str">
        <x:v>Yes</x:v>
      </x:c>
      <x:c r="AB168" s="18" t="str">
        <x:v>No</x:v>
      </x:c>
      <x:c r="AC168" s="18" t="str">
        <x:v>RR</x:v>
      </x:c>
      <x:c r="AD168" s="18" t="n">
        <x:v>0.43750000000000006</x:v>
      </x:c>
      <x:c r="AE168" s="18" t="str">
        <x:v>No</x:v>
      </x:c>
      <x:c r="AF168" s="18" t="str">
        <x:v>No</x:v>
      </x:c>
      <x:c r="AG168" s="18" t="str">
        <x:v>Eligible using raw 7/43 vs 16/43 event counts with P-value QC</x:v>
      </x:c>
      <x:c r="AH168" s="18" t="str">
        <x:v>No</x:v>
      </x:c>
      <x:c r="AI168" s="18" t="str">
        <x:v>Two different P-values are printed for the same result</x:v>
      </x:c>
      <x:c r="AJ168" s="18" t="str">
        <x:v>Secondary postoperative outcomes</x:v>
      </x:c>
      <x:c r="AK168" s="18" t="str">
        <x:v>https://drive.google.com/file/d/1mvekGtHD2JAKCRbIXrvLw1Nz7hbQ1dZ3/view?usp=drivesdk</x:v>
      </x:c>
      <x:c r="AL168" s="18" t="str">
        <x:v>SOURCE-VERIFIED / P-VALUE CONFLICT</x:v>
      </x:c>
      <x:c r="AM168" s="18" t="str">
        <x:v>PONV</x:v>
      </x:c>
      <x:c r="AN168" s="18" t="str">
        <x:v>POD1 / approximate 24 h</x:v>
      </x:c>
      <x:c r="AO168" s="18" t="str">
        <x:v>CONDITIONAL</x:v>
      </x:c>
      <x:c r="AP168" s="18" t="str">
        <x:v>Valid PONV result, but the postoperative observation window should be matched to the intended synthesis.</x:v>
      </x:c>
      <x:c r="AQ168" s="18" t="str">
        <x:v>No</x:v>
      </x:c>
      <x:c r="AR168" s="18" t="str"/>
      <x:c r="AS168" s="18" t="str">
        <x:v>Binary effect measure (RR preferred per protocol)</x:v>
      </x:c>
      <x:c r="AT168" s="18" t="str">
        <x:v>Intraoperative remifentanil consumption</x:v>
      </x:c>
      <x:c r="AU168" s="18" t="str">
        <x:v>Intraoperative</x:v>
      </x:c>
      <x:c r="AV168" s="18" t="str">
        <x:v>Some concerns</x:v>
      </x:c>
      <x:c r="AW168" s="18" t="str">
        <x:v>Yes — selected RoB is for a different result/timepoint</x:v>
      </x:c>
      <x:c r="AX168" s="18" t="str">
        <x:v>Liu 2026 (burn)</x:v>
      </x:c>
      <x:c r="AY168" s="18" t="str">
        <x:v>Primary eligible contrast</x:v>
      </x:c>
      <x:c r="AZ168" s="18" t="str">
        <x:v>Count this study once per synthesis unless a valid multi-arm method is used.</x:v>
      </x:c>
    </x:row>
    <x:row r="169">
      <x:c r="A169" s="18" t="str">
        <x:v>Liu 2026 (burn)</x:v>
      </x:c>
      <x:c r="B169" s="18" t="str">
        <x:v>LIU26BURN_TEAS_vs_SHAM_RESCUE</x:v>
      </x:c>
      <x:c r="C169" s="18" t="str">
        <x:v>Pre-induction TEAS</x:v>
      </x:c>
      <x:c r="D169" s="18" t="str">
        <x:v>Placebo/sham TEAS</x:v>
      </x:c>
      <x:c r="E169" s="18" t="str">
        <x:v>Rescue opioid use</x:v>
      </x:c>
      <x:c r="F169" s="18" t="str">
        <x:v>Any rescue dezocine use</x:v>
      </x:c>
      <x:c r="G169" s="18" t="str">
        <x:v>Through POD1</x:v>
      </x:c>
      <x:c r="H169" s="18" t="str">
        <x:v>Events/total</x:v>
      </x:c>
      <x:c r="I169" s="18" t="n">
        <x:v>44</x:v>
      </x:c>
      <x:c r="J169" s="18" t="n">
        <x:v>44</x:v>
      </x:c>
      <x:c r="K169" s="18" t="n">
        <x:v>43</x:v>
      </x:c>
      <x:c r="L169" s="18" t="n">
        <x:v>43</x:v>
      </x:c>
      <x:c r="M169" s="18"/>
      <x:c r="N169" s="18"/>
      <x:c r="O169" s="18"/>
      <x:c r="P169" s="18"/>
      <x:c r="Q169" s="18"/>
      <x:c r="R169" s="18" t="n">
        <x:v>3</x:v>
      </x:c>
      <x:c r="S169" s="18"/>
      <x:c r="T169" s="18"/>
      <x:c r="U169" s="18"/>
      <x:c r="V169" s="18"/>
      <x:c r="W169" s="18"/>
      <x:c r="X169" s="18" t="n">
        <x:v>8</x:v>
      </x:c>
      <x:c r="Y169" s="18" t="str">
        <x:v>participants</x:v>
      </x:c>
      <x:c r="Z169" s="18" t="str">
        <x:v>Table P=0.106; prose P=0.430</x:v>
      </x:c>
      <x:c r="AA169" s="18" t="str">
        <x:v>Yes</x:v>
      </x:c>
      <x:c r="AB169" s="18" t="str">
        <x:v>No</x:v>
      </x:c>
      <x:c r="AC169" s="18" t="str">
        <x:v>RR</x:v>
      </x:c>
      <x:c r="AD169" s="18" t="n">
        <x:v>0.375</x:v>
      </x:c>
      <x:c r="AE169" s="18" t="str">
        <x:v>No</x:v>
      </x:c>
      <x:c r="AF169" s="18" t="str">
        <x:v>No</x:v>
      </x:c>
      <x:c r="AG169" s="18" t="str">
        <x:v>Eligible for binary rescue-opioid-use analysis with source-statistic QC</x:v>
      </x:c>
      <x:c r="AH169" s="18" t="str">
        <x:v>No</x:v>
      </x:c>
      <x:c r="AI169" s="18" t="str">
        <x:v>All rescue users received one 5-mg IM dezocine dose; no repeat rescue doses were required</x:v>
      </x:c>
      <x:c r="AJ169" s="18" t="str">
        <x:v>Rescue analgesia</x:v>
      </x:c>
      <x:c r="AK169" s="18" t="str">
        <x:v>https://drive.google.com/file/d/1mvekGtHD2JAKCRbIXrvLw1Nz7hbQ1dZ3/view?usp=drivesdk</x:v>
      </x:c>
      <x:c r="AL169" s="18" t="str">
        <x:v>SOURCE-VERIFIED / P-VALUE CONFLICT</x:v>
      </x:c>
      <x:c r="AM169" s="18" t="str">
        <x:v>Rescue opioid use</x:v>
      </x:c>
      <x:c r="AN169" s="18" t="str">
        <x:v>POD1 / approximate 24 h</x:v>
      </x:c>
      <x:c r="AO169" s="18" t="str">
        <x:v>INCLUDE — BINARY RESCUE USE</x:v>
      </x:c>
      <x:c r="AP169" s="18" t="str">
        <x:v>Valid binary rescue-opioid-use endpoint, separate from continuous opioid consumption.</x:v>
      </x:c>
      <x:c r="AQ169" s="18" t="str">
        <x:v>No</x:v>
      </x:c>
      <x:c r="AR169" s="18" t="str"/>
      <x:c r="AS169" s="18" t="str">
        <x:v>Binary effect measure (RR preferred per protocol)</x:v>
      </x:c>
      <x:c r="AT169" s="18" t="str">
        <x:v>Intraoperative remifentanil consumption</x:v>
      </x:c>
      <x:c r="AU169" s="18" t="str">
        <x:v>Intraoperative</x:v>
      </x:c>
      <x:c r="AV169" s="18" t="str">
        <x:v>Some concerns</x:v>
      </x:c>
      <x:c r="AW169" s="18" t="str">
        <x:v>Yes — selected RoB is for a different result/timepoint</x:v>
      </x:c>
      <x:c r="AX169" s="18" t="str">
        <x:v>Liu 2026 (burn)</x:v>
      </x:c>
      <x:c r="AY169" s="18" t="str">
        <x:v>Primary eligible contrast</x:v>
      </x:c>
      <x:c r="AZ169" s="18" t="str">
        <x:v>Count this study once per synthesis unless a valid multi-arm method is used.</x:v>
      </x:c>
    </x:row>
    <x:row r="170">
      <x:c r="A170" s="18" t="str">
        <x:v>Liu 2026 (burn)</x:v>
      </x:c>
      <x:c r="B170" s="18" t="str">
        <x:v>LIU26BURN_TEAS_vs_SHAM_FVAS24</x:v>
      </x:c>
      <x:c r="C170" s="18" t="str">
        <x:v>Pre-induction TEAS</x:v>
      </x:c>
      <x:c r="D170" s="18" t="str">
        <x:v>Placebo/sham TEAS</x:v>
      </x:c>
      <x:c r="E170" s="18" t="str">
        <x:v>Pain</x:v>
      </x:c>
      <x:c r="F170" s="18" t="str">
        <x:v>Resting F-VAS pain</x:v>
      </x:c>
      <x:c r="G170" s="18" t="str">
        <x:v>24 h</x:v>
      </x:c>
      <x:c r="H170" s="18" t="str">
        <x:v>Graph-only continuous data</x:v>
      </x:c>
      <x:c r="I170" s="18" t="n">
        <x:v>44</x:v>
      </x:c>
      <x:c r="J170" s="18" t="n">
        <x:v>44</x:v>
      </x:c>
      <x:c r="K170" s="18" t="n">
        <x:v>43</x:v>
      </x:c>
      <x:c r="L170" s="18" t="n">
        <x:v>43</x:v>
      </x:c>
      <x:c r="M170" s="18"/>
      <x:c r="N170" s="18"/>
      <x:c r="O170" s="18"/>
      <x:c r="P170" s="18"/>
      <x:c r="Q170" s="18"/>
      <x:c r="R170" s="18"/>
      <x:c r="S170" s="18"/>
      <x:c r="T170" s="18"/>
      <x:c r="U170" s="18"/>
      <x:c r="V170" s="18"/>
      <x:c r="W170" s="18"/>
      <x:c r="X170" s="18"/>
      <x:c r="Y170" s="18" t="str">
        <x:v>F-VAS 0-100 mm</x:v>
      </x:c>
      <x:c r="Z170" s="18" t="str">
        <x:v>0.039</x:v>
      </x:c>
      <x:c r="AA170" s="18" t="str">
        <x:v>No</x:v>
      </x:c>
      <x:c r="AB170" s="18" t="str">
        <x:v>No</x:v>
      </x:c>
      <x:c r="AC170" s="18"/>
      <x:c r="AD170" s="18"/>
      <x:c r="AE170" s="18" t="str">
        <x:v>No</x:v>
      </x:c>
      <x:c r="AF170" s="18" t="str">
        <x:v>No</x:v>
      </x:c>
      <x:c r="AG170" s="18" t="str">
        <x:v>Not ready for continuous pain meta-analysis without formal graph digitization or author data</x:v>
      </x:c>
      <x:c r="AH170" s="18" t="str">
        <x:v>No</x:v>
      </x:c>
      <x:c r="AI170" s="18" t="str">
        <x:v>Exact means/SDs are figure-only; do not infer numeric values from bar heights</x:v>
      </x:c>
      <x:c r="AJ170" s="18" t="str">
        <x:v>Figure 5 / F3 24 h</x:v>
      </x:c>
      <x:c r="AK170" s="18" t="str">
        <x:v>https://drive.google.com/file/d/1mvekGtHD2JAKCRbIXrvLw1Nz7hbQ1dZ3/view?usp=drivesdk</x:v>
      </x:c>
      <x:c r="AL170" s="18" t="str">
        <x:v>FIGURE ONLY / DIGITIZATION NEEDED</x:v>
      </x:c>
      <x:c r="AM170" s="18" t="str">
        <x:v>Pain</x:v>
      </x:c>
      <x:c r="AN170" s="18" t="str">
        <x:v>Exact/explicit 24 h</x:v>
      </x:c>
      <x:c r="AO170" s="18" t="str">
        <x:v>DIGITIZATION NEEDED</x:v>
      </x:c>
      <x:c r="AP170" s="18" t="str">
        <x:v>Exact numeric result is not tabulated; formal graph digitization or author data is required before quantitative pooling.</x:v>
      </x:c>
      <x:c r="AQ170" s="18" t="str">
        <x:v>No</x:v>
      </x:c>
      <x:c r="AR170" s="18" t="str"/>
      <x:c r="AS170" s="18" t="str">
        <x:v>None</x:v>
      </x:c>
      <x:c r="AT170" s="18" t="str">
        <x:v>Intraoperative remifentanil consumption</x:v>
      </x:c>
      <x:c r="AU170" s="18" t="str">
        <x:v>Intraoperative</x:v>
      </x:c>
      <x:c r="AV170" s="18" t="str">
        <x:v>Some concerns</x:v>
      </x:c>
      <x:c r="AW170" s="18" t="str">
        <x:v>Yes — selected RoB is for a different result/timepoint</x:v>
      </x:c>
      <x:c r="AX170" s="18" t="str">
        <x:v>Liu 2026 (burn)</x:v>
      </x:c>
      <x:c r="AY170" s="18" t="str">
        <x:v>Primary eligible contrast</x:v>
      </x:c>
      <x:c r="AZ170" s="18" t="str">
        <x:v>Count this study once per synthesis unless a valid multi-arm method is used.</x:v>
      </x:c>
    </x:row>
    <x:row r="171">
      <x:c r="A171" s="18" t="str">
        <x:v>Liu 2026 (burn)</x:v>
      </x:c>
      <x:c r="B171" s="18" t="str">
        <x:v>LIU26BURN_TEAS_vs_SHAM_OPIOID24</x:v>
      </x:c>
      <x:c r="C171" s="18" t="str">
        <x:v>Pre-induction TEAS</x:v>
      </x:c>
      <x:c r="D171" s="18" t="str">
        <x:v>Placebo/sham TEAS</x:v>
      </x:c>
      <x:c r="E171" s="18" t="str">
        <x:v>Opioid consumption</x:v>
      </x:c>
      <x:c r="F171" s="18" t="str">
        <x:v>Complete postoperative opioid/MME exposure</x:v>
      </x:c>
      <x:c r="G171" s="18" t="str">
        <x:v>0-24 h</x:v>
      </x:c>
      <x:c r="H171" s="18" t="str">
        <x:v>Not calculable</x:v>
      </x:c>
      <x:c r="I171" s="18" t="n">
        <x:v>44</x:v>
      </x:c>
      <x:c r="J171" s="18" t="n">
        <x:v>44</x:v>
      </x:c>
      <x:c r="K171" s="18" t="n">
        <x:v>43</x:v>
      </x:c>
      <x:c r="L171" s="18" t="n">
        <x:v>43</x:v>
      </x:c>
      <x:c r="M171" s="18"/>
      <x:c r="N171" s="18"/>
      <x:c r="O171" s="18"/>
      <x:c r="P171" s="18"/>
      <x:c r="Q171" s="18"/>
      <x:c r="R171" s="18"/>
      <x:c r="S171" s="18"/>
      <x:c r="T171" s="18"/>
      <x:c r="U171" s="18"/>
      <x:c r="V171" s="18"/>
      <x:c r="W171" s="18"/>
      <x:c r="X171" s="18"/>
      <x:c r="Y171" s="18" t="str">
        <x:v>sufentanil + butorphanol PCIA; rescue dezocine</x:v>
      </x:c>
      <x:c r="Z171" s="18"/>
      <x:c r="AA171" s="18" t="str">
        <x:v>No</x:v>
      </x:c>
      <x:c r="AB171" s="18" t="str">
        <x:v>No</x:v>
      </x:c>
      <x:c r="AC171" s="18"/>
      <x:c r="AD171" s="18"/>
      <x:c r="AE171" s="18" t="str">
        <x:v>No</x:v>
      </x:c>
      <x:c r="AF171" s="18" t="str">
        <x:v>No</x:v>
      </x:c>
      <x:c r="AG171" s="18" t="str">
        <x:v>Not eligible for continuous 24-h opioid/MME meta-analysis</x:v>
      </x:c>
      <x:c r="AH171" s="18" t="str">
        <x:v>No</x:v>
      </x:c>
      <x:c r="AI171" s="18" t="str">
        <x:v>PCIA composition is known but bolus volume, basal rate, delivered-volume and successful-delivery counts are not; two opioids are present in the pump</x:v>
      </x:c>
      <x:c r="AJ171" s="18" t="str">
        <x:v>Postoperative PCIA section</x:v>
      </x:c>
      <x:c r="AK171" s="18" t="str">
        <x:v>https://drive.google.com/file/d/1mvekGtHD2JAKCRbIXrvLw1Nz7hbQ1dZ3/view?usp=drivesdk</x:v>
      </x:c>
      <x:c r="AL171" s="18" t="str">
        <x:v>MISSING / COMBINED OPIOID EXPOSURE NOT CALCULABLE</x:v>
      </x:c>
      <x:c r="AM171" s="18" t="str">
        <x:v>Postoperative opioid consumption</x:v>
      </x:c>
      <x:c r="AN171" s="18" t="str">
        <x:v>Exact/explicit 24 h</x:v>
      </x:c>
      <x:c r="AO171" s="18" t="str">
        <x:v>EXCLUDE — DATA UNAVAILABLE</x:v>
      </x:c>
      <x:c r="AP171" s="18" t="str">
        <x:v>The source does not provide a defensible quantitative value for this analysis.</x:v>
      </x:c>
      <x:c r="AQ171" s="18" t="str">
        <x:v>No</x:v>
      </x:c>
      <x:c r="AR171" s="18" t="str"/>
      <x:c r="AS171" s="18" t="str">
        <x:v>Opioid/MME conversion required using prespecified review conversion</x:v>
      </x:c>
      <x:c r="AT171" s="18" t="str">
        <x:v>Intraoperative remifentanil consumption</x:v>
      </x:c>
      <x:c r="AU171" s="18" t="str">
        <x:v>Intraoperative</x:v>
      </x:c>
      <x:c r="AV171" s="18" t="str">
        <x:v>Some concerns</x:v>
      </x:c>
      <x:c r="AW171" s="18" t="str">
        <x:v>Yes — selected RoB is for a different result/timepoint</x:v>
      </x:c>
      <x:c r="AX171" s="18" t="str">
        <x:v>Liu 2026 (burn)</x:v>
      </x:c>
      <x:c r="AY171" s="18" t="str">
        <x:v>Primary eligible contrast</x:v>
      </x:c>
      <x:c r="AZ171" s="18" t="str">
        <x:v>Count this study once per synthesis unless a valid multi-arm method is used.</x:v>
      </x:c>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v>RR</x:v>
      </x:c>
      <x:c r="AD172" s="18" t="n">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c r="AM172" s="18" t="str">
        <x:v>Cardiac rhythm</x:v>
      </x:c>
      <x:c r="AN172" s="18" t="str">
        <x:v>Exact/explicit 24 h</x:v>
      </x:c>
      <x:c r="AO172" s="18" t="str">
        <x:v>CONDITIONAL</x:v>
      </x:c>
      <x:c r="AP172" s="18" t="str">
        <x:v>Source-grounded but carries a QC qualification.</x:v>
      </x:c>
      <x:c r="AQ172" s="18" t="str">
        <x:v>No</x:v>
      </x:c>
      <x:c r="AR172" s="18" t="str"/>
      <x:c r="AS172" s="18" t="str">
        <x:v>Binary effect measure (RR preferred per protocol)</x:v>
      </x:c>
      <x:c r="AT172" s="18" t="str">
        <x:v>New-onset supraventricular tachycardia (SVT)</x:v>
      </x:c>
      <x:c r="AU172" s="18" t="str">
        <x:v>First 24 h</x:v>
      </x:c>
      <x:c r="AV172" s="18" t="str">
        <x:v>Some concerns</x:v>
      </x:c>
      <x:c r="AW172" s="18" t="str">
        <x:v>No — selected RoB matches this result</x:v>
      </x:c>
      <x:c r="AX172" s="18" t="str">
        <x:v>Liu 2025</x:v>
      </x:c>
      <x:c r="AY172" s="18" t="str">
        <x:v>Primary eligible contrast</x:v>
      </x:c>
      <x:c r="AZ172" s="18" t="str">
        <x:v>Count this study once per synthesis unless a valid multi-arm method is used.</x:v>
      </x:c>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x:c r="AD173" s="18"/>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c r="AM173" s="18" t="str">
        <x:v>Sleep</x:v>
      </x:c>
      <x:c r="AN173" s="18" t="str">
        <x:v>First postoperative night</x:v>
      </x:c>
      <x:c r="AO173" s="18" t="str">
        <x:v>INCLUDE — SECONDARY</x:v>
      </x:c>
      <x:c r="AP173" s="18" t="str">
        <x:v>Source-verified outcome suitable for its matching secondary analysis.</x:v>
      </x:c>
      <x:c r="AQ173" s="18" t="str">
        <x:v>No</x:v>
      </x:c>
      <x:c r="AR173" s="18" t="str"/>
      <x:c r="AS173" s="18" t="str">
        <x:v>Use median/IQR-compatible meta-analysis method; do not relabel as mean/SD</x:v>
      </x:c>
      <x:c r="AT173" s="18" t="str">
        <x:v>New-onset supraventricular tachycardia (SVT)</x:v>
      </x:c>
      <x:c r="AU173" s="18" t="str">
        <x:v>First 24 h</x:v>
      </x:c>
      <x:c r="AV173" s="18" t="str">
        <x:v>Some concerns</x:v>
      </x:c>
      <x:c r="AW173" s="18" t="str">
        <x:v>Yes — selected RoB is for a different result/timepoint</x:v>
      </x:c>
      <x:c r="AX173" s="18" t="str">
        <x:v>Liu 2025</x:v>
      </x:c>
      <x:c r="AY173" s="18" t="str">
        <x:v>Primary eligible contrast</x:v>
      </x:c>
      <x:c r="AZ173" s="18" t="str">
        <x:v>Count this study once per synthesis unless a valid multi-arm method is used.</x:v>
      </x:c>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x:c r="AD174" s="18"/>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c r="AM174" s="18" t="str">
        <x:v>Pain</x:v>
      </x:c>
      <x:c r="AN174" s="18" t="str">
        <x:v>Exact/explicit 24 h</x:v>
      </x:c>
      <x:c r="AO174" s="18" t="str">
        <x:v>DIGITIZATION NEEDED</x:v>
      </x:c>
      <x:c r="AP174" s="18" t="str">
        <x:v>Exact numeric result is not tabulated; formal graph digitization or author data is required before quantitative pooling.</x:v>
      </x:c>
      <x:c r="AQ174" s="18" t="str">
        <x:v>No</x:v>
      </x:c>
      <x:c r="AR174" s="18" t="str"/>
      <x:c r="AS174" s="18" t="str">
        <x:v>None</x:v>
      </x:c>
      <x:c r="AT174" s="18" t="str">
        <x:v>New-onset supraventricular tachycardia (SVT)</x:v>
      </x:c>
      <x:c r="AU174" s="18" t="str">
        <x:v>First 24 h</x:v>
      </x:c>
      <x:c r="AV174" s="18" t="str">
        <x:v>Some concerns</x:v>
      </x:c>
      <x:c r="AW174" s="18" t="str">
        <x:v>Yes — selected RoB is for a different result/timepoint</x:v>
      </x:c>
      <x:c r="AX174" s="18" t="str">
        <x:v>Liu 2025</x:v>
      </x:c>
      <x:c r="AY174" s="18" t="str">
        <x:v>Primary eligible contrast</x:v>
      </x:c>
      <x:c r="AZ174" s="18" t="str">
        <x:v>Count this study once per synthesis unless a valid multi-arm method is used.</x:v>
      </x:c>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x:c r="AA175" s="18" t="str">
        <x:v>No</x:v>
      </x:c>
      <x:c r="AB175" s="18" t="str">
        <x:v>No</x:v>
      </x:c>
      <x:c r="AC175" s="18"/>
      <x:c r="AD175" s="18"/>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c r="AM175" s="18" t="str">
        <x:v>Postoperative opioid consumption</x:v>
      </x:c>
      <x:c r="AN175" s="18" t="str">
        <x:v>Exact/explicit 24 h</x:v>
      </x:c>
      <x:c r="AO175" s="18" t="str">
        <x:v>EXCLUDE — DATA UNAVAILABLE</x:v>
      </x:c>
      <x:c r="AP175" s="18" t="str">
        <x:v>The source does not provide a defensible quantitative value for this analysis.</x:v>
      </x:c>
      <x:c r="AQ175" s="18" t="str">
        <x:v>No</x:v>
      </x:c>
      <x:c r="AR175" s="18" t="str"/>
      <x:c r="AS175" s="18" t="str">
        <x:v>None</x:v>
      </x:c>
      <x:c r="AT175" s="18" t="str">
        <x:v>New-onset supraventricular tachycardia (SVT)</x:v>
      </x:c>
      <x:c r="AU175" s="18" t="str">
        <x:v>First 24 h</x:v>
      </x:c>
      <x:c r="AV175" s="18" t="str">
        <x:v>Some concerns</x:v>
      </x:c>
      <x:c r="AW175" s="18" t="str">
        <x:v>Yes — selected RoB is for a different result/timepoint</x:v>
      </x:c>
      <x:c r="AX175" s="18" t="str">
        <x:v>Liu 2025</x:v>
      </x:c>
      <x:c r="AY175" s="18" t="str">
        <x:v>Primary eligible contrast</x:v>
      </x:c>
      <x:c r="AZ175" s="18" t="str">
        <x:v>Count this study once per synthesis unless a valid multi-arm method is used.</x:v>
      </x:c>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x:c r="AD176" s="18"/>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c r="AM176" s="18" t="str">
        <x:v>Pain</x:v>
      </x:c>
      <x:c r="AN176" s="18" t="str">
        <x:v>Exact/explicit 24 h</x:v>
      </x:c>
      <x:c r="AO176" s="18" t="str">
        <x:v>INCLUDE</x:v>
      </x:c>
      <x:c r="AP176" s="18" t="str">
        <x:v>Explicit 24-h pain endpoint with quantitative source data.</x:v>
      </x:c>
      <x:c r="AQ176" s="18" t="str">
        <x:v>Yes</x:v>
      </x:c>
      <x:c r="AR176" s="18" t="str"/>
      <x:c r="AS176" s="18" t="str">
        <x:v>Use median/IQR-compatible meta-analysis method; do not relabel as mean/SD</x:v>
      </x:c>
      <x:c r="AT176" s="18" t="str">
        <x:v>Postoperative NRS pain</x:v>
      </x:c>
      <x:c r="AU176" s="18" t="str">
        <x:v>24 h</x:v>
      </x:c>
      <x:c r="AV176" s="18" t="str">
        <x:v>Some concerns</x:v>
      </x:c>
      <x:c r="AW176" s="18" t="str">
        <x:v>No — selected RoB matches this result</x:v>
      </x:c>
      <x:c r="AX176" s="18" t="str">
        <x:v>Li 2022</x:v>
      </x:c>
      <x:c r="AY176" s="18" t="str">
        <x:v>Primary eligible contrast</x:v>
      </x:c>
      <x:c r="AZ176" s="18" t="str">
        <x:v>Count this study once per synthesis unless a valid multi-arm method is used.</x:v>
      </x:c>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x:c r="AD177" s="18"/>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c r="AM177" s="18" t="str">
        <x:v>Pain</x:v>
      </x:c>
      <x:c r="AN177" s="18" t="str">
        <x:v>Exact/explicit 24 h</x:v>
      </x:c>
      <x:c r="AO177" s="18" t="str">
        <x:v>INCLUDE</x:v>
      </x:c>
      <x:c r="AP177" s="18" t="str">
        <x:v>Explicit 24-h pain endpoint with quantitative source data.</x:v>
      </x:c>
      <x:c r="AQ177" s="18" t="str">
        <x:v>Yes</x:v>
      </x:c>
      <x:c r="AR177" s="18" t="str"/>
      <x:c r="AS177" s="18" t="str">
        <x:v>None</x:v>
      </x:c>
      <x:c r="AT177" s="18" t="str">
        <x:v>Postoperative NRS pain</x:v>
      </x:c>
      <x:c r="AU177" s="18" t="str">
        <x:v>24 h</x:v>
      </x:c>
      <x:c r="AV177" s="18" t="str">
        <x:v>Some concerns</x:v>
      </x:c>
      <x:c r="AW177" s="18" t="str">
        <x:v>Yes — selected RoB is for a different result/timepoint</x:v>
      </x:c>
      <x:c r="AX177" s="18" t="str">
        <x:v>Li 2022</x:v>
      </x:c>
      <x:c r="AY177" s="18" t="str">
        <x:v>Primary eligible contrast</x:v>
      </x:c>
      <x:c r="AZ177" s="18" t="str">
        <x:v>Count this study once per synthesis unless a valid multi-arm method is used.</x:v>
      </x:c>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x:c r="AA178" s="18" t="str">
        <x:v>No</x:v>
      </x:c>
      <x:c r="AB178" s="18" t="str">
        <x:v>No</x:v>
      </x:c>
      <x:c r="AC178" s="18"/>
      <x:c r="AD178" s="18"/>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c r="AM178" s="18" t="str">
        <x:v>Postoperative opioid consumption</x:v>
      </x:c>
      <x:c r="AN178" s="18" t="str">
        <x:v>Exact/explicit 24 h</x:v>
      </x:c>
      <x:c r="AO178" s="18" t="str">
        <x:v>EXCLUDE — DATA UNAVAILABLE</x:v>
      </x:c>
      <x:c r="AP178" s="18" t="str">
        <x:v>The source does not provide a defensible quantitative value for this analysis.</x:v>
      </x:c>
      <x:c r="AQ178" s="18" t="str">
        <x:v>No</x:v>
      </x:c>
      <x:c r="AR178" s="18" t="str"/>
      <x:c r="AS178" s="18" t="str">
        <x:v>None</x:v>
      </x:c>
      <x:c r="AT178" s="18" t="str">
        <x:v>Postoperative NRS pain</x:v>
      </x:c>
      <x:c r="AU178" s="18" t="str">
        <x:v>24 h</x:v>
      </x:c>
      <x:c r="AV178" s="18" t="str">
        <x:v>Some concerns</x:v>
      </x:c>
      <x:c r="AW178" s="18" t="str">
        <x:v>Yes — selected RoB is for a different result/timepoint</x:v>
      </x:c>
      <x:c r="AX178" s="18" t="str">
        <x:v>Li 2022</x:v>
      </x:c>
      <x:c r="AY178" s="18" t="str">
        <x:v>Primary eligible contrast</x:v>
      </x:c>
      <x:c r="AZ178" s="18" t="str">
        <x:v>Count this study once per synthesis unless a valid multi-arm method is used.</x:v>
      </x:c>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38</x:v>
      </x:c>
      <x:c r="J179" s="18" t="n">
        <x:v>37</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v>RR</x:v>
      </x:c>
      <x:c r="AD179" s="18" t="n">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c r="AM179" s="18" t="str">
        <x:v>Catheter-related bladder discomfort</x:v>
      </x:c>
      <x:c r="AN179" s="18" t="str">
        <x:v>End of surgery</x:v>
      </x:c>
      <x:c r="AO179" s="18" t="str">
        <x:v>CONDITIONAL</x:v>
      </x:c>
      <x:c r="AP179" s="18" t="str">
        <x:v>Source-grounded but carries a QC qualification.</x:v>
      </x:c>
      <x:c r="AQ179" s="18" t="str">
        <x:v>No</x:v>
      </x:c>
      <x:c r="AR179" s="18" t="str"/>
      <x:c r="AS179" s="18" t="str">
        <x:v>Binary effect measure (RR preferred per protocol)</x:v>
      </x:c>
      <x:c r="AT179" s="18" t="str">
        <x:v>CRBD incidence</x:v>
      </x:c>
      <x:c r="AU179" s="18" t="str">
        <x:v>24 h</x:v>
      </x:c>
      <x:c r="AV179" s="18" t="str">
        <x:v>High</x:v>
      </x:c>
      <x:c r="AW179" s="18" t="str">
        <x:v>No — selected RoB matches this result</x:v>
      </x:c>
      <x:c r="AX179" s="18" t="str">
        <x:v>Liang 2021</x:v>
      </x:c>
      <x:c r="AY179" s="18" t="str">
        <x:v>Primary eligible contrast</x:v>
      </x:c>
      <x:c r="AZ179" s="18" t="str">
        <x:v>Count this study once per synthesis unless a valid multi-arm method is used.</x:v>
      </x:c>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38</x:v>
      </x:c>
      <x:c r="J180" s="18" t="n">
        <x:v>37</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v>RR</x:v>
      </x:c>
      <x:c r="AD180" s="18" t="n">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c r="AM180" s="18" t="str">
        <x:v>Catheter-related bladder discomfort</x:v>
      </x:c>
      <x:c r="AN180" s="18" t="str">
        <x:v>PACU discharge</x:v>
      </x:c>
      <x:c r="AO180" s="18" t="str">
        <x:v>CONDITIONAL</x:v>
      </x:c>
      <x:c r="AP180" s="18" t="str">
        <x:v>Source-grounded but carries a QC qualification.</x:v>
      </x:c>
      <x:c r="AQ180" s="18" t="str">
        <x:v>No</x:v>
      </x:c>
      <x:c r="AR180" s="18" t="str"/>
      <x:c r="AS180" s="18" t="str">
        <x:v>Binary effect measure (RR preferred per protocol)</x:v>
      </x:c>
      <x:c r="AT180" s="18" t="str">
        <x:v>CRBD incidence</x:v>
      </x:c>
      <x:c r="AU180" s="18" t="str">
        <x:v>24 h</x:v>
      </x:c>
      <x:c r="AV180" s="18" t="str">
        <x:v>High</x:v>
      </x:c>
      <x:c r="AW180" s="18" t="str">
        <x:v>No — selected RoB matches this result</x:v>
      </x:c>
      <x:c r="AX180" s="18" t="str">
        <x:v>Liang 2021</x:v>
      </x:c>
      <x:c r="AY180" s="18" t="str">
        <x:v>Primary eligible contrast</x:v>
      </x:c>
      <x:c r="AZ180" s="18" t="str">
        <x:v>Count this study once per synthesis unless a valid multi-arm method is used.</x:v>
      </x:c>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38</x:v>
      </x:c>
      <x:c r="J181" s="18" t="n">
        <x:v>37</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v>RR</x:v>
      </x:c>
      <x:c r="AD181" s="18" t="n">
        <x:v>0.22580645161290325</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c r="AM181" s="18" t="str">
        <x:v>Catheter-related bladder discomfort</x:v>
      </x:c>
      <x:c r="AN181" s="18" t="str">
        <x:v>Exact/explicit 24 h</x:v>
      </x:c>
      <x:c r="AO181" s="18" t="str">
        <x:v>CONDITIONAL</x:v>
      </x:c>
      <x:c r="AP181" s="18" t="str">
        <x:v>Source-grounded but carries a QC qualification.</x:v>
      </x:c>
      <x:c r="AQ181" s="18" t="str">
        <x:v>No</x:v>
      </x:c>
      <x:c r="AR181" s="18" t="str"/>
      <x:c r="AS181" s="18" t="str">
        <x:v>Binary effect measure (RR preferred per protocol)</x:v>
      </x:c>
      <x:c r="AT181" s="18" t="str">
        <x:v>CRBD incidence</x:v>
      </x:c>
      <x:c r="AU181" s="18" t="str">
        <x:v>24 h</x:v>
      </x:c>
      <x:c r="AV181" s="18" t="str">
        <x:v>High</x:v>
      </x:c>
      <x:c r="AW181" s="18" t="str">
        <x:v>No — selected RoB matches this result</x:v>
      </x:c>
      <x:c r="AX181" s="18" t="str">
        <x:v>Liang 2021</x:v>
      </x:c>
      <x:c r="AY181" s="18" t="str">
        <x:v>Primary eligible contrast</x:v>
      </x:c>
      <x:c r="AZ181" s="18" t="str">
        <x:v>Count this study once per synthesis unless a valid multi-arm method is used.</x:v>
      </x:c>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38</x:v>
      </x:c>
      <x:c r="J182" s="18" t="n">
        <x:v>37</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v>RR</x:v>
      </x:c>
      <x:c r="AD182" s="18" t="n">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x:v>
      </x:c>
      <x:c r="AJ182" s="18" t="str">
        <x:v>CRBD incidence table</x:v>
      </x:c>
      <x:c r="AK182" s="18" t="str">
        <x:v>https://drive.google.com/file/d/1guriAcqNbJNXpfd_UjYwevULLVSeiHXS/view?usp=drivesdk</x:v>
      </x:c>
      <x:c r="AL182" s="18" t="str">
        <x:v>SOURCE-VERIFIED / ATTRITION QC</x:v>
      </x:c>
      <x:c r="AM182" s="18" t="str">
        <x:v>Catheter-related bladder discomfort</x:v>
      </x:c>
      <x:c r="AN182" s="18" t="str">
        <x:v>48 h</x:v>
      </x:c>
      <x:c r="AO182" s="18" t="str">
        <x:v>CONDITIONAL</x:v>
      </x:c>
      <x:c r="AP182" s="18" t="str">
        <x:v>Source-grounded but carries a QC qualification.</x:v>
      </x:c>
      <x:c r="AQ182" s="18" t="str">
        <x:v>No</x:v>
      </x:c>
      <x:c r="AR182" s="18" t="str"/>
      <x:c r="AS182" s="18" t="str">
        <x:v>Binary effect measure (RR preferred per protocol)</x:v>
      </x:c>
      <x:c r="AT182" s="18" t="str">
        <x:v>CRBD incidence</x:v>
      </x:c>
      <x:c r="AU182" s="18" t="str">
        <x:v>24 h</x:v>
      </x:c>
      <x:c r="AV182" s="18" t="str">
        <x:v>High</x:v>
      </x:c>
      <x:c r="AW182" s="18" t="str">
        <x:v>No — selected RoB matches this result</x:v>
      </x:c>
      <x:c r="AX182" s="18" t="str">
        <x:v>Liang 2021</x:v>
      </x:c>
      <x:c r="AY182" s="18" t="str">
        <x:v>Primary eligible contrast</x:v>
      </x:c>
      <x:c r="AZ182" s="18" t="str">
        <x:v>Count this study once per synthesis unless a valid multi-arm method is used.</x:v>
      </x:c>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38</x:v>
      </x:c>
      <x:c r="J183" s="18" t="n">
        <x:v>37</x:v>
      </x:c>
      <x:c r="K183" s="18" t="n">
        <x:v>35</x:v>
      </x:c>
      <x:c r="L183" s="18" t="n">
        <x:v>35</x:v>
      </x:c>
      <x:c r="M183" s="18"/>
      <x:c r="N183" s="18"/>
      <x:c r="O183" s="18"/>
      <x:c r="P183" s="18"/>
      <x:c r="Q183" s="18"/>
      <x:c r="R183" s="18"/>
      <x:c r="S183" s="18"/>
      <x:c r="T183" s="18"/>
      <x:c r="U183" s="18"/>
      <x:c r="V183" s="18"/>
      <x:c r="W183" s="18"/>
      <x:c r="X183" s="18"/>
      <x:c r="Y183" s="18" t="str">
        <x:v>mg/µg</x:v>
      </x:c>
      <x:c r="Z183" s="18"/>
      <x:c r="AA183" s="18" t="str">
        <x:v>No</x:v>
      </x:c>
      <x:c r="AB183" s="18" t="str">
        <x:v>No</x:v>
      </x:c>
      <x:c r="AC183" s="18"/>
      <x:c r="AD183" s="18"/>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c r="AM183" s="18" t="str">
        <x:v>Postoperative opioid consumption</x:v>
      </x:c>
      <x:c r="AN183" s="18" t="str">
        <x:v>Exact/explicit 24 h</x:v>
      </x:c>
      <x:c r="AO183" s="18" t="str">
        <x:v>EXCLUDE — DATA UNAVAILABLE</x:v>
      </x:c>
      <x:c r="AP183" s="18" t="str">
        <x:v>The source does not provide a defensible quantitative value for this analysis.</x:v>
      </x:c>
      <x:c r="AQ183" s="18" t="str">
        <x:v>No</x:v>
      </x:c>
      <x:c r="AR183" s="18" t="str"/>
      <x:c r="AS183" s="18" t="str">
        <x:v>None</x:v>
      </x:c>
      <x:c r="AT183" s="18" t="str">
        <x:v>CRBD incidence</x:v>
      </x:c>
      <x:c r="AU183" s="18" t="str">
        <x:v>24 h</x:v>
      </x:c>
      <x:c r="AV183" s="18" t="str">
        <x:v>High</x:v>
      </x:c>
      <x:c r="AW183" s="18" t="str">
        <x:v>Yes — selected RoB is for a different result/timepoint</x:v>
      </x:c>
      <x:c r="AX183" s="18" t="str">
        <x:v>Liang 2021</x:v>
      </x:c>
      <x:c r="AY183" s="18" t="str">
        <x:v>Primary eligible contrast</x:v>
      </x:c>
      <x:c r="AZ183" s="18" t="str">
        <x:v>Count this study once per synthesis unless a valid multi-arm method is used.</x:v>
      </x:c>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v>MD</x:v>
      </x:c>
      <x:c r="AD184" s="18" t="n">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c r="AM184" s="18" t="str">
        <x:v>PCA demand/proxy</x:v>
      </x:c>
      <x:c r="AN184" s="18" t="str">
        <x:v>Exact/explicit 24 h</x:v>
      </x:c>
      <x:c r="AO184" s="18" t="str">
        <x:v>SECONDARY / PROXY ONLY</x:v>
      </x:c>
      <x:c r="AP184" s="18" t="str">
        <x:v>PCA presses, attempts, deliveries, or solution volume are not equivalent to opioid dose unless the pump prescription permits exact reconstruction.</x:v>
      </x:c>
      <x:c r="AQ184" s="18" t="str">
        <x:v>No</x:v>
      </x:c>
      <x:c r="AR184" s="18" t="str"/>
      <x:c r="AS184" s="18" t="str">
        <x:v>None</x:v>
      </x:c>
      <x:c r="AT184" s="18" t="str">
        <x:v>Cumulative IV PCA morphine delivered</x:v>
      </x:c>
      <x:c r="AU184" s="18" t="str">
        <x:v>First 24 postoperative hours</x:v>
      </x:c>
      <x:c r="AV184" s="18" t="str">
        <x:v>Some concerns</x:v>
      </x:c>
      <x:c r="AW184" s="18" t="str">
        <x:v>No — selected RoB matches this result</x:v>
      </x:c>
      <x:c r="AX184" s="18" t="str">
        <x:v>Lee 2011</x:v>
      </x:c>
      <x:c r="AY184" s="18" t="str">
        <x:v>Shared-control / multi-arm contrast</x:v>
      </x:c>
      <x:c r="AZ184" s="18" t="str">
        <x:v>Shared comparator present; avoid double-counting controls.</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v>MD</x:v>
      </x:c>
      <x:c r="AD185" s="18" t="n">
        <x:v>-3.0600000000000023</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c r="AM185" s="18" t="str">
        <x:v>PCA demand/proxy</x:v>
      </x:c>
      <x:c r="AN185" s="18" t="str">
        <x:v>Exact/explicit 24 h</x:v>
      </x:c>
      <x:c r="AO185" s="18" t="str">
        <x:v>SECONDARY / PROXY ONLY</x:v>
      </x:c>
      <x:c r="AP185" s="18" t="str">
        <x:v>PCA presses, attempts, deliveries, or solution volume are not equivalent to opioid dose unless the pump prescription permits exact reconstruction.</x:v>
      </x:c>
      <x:c r="AQ185" s="18" t="str">
        <x:v>No</x:v>
      </x:c>
      <x:c r="AR185" s="18" t="str"/>
      <x:c r="AS185" s="18" t="str">
        <x:v>None</x:v>
      </x:c>
      <x:c r="AT185" s="18" t="str">
        <x:v>Cumulative IV PCA morphine delivered</x:v>
      </x:c>
      <x:c r="AU185" s="18" t="str">
        <x:v>First 24 postoperative hours</x:v>
      </x:c>
      <x:c r="AV185" s="18" t="str">
        <x:v>Some concerns</x:v>
      </x:c>
      <x:c r="AW185" s="18" t="str">
        <x:v>No — selected RoB matches this result</x:v>
      </x:c>
      <x:c r="AX185" s="18" t="str">
        <x:v>Lee 2011</x:v>
      </x:c>
      <x:c r="AY185" s="18" t="str">
        <x:v>Shared-control / multi-arm contrast</x:v>
      </x:c>
      <x:c r="AZ185" s="18" t="str">
        <x:v>Shared comparator present; avoid double-counting controls.</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v>MD</x:v>
      </x:c>
      <x:c r="AD186" s="18" t="n">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c r="AM186" s="18" t="str">
        <x:v>PCA demand/proxy</x:v>
      </x:c>
      <x:c r="AN186" s="18" t="str">
        <x:v>Exact/explicit 24 h</x:v>
      </x:c>
      <x:c r="AO186" s="18" t="str">
        <x:v>SECONDARY / PROXY ONLY</x:v>
      </x:c>
      <x:c r="AP186" s="18" t="str">
        <x:v>PCA presses, attempts, deliveries, or solution volume are not equivalent to opioid dose unless the pump prescription permits exact reconstruction.</x:v>
      </x:c>
      <x:c r="AQ186" s="18" t="str">
        <x:v>No</x:v>
      </x:c>
      <x:c r="AR186" s="18" t="str"/>
      <x:c r="AS186" s="18" t="str">
        <x:v>None</x:v>
      </x:c>
      <x:c r="AT186" s="18" t="str">
        <x:v>Cumulative IV PCA morphine delivered</x:v>
      </x:c>
      <x:c r="AU186" s="18" t="str">
        <x:v>First 24 postoperative hours</x:v>
      </x:c>
      <x:c r="AV186" s="18" t="str">
        <x:v>Some concerns</x:v>
      </x:c>
      <x:c r="AW186" s="18" t="str">
        <x:v>No — selected RoB matches this result</x:v>
      </x:c>
      <x:c r="AX186" s="18" t="str">
        <x:v>Lee 2011</x:v>
      </x:c>
      <x:c r="AY186" s="18" t="str">
        <x:v>Shared-control / multi-arm contrast</x:v>
      </x:c>
      <x:c r="AZ186" s="18" t="str">
        <x:v>Shared comparator present; avoid double-counting controls.</x:v>
      </x:c>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v>MD</x:v>
      </x:c>
      <x:c r="AD187" s="18" t="n">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c r="AM187" s="18" t="str">
        <x:v>Pain</x:v>
      </x:c>
      <x:c r="AN187" s="18" t="str">
        <x:v>Exact/explicit 24 h</x:v>
      </x:c>
      <x:c r="AO187" s="18" t="str">
        <x:v>INCLUDE</x:v>
      </x:c>
      <x:c r="AP187" s="18" t="str">
        <x:v>Explicit 24-h pain endpoint with quantitative source data.</x:v>
      </x:c>
      <x:c r="AQ187" s="18" t="str">
        <x:v>Yes</x:v>
      </x:c>
      <x:c r="AR187" s="18" t="str"/>
      <x:c r="AS187" s="18" t="str">
        <x:v>None</x:v>
      </x:c>
      <x:c r="AT187" s="18" t="str">
        <x:v>Cumulative IV PCA morphine delivered</x:v>
      </x:c>
      <x:c r="AU187" s="18" t="str">
        <x:v>First 24 postoperative hours</x:v>
      </x:c>
      <x:c r="AV187" s="18" t="str">
        <x:v>Some concerns</x:v>
      </x:c>
      <x:c r="AW187" s="18" t="str">
        <x:v>Yes — selected RoB is for a different result/timepoint</x:v>
      </x:c>
      <x:c r="AX187" s="18" t="str">
        <x:v>Lee 2011</x:v>
      </x:c>
      <x:c r="AY187" s="18" t="str">
        <x:v>Shared-control / multi-arm contrast</x:v>
      </x:c>
      <x:c r="AZ187" s="18" t="str">
        <x:v>Shared comparator present; avoid double-counting controls.</x:v>
      </x:c>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x:c r="AD188" s="18"/>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c r="AM188" s="18" t="str">
        <x:v>PCA demand/proxy</x:v>
      </x:c>
      <x:c r="AN188" s="18" t="str">
        <x:v>48 h</x:v>
      </x:c>
      <x:c r="AO188" s="18" t="str">
        <x:v>SECONDARY / PROXY ONLY</x:v>
      </x:c>
      <x:c r="AP188" s="18" t="str">
        <x:v>PCA presses, attempts, deliveries, or solution volume are not equivalent to opioid dose unless the pump prescription permits exact reconstruction.</x:v>
      </x:c>
      <x:c r="AQ188" s="18" t="str">
        <x:v>No</x:v>
      </x:c>
      <x:c r="AR188" s="18" t="str"/>
      <x:c r="AS188" s="18" t="str">
        <x:v>Use median/IQR-compatible meta-analysis method; do not relabel as mean/SD</x:v>
      </x:c>
      <x:c r="AT188" s="18" t="str">
        <x:v>Cumulative analgesic pump compressions</x:v>
      </x:c>
      <x:c r="AU188" s="18" t="str">
        <x:v>48 h</x:v>
      </x:c>
      <x:c r="AV188" s="18" t="str">
        <x:v>High</x:v>
      </x:c>
      <x:c r="AW188" s="18" t="str">
        <x:v>No — selected RoB matches this result</x:v>
      </x:c>
      <x:c r="AX188" s="18" t="str">
        <x:v>Jin 2023</x:v>
      </x:c>
      <x:c r="AY188" s="18" t="str">
        <x:v>Frequency-arm contrast</x:v>
      </x:c>
      <x:c r="AZ188" s="18" t="str">
        <x:v>Three-arm trial with shared sham; use multi-arm handling.</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x:c r="AD189" s="18"/>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c r="AM189" s="18" t="str">
        <x:v>PCA demand/proxy</x:v>
      </x:c>
      <x:c r="AN189" s="18" t="str">
        <x:v>48 h</x:v>
      </x:c>
      <x:c r="AO189" s="18" t="str">
        <x:v>SECONDARY / PROXY ONLY</x:v>
      </x:c>
      <x:c r="AP189" s="18" t="str">
        <x:v>PCA presses, attempts, deliveries, or solution volume are not equivalent to opioid dose unless the pump prescription permits exact reconstruction.</x:v>
      </x:c>
      <x:c r="AQ189" s="18" t="str">
        <x:v>No</x:v>
      </x:c>
      <x:c r="AR189" s="18" t="str"/>
      <x:c r="AS189" s="18" t="str">
        <x:v>Use median/IQR-compatible meta-analysis method; do not relabel as mean/SD</x:v>
      </x:c>
      <x:c r="AT189" s="18" t="str">
        <x:v>Cumulative analgesic pump compressions</x:v>
      </x:c>
      <x:c r="AU189" s="18" t="str">
        <x:v>48 h</x:v>
      </x:c>
      <x:c r="AV189" s="18" t="str">
        <x:v>High</x:v>
      </x:c>
      <x:c r="AW189" s="18" t="str">
        <x:v>No — selected RoB matches this result</x:v>
      </x:c>
      <x:c r="AX189" s="18" t="str">
        <x:v>Jin 2023</x:v>
      </x:c>
      <x:c r="AY189" s="18" t="str">
        <x:v>Frequency-arm contrast</x:v>
      </x:c>
      <x:c r="AZ189" s="18" t="str">
        <x:v>Three-arm trial with shared sham; use multi-arm handling.</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v>MD</x:v>
      </x:c>
      <x:c r="AD190" s="18" t="n">
        <x:v>-17.229999999999997</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c r="AM190" s="18" t="str">
        <x:v>Postoperative opioid consumption</x:v>
      </x:c>
      <x:c r="AN190" s="18" t="str">
        <x:v>Exact/explicit 24 h</x:v>
      </x:c>
      <x:c r="AO190" s="18" t="str">
        <x:v>CONDITIONAL</x:v>
      </x:c>
      <x:c r="AP190" s="18" t="str">
        <x:v>Source value is valid in its native metric but cannot be converted to the target opioid mass/MME without additional information.</x:v>
      </x:c>
      <x:c r="AQ190" s="18" t="str">
        <x:v>No</x:v>
      </x:c>
      <x:c r="AR190" s="18" t="str"/>
      <x:c r="AS190" s="18" t="str">
        <x:v>Do not convert unless concentration and delivered dose are fully known</x:v>
      </x:c>
      <x:c r="AT190" s="18" t="str">
        <x:v>Cumulative analgesic pump compressions</x:v>
      </x:c>
      <x:c r="AU190" s="18" t="str">
        <x:v>48 h</x:v>
      </x:c>
      <x:c r="AV190" s="18" t="str">
        <x:v>High</x:v>
      </x:c>
      <x:c r="AW190" s="18" t="str">
        <x:v>Yes — selected RoB is for a different result/timepoint</x:v>
      </x:c>
      <x:c r="AX190" s="18" t="str">
        <x:v>Jin 2023</x:v>
      </x:c>
      <x:c r="AY190" s="18" t="str">
        <x:v>Frequency-arm contrast</x:v>
      </x:c>
      <x:c r="AZ190" s="18" t="str">
        <x:v>Three-arm trial with shared sham; use multi-arm handling.</x:v>
      </x:c>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v>MD</x:v>
      </x:c>
      <x:c r="AD191" s="18" t="n">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c r="AM191" s="18" t="str">
        <x:v>Postoperative opioid consumption</x:v>
      </x:c>
      <x:c r="AN191" s="18" t="str">
        <x:v>Exact/explicit 24 h</x:v>
      </x:c>
      <x:c r="AO191" s="18" t="str">
        <x:v>CONDITIONAL</x:v>
      </x:c>
      <x:c r="AP191" s="18" t="str">
        <x:v>Source value is valid in its native metric but cannot be converted to the target opioid mass/MME without additional information.</x:v>
      </x:c>
      <x:c r="AQ191" s="18" t="str">
        <x:v>No</x:v>
      </x:c>
      <x:c r="AR191" s="18" t="str"/>
      <x:c r="AS191" s="18" t="str">
        <x:v>Do not convert unless concentration and delivered dose are fully known</x:v>
      </x:c>
      <x:c r="AT191" s="18" t="str">
        <x:v>Cumulative analgesic pump compressions</x:v>
      </x:c>
      <x:c r="AU191" s="18" t="str">
        <x:v>48 h</x:v>
      </x:c>
      <x:c r="AV191" s="18" t="str">
        <x:v>High</x:v>
      </x:c>
      <x:c r="AW191" s="18" t="str">
        <x:v>Yes — selected RoB is for a different result/timepoint</x:v>
      </x:c>
      <x:c r="AX191" s="18" t="str">
        <x:v>Jin 2023</x:v>
      </x:c>
      <x:c r="AY191" s="18" t="str">
        <x:v>Frequency-arm contrast</x:v>
      </x:c>
      <x:c r="AZ191" s="18" t="str">
        <x:v>Three-arm trial with shared sham; use multi-arm handling.</x:v>
      </x:c>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x:c r="AA192" s="18" t="str">
        <x:v>No</x:v>
      </x:c>
      <x:c r="AB192" s="18" t="str">
        <x:v>No</x:v>
      </x:c>
      <x:c r="AC192" s="18"/>
      <x:c r="AD192" s="18"/>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c r="AM192" s="18" t="str">
        <x:v>Postoperative opioid consumption</x:v>
      </x:c>
      <x:c r="AN192" s="18" t="str">
        <x:v>Exact/explicit 24 h</x:v>
      </x:c>
      <x:c r="AO192" s="18" t="str">
        <x:v>EXCLUDE — DATA UNAVAILABLE</x:v>
      </x:c>
      <x:c r="AP192" s="18" t="str">
        <x:v>The source does not provide a defensible quantitative value for this analysis.</x:v>
      </x:c>
      <x:c r="AQ192" s="18" t="str">
        <x:v>No</x:v>
      </x:c>
      <x:c r="AR192" s="18" t="str"/>
      <x:c r="AS192" s="18" t="str">
        <x:v>Opioid/MME conversion required using prespecified review conversion</x:v>
      </x:c>
      <x:c r="AT192" s="18" t="str">
        <x:v>Cumulative analgesic pump compressions</x:v>
      </x:c>
      <x:c r="AU192" s="18" t="str">
        <x:v>48 h</x:v>
      </x:c>
      <x:c r="AV192" s="18" t="str">
        <x:v>High</x:v>
      </x:c>
      <x:c r="AW192" s="18" t="str">
        <x:v>Yes — selected RoB is for a different result/timepoint</x:v>
      </x:c>
      <x:c r="AX192" s="18" t="str">
        <x:v>Jin 2023</x:v>
      </x:c>
      <x:c r="AY192" s="18" t="str">
        <x:v>Frequency-arm contrast</x:v>
      </x:c>
      <x:c r="AZ192" s="18" t="str">
        <x:v>Three-arm trial with shared sham; use multi-arm handling.</x:v>
      </x:c>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x:c r="AD193" s="18"/>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c r="AM193" s="18" t="str">
        <x:v>GI recovery</x:v>
      </x:c>
      <x:c r="AN193" s="18" t="str">
        <x:v>Postoperative</x:v>
      </x:c>
      <x:c r="AO193" s="18" t="str">
        <x:v>INCLUDE</x:v>
      </x:c>
      <x:c r="AP193" s="18" t="str">
        <x:v>Source-valid first-flatus/ileus endpoint; retain reported distribution (mean/SD, median/IQR, or events).</x:v>
      </x:c>
      <x:c r="AQ193" s="18" t="str">
        <x:v>Yes</x:v>
      </x:c>
      <x:c r="AR193" s="18" t="str"/>
      <x:c r="AS193" s="18" t="str">
        <x:v>Use median/IQR-compatible meta-analysis method; do not relabel as mean/SD</x:v>
      </x:c>
      <x:c r="AT193" s="18" t="str">
        <x:v>Time to first flatus</x:v>
      </x:c>
      <x:c r="AU193" s="18" t="str">
        <x:v>Modified-ITT-type analysis</x:v>
      </x:c>
      <x:c r="AV193" s="18" t="str">
        <x:v>Some concerns</x:v>
      </x:c>
      <x:c r="AW193" s="18" t="str">
        <x:v>No — selected RoB matches this result</x:v>
      </x:c>
      <x:c r="AX193" s="18" t="str">
        <x:v>Jiang 2026</x:v>
      </x:c>
      <x:c r="AY193" s="18" t="str">
        <x:v>Primary eligible contrast</x:v>
      </x:c>
      <x:c r="AZ193" s="18" t="str">
        <x:v>Count this study once per synthesis unless a valid multi-arm method is used.</x:v>
      </x:c>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x:c r="AD194" s="18"/>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c r="AM194" s="18" t="str">
        <x:v>GI recovery</x:v>
      </x:c>
      <x:c r="AN194" s="18" t="str">
        <x:v>Modified-ITT-type analysis among intervention recipients</x:v>
      </x:c>
      <x:c r="AO194" s="18" t="str">
        <x:v>INCLUDE</x:v>
      </x:c>
      <x:c r="AP194" s="18" t="str">
        <x:v>Source-valid first-flatus/ileus endpoint; retain reported distribution (mean/SD, median/IQR, or events).</x:v>
      </x:c>
      <x:c r="AQ194" s="18" t="str">
        <x:v>Yes</x:v>
      </x:c>
      <x:c r="AR194" s="18" t="str"/>
      <x:c r="AS194" s="18" t="str">
        <x:v>Use median/IQR-compatible meta-analysis method; do not relabel as mean/SD</x:v>
      </x:c>
      <x:c r="AT194" s="18" t="str">
        <x:v>Time to first flatus</x:v>
      </x:c>
      <x:c r="AU194" s="18" t="str">
        <x:v>Modified-ITT-type analysis</x:v>
      </x:c>
      <x:c r="AV194" s="18" t="str">
        <x:v>Some concerns</x:v>
      </x:c>
      <x:c r="AW194" s="18" t="str">
        <x:v>No — selected RoB matches this result</x:v>
      </x:c>
      <x:c r="AX194" s="18" t="str">
        <x:v>Jiang 2026</x:v>
      </x:c>
      <x:c r="AY194" s="18" t="str">
        <x:v>Primary eligible contrast</x:v>
      </x:c>
      <x:c r="AZ194" s="18" t="str">
        <x:v>Count this study once per synthesis unless a valid multi-arm method is used.</x:v>
      </x:c>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v>RR</x:v>
      </x:c>
      <x:c r="AD195" s="18" t="n">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c r="AM195" s="18" t="str">
        <x:v>PONV</x:v>
      </x:c>
      <x:c r="AN195" s="18" t="str">
        <x:v>Contains 24 h but definition differs</x:v>
      </x:c>
      <x:c r="AO195" s="18" t="str">
        <x:v>CONDITIONAL</x:v>
      </x:c>
      <x:c r="AP195" s="18" t="str">
        <x:v>Valid PONV result, but the postoperative observation window should be matched to the intended synthesis.</x:v>
      </x:c>
      <x:c r="AQ195" s="18" t="str">
        <x:v>No</x:v>
      </x:c>
      <x:c r="AR195" s="18" t="str"/>
      <x:c r="AS195" s="18" t="str">
        <x:v>Binary effect measure (RR preferred per protocol)</x:v>
      </x:c>
      <x:c r="AT195" s="18" t="str">
        <x:v>Time to first flatus</x:v>
      </x:c>
      <x:c r="AU195" s="18" t="str">
        <x:v>Modified-ITT-type analysis</x:v>
      </x:c>
      <x:c r="AV195" s="18" t="str">
        <x:v>Some concerns</x:v>
      </x:c>
      <x:c r="AW195" s="18" t="str">
        <x:v>Yes — selected RoB is for a different result/timepoint</x:v>
      </x:c>
      <x:c r="AX195" s="18" t="str">
        <x:v>Jiang 2026</x:v>
      </x:c>
      <x:c r="AY195" s="18" t="str">
        <x:v>Primary eligible contrast</x:v>
      </x:c>
      <x:c r="AZ195" s="18" t="str">
        <x:v>Count this study once per synthesis unless a valid multi-arm method is used.</x:v>
      </x:c>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x:c r="AD196" s="18"/>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c r="AM196" s="18" t="str">
        <x:v>Intraoperative opioid</x:v>
      </x:c>
      <x:c r="AN196" s="18" t="str">
        <x:v>Intraoperative</x:v>
      </x:c>
      <x:c r="AO196" s="18" t="str">
        <x:v>INCLUDE — INTRAOPERATIVE</x:v>
      </x:c>
      <x:c r="AP196" s="18" t="str">
        <x:v>Valid intraoperative opioid endpoint; must remain separate from postoperative opioid consumption.</x:v>
      </x:c>
      <x:c r="AQ196" s="18" t="str">
        <x:v>No</x:v>
      </x:c>
      <x:c r="AR196" s="18" t="str"/>
      <x:c r="AS196" s="18" t="str">
        <x:v>Use median/IQR-compatible meta-analysis method; do not relabel as mean/SD</x:v>
      </x:c>
      <x:c r="AT196" s="18" t="str">
        <x:v>Time to first flatus</x:v>
      </x:c>
      <x:c r="AU196" s="18" t="str">
        <x:v>Modified-ITT-type analysis</x:v>
      </x:c>
      <x:c r="AV196" s="18" t="str">
        <x:v>Some concerns</x:v>
      </x:c>
      <x:c r="AW196" s="18" t="str">
        <x:v>Yes — selected RoB is for a different result/timepoint</x:v>
      </x:c>
      <x:c r="AX196" s="18" t="str">
        <x:v>Jiang 2026</x:v>
      </x:c>
      <x:c r="AY196" s="18" t="str">
        <x:v>Primary eligible contrast</x:v>
      </x:c>
      <x:c r="AZ196" s="18" t="str">
        <x:v>Count this study once per synthesis unless a valid multi-arm method is used.</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x:c r="AA197" s="18" t="str">
        <x:v>No</x:v>
      </x:c>
      <x:c r="AB197" s="18" t="str">
        <x:v>No</x:v>
      </x:c>
      <x:c r="AC197" s="18"/>
      <x:c r="AD197" s="18"/>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c r="AM197" s="18" t="str">
        <x:v>Postoperative opioid consumption</x:v>
      </x:c>
      <x:c r="AN197" s="18" t="str">
        <x:v>Exact/explicit 24 h</x:v>
      </x:c>
      <x:c r="AO197" s="18" t="str">
        <x:v>EXCLUDE — DATA UNAVAILABLE</x:v>
      </x:c>
      <x:c r="AP197" s="18" t="str">
        <x:v>The source does not provide a defensible quantitative value for this analysis.</x:v>
      </x:c>
      <x:c r="AQ197" s="18" t="str">
        <x:v>No</x:v>
      </x:c>
      <x:c r="AR197" s="18" t="str"/>
      <x:c r="AS197" s="18" t="str">
        <x:v>None</x:v>
      </x:c>
      <x:c r="AT197" s="18" t="str">
        <x:v>Time to first flatus</x:v>
      </x:c>
      <x:c r="AU197" s="18" t="str">
        <x:v>Modified-ITT-type analysis</x:v>
      </x:c>
      <x:c r="AV197" s="18" t="str">
        <x:v>Some concerns</x:v>
      </x:c>
      <x:c r="AW197" s="18" t="str">
        <x:v>Yes — selected RoB is for a different result/timepoint</x:v>
      </x:c>
      <x:c r="AX197" s="18" t="str">
        <x:v>Jiang 2026</x:v>
      </x:c>
      <x:c r="AY197" s="18" t="str">
        <x:v>Primary eligible contrast</x:v>
      </x:c>
      <x:c r="AZ197" s="18" t="str">
        <x:v>Count this study once per synthesis unless a valid multi-arm method is used.</x:v>
      </x:c>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v>MD</x:v>
      </x:c>
      <x:c r="AD198" s="18" t="n">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c r="AM198" s="18" t="str">
        <x:v>GI recovery</x:v>
      </x:c>
      <x:c r="AN198" s="18" t="str">
        <x:v>Postoperative</x:v>
      </x:c>
      <x:c r="AO198" s="18" t="str">
        <x:v>INCLUDE</x:v>
      </x:c>
      <x:c r="AP198" s="18" t="str">
        <x:v>Source-valid first-flatus/ileus endpoint; retain reported distribution (mean/SD, median/IQR, or events).</x:v>
      </x:c>
      <x:c r="AQ198" s="18" t="str">
        <x:v>Yes</x:v>
      </x:c>
      <x:c r="AR198" s="18" t="str"/>
      <x:c r="AS198" s="18" t="str">
        <x:v>None</x:v>
      </x:c>
      <x:c r="AT198" s="18" t="str">
        <x:v>Time to first flatus</x:v>
      </x:c>
      <x:c r="AU198" s="18" t="str">
        <x:v>Postoperative</x:v>
      </x:c>
      <x:c r="AV198" s="18" t="str">
        <x:v>High</x:v>
      </x:c>
      <x:c r="AW198" s="18" t="str">
        <x:v>No — selected RoB matches this result</x:v>
      </x:c>
      <x:c r="AX198" s="18" t="str">
        <x:v>Huang 2025</x:v>
      </x:c>
      <x:c r="AY198" s="18" t="str">
        <x:v>Primary eligible contrast</x:v>
      </x:c>
      <x:c r="AZ198" s="18" t="str">
        <x:v>Count this study once per synthesis unless a valid multi-arm method is used.</x:v>
      </x:c>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v>MD</x:v>
      </x:c>
      <x:c r="AD199" s="18" t="n">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c r="AM199" s="18" t="str">
        <x:v>GI recovery</x:v>
      </x:c>
      <x:c r="AN199" s="18" t="str">
        <x:v>Postoperative</x:v>
      </x:c>
      <x:c r="AO199" s="18" t="str">
        <x:v>INCLUDE — SECONDARY GI</x:v>
      </x:c>
      <x:c r="AP199" s="18" t="str">
        <x:v>Source-valid GI recovery outcome; analyze separately by outcome definition.</x:v>
      </x:c>
      <x:c r="AQ199" s="18" t="str">
        <x:v>No</x:v>
      </x:c>
      <x:c r="AR199" s="18" t="str"/>
      <x:c r="AS199" s="18" t="str">
        <x:v>None</x:v>
      </x:c>
      <x:c r="AT199" s="18" t="str">
        <x:v>Time to first flatus</x:v>
      </x:c>
      <x:c r="AU199" s="18" t="str">
        <x:v>Postoperative</x:v>
      </x:c>
      <x:c r="AV199" s="18" t="str">
        <x:v>High</x:v>
      </x:c>
      <x:c r="AW199" s="18" t="str">
        <x:v>Yes — selected RoB is for a different result/timepoint</x:v>
      </x:c>
      <x:c r="AX199" s="18" t="str">
        <x:v>Huang 2025</x:v>
      </x:c>
      <x:c r="AY199" s="18" t="str">
        <x:v>Primary eligible contrast</x:v>
      </x:c>
      <x:c r="AZ199" s="18" t="str">
        <x:v>Count this study once per synthesis unless a valid multi-arm method is used.</x:v>
      </x:c>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x:c r="AA200" s="18" t="str">
        <x:v>No</x:v>
      </x:c>
      <x:c r="AB200" s="18" t="str">
        <x:v>No</x:v>
      </x:c>
      <x:c r="AC200" s="18"/>
      <x:c r="AD200" s="18"/>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c r="AM200" s="18" t="str">
        <x:v>Postoperative opioid consumption</x:v>
      </x:c>
      <x:c r="AN200" s="18" t="str">
        <x:v>Exact/explicit 24 h</x:v>
      </x:c>
      <x:c r="AO200" s="18" t="str">
        <x:v>EXCLUDE — DATA UNAVAILABLE</x:v>
      </x:c>
      <x:c r="AP200" s="18" t="str">
        <x:v>The source does not provide a defensible quantitative value for this analysis.</x:v>
      </x:c>
      <x:c r="AQ200" s="18" t="str">
        <x:v>No</x:v>
      </x:c>
      <x:c r="AR200" s="18" t="str"/>
      <x:c r="AS200" s="18" t="str">
        <x:v>None</x:v>
      </x:c>
      <x:c r="AT200" s="18" t="str">
        <x:v>Time to first flatus</x:v>
      </x:c>
      <x:c r="AU200" s="18" t="str">
        <x:v>Postoperative</x:v>
      </x:c>
      <x:c r="AV200" s="18" t="str">
        <x:v>High</x:v>
      </x:c>
      <x:c r="AW200" s="18" t="str">
        <x:v>Yes — selected RoB is for a different result/timepoint</x:v>
      </x:c>
      <x:c r="AX200" s="18" t="str">
        <x:v>Huang 2025</x:v>
      </x:c>
      <x:c r="AY200" s="18" t="str">
        <x:v>Primary eligible contrast</x:v>
      </x:c>
      <x:c r="AZ200" s="18" t="str">
        <x:v>Count this study once per synthesis unless a valid multi-arm method is used.</x:v>
      </x:c>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v>MD</x:v>
      </x:c>
      <x:c r="AD201" s="18" t="n">
        <x:v>-3.5500000000000043</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c r="AM201" s="18" t="str">
        <x:v>Pain</x:v>
      </x:c>
      <x:c r="AN201" s="18" t="str">
        <x:v>POD1 / approximate 24 h</x:v>
      </x:c>
      <x:c r="AO201" s="18" t="str">
        <x:v>CONDITIONAL — POD1</x:v>
      </x:c>
      <x:c r="AP201" s="18" t="str">
        <x:v>POD1/day-after-surgery is not necessarily a clock-defined 24-h measurement; pool only if protocol permits.</x:v>
      </x:c>
      <x:c r="AQ201" s="18" t="str">
        <x:v>No</x:v>
      </x:c>
      <x:c r="AR201" s="18" t="str"/>
      <x:c r="AS201" s="18" t="str">
        <x:v>None</x:v>
      </x:c>
      <x:c r="AT201" s="18" t="str">
        <x:v>VAS during walking/knee movement</x:v>
      </x:c>
      <x:c r="AU201" s="18" t="str">
        <x:v>POD1</x:v>
      </x:c>
      <x:c r="AV201" s="18" t="str">
        <x:v>Some concerns</x:v>
      </x:c>
      <x:c r="AW201" s="18" t="str">
        <x:v>No — selected RoB matches this result</x:v>
      </x:c>
      <x:c r="AX201" s="18" t="str">
        <x:v>Huang 2024</x:v>
      </x:c>
      <x:c r="AY201" s="18" t="str">
        <x:v>Laterality-arm contrast</x:v>
      </x:c>
      <x:c r="AZ201" s="18" t="str">
        <x:v>Three-arm trial with shared sham; contralateral and ipsilateral EA are not independent studies.</x:v>
      </x:c>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v>MD</x:v>
      </x:c>
      <x:c r="AD202" s="18" t="n">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c r="AM202" s="18" t="str">
        <x:v>Pain</x:v>
      </x:c>
      <x:c r="AN202" s="18" t="str">
        <x:v>POD1 / approximate 24 h</x:v>
      </x:c>
      <x:c r="AO202" s="18" t="str">
        <x:v>CONDITIONAL — POD1</x:v>
      </x:c>
      <x:c r="AP202" s="18" t="str">
        <x:v>POD1/day-after-surgery is not necessarily a clock-defined 24-h measurement; pool only if protocol permits.</x:v>
      </x:c>
      <x:c r="AQ202" s="18" t="str">
        <x:v>No</x:v>
      </x:c>
      <x:c r="AR202" s="18" t="str"/>
      <x:c r="AS202" s="18" t="str">
        <x:v>None</x:v>
      </x:c>
      <x:c r="AT202" s="18" t="str">
        <x:v>VAS during walking/knee movement</x:v>
      </x:c>
      <x:c r="AU202" s="18" t="str">
        <x:v>POD1</x:v>
      </x:c>
      <x:c r="AV202" s="18" t="str">
        <x:v>Some concerns</x:v>
      </x:c>
      <x:c r="AW202" s="18" t="str">
        <x:v>No — selected RoB matches this result</x:v>
      </x:c>
      <x:c r="AX202" s="18" t="str">
        <x:v>Huang 2024</x:v>
      </x:c>
      <x:c r="AY202" s="18" t="str">
        <x:v>Laterality-arm contrast</x:v>
      </x:c>
      <x:c r="AZ202" s="18" t="str">
        <x:v>Three-arm trial with shared sham; contralateral and ipsilateral EA are not independent studies.</x:v>
      </x:c>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x:c r="AD203" s="18"/>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c r="AM203" s="18" t="str">
        <x:v>PCA demand/proxy</x:v>
      </x:c>
      <x:c r="AN203" s="18" t="str">
        <x:v>Contains 24 h but definition differs</x:v>
      </x:c>
      <x:c r="AO203" s="18" t="str">
        <x:v>SECONDARY / PROXY ONLY</x:v>
      </x:c>
      <x:c r="AP203" s="18" t="str">
        <x:v>PCA presses, attempts, deliveries, or solution volume are not equivalent to opioid dose unless the pump prescription permits exact reconstruction.</x:v>
      </x:c>
      <x:c r="AQ203" s="18" t="str">
        <x:v>No</x:v>
      </x:c>
      <x:c r="AR203" s="18" t="str"/>
      <x:c r="AS203" s="18" t="str">
        <x:v>Use median/IQR-compatible meta-analysis method; do not relabel as mean/SD</x:v>
      </x:c>
      <x:c r="AT203" s="18" t="str">
        <x:v>VAS during walking/knee movement</x:v>
      </x:c>
      <x:c r="AU203" s="18" t="str">
        <x:v>POD1</x:v>
      </x:c>
      <x:c r="AV203" s="18" t="str">
        <x:v>Some concerns</x:v>
      </x:c>
      <x:c r="AW203" s="18" t="str">
        <x:v>Yes — selected RoB is for a different result/timepoint</x:v>
      </x:c>
      <x:c r="AX203" s="18" t="str">
        <x:v>Huang 2024</x:v>
      </x:c>
      <x:c r="AY203" s="18" t="str">
        <x:v>Laterality-arm contrast</x:v>
      </x:c>
      <x:c r="AZ203" s="18" t="str">
        <x:v>Three-arm trial with shared sham; contralateral and ipsilateral EA are not independent studies.</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x:c r="AA204" s="18" t="str">
        <x:v>No</x:v>
      </x:c>
      <x:c r="AB204" s="18" t="str">
        <x:v>No</x:v>
      </x:c>
      <x:c r="AC204" s="18"/>
      <x:c r="AD204" s="18"/>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c r="AM204" s="18" t="str">
        <x:v>Postoperative opioid consumption</x:v>
      </x:c>
      <x:c r="AN204" s="18" t="str">
        <x:v>Exact/explicit 24 h</x:v>
      </x:c>
      <x:c r="AO204" s="18" t="str">
        <x:v>EXCLUDE — DATA UNAVAILABLE</x:v>
      </x:c>
      <x:c r="AP204" s="18" t="str">
        <x:v>The source does not provide a defensible quantitative value for this analysis.</x:v>
      </x:c>
      <x:c r="AQ204" s="18" t="str">
        <x:v>No</x:v>
      </x:c>
      <x:c r="AR204" s="18" t="str"/>
      <x:c r="AS204" s="18" t="str">
        <x:v>None</x:v>
      </x:c>
      <x:c r="AT204" s="18" t="str">
        <x:v>VAS during walking/knee movement</x:v>
      </x:c>
      <x:c r="AU204" s="18" t="str">
        <x:v>POD1</x:v>
      </x:c>
      <x:c r="AV204" s="18" t="str">
        <x:v>Some concerns</x:v>
      </x:c>
      <x:c r="AW204" s="18" t="str">
        <x:v>Yes — selected RoB is for a different result/timepoint</x:v>
      </x:c>
      <x:c r="AX204" s="18" t="str">
        <x:v>Huang 2024</x:v>
      </x:c>
      <x:c r="AY204" s="18" t="str">
        <x:v>Laterality-arm contrast</x:v>
      </x:c>
      <x:c r="AZ204" s="18" t="str">
        <x:v>Three-arm trial with shared sham; contralateral and ipsilateral EA are not independent studies.</x:v>
      </x:c>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v>RR</x:v>
      </x:c>
      <x:c r="AD205" s="18" t="n">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c r="AM205" s="18" t="str">
        <x:v>PONV</x:v>
      </x:c>
      <x:c r="AN205" s="18" t="str">
        <x:v>Postoperative / reported review window</x:v>
      </x:c>
      <x:c r="AO205" s="18" t="str">
        <x:v>CONDITIONAL</x:v>
      </x:c>
      <x:c r="AP205" s="18" t="str">
        <x:v>Valid PONV result, but the postoperative observation window should be matched to the intended synthesis.</x:v>
      </x:c>
      <x:c r="AQ205" s="18" t="str">
        <x:v>No</x:v>
      </x:c>
      <x:c r="AR205" s="18" t="str"/>
      <x:c r="AS205" s="18" t="str">
        <x:v>Binary effect measure (RR preferred per protocol)</x:v>
      </x:c>
      <x:c r="AT205" s="18" t="str">
        <x:v>PONV incidence</x:v>
      </x:c>
      <x:c r="AU205" s="18" t="str">
        <x:v>Postoperative</x:v>
      </x:c>
      <x:c r="AV205" s="18" t="str">
        <x:v>Some concerns</x:v>
      </x:c>
      <x:c r="AW205" s="18" t="str">
        <x:v>No — selected RoB matches this result</x:v>
      </x:c>
      <x:c r="AX205" s="18" t="str">
        <x:v>Hou 2023</x:v>
      </x:c>
      <x:c r="AY205" s="18" t="str">
        <x:v>Primary eligible contrast</x:v>
      </x:c>
      <x:c r="AZ205" s="18" t="str">
        <x:v>Count this study once per synthesis unless a valid multi-arm method is used.</x:v>
      </x:c>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x:c r="AD206" s="18"/>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c r="AM206" s="18" t="str">
        <x:v>Pain</x:v>
      </x:c>
      <x:c r="AN206" s="18" t="str">
        <x:v>POD1 / approximate 24 h</x:v>
      </x:c>
      <x:c r="AO206" s="18" t="str">
        <x:v>CONDITIONAL — POD1</x:v>
      </x:c>
      <x:c r="AP206" s="18" t="str">
        <x:v>POD1/day-after-surgery is not necessarily a clock-defined 24-h measurement; pool only if protocol permits.</x:v>
      </x:c>
      <x:c r="AQ206" s="18" t="str">
        <x:v>No</x:v>
      </x:c>
      <x:c r="AR206" s="18" t="str"/>
      <x:c r="AS206" s="18" t="str">
        <x:v>Use median/IQR-compatible meta-analysis method; do not relabel as mean/SD</x:v>
      </x:c>
      <x:c r="AT206" s="18" t="str">
        <x:v>PONV incidence</x:v>
      </x:c>
      <x:c r="AU206" s="18" t="str">
        <x:v>Postoperative</x:v>
      </x:c>
      <x:c r="AV206" s="18" t="str">
        <x:v>Some concerns</x:v>
      </x:c>
      <x:c r="AW206" s="18" t="str">
        <x:v>Yes — selected RoB is for a different result/timepoint</x:v>
      </x:c>
      <x:c r="AX206" s="18" t="str">
        <x:v>Hou 2023</x:v>
      </x:c>
      <x:c r="AY206" s="18" t="str">
        <x:v>Primary eligible contrast</x:v>
      </x:c>
      <x:c r="AZ206" s="18" t="str">
        <x:v>Count this study once per synthesis unless a valid multi-arm method is used.</x:v>
      </x:c>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v>RR</x:v>
      </x:c>
      <x:c r="AD207" s="18" t="n">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c r="AM207" s="18" t="str">
        <x:v>Rescue analgesia</x:v>
      </x:c>
      <x:c r="AN207" s="18" t="str">
        <x:v>Postoperative</x:v>
      </x:c>
      <x:c r="AO207" s="18" t="str">
        <x:v>INCLUDE — SECONDARY</x:v>
      </x:c>
      <x:c r="AP207" s="18" t="str">
        <x:v>Source-verified outcome suitable for its matching secondary analysis.</x:v>
      </x:c>
      <x:c r="AQ207" s="18" t="str">
        <x:v>No</x:v>
      </x:c>
      <x:c r="AR207" s="18" t="str"/>
      <x:c r="AS207" s="18" t="str">
        <x:v>Binary effect measure (RR preferred per protocol)</x:v>
      </x:c>
      <x:c r="AT207" s="18" t="str">
        <x:v>PONV incidence</x:v>
      </x:c>
      <x:c r="AU207" s="18" t="str">
        <x:v>Postoperative</x:v>
      </x:c>
      <x:c r="AV207" s="18" t="str">
        <x:v>Some concerns</x:v>
      </x:c>
      <x:c r="AW207" s="18" t="str">
        <x:v>Yes — selected RoB is for a different result/timepoint</x:v>
      </x:c>
      <x:c r="AX207" s="18" t="str">
        <x:v>Hou 2023</x:v>
      </x:c>
      <x:c r="AY207" s="18" t="str">
        <x:v>Primary eligible contrast</x:v>
      </x:c>
      <x:c r="AZ207" s="18" t="str">
        <x:v>Count this study once per synthesis unless a valid multi-arm method is used.</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x:c r="AA208" s="18" t="str">
        <x:v>No</x:v>
      </x:c>
      <x:c r="AB208" s="18" t="str">
        <x:v>No</x:v>
      </x:c>
      <x:c r="AC208" s="18"/>
      <x:c r="AD208" s="18"/>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c r="AM208" s="18" t="str">
        <x:v>Postoperative opioid consumption</x:v>
      </x:c>
      <x:c r="AN208" s="18" t="str">
        <x:v>Exact/explicit 24 h</x:v>
      </x:c>
      <x:c r="AO208" s="18" t="str">
        <x:v>EXCLUDE — DATA UNAVAILABLE</x:v>
      </x:c>
      <x:c r="AP208" s="18" t="str">
        <x:v>The source does not provide a defensible quantitative value for this analysis.</x:v>
      </x:c>
      <x:c r="AQ208" s="18" t="str">
        <x:v>No</x:v>
      </x:c>
      <x:c r="AR208" s="18" t="str"/>
      <x:c r="AS208" s="18" t="str">
        <x:v>Opioid/MME conversion required using prespecified review conversion</x:v>
      </x:c>
      <x:c r="AT208" s="18" t="str">
        <x:v>PONV incidence</x:v>
      </x:c>
      <x:c r="AU208" s="18" t="str">
        <x:v>Postoperative</x:v>
      </x:c>
      <x:c r="AV208" s="18" t="str">
        <x:v>Some concerns</x:v>
      </x:c>
      <x:c r="AW208" s="18" t="str">
        <x:v>Yes — selected RoB is for a different result/timepoint</x:v>
      </x:c>
      <x:c r="AX208" s="18" t="str">
        <x:v>Hou 2023</x:v>
      </x:c>
      <x:c r="AY208" s="18" t="str">
        <x:v>Primary eligible contrast</x:v>
      </x:c>
      <x:c r="AZ208" s="18" t="str">
        <x:v>Count this study once per synthesis unless a valid multi-arm method is used.</x:v>
      </x:c>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v>MD</x:v>
      </x:c>
      <x:c r="AD209" s="18" t="n">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c r="AM209" s="18" t="str">
        <x:v>Intraoperative opioid</x:v>
      </x:c>
      <x:c r="AN209" s="18" t="str">
        <x:v>Intraoperative</x:v>
      </x:c>
      <x:c r="AO209" s="18" t="str">
        <x:v>INCLUDE — INTRAOPERATIVE</x:v>
      </x:c>
      <x:c r="AP209" s="18" t="str">
        <x:v>Valid intraoperative opioid endpoint; must remain separate from postoperative opioid consumption.</x:v>
      </x:c>
      <x:c r="AQ209" s="18" t="str">
        <x:v>No</x:v>
      </x:c>
      <x:c r="AR209" s="18" t="str"/>
      <x:c r="AS209" s="18" t="str">
        <x:v>None</x:v>
      </x:c>
      <x:c r="AT209" s="18" t="str">
        <x:v>Total opioid as remifentanil-equivalent rate</x:v>
      </x:c>
      <x:c r="AU209" s="18" t="str">
        <x:v>Intraoperative</x:v>
      </x:c>
      <x:c r="AV209" s="18" t="str">
        <x:v>Some concerns</x:v>
      </x:c>
      <x:c r="AW209" s="18" t="str">
        <x:v>No — selected RoB matches this result</x:v>
      </x:c>
      <x:c r="AX209" s="18" t="str">
        <x:v>Huang 2017</x:v>
      </x:c>
      <x:c r="AY209" s="18" t="str">
        <x:v>Shared-control / multi-arm contrast</x:v>
      </x:c>
      <x:c r="AZ209" s="18" t="str">
        <x:v>Shared comparator present; avoid double-counting controls.</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v>MD</x:v>
      </x:c>
      <x:c r="AD210" s="18" t="n">
        <x:v>0.010099999999999998</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c r="AM210" s="18" t="str">
        <x:v>Intraoperative opioid</x:v>
      </x:c>
      <x:c r="AN210" s="18" t="str">
        <x:v>Intraoperative</x:v>
      </x:c>
      <x:c r="AO210" s="18" t="str">
        <x:v>INCLUDE — INTRAOPERATIVE</x:v>
      </x:c>
      <x:c r="AP210" s="18" t="str">
        <x:v>Valid intraoperative opioid endpoint; must remain separate from postoperative opioid consumption.</x:v>
      </x:c>
      <x:c r="AQ210" s="18" t="str">
        <x:v>No</x:v>
      </x:c>
      <x:c r="AR210" s="18" t="str"/>
      <x:c r="AS210" s="18" t="str">
        <x:v>None</x:v>
      </x:c>
      <x:c r="AT210" s="18" t="str">
        <x:v>Total opioid as remifentanil-equivalent rate</x:v>
      </x:c>
      <x:c r="AU210" s="18" t="str">
        <x:v>Intraoperative</x:v>
      </x:c>
      <x:c r="AV210" s="18" t="str">
        <x:v>Some concerns</x:v>
      </x:c>
      <x:c r="AW210" s="18" t="str">
        <x:v>No — selected RoB matches this result</x:v>
      </x:c>
      <x:c r="AX210" s="18" t="str">
        <x:v>Huang 2017</x:v>
      </x:c>
      <x:c r="AY210" s="18" t="str">
        <x:v>Shared-control / multi-arm contrast</x:v>
      </x:c>
      <x:c r="AZ210" s="18" t="str">
        <x:v>Shared comparator present; avoid double-counting controls.</x:v>
      </x:c>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v>MD</x:v>
      </x:c>
      <x:c r="AD211" s="18" t="n">
        <x:v>-0.016600000000000004</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c r="AM211" s="18" t="str">
        <x:v>Intraoperative opioid</x:v>
      </x:c>
      <x:c r="AN211" s="18" t="str">
        <x:v>Intraoperative</x:v>
      </x:c>
      <x:c r="AO211" s="18" t="str">
        <x:v>INCLUDE — INTRAOPERATIVE</x:v>
      </x:c>
      <x:c r="AP211" s="18" t="str">
        <x:v>Valid intraoperative opioid endpoint; must remain separate from postoperative opioid consumption.</x:v>
      </x:c>
      <x:c r="AQ211" s="18" t="str">
        <x:v>No</x:v>
      </x:c>
      <x:c r="AR211" s="18" t="str"/>
      <x:c r="AS211" s="18" t="str">
        <x:v>None</x:v>
      </x:c>
      <x:c r="AT211" s="18" t="str">
        <x:v>Total opioid as remifentanil-equivalent rate</x:v>
      </x:c>
      <x:c r="AU211" s="18" t="str">
        <x:v>Intraoperative</x:v>
      </x:c>
      <x:c r="AV211" s="18" t="str">
        <x:v>Some concerns</x:v>
      </x:c>
      <x:c r="AW211" s="18" t="str">
        <x:v>No — selected RoB matches this result</x:v>
      </x:c>
      <x:c r="AX211" s="18" t="str">
        <x:v>Huang 2017</x:v>
      </x:c>
      <x:c r="AY211" s="18" t="str">
        <x:v>Shared-control / multi-arm contrast</x:v>
      </x:c>
      <x:c r="AZ211" s="18" t="str">
        <x:v>Shared comparator present; avoid double-counting controls.</x:v>
      </x:c>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v>MD</x:v>
      </x:c>
      <x:c r="AD212" s="18" t="n">
        <x:v>0.34999999999999987</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c r="AM212" s="18" t="str">
        <x:v>Postoperative opioid consumption</x:v>
      </x:c>
      <x:c r="AN212" s="18" t="str">
        <x:v>Observation window unclear</x:v>
      </x:c>
      <x:c r="AO212" s="18" t="str">
        <x:v>EXCLUDE — NOT PRIMARY 24H OPIOID</x:v>
      </x:c>
      <x:c r="AP212" s="18" t="str">
        <x:v>Not a strict 0-24-h postoperative opioid-consumption endpoint.</x:v>
      </x:c>
      <x:c r="AQ212" s="18" t="str">
        <x:v>No</x:v>
      </x:c>
      <x:c r="AR212" s="18" t="str"/>
      <x:c r="AS212" s="18" t="str">
        <x:v>Opioid/MME conversion required using prespecified review conversion</x:v>
      </x:c>
      <x:c r="AT212" s="18" t="str">
        <x:v>Total opioid as remifentanil-equivalent rate</x:v>
      </x:c>
      <x:c r="AU212" s="18" t="str">
        <x:v>Intraoperative</x:v>
      </x:c>
      <x:c r="AV212" s="18" t="str">
        <x:v>Some concerns</x:v>
      </x:c>
      <x:c r="AW212" s="18" t="str">
        <x:v>Yes — selected RoB is for a different result/timepoint</x:v>
      </x:c>
      <x:c r="AX212" s="18" t="str">
        <x:v>Huang 2017</x:v>
      </x:c>
      <x:c r="AY212" s="18" t="str">
        <x:v>Shared-control / multi-arm contrast</x:v>
      </x:c>
      <x:c r="AZ212" s="18" t="str">
        <x:v>Shared comparator present; avoid double-counting controls.</x:v>
      </x:c>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x:c r="AA213" s="18" t="str">
        <x:v>No</x:v>
      </x:c>
      <x:c r="AB213" s="18" t="str">
        <x:v>No</x:v>
      </x:c>
      <x:c r="AC213" s="18"/>
      <x:c r="AD213" s="18"/>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c r="AM213" s="18" t="str">
        <x:v>Postoperative opioid consumption</x:v>
      </x:c>
      <x:c r="AN213" s="18" t="str">
        <x:v>Exact/explicit 24 h</x:v>
      </x:c>
      <x:c r="AO213" s="18" t="str">
        <x:v>EXCLUDE — DATA UNAVAILABLE</x:v>
      </x:c>
      <x:c r="AP213" s="18" t="str">
        <x:v>The source does not provide a defensible quantitative value for this analysis.</x:v>
      </x:c>
      <x:c r="AQ213" s="18" t="str">
        <x:v>No</x:v>
      </x:c>
      <x:c r="AR213" s="18" t="str"/>
      <x:c r="AS213" s="18" t="str">
        <x:v>Opioid/MME conversion required using prespecified review conversion</x:v>
      </x:c>
      <x:c r="AT213" s="18" t="str">
        <x:v>Total opioid as remifentanil-equivalent rate</x:v>
      </x:c>
      <x:c r="AU213" s="18" t="str">
        <x:v>Intraoperative</x:v>
      </x:c>
      <x:c r="AV213" s="18" t="str">
        <x:v>Some concerns</x:v>
      </x:c>
      <x:c r="AW213" s="18" t="str">
        <x:v>Yes — selected RoB is for a different result/timepoint</x:v>
      </x:c>
      <x:c r="AX213" s="18" t="str">
        <x:v>Huang 2017</x:v>
      </x:c>
      <x:c r="AY213" s="18" t="str">
        <x:v>Shared-control / multi-arm contrast</x:v>
      </x:c>
      <x:c r="AZ213" s="18" t="str">
        <x:v>Shared comparator present; avoid double-counting controls.</x:v>
      </x:c>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v>MD</x:v>
      </x:c>
      <x:c r="AD214" s="18" t="n">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c r="AM214" s="18" t="str">
        <x:v>Postoperative opioid consumption</x:v>
      </x:c>
      <x:c r="AN214" s="18" t="str">
        <x:v>Exact/explicit 24 h</x:v>
      </x:c>
      <x:c r="AO214" s="18" t="str">
        <x:v>INCLUDE</x:v>
      </x:c>
      <x:c r="AP214" s="18" t="str">
        <x:v>Explicit 0-24-h postoperative opioid endpoint and marked eligible in the reconciled source data.</x:v>
      </x:c>
      <x:c r="AQ214" s="18" t="str">
        <x:v>Yes</x:v>
      </x:c>
      <x:c r="AR214" s="18" t="str"/>
      <x:c r="AS214" s="18" t="str">
        <x:v>None</x:v>
      </x:c>
      <x:c r="AT214" s="18" t="str">
        <x:v>Total postoperative opioid consumption in morphine equivalents</x:v>
      </x:c>
      <x:c r="AU214" s="18" t="str">
        <x:v>0-24 h</x:v>
      </x:c>
      <x:c r="AV214" s="18" t="str">
        <x:v>Some concerns</x:v>
      </x:c>
      <x:c r="AW214" s="18" t="str">
        <x:v>No — selected RoB matches this result</x:v>
      </x:c>
      <x:c r="AX214" s="18" t="str">
        <x:v>He 2026 (hepatectomy/JIS)</x:v>
      </x:c>
      <x:c r="AY214" s="18" t="str">
        <x:v>Primary eligible contrast</x:v>
      </x:c>
      <x:c r="AZ214" s="18" t="str">
        <x:v>Count this study once per synthesis unless a valid multi-arm method is used.</x:v>
      </x:c>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v>RR</x:v>
      </x:c>
      <x:c r="AD215" s="18" t="n">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c r="AM215" s="18" t="str">
        <x:v>PONV</x:v>
      </x:c>
      <x:c r="AN215" s="18" t="str">
        <x:v>Exact/explicit 24 h</x:v>
      </x:c>
      <x:c r="AO215" s="18" t="str">
        <x:v>INCLUDE</x:v>
      </x:c>
      <x:c r="AP215" s="18" t="str">
        <x:v>Explicit 24-h PONV endpoint.</x:v>
      </x:c>
      <x:c r="AQ215" s="18" t="str">
        <x:v>Yes</x:v>
      </x:c>
      <x:c r="AR215" s="18" t="str"/>
      <x:c r="AS215" s="18" t="str">
        <x:v>Binary effect measure (RR preferred per protocol)</x:v>
      </x:c>
      <x:c r="AT215" s="18" t="str">
        <x:v>Total postoperative opioid consumption in morphine equivalents</x:v>
      </x:c>
      <x:c r="AU215" s="18" t="str">
        <x:v>0-24 h</x:v>
      </x:c>
      <x:c r="AV215" s="18" t="str">
        <x:v>Some concerns</x:v>
      </x:c>
      <x:c r="AW215" s="18" t="str">
        <x:v>Yes — selected RoB is for a different result/timepoint</x:v>
      </x:c>
      <x:c r="AX215" s="18" t="str">
        <x:v>He 2026 (hepatectomy/JIS)</x:v>
      </x:c>
      <x:c r="AY215" s="18" t="str">
        <x:v>Primary eligible contrast</x:v>
      </x:c>
      <x:c r="AZ215" s="18" t="str">
        <x:v>Count this study once per synthesis unless a valid multi-arm method is used.</x:v>
      </x:c>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v>MD</x:v>
      </x:c>
      <x:c r="AD216" s="18" t="n">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c r="AM216" s="18" t="str">
        <x:v>PCA demand/proxy</x:v>
      </x:c>
      <x:c r="AN216" s="18" t="str">
        <x:v>Exact/explicit 24 h</x:v>
      </x:c>
      <x:c r="AO216" s="18" t="str">
        <x:v>SECONDARY / PROXY ONLY</x:v>
      </x:c>
      <x:c r="AP216" s="18" t="str">
        <x:v>PCA presses, attempts, deliveries, or solution volume are not equivalent to opioid dose unless the pump prescription permits exact reconstruction.</x:v>
      </x:c>
      <x:c r="AQ216" s="18" t="str">
        <x:v>No</x:v>
      </x:c>
      <x:c r="AR216" s="18" t="str"/>
      <x:c r="AS216" s="18" t="str">
        <x:v>None</x:v>
      </x:c>
      <x:c r="AT216" s="18" t="str">
        <x:v>Total postoperative opioid consumption in morphine equivalents</x:v>
      </x:c>
      <x:c r="AU216" s="18" t="str">
        <x:v>0-24 h</x:v>
      </x:c>
      <x:c r="AV216" s="18" t="str">
        <x:v>Some concerns</x:v>
      </x:c>
      <x:c r="AW216" s="18" t="str">
        <x:v>Yes — selected RoB is for a different result/timepoint</x:v>
      </x:c>
      <x:c r="AX216" s="18" t="str">
        <x:v>He 2026 (hepatectomy/JIS)</x:v>
      </x:c>
      <x:c r="AY216" s="18" t="str">
        <x:v>Primary eligible contrast</x:v>
      </x:c>
      <x:c r="AZ216" s="18" t="str">
        <x:v>Count this study once per synthesis unless a valid multi-arm method is used.</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v>RR</x:v>
      </x:c>
      <x:c r="AD217" s="18" t="n">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c r="AM217" s="18" t="str">
        <x:v>Pain</x:v>
      </x:c>
      <x:c r="AN217" s="18" t="str">
        <x:v>Exact/explicit 24 h</x:v>
      </x:c>
      <x:c r="AO217" s="18" t="str">
        <x:v>INCLUDE</x:v>
      </x:c>
      <x:c r="AP217" s="18" t="str">
        <x:v>Explicit 24-h pain endpoint with quantitative source data.</x:v>
      </x:c>
      <x:c r="AQ217" s="18" t="str">
        <x:v>Yes</x:v>
      </x:c>
      <x:c r="AR217" s="18" t="str"/>
      <x:c r="AS217" s="18" t="str">
        <x:v>Binary effect measure (RR preferred per protocol)</x:v>
      </x:c>
      <x:c r="AT217" s="18" t="str">
        <x:v>Moderate-to-severe movement-evoked pain (VAS &gt;4)</x:v>
      </x:c>
      <x:c r="AU217" s="18" t="str">
        <x:v>24 h</x:v>
      </x:c>
      <x:c r="AV217" s="18" t="str">
        <x:v>Some concerns</x:v>
      </x:c>
      <x:c r="AW217" s="18" t="str">
        <x:v>No — selected RoB matches this result</x:v>
      </x:c>
      <x:c r="AX217" s="18" t="str">
        <x:v>He 2026 (breast/WJCO)</x:v>
      </x:c>
      <x:c r="AY217" s="18" t="str">
        <x:v>Primary eligible contrast</x:v>
      </x:c>
      <x:c r="AZ217" s="18" t="str">
        <x:v>Count this study once per synthesis unless a valid multi-arm method is used.</x:v>
      </x:c>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v>MD</x:v>
      </x:c>
      <x:c r="AD218" s="18" t="n">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c r="AM218" s="18" t="str">
        <x:v>Pain</x:v>
      </x:c>
      <x:c r="AN218" s="18" t="str">
        <x:v>Exact/explicit 24 h</x:v>
      </x:c>
      <x:c r="AO218" s="18" t="str">
        <x:v>INCLUDE</x:v>
      </x:c>
      <x:c r="AP218" s="18" t="str">
        <x:v>Explicit 24-h pain endpoint with quantitative source data.</x:v>
      </x:c>
      <x:c r="AQ218" s="18" t="str">
        <x:v>Yes</x:v>
      </x:c>
      <x:c r="AR218" s="18" t="str"/>
      <x:c r="AS218" s="18" t="str">
        <x:v>None</x:v>
      </x:c>
      <x:c r="AT218" s="18" t="str">
        <x:v>Moderate-to-severe movement-evoked pain (VAS &gt;4)</x:v>
      </x:c>
      <x:c r="AU218" s="18" t="str">
        <x:v>24 h</x:v>
      </x:c>
      <x:c r="AV218" s="18" t="str">
        <x:v>Some concerns</x:v>
      </x:c>
      <x:c r="AW218" s="18" t="str">
        <x:v>Yes — selected RoB is for a different result/timepoint</x:v>
      </x:c>
      <x:c r="AX218" s="18" t="str">
        <x:v>He 2026 (breast/WJCO)</x:v>
      </x:c>
      <x:c r="AY218" s="18" t="str">
        <x:v>Primary eligible contrast</x:v>
      </x:c>
      <x:c r="AZ218" s="18" t="str">
        <x:v>Count this study once per synthesis unless a valid multi-arm method is used.</x:v>
      </x:c>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v>MD</x:v>
      </x:c>
      <x:c r="AD219" s="18" t="n">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c r="AM219" s="18" t="str">
        <x:v>Pain</x:v>
      </x:c>
      <x:c r="AN219" s="18" t="str">
        <x:v>Exact/explicit 24 h</x:v>
      </x:c>
      <x:c r="AO219" s="18" t="str">
        <x:v>INCLUDE</x:v>
      </x:c>
      <x:c r="AP219" s="18" t="str">
        <x:v>Explicit 24-h pain endpoint with quantitative source data.</x:v>
      </x:c>
      <x:c r="AQ219" s="18" t="str">
        <x:v>Yes</x:v>
      </x:c>
      <x:c r="AR219" s="18" t="str"/>
      <x:c r="AS219" s="18" t="str">
        <x:v>None</x:v>
      </x:c>
      <x:c r="AT219" s="18" t="str">
        <x:v>Moderate-to-severe movement-evoked pain (VAS &gt;4)</x:v>
      </x:c>
      <x:c r="AU219" s="18" t="str">
        <x:v>24 h</x:v>
      </x:c>
      <x:c r="AV219" s="18" t="str">
        <x:v>Some concerns</x:v>
      </x:c>
      <x:c r="AW219" s="18" t="str">
        <x:v>Yes — selected RoB is for a different result/timepoint</x:v>
      </x:c>
      <x:c r="AX219" s="18" t="str">
        <x:v>He 2026 (breast/WJCO)</x:v>
      </x:c>
      <x:c r="AY219" s="18" t="str">
        <x:v>Primary eligible contrast</x:v>
      </x:c>
      <x:c r="AZ219" s="18" t="str">
        <x:v>Count this study once per synthesis unless a valid multi-arm method is used.</x:v>
      </x:c>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x:c r="AA220" s="18" t="str">
        <x:v>No</x:v>
      </x:c>
      <x:c r="AB220" s="18" t="str">
        <x:v>No</x:v>
      </x:c>
      <x:c r="AC220" s="18"/>
      <x:c r="AD220" s="18"/>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c r="AM220" s="18" t="str">
        <x:v>Postoperative opioid consumption</x:v>
      </x:c>
      <x:c r="AN220" s="18" t="str">
        <x:v>Exact/explicit 24 h</x:v>
      </x:c>
      <x:c r="AO220" s="18" t="str">
        <x:v>EXCLUDE — DATA UNAVAILABLE</x:v>
      </x:c>
      <x:c r="AP220" s="18" t="str">
        <x:v>The source does not provide a defensible quantitative value for this analysis.</x:v>
      </x:c>
      <x:c r="AQ220" s="18" t="str">
        <x:v>No</x:v>
      </x:c>
      <x:c r="AR220" s="18" t="str"/>
      <x:c r="AS220" s="18" t="str">
        <x:v>Use native IV morphine; convert to review-standard MME only per prespecified rule</x:v>
      </x:c>
      <x:c r="AT220" s="18" t="str">
        <x:v>Moderate-to-severe movement-evoked pain (VAS &gt;4)</x:v>
      </x:c>
      <x:c r="AU220" s="18" t="str">
        <x:v>24 h</x:v>
      </x:c>
      <x:c r="AV220" s="18" t="str">
        <x:v>Some concerns</x:v>
      </x:c>
      <x:c r="AW220" s="18" t="str">
        <x:v>Yes — selected RoB is for a different result/timepoint</x:v>
      </x:c>
      <x:c r="AX220" s="18" t="str">
        <x:v>He 2026 (breast/WJCO)</x:v>
      </x:c>
      <x:c r="AY220" s="18" t="str">
        <x:v>Primary eligible contrast</x:v>
      </x:c>
      <x:c r="AZ220" s="18" t="str">
        <x:v>Count this study once per synthesis unless a valid multi-arm method is used.</x:v>
      </x:c>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v>MD</x:v>
      </x:c>
      <x:c r="AD221" s="18" t="n">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c r="AM221" s="18" t="str">
        <x:v>Pain</x:v>
      </x:c>
      <x:c r="AN221" s="18" t="str">
        <x:v>Exact/explicit 24 h</x:v>
      </x:c>
      <x:c r="AO221" s="18" t="str">
        <x:v>INCLUDE</x:v>
      </x:c>
      <x:c r="AP221" s="18" t="str">
        <x:v>Explicit 24-h pain endpoint with quantitative source data.</x:v>
      </x:c>
      <x:c r="AQ221" s="18" t="str">
        <x:v>Yes</x:v>
      </x:c>
      <x:c r="AR221" s="18" t="str"/>
      <x:c r="AS221" s="18" t="str">
        <x:v>None</x:v>
      </x:c>
      <x:c r="AT221" s="18" t="str">
        <x:v>Time to first flatus</x:v>
      </x:c>
      <x:c r="AU221" s="18" t="str">
        <x:v>Postoperative</x:v>
      </x:c>
      <x:c r="AV221" s="18" t="str">
        <x:v>Some concerns</x:v>
      </x:c>
      <x:c r="AW221" s="18" t="str">
        <x:v>Yes — selected RoB is for a different result/timepoint</x:v>
      </x:c>
      <x:c r="AX221" s="18" t="str">
        <x:v>Gu 2019</x:v>
      </x:c>
      <x:c r="AY221" s="18" t="str">
        <x:v>Primary eligible contrast</x:v>
      </x:c>
      <x:c r="AZ221" s="18" t="str">
        <x:v>Count this study once per synthesis unless a valid multi-arm method is used.</x:v>
      </x:c>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v>MD</x:v>
      </x:c>
      <x:c r="AD222" s="18" t="n">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c r="AM222" s="18" t="str">
        <x:v>GI recovery</x:v>
      </x:c>
      <x:c r="AN222" s="18" t="str">
        <x:v>Postoperative</x:v>
      </x:c>
      <x:c r="AO222" s="18" t="str">
        <x:v>INCLUDE — SECONDARY GI</x:v>
      </x:c>
      <x:c r="AP222" s="18" t="str">
        <x:v>Source-valid GI recovery outcome; analyze separately by outcome definition.</x:v>
      </x:c>
      <x:c r="AQ222" s="18" t="str">
        <x:v>No</x:v>
      </x:c>
      <x:c r="AR222" s="18" t="str"/>
      <x:c r="AS222" s="18" t="str">
        <x:v>None</x:v>
      </x:c>
      <x:c r="AT222" s="18" t="str">
        <x:v>Time to first flatus</x:v>
      </x:c>
      <x:c r="AU222" s="18" t="str">
        <x:v>Postoperative</x:v>
      </x:c>
      <x:c r="AV222" s="18" t="str">
        <x:v>Some concerns</x:v>
      </x:c>
      <x:c r="AW222" s="18" t="str">
        <x:v>Yes — selected RoB is for a different result/timepoint</x:v>
      </x:c>
      <x:c r="AX222" s="18" t="str">
        <x:v>Gu 2019</x:v>
      </x:c>
      <x:c r="AY222" s="18" t="str">
        <x:v>Primary eligible contrast</x:v>
      </x:c>
      <x:c r="AZ222" s="18" t="str">
        <x:v>Count this study once per synthesis unless a valid multi-arm method is used.</x:v>
      </x:c>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v>MD</x:v>
      </x:c>
      <x:c r="AD223" s="18" t="n">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c r="AM223" s="18" t="str">
        <x:v>GI recovery</x:v>
      </x:c>
      <x:c r="AN223" s="18" t="str">
        <x:v>Postoperative</x:v>
      </x:c>
      <x:c r="AO223" s="18" t="str">
        <x:v>INCLUDE</x:v>
      </x:c>
      <x:c r="AP223" s="18" t="str">
        <x:v>Source-valid first-flatus/ileus endpoint; retain reported distribution (mean/SD, median/IQR, or events).</x:v>
      </x:c>
      <x:c r="AQ223" s="18" t="str">
        <x:v>Yes</x:v>
      </x:c>
      <x:c r="AR223" s="18" t="str"/>
      <x:c r="AS223" s="18" t="str">
        <x:v>None</x:v>
      </x:c>
      <x:c r="AT223" s="18" t="str">
        <x:v>Time to first flatus</x:v>
      </x:c>
      <x:c r="AU223" s="18" t="str">
        <x:v>Postoperative</x:v>
      </x:c>
      <x:c r="AV223" s="18" t="str">
        <x:v>Some concerns</x:v>
      </x:c>
      <x:c r="AW223" s="18" t="str">
        <x:v>No — selected RoB matches this result</x:v>
      </x:c>
      <x:c r="AX223" s="18" t="str">
        <x:v>Gu 2019</x:v>
      </x:c>
      <x:c r="AY223" s="18" t="str">
        <x:v>Primary eligible contrast</x:v>
      </x:c>
      <x:c r="AZ223" s="18" t="str">
        <x:v>Count this study once per synthesis unless a valid multi-arm method is used.</x:v>
      </x:c>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v>MD</x:v>
      </x:c>
      <x:c r="AD224" s="18" t="n">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c r="AM224" s="18" t="str">
        <x:v>GI recovery</x:v>
      </x:c>
      <x:c r="AN224" s="18" t="str">
        <x:v>Postoperative</x:v>
      </x:c>
      <x:c r="AO224" s="18" t="str">
        <x:v>INCLUDE — SECONDARY GI</x:v>
      </x:c>
      <x:c r="AP224" s="18" t="str">
        <x:v>Source-valid GI recovery outcome; analyze separately by outcome definition.</x:v>
      </x:c>
      <x:c r="AQ224" s="18" t="str">
        <x:v>No</x:v>
      </x:c>
      <x:c r="AR224" s="18" t="str"/>
      <x:c r="AS224" s="18" t="str">
        <x:v>None</x:v>
      </x:c>
      <x:c r="AT224" s="18" t="str">
        <x:v>Time to first flatus</x:v>
      </x:c>
      <x:c r="AU224" s="18" t="str">
        <x:v>Postoperative</x:v>
      </x:c>
      <x:c r="AV224" s="18" t="str">
        <x:v>Some concerns</x:v>
      </x:c>
      <x:c r="AW224" s="18" t="str">
        <x:v>Yes — selected RoB is for a different result/timepoint</x:v>
      </x:c>
      <x:c r="AX224" s="18" t="str">
        <x:v>Gu 2019</x:v>
      </x:c>
      <x:c r="AY224" s="18" t="str">
        <x:v>Primary eligible contrast</x:v>
      </x:c>
      <x:c r="AZ224" s="18" t="str">
        <x:v>Count this study once per synthesis unless a valid multi-arm method is used.</x:v>
      </x:c>
    </x:row>
    <x:row r="225">
      <x:c r="A225" s="18" t="str">
        <x:v>Gu 2019</x:v>
      </x:c>
      <x:c r="B225" s="18" t="str">
        <x:v>GU19_LTEAS_vs_CTEAS_PCIA4</x:v>
      </x:c>
      <x:c r="C225" s="18" t="str">
        <x:v>Long-duration TEAS</x:v>
      </x:c>
      <x:c r="D225" s="18" t="str">
        <x:v>Sham/no-current TEAS</x:v>
      </x:c>
      <x:c r="E225" s="18" t="str">
        <x:v>Opioid consumption</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solution = numerically same µg sufentanil at 1 µg/mL</x:v>
      </x:c>
      <x:c r="Z225" s="18" t="str">
        <x:v>&lt;0.05</x:v>
      </x:c>
      <x:c r="AA225" s="18" t="str">
        <x:v>Yes</x:v>
      </x:c>
      <x:c r="AB225" s="18" t="str">
        <x:v>Yes</x:v>
      </x:c>
      <x:c r="AC225" s="18" t="str">
        <x:v>MD</x:v>
      </x:c>
      <x:c r="AD225" s="18" t="n">
        <x:v>-3.360000000000001</x:v>
      </x:c>
      <x:c r="AE225" s="18" t="str">
        <x:v>No</x:v>
      </x:c>
      <x:c r="AF225" s="18" t="str">
        <x:v>No</x:v>
      </x:c>
      <x:c r="AG225" s="18" t="str">
        <x:v>Usable as PCIA-volume/sufentanil-delivery proxy at stated time only</x:v>
      </x:c>
      <x:c r="AH225" s="18" t="str">
        <x:v>No</x:v>
      </x:c>
      <x:c r="AI225" s="18" t="str">
        <x:v>Pump also contains dexmedetomidine, flurbiprofen and palonosetron; exact 24-h value is graph-only</x:v>
      </x:c>
      <x:c r="AJ225" s="18" t="str">
        <x:v>Figure 4 / 4 h cumulative PCIA</x:v>
      </x:c>
      <x:c r="AK225" s="18" t="str">
        <x:v>https://drive.google.com/file/d/1ipQFXfERgAVmgNKMpLkvaaecYJVSTDiw/view?usp=drivesdk</x:v>
      </x:c>
      <x:c r="AL225" s="18" t="str">
        <x:v>SOURCE-VERIFIED / MULTIMODAL PCIA</x:v>
      </x:c>
      <x:c r="AM225" s="18" t="str">
        <x:v>Postoperative opioid consumption</x:v>
      </x:c>
      <x:c r="AN225" s="18" t="str">
        <x:v>4 h</x:v>
      </x:c>
      <x:c r="AO225" s="18" t="str">
        <x:v>EXCLUDE — NOT PRIMARY 24H OPIOID</x:v>
      </x:c>
      <x:c r="AP225" s="18" t="str">
        <x:v>Not a strict 0-24-h postoperative opioid-consumption endpoint.</x:v>
      </x:c>
      <x:c r="AQ225" s="18" t="str">
        <x:v>No</x:v>
      </x:c>
      <x:c r="AR225" s="18" t="str"/>
      <x:c r="AS225" s="18" t="str">
        <x:v>Opioid/MME conversion required using prespecified review conversion</x:v>
      </x:c>
      <x:c r="AT225" s="18" t="str">
        <x:v>Time to first flatus</x:v>
      </x:c>
      <x:c r="AU225" s="18" t="str">
        <x:v>Postoperative</x:v>
      </x:c>
      <x:c r="AV225" s="18" t="str">
        <x:v>Some concerns</x:v>
      </x:c>
      <x:c r="AW225" s="18" t="str">
        <x:v>Yes — selected RoB is for a different result/timepoint</x:v>
      </x:c>
      <x:c r="AX225" s="18" t="str">
        <x:v>Gu 2019</x:v>
      </x:c>
      <x:c r="AY225" s="18" t="str">
        <x:v>Primary eligible contrast</x:v>
      </x:c>
      <x:c r="AZ225" s="18" t="str">
        <x:v>Count this study once per synthesis unless a valid multi-arm method is used.</x:v>
      </x:c>
    </x:row>
    <x:row r="226">
      <x:c r="A226" s="18" t="str">
        <x:v>Gu 2019</x:v>
      </x:c>
      <x:c r="B226" s="18" t="str">
        <x:v>GU19_LTEAS_vs_CTEAS_PCIA8</x:v>
      </x:c>
      <x:c r="C226" s="18" t="str">
        <x:v>Long-duration TEAS</x:v>
      </x:c>
      <x:c r="D226" s="18" t="str">
        <x:v>Sham/no-current TEAS</x:v>
      </x:c>
      <x:c r="E226" s="18" t="str">
        <x:v>Opioid consumption</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solution = numerically same µg sufentanil at 1 µg/mL</x:v>
      </x:c>
      <x:c r="Z226" s="18" t="str">
        <x:v>&lt;0.05</x:v>
      </x:c>
      <x:c r="AA226" s="18" t="str">
        <x:v>Yes</x:v>
      </x:c>
      <x:c r="AB226" s="18" t="str">
        <x:v>Yes</x:v>
      </x:c>
      <x:c r="AC226" s="18" t="str">
        <x:v>MD</x:v>
      </x:c>
      <x:c r="AD226" s="18" t="n">
        <x:v>-4.079999999999998</x:v>
      </x:c>
      <x:c r="AE226" s="18" t="str">
        <x:v>No</x:v>
      </x:c>
      <x:c r="AF226" s="18" t="str">
        <x:v>No</x:v>
      </x:c>
      <x:c r="AG226" s="18" t="str">
        <x:v>Usable as PCIA-volume/sufentanil-delivery proxy at stated time only</x:v>
      </x:c>
      <x:c r="AH226" s="18" t="str">
        <x:v>No</x:v>
      </x:c>
      <x:c r="AI226" s="18" t="str">
        <x:v>Pump also contains dexmedetomidine, flurbiprofen and palonosetron; exact 24-h value is graph-only</x:v>
      </x:c>
      <x:c r="AJ226" s="18" t="str">
        <x:v>Figure 4 / 8 h cumulative PCIA</x:v>
      </x:c>
      <x:c r="AK226" s="18" t="str">
        <x:v>https://drive.google.com/file/d/1ipQFXfERgAVmgNKMpLkvaaecYJVSTDiw/view?usp=drivesdk</x:v>
      </x:c>
      <x:c r="AL226" s="18" t="str">
        <x:v>SOURCE-VERIFIED / MULTIMODAL PCIA</x:v>
      </x:c>
      <x:c r="AM226" s="18" t="str">
        <x:v>Postoperative opioid consumption</x:v>
      </x:c>
      <x:c r="AN226" s="18" t="str">
        <x:v>8 h</x:v>
      </x:c>
      <x:c r="AO226" s="18" t="str">
        <x:v>EXCLUDE — NOT PRIMARY 24H OPIOID</x:v>
      </x:c>
      <x:c r="AP226" s="18" t="str">
        <x:v>Not a strict 0-24-h postoperative opioid-consumption endpoint.</x:v>
      </x:c>
      <x:c r="AQ226" s="18" t="str">
        <x:v>No</x:v>
      </x:c>
      <x:c r="AR226" s="18" t="str"/>
      <x:c r="AS226" s="18" t="str">
        <x:v>Opioid/MME conversion required using prespecified review conversion</x:v>
      </x:c>
      <x:c r="AT226" s="18" t="str">
        <x:v>Time to first flatus</x:v>
      </x:c>
      <x:c r="AU226" s="18" t="str">
        <x:v>Postoperative</x:v>
      </x:c>
      <x:c r="AV226" s="18" t="str">
        <x:v>Some concerns</x:v>
      </x:c>
      <x:c r="AW226" s="18" t="str">
        <x:v>Yes — selected RoB is for a different result/timepoint</x:v>
      </x:c>
      <x:c r="AX226" s="18" t="str">
        <x:v>Gu 2019</x:v>
      </x:c>
      <x:c r="AY226" s="18" t="str">
        <x:v>Primary eligible contrast</x:v>
      </x:c>
      <x:c r="AZ226" s="18" t="str">
        <x:v>Count this study once per synthesis unless a valid multi-arm method is used.</x:v>
      </x:c>
    </x:row>
    <x:row r="227">
      <x:c r="A227" s="18" t="str">
        <x:v>Gu 2019</x:v>
      </x:c>
      <x:c r="B227" s="18" t="str">
        <x:v>GU19_LTEAS_vs_CTEAS_PCIA36</x:v>
      </x:c>
      <x:c r="C227" s="18" t="str">
        <x:v>Long-duration TEAS</x:v>
      </x:c>
      <x:c r="D227" s="18" t="str">
        <x:v>Sham/no-current TEAS</x:v>
      </x:c>
      <x:c r="E227" s="18" t="str">
        <x:v>Opioid consumption</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solution = numerically same µg sufentanil at 1 µg/mL</x:v>
      </x:c>
      <x:c r="Z227" s="18" t="str">
        <x:v>&lt;0.05</x:v>
      </x:c>
      <x:c r="AA227" s="18" t="str">
        <x:v>Yes</x:v>
      </x:c>
      <x:c r="AB227" s="18" t="str">
        <x:v>Yes</x:v>
      </x:c>
      <x:c r="AC227" s="18" t="str">
        <x:v>MD</x:v>
      </x:c>
      <x:c r="AD227" s="18" t="n">
        <x:v>-3.3700000000000045</x:v>
      </x:c>
      <x:c r="AE227" s="18" t="str">
        <x:v>No</x:v>
      </x:c>
      <x:c r="AF227" s="18" t="str">
        <x:v>No</x:v>
      </x:c>
      <x:c r="AG227" s="18" t="str">
        <x:v>Usable as PCIA-volume/sufentanil-delivery proxy at stated time only</x:v>
      </x:c>
      <x:c r="AH227" s="18" t="str">
        <x:v>No</x:v>
      </x:c>
      <x:c r="AI227" s="18" t="str">
        <x:v>Pump also contains dexmedetomidine, flurbiprofen and palonosetron; exact 24-h value is graph-only</x:v>
      </x:c>
      <x:c r="AJ227" s="18" t="str">
        <x:v>Figure 4 / 36 h cumulative PCIA</x:v>
      </x:c>
      <x:c r="AK227" s="18" t="str">
        <x:v>https://drive.google.com/file/d/1ipQFXfERgAVmgNKMpLkvaaecYJVSTDiw/view?usp=drivesdk</x:v>
      </x:c>
      <x:c r="AL227" s="18" t="str">
        <x:v>SOURCE-VERIFIED / MULTIMODAL PCIA</x:v>
      </x:c>
      <x:c r="AM227" s="18" t="str">
        <x:v>Postoperative opioid consumption</x:v>
      </x:c>
      <x:c r="AN227" s="18" t="str">
        <x:v>36 h</x:v>
      </x:c>
      <x:c r="AO227" s="18" t="str">
        <x:v>EXCLUDE — NOT PRIMARY 24H OPIOID</x:v>
      </x:c>
      <x:c r="AP227" s="18" t="str">
        <x:v>Not a strict 0-24-h postoperative opioid-consumption endpoint.</x:v>
      </x:c>
      <x:c r="AQ227" s="18" t="str">
        <x:v>No</x:v>
      </x:c>
      <x:c r="AR227" s="18" t="str"/>
      <x:c r="AS227" s="18" t="str">
        <x:v>Opioid/MME conversion required using prespecified review conversion</x:v>
      </x:c>
      <x:c r="AT227" s="18" t="str">
        <x:v>Time to first flatus</x:v>
      </x:c>
      <x:c r="AU227" s="18" t="str">
        <x:v>Postoperative</x:v>
      </x:c>
      <x:c r="AV227" s="18" t="str">
        <x:v>Some concerns</x:v>
      </x:c>
      <x:c r="AW227" s="18" t="str">
        <x:v>Yes — selected RoB is for a different result/timepoint</x:v>
      </x:c>
      <x:c r="AX227" s="18" t="str">
        <x:v>Gu 2019</x:v>
      </x:c>
      <x:c r="AY227" s="18" t="str">
        <x:v>Primary eligible contrast</x:v>
      </x:c>
      <x:c r="AZ227" s="18" t="str">
        <x:v>Count this study once per synthesis unless a valid multi-arm method is used.</x:v>
      </x:c>
    </x:row>
    <x:row r="228">
      <x:c r="A228" s="18" t="str">
        <x:v>Gu 2019</x:v>
      </x:c>
      <x:c r="B228" s="18" t="str">
        <x:v>GU19_OPIOID24</x:v>
      </x:c>
      <x:c r="C228" s="18" t="str">
        <x:v>Long-duration TEAS</x:v>
      </x:c>
      <x:c r="D228" s="18" t="str">
        <x:v>Sham/no-current TEAS</x:v>
      </x:c>
      <x:c r="E228" s="18" t="str">
        <x:v>Opioid consumption</x:v>
      </x:c>
      <x:c r="F228" s="18" t="str">
        <x:v>Exact cumulative 24-h postoperative sufentanil</x:v>
      </x:c>
      <x:c r="G228" s="18" t="str">
        <x:v>0-24 h</x:v>
      </x:c>
      <x:c r="H228" s="18" t="str">
        <x:v>Graph-only / not numerically reported</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µg sufentanil</x:v>
      </x:c>
      <x:c r="Z228" s="18"/>
      <x:c r="AA228" s="18" t="str">
        <x:v>No</x:v>
      </x:c>
      <x:c r="AB228" s="18" t="str">
        <x:v>No</x:v>
      </x:c>
      <x:c r="AC228" s="18"/>
      <x:c r="AD228" s="18"/>
      <x:c r="AE228" s="18" t="str">
        <x:v>Yes</x:v>
      </x:c>
      <x:c r="AF228" s="18" t="str">
        <x:v>No</x:v>
      </x:c>
      <x:c r="AG228" s="18" t="str">
        <x:v>Not meta-analysis-ready without graph digitization or author data</x:v>
      </x:c>
      <x:c r="AH228" s="18" t="str">
        <x:v>No</x:v>
      </x:c>
      <x:c r="AI228" s="18" t="str">
        <x:v>24-h PCIA point is visible graphically but not numerically reported</x:v>
      </x:c>
      <x:c r="AJ228" s="18" t="str">
        <x:v>Figure 4 / 24-h point</x:v>
      </x:c>
      <x:c r="AK228" s="18" t="str">
        <x:v>https://drive.google.com/file/d/1ipQFXfERgAVmgNKMpLkvaaecYJVSTDiw/view?usp=drivesdk</x:v>
      </x:c>
      <x:c r="AL228" s="18" t="str">
        <x:v>FIGURE ONLY / DIGITIZATION NEEDED</x:v>
      </x:c>
      <x:c r="AM228" s="18" t="str">
        <x:v>Postoperative opioid consumption</x:v>
      </x:c>
      <x:c r="AN228" s="18" t="str">
        <x:v>Exact/explicit 24 h</x:v>
      </x:c>
      <x:c r="AO228" s="18" t="str">
        <x:v>DIGITIZATION NEEDED</x:v>
      </x:c>
      <x:c r="AP228" s="18" t="str">
        <x:v>Exact numeric result is not tabulated; formal graph digitization or author data is required before quantitative pooling.</x:v>
      </x:c>
      <x:c r="AQ228" s="18" t="str">
        <x:v>No</x:v>
      </x:c>
      <x:c r="AR228" s="18" t="str"/>
      <x:c r="AS228" s="18" t="str">
        <x:v>Opioid/MME conversion required using prespecified review conversion</x:v>
      </x:c>
      <x:c r="AT228" s="18" t="str">
        <x:v>Time to first flatus</x:v>
      </x:c>
      <x:c r="AU228" s="18" t="str">
        <x:v>Postoperative</x:v>
      </x:c>
      <x:c r="AV228" s="18" t="str">
        <x:v>Some concerns</x:v>
      </x:c>
      <x:c r="AW228" s="18" t="str">
        <x:v>Yes — selected RoB is for a different result/timepoint</x:v>
      </x:c>
      <x:c r="AX228" s="18" t="str">
        <x:v>Gu 2019</x:v>
      </x:c>
      <x:c r="AY228" s="18" t="str">
        <x:v>Primary eligible contrast</x:v>
      </x:c>
      <x:c r="AZ228" s="18" t="str">
        <x:v>Count this study once per synthesis unless a valid multi-arm method is used.</x:v>
      </x:c>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v>RR</x:v>
      </x:c>
      <x:c r="AD229" s="18" t="n">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c r="AM229" s="18" t="str">
        <x:v>Neurocognitive</x:v>
      </x:c>
      <x:c r="AN229" s="18" t="str">
        <x:v>POD1 / approximate 24 h</x:v>
      </x:c>
      <x:c r="AO229" s="18" t="str">
        <x:v>CONDITIONAL</x:v>
      </x:c>
      <x:c r="AP229" s="18" t="str">
        <x:v>Source-grounded but carries a QC qualification.</x:v>
      </x:c>
      <x:c r="AQ229" s="18" t="str">
        <x:v>No</x:v>
      </x:c>
      <x:c r="AR229" s="18" t="str"/>
      <x:c r="AS229" s="18" t="str">
        <x:v>Binary effect measure (RR preferred per protocol)</x:v>
      </x:c>
      <x:c r="AT229" s="18" t="str">
        <x:v>Postoperative cognitive dysfunction</x:v>
      </x:c>
      <x:c r="AU229" s="18" t="str">
        <x:v>POD1</x:v>
      </x:c>
      <x:c r="AV229" s="18" t="str">
        <x:v>High</x:v>
      </x:c>
      <x:c r="AW229" s="18" t="str">
        <x:v>Yes — selected RoB is for a different result/timepoint</x:v>
      </x:c>
      <x:c r="AX229" s="18" t="str">
        <x:v>Guo 2023</x:v>
      </x:c>
      <x:c r="AY229" s="18" t="str">
        <x:v>Primary eligible contrast</x:v>
      </x:c>
      <x:c r="AZ229" s="18" t="str">
        <x:v>Count this study once per synthesis unless a valid multi-arm method is used.</x:v>
      </x:c>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v>RR</x:v>
      </x:c>
      <x:c r="AD230" s="18" t="n">
        <x:v>0.16666666666666666</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c r="AM230" s="18" t="str">
        <x:v>Neurocognitive</x:v>
      </x:c>
      <x:c r="AN230" s="18" t="str">
        <x:v>POD7</x:v>
      </x:c>
      <x:c r="AO230" s="18" t="str">
        <x:v>CONDITIONAL</x:v>
      </x:c>
      <x:c r="AP230" s="18" t="str">
        <x:v>Source-grounded but carries a QC qualification.</x:v>
      </x:c>
      <x:c r="AQ230" s="18" t="str">
        <x:v>No</x:v>
      </x:c>
      <x:c r="AR230" s="18" t="str"/>
      <x:c r="AS230" s="18" t="str">
        <x:v>Binary effect measure (RR preferred per protocol)</x:v>
      </x:c>
      <x:c r="AT230" s="18" t="str">
        <x:v>Postoperative cognitive dysfunction</x:v>
      </x:c>
      <x:c r="AU230" s="18" t="str">
        <x:v>POD1</x:v>
      </x:c>
      <x:c r="AV230" s="18" t="str">
        <x:v>High</x:v>
      </x:c>
      <x:c r="AW230" s="18" t="str">
        <x:v>Yes — selected RoB is for a different result/timepoint</x:v>
      </x:c>
      <x:c r="AX230" s="18" t="str">
        <x:v>Guo 2023</x:v>
      </x:c>
      <x:c r="AY230" s="18" t="str">
        <x:v>Primary eligible contrast</x:v>
      </x:c>
      <x:c r="AZ230" s="18" t="str">
        <x:v>Count this study once per synthesis unless a valid multi-arm method is used.</x:v>
      </x:c>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v>RR</x:v>
      </x:c>
      <x:c r="AD231" s="18" t="n">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c r="AM231" s="18" t="str">
        <x:v>Neurocognitive</x:v>
      </x:c>
      <x:c r="AN231" s="18" t="str">
        <x:v>POD30</x:v>
      </x:c>
      <x:c r="AO231" s="18" t="str">
        <x:v>CONDITIONAL</x:v>
      </x:c>
      <x:c r="AP231" s="18" t="str">
        <x:v>Source-grounded but carries a QC qualification.</x:v>
      </x:c>
      <x:c r="AQ231" s="18" t="str">
        <x:v>No</x:v>
      </x:c>
      <x:c r="AR231" s="18" t="str"/>
      <x:c r="AS231" s="18" t="str">
        <x:v>Binary effect measure (RR preferred per protocol)</x:v>
      </x:c>
      <x:c r="AT231" s="18" t="str">
        <x:v>Postoperative cognitive dysfunction</x:v>
      </x:c>
      <x:c r="AU231" s="18" t="str">
        <x:v>POD1</x:v>
      </x:c>
      <x:c r="AV231" s="18" t="str">
        <x:v>High</x:v>
      </x:c>
      <x:c r="AW231" s="18" t="str">
        <x:v>Yes — selected RoB is for a different result/timepoint</x:v>
      </x:c>
      <x:c r="AX231" s="18" t="str">
        <x:v>Guo 2023</x:v>
      </x:c>
      <x:c r="AY231" s="18" t="str">
        <x:v>Primary eligible contrast</x:v>
      </x:c>
      <x:c r="AZ231" s="18" t="str">
        <x:v>Count this study once per synthesis unless a valid multi-arm method is used.</x:v>
      </x:c>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v>MD</x:v>
      </x:c>
      <x:c r="AD232" s="18" t="n">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c r="AM232" s="18" t="str">
        <x:v>Intraoperative opioid</x:v>
      </x:c>
      <x:c r="AN232" s="18" t="str">
        <x:v>Intraoperative</x:v>
      </x:c>
      <x:c r="AO232" s="18" t="str">
        <x:v>INCLUDE — INTRAOPERATIVE</x:v>
      </x:c>
      <x:c r="AP232" s="18" t="str">
        <x:v>Valid intraoperative opioid endpoint; must remain separate from postoperative opioid consumption.</x:v>
      </x:c>
      <x:c r="AQ232" s="18" t="str">
        <x:v>No</x:v>
      </x:c>
      <x:c r="AR232" s="18" t="str"/>
      <x:c r="AS232" s="18" t="str">
        <x:v>None</x:v>
      </x:c>
      <x:c r="AT232" s="18" t="str">
        <x:v>Postoperative cognitive dysfunction</x:v>
      </x:c>
      <x:c r="AU232" s="18" t="str">
        <x:v>POD1</x:v>
      </x:c>
      <x:c r="AV232" s="18" t="str">
        <x:v>High</x:v>
      </x:c>
      <x:c r="AW232" s="18" t="str">
        <x:v>Yes — selected RoB is for a different result/timepoint</x:v>
      </x:c>
      <x:c r="AX232" s="18" t="str">
        <x:v>Guo 2023</x:v>
      </x:c>
      <x:c r="AY232" s="18" t="str">
        <x:v>Primary eligible contrast</x:v>
      </x:c>
      <x:c r="AZ232" s="18" t="str">
        <x:v>Count this study once per synthesis unless a valid multi-arm method is used.</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x:c r="AD233" s="18"/>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c r="AM233" s="18" t="str">
        <x:v>Pain</x:v>
      </x:c>
      <x:c r="AN233" s="18" t="str">
        <x:v>POD1 / approximate 24 h</x:v>
      </x:c>
      <x:c r="AO233" s="18" t="str">
        <x:v>DIGITIZATION NEEDED</x:v>
      </x:c>
      <x:c r="AP233" s="18" t="str">
        <x:v>Exact numeric result is not tabulated; formal graph digitization or author data is required before quantitative pooling.</x:v>
      </x:c>
      <x:c r="AQ233" s="18" t="str">
        <x:v>No</x:v>
      </x:c>
      <x:c r="AR233" s="18" t="str"/>
      <x:c r="AS233" s="18" t="str">
        <x:v>None</x:v>
      </x:c>
      <x:c r="AT233" s="18" t="str">
        <x:v>Postoperative cognitive dysfunction</x:v>
      </x:c>
      <x:c r="AU233" s="18" t="str">
        <x:v>POD1</x:v>
      </x:c>
      <x:c r="AV233" s="18" t="str">
        <x:v>High</x:v>
      </x:c>
      <x:c r="AW233" s="18" t="str">
        <x:v>Yes — selected RoB is for a different result/timepoint</x:v>
      </x:c>
      <x:c r="AX233" s="18" t="str">
        <x:v>Guo 2023</x:v>
      </x:c>
      <x:c r="AY233" s="18" t="str">
        <x:v>Primary eligible contrast</x:v>
      </x:c>
      <x:c r="AZ233" s="18" t="str">
        <x:v>Count this study once per synthesis unless a valid multi-arm method is used.</x:v>
      </x:c>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x:c r="AA234" s="18" t="str">
        <x:v>No</x:v>
      </x:c>
      <x:c r="AB234" s="18" t="str">
        <x:v>No</x:v>
      </x:c>
      <x:c r="AC234" s="18"/>
      <x:c r="AD234" s="18"/>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c r="AM234" s="18" t="str">
        <x:v>Postoperative opioid consumption</x:v>
      </x:c>
      <x:c r="AN234" s="18" t="str">
        <x:v>Exact/explicit 24 h</x:v>
      </x:c>
      <x:c r="AO234" s="18" t="str">
        <x:v>EXCLUDE — DATA UNAVAILABLE</x:v>
      </x:c>
      <x:c r="AP234" s="18" t="str">
        <x:v>The source does not provide a defensible quantitative value for this analysis.</x:v>
      </x:c>
      <x:c r="AQ234" s="18" t="str">
        <x:v>No</x:v>
      </x:c>
      <x:c r="AR234" s="18" t="str"/>
      <x:c r="AS234" s="18" t="str">
        <x:v>Opioid/MME conversion required using prespecified review conversion</x:v>
      </x:c>
      <x:c r="AT234" s="18" t="str">
        <x:v>Postoperative cognitive dysfunction</x:v>
      </x:c>
      <x:c r="AU234" s="18" t="str">
        <x:v>POD1</x:v>
      </x:c>
      <x:c r="AV234" s="18" t="str">
        <x:v>High</x:v>
      </x:c>
      <x:c r="AW234" s="18" t="str">
        <x:v>Yes — selected RoB is for a different result/timepoint</x:v>
      </x:c>
      <x:c r="AX234" s="18" t="str">
        <x:v>Guo 2023</x:v>
      </x:c>
      <x:c r="AY234" s="18" t="str">
        <x:v>Primary eligible contrast</x:v>
      </x:c>
      <x:c r="AZ234" s="18" t="str">
        <x:v>Count this study once per synthesis unless a valid multi-arm method is used.</x:v>
      </x:c>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x:c r="AD235" s="18"/>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c r="AM235" s="18" t="str">
        <x:v>Postoperative opioid consumption</x:v>
      </x:c>
      <x:c r="AN235" s="18" t="str">
        <x:v>PACU</x:v>
      </x:c>
      <x:c r="AO235" s="18" t="str">
        <x:v>DIGITIZATION NEEDED</x:v>
      </x:c>
      <x:c r="AP235" s="18" t="str">
        <x:v>Exact numeric result is not tabulated; formal graph digitization or author data is required before quantitative pooling.</x:v>
      </x:c>
      <x:c r="AQ235" s="18" t="str">
        <x:v>No</x:v>
      </x:c>
      <x:c r="AR235" s="18" t="str"/>
      <x:c r="AS235" s="18" t="str">
        <x:v>Use native IV morphine; convert to review-standard MME only per prespecified rule</x:v>
      </x:c>
      <x:c r="AT235" s="18" t="str">
        <x:v>PACU analgesic requirement in women-only subgroup</x:v>
      </x:c>
      <x:c r="AU235" s="18" t="str">
        <x:v>PACU</x:v>
      </x:c>
      <x:c r="AV235" s="18" t="str">
        <x:v>High</x:v>
      </x:c>
      <x:c r="AW235" s="18" t="str">
        <x:v>No — selected RoB matches this result</x:v>
      </x:c>
      <x:c r="AX235" s="18" t="str">
        <x:v>Grech 2016</x:v>
      </x:c>
      <x:c r="AY235" s="18" t="str">
        <x:v>Primary eligible contrast</x:v>
      </x:c>
      <x:c r="AZ235" s="18" t="str">
        <x:v>Count this study once per synthesis unless a valid multi-arm method is used.</x:v>
      </x:c>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x:c r="AA236" s="18" t="str">
        <x:v>No</x:v>
      </x:c>
      <x:c r="AB236" s="18" t="str">
        <x:v>No</x:v>
      </x:c>
      <x:c r="AC236" s="18"/>
      <x:c r="AD236" s="18"/>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c r="AM236" s="18" t="str">
        <x:v>Postoperative opioid consumption</x:v>
      </x:c>
      <x:c r="AN236" s="18" t="str">
        <x:v>Exact/explicit 24 h</x:v>
      </x:c>
      <x:c r="AO236" s="18" t="str">
        <x:v>EXCLUDE — DATA UNAVAILABLE</x:v>
      </x:c>
      <x:c r="AP236" s="18" t="str">
        <x:v>The source does not provide a defensible quantitative value for this analysis.</x:v>
      </x:c>
      <x:c r="AQ236" s="18" t="str">
        <x:v>No</x:v>
      </x:c>
      <x:c r="AR236" s="18" t="str"/>
      <x:c r="AS236" s="18" t="str">
        <x:v>Use native IV morphine; convert to review-standard MME only per prespecified rule</x:v>
      </x:c>
      <x:c r="AT236" s="18" t="str">
        <x:v>PACU analgesic requirement in women-only subgroup</x:v>
      </x:c>
      <x:c r="AU236" s="18" t="str">
        <x:v>PACU</x:v>
      </x:c>
      <x:c r="AV236" s="18" t="str">
        <x:v>High</x:v>
      </x:c>
      <x:c r="AW236" s="18" t="str">
        <x:v>Yes — selected RoB is for a different result/timepoint</x:v>
      </x:c>
      <x:c r="AX236" s="18" t="str">
        <x:v>Grech 2016</x:v>
      </x:c>
      <x:c r="AY236" s="18" t="str">
        <x:v>Primary eligible contrast</x:v>
      </x:c>
      <x:c r="AZ236" s="18" t="str">
        <x:v>Count this study once per synthesis unless a valid multi-arm method is used.</x:v>
      </x:c>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x:c r="AD237" s="18"/>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c r="AM237" s="18" t="str">
        <x:v>Pain</x:v>
      </x:c>
      <x:c r="AN237" s="18" t="str">
        <x:v>POD1 / approximate 24 h</x:v>
      </x:c>
      <x:c r="AO237" s="18" t="str">
        <x:v>DIGITIZATION NEEDED</x:v>
      </x:c>
      <x:c r="AP237" s="18" t="str">
        <x:v>Exact numeric result is not tabulated; formal graph digitization or author data is required before quantitative pooling.</x:v>
      </x:c>
      <x:c r="AQ237" s="18" t="str">
        <x:v>No</x:v>
      </x:c>
      <x:c r="AR237" s="18" t="str"/>
      <x:c r="AS237" s="18" t="str">
        <x:v>None</x:v>
      </x:c>
      <x:c r="AT237" s="18" t="str">
        <x:v>PACU analgesic requirement in women-only subgroup</x:v>
      </x:c>
      <x:c r="AU237" s="18" t="str">
        <x:v>PACU</x:v>
      </x:c>
      <x:c r="AV237" s="18" t="str">
        <x:v>High</x:v>
      </x:c>
      <x:c r="AW237" s="18" t="str">
        <x:v>Yes — selected RoB is for a different result/timepoint</x:v>
      </x:c>
      <x:c r="AX237" s="18" t="str">
        <x:v>Grech 2016</x:v>
      </x:c>
      <x:c r="AY237" s="18" t="str">
        <x:v>Primary eligible contrast</x:v>
      </x:c>
      <x:c r="AZ237" s="18" t="str">
        <x:v>Count this study once per synthesis unless a valid multi-arm method is used.</x:v>
      </x:c>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v>RR</x:v>
      </x:c>
      <x:c r="AD238" s="18" t="n">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c r="AM238" s="18" t="str">
        <x:v>GI recovery</x:v>
      </x:c>
      <x:c r="AN238" s="18" t="str">
        <x:v>Postoperative</x:v>
      </x:c>
      <x:c r="AO238" s="18" t="str">
        <x:v>INCLUDE</x:v>
      </x:c>
      <x:c r="AP238" s="18" t="str">
        <x:v>Source-valid first-flatus/ileus endpoint; retain reported distribution (mean/SD, median/IQR, or events).</x:v>
      </x:c>
      <x:c r="AQ238" s="18" t="str">
        <x:v>Yes</x:v>
      </x:c>
      <x:c r="AR238" s="18" t="str"/>
      <x:c r="AS238" s="18" t="str">
        <x:v>Binary effect measure (RR preferred per protocol)</x:v>
      </x:c>
      <x:c r="AT238" s="18" t="str">
        <x:v>Postoperative paralytic ileus</x:v>
      </x:c>
      <x:c r="AU238" s="18" t="str">
        <x:v>No flatus &gt;72 h</x:v>
      </x:c>
      <x:c r="AV238" s="18" t="str">
        <x:v>Some concerns</x:v>
      </x:c>
      <x:c r="AW238" s="18" t="str">
        <x:v>Yes — selected RoB is for a different result/timepoint</x:v>
      </x:c>
      <x:c r="AX238" s="18" t="str">
        <x:v>Gao 2021</x:v>
      </x:c>
      <x:c r="AY238" s="18" t="str">
        <x:v>Primary eligible contrast</x:v>
      </x:c>
      <x:c r="AZ238" s="18" t="str">
        <x:v>Count this study once per synthesis unless a valid multi-arm method is used.</x:v>
      </x:c>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v>MD</x:v>
      </x:c>
      <x:c r="AD239" s="18" t="n">
        <x:v>-12.899999999999999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c r="AM239" s="18" t="str">
        <x:v>GI recovery</x:v>
      </x:c>
      <x:c r="AN239" s="18" t="str">
        <x:v>Postoperative</x:v>
      </x:c>
      <x:c r="AO239" s="18" t="str">
        <x:v>INCLUDE</x:v>
      </x:c>
      <x:c r="AP239" s="18" t="str">
        <x:v>Source-valid first-flatus/ileus endpoint; retain reported distribution (mean/SD, median/IQR, or events).</x:v>
      </x:c>
      <x:c r="AQ239" s="18" t="str">
        <x:v>Yes</x:v>
      </x:c>
      <x:c r="AR239" s="18" t="str"/>
      <x:c r="AS239" s="18" t="str">
        <x:v>None</x:v>
      </x:c>
      <x:c r="AT239" s="18" t="str">
        <x:v>Postoperative paralytic ileus</x:v>
      </x:c>
      <x:c r="AU239" s="18" t="str">
        <x:v>No flatus &gt;72 h</x:v>
      </x:c>
      <x:c r="AV239" s="18" t="str">
        <x:v>Some concerns</x:v>
      </x:c>
      <x:c r="AW239" s="18" t="str">
        <x:v>Yes — selected RoB is for a different result/timepoint</x:v>
      </x:c>
      <x:c r="AX239" s="18" t="str">
        <x:v>Gao 2021</x:v>
      </x:c>
      <x:c r="AY239" s="18" t="str">
        <x:v>Primary eligible contrast</x:v>
      </x:c>
      <x:c r="AZ239" s="18" t="str">
        <x:v>Count this study once per synthesis unless a valid multi-arm method is used.</x:v>
      </x:c>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v>MD</x:v>
      </x:c>
      <x:c r="AD240" s="18" t="n">
        <x:v>-14.799999999999997</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c r="AM240" s="18" t="str">
        <x:v>GI recovery</x:v>
      </x:c>
      <x:c r="AN240" s="18" t="str">
        <x:v>Postoperative</x:v>
      </x:c>
      <x:c r="AO240" s="18" t="str">
        <x:v>INCLUDE — SECONDARY GI</x:v>
      </x:c>
      <x:c r="AP240" s="18" t="str">
        <x:v>Source-valid GI recovery outcome; analyze separately by outcome definition.</x:v>
      </x:c>
      <x:c r="AQ240" s="18" t="str">
        <x:v>No</x:v>
      </x:c>
      <x:c r="AR240" s="18" t="str"/>
      <x:c r="AS240" s="18" t="str">
        <x:v>None</x:v>
      </x:c>
      <x:c r="AT240" s="18" t="str">
        <x:v>Postoperative paralytic ileus</x:v>
      </x:c>
      <x:c r="AU240" s="18" t="str">
        <x:v>No flatus &gt;72 h</x:v>
      </x:c>
      <x:c r="AV240" s="18" t="str">
        <x:v>Some concerns</x:v>
      </x:c>
      <x:c r="AW240" s="18" t="str">
        <x:v>Yes — selected RoB is for a different result/timepoint</x:v>
      </x:c>
      <x:c r="AX240" s="18" t="str">
        <x:v>Gao 2021</x:v>
      </x:c>
      <x:c r="AY240" s="18" t="str">
        <x:v>Primary eligible contrast</x:v>
      </x:c>
      <x:c r="AZ240" s="18" t="str">
        <x:v>Count this study once per synthesis unless a valid multi-arm method is used.</x:v>
      </x:c>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v>MD</x:v>
      </x:c>
      <x:c r="AD241" s="18" t="n">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c r="AM241" s="18" t="str">
        <x:v>GI recovery</x:v>
      </x:c>
      <x:c r="AN241" s="18" t="str">
        <x:v>Postoperative</x:v>
      </x:c>
      <x:c r="AO241" s="18" t="str">
        <x:v>CONDITIONAL</x:v>
      </x:c>
      <x:c r="AP241" s="18" t="str">
        <x:v>GI recovery result is source-valid but requires outcome-definition matching.</x:v>
      </x:c>
      <x:c r="AQ241" s="18" t="str">
        <x:v>No</x:v>
      </x:c>
      <x:c r="AR241" s="18" t="str"/>
      <x:c r="AS241" s="18" t="str">
        <x:v>None</x:v>
      </x:c>
      <x:c r="AT241" s="18" t="str">
        <x:v>Postoperative paralytic ileus</x:v>
      </x:c>
      <x:c r="AU241" s="18" t="str">
        <x:v>No flatus &gt;72 h</x:v>
      </x:c>
      <x:c r="AV241" s="18" t="str">
        <x:v>Some concerns</x:v>
      </x:c>
      <x:c r="AW241" s="18" t="str">
        <x:v>Yes — selected RoB is for a different result/timepoint</x:v>
      </x:c>
      <x:c r="AX241" s="18" t="str">
        <x:v>Gao 2021</x:v>
      </x:c>
      <x:c r="AY241" s="18" t="str">
        <x:v>Primary eligible contrast</x:v>
      </x:c>
      <x:c r="AZ241" s="18" t="str">
        <x:v>Count this study once per synthesis unless a valid multi-arm method is used.</x:v>
      </x:c>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x:c r="AA242" s="18" t="str">
        <x:v>No</x:v>
      </x:c>
      <x:c r="AB242" s="18" t="str">
        <x:v>No</x:v>
      </x:c>
      <x:c r="AC242" s="18"/>
      <x:c r="AD242" s="18"/>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c r="AM242" s="18" t="str">
        <x:v>Postoperative opioid consumption</x:v>
      </x:c>
      <x:c r="AN242" s="18" t="str">
        <x:v>Exact/explicit 24 h</x:v>
      </x:c>
      <x:c r="AO242" s="18" t="str">
        <x:v>EXCLUDE — DATA UNAVAILABLE</x:v>
      </x:c>
      <x:c r="AP242" s="18" t="str">
        <x:v>The source does not provide a defensible quantitative value for this analysis.</x:v>
      </x:c>
      <x:c r="AQ242" s="18" t="str">
        <x:v>No</x:v>
      </x:c>
      <x:c r="AR242" s="18" t="str"/>
      <x:c r="AS242" s="18" t="str">
        <x:v>None</x:v>
      </x:c>
      <x:c r="AT242" s="18" t="str">
        <x:v>Postoperative paralytic ileus</x:v>
      </x:c>
      <x:c r="AU242" s="18" t="str">
        <x:v>No flatus &gt;72 h</x:v>
      </x:c>
      <x:c r="AV242" s="18" t="str">
        <x:v>Some concerns</x:v>
      </x:c>
      <x:c r="AW242" s="18" t="str">
        <x:v>Yes — selected RoB is for a different result/timepoint</x:v>
      </x:c>
      <x:c r="AX242" s="18" t="str">
        <x:v>Gao 2021</x:v>
      </x:c>
      <x:c r="AY242" s="18" t="str">
        <x:v>Primary eligible contrast</x:v>
      </x:c>
      <x:c r="AZ242" s="18" t="str">
        <x:v>Count this study once per synthesis unless a valid multi-arm method is used.</x:v>
      </x:c>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v>MD</x:v>
      </x:c>
      <x:c r="AD243" s="18" t="n">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c r="AM243" s="18" t="str">
        <x:v>Postoperative opioid consumption</x:v>
      </x:c>
      <x:c r="AN243" s="18" t="str">
        <x:v>Exact/explicit 24 h</x:v>
      </x:c>
      <x:c r="AO243" s="18" t="str">
        <x:v>DUPLICATE HOLD</x:v>
      </x:c>
      <x:c r="AP243" s="18" t="str">
        <x:v>Probable overlapping publication/cohort; do not pool as an independent study until linkage is resolved.</x:v>
      </x:c>
      <x:c r="AQ243" s="18" t="str">
        <x:v>No</x:v>
      </x:c>
      <x:c r="AR243" s="18" t="str">
        <x:v>Yeh lumbar-spine publication family</x:v>
      </x:c>
      <x:c r="AS243" s="18" t="str">
        <x:v>None</x:v>
      </x:c>
      <x:c r="AT243" s="18" t="str">
        <x:v>24-h morphine PCA dose</x:v>
      </x:c>
      <x:c r="AU243" s="18" t="str">
        <x:v>First 24 postoperative hours</x:v>
      </x:c>
      <x:c r="AV243" s="18" t="str">
        <x:v>Some concerns</x:v>
      </x:c>
      <x:c r="AW243" s="18" t="str">
        <x:v>No — selected RoB matches this result</x:v>
      </x:c>
      <x:c r="AX243" s="18" t="str">
        <x:v>Yeh lumbar-spine publication family — ONE study unit pending overlap adjudication</x:v>
      </x:c>
      <x:c r="AY243" s="18" t="str">
        <x:v>Duplicate/overlap hold</x:v>
      </x:c>
      <x:c r="AZ243" s="18" t="str">
        <x:v>Do not count independently until overlapping-publication status is resolved.</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v>MD</x:v>
      </x:c>
      <x:c r="AD244" s="18" t="n">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c r="AM244" s="18" t="str">
        <x:v>Postoperative opioid consumption</x:v>
      </x:c>
      <x:c r="AN244" s="18" t="str">
        <x:v>Exact/explicit 24 h</x:v>
      </x:c>
      <x:c r="AO244" s="18" t="str">
        <x:v>DUPLICATE HOLD</x:v>
      </x:c>
      <x:c r="AP244" s="18" t="str">
        <x:v>Probable overlapping publication/cohort; do not pool as an independent study until linkage is resolved.</x:v>
      </x:c>
      <x:c r="AQ244" s="18" t="str">
        <x:v>No</x:v>
      </x:c>
      <x:c r="AR244" s="18" t="str">
        <x:v>Yeh lumbar-spine publication family</x:v>
      </x:c>
      <x:c r="AS244" s="18" t="str">
        <x:v>None</x:v>
      </x:c>
      <x:c r="AT244" s="18" t="str">
        <x:v>24-h morphine PCA dose</x:v>
      </x:c>
      <x:c r="AU244" s="18" t="str">
        <x:v>First 24 postoperative hours</x:v>
      </x:c>
      <x:c r="AV244" s="18" t="str">
        <x:v>Some concerns</x:v>
      </x:c>
      <x:c r="AW244" s="18" t="str">
        <x:v>No — selected RoB matches this result</x:v>
      </x:c>
      <x:c r="AX244" s="18" t="str">
        <x:v>Yeh lumbar-spine publication family — ONE study unit pending overlap adjudication</x:v>
      </x:c>
      <x:c r="AY244" s="18" t="str">
        <x:v>Duplicate/overlap hold</x:v>
      </x:c>
      <x:c r="AZ244" s="18" t="str">
        <x:v>Do not count independently until overlapping-publication status is resolved.</x:v>
      </x:c>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v>MD</x:v>
      </x:c>
      <x:c r="AD245" s="18" t="n">
        <x:v>-2.3000000000000007</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c r="AM245" s="18" t="str">
        <x:v>Postoperative opioid consumption</x:v>
      </x:c>
      <x:c r="AN245" s="18" t="str">
        <x:v>Exact/explicit 24 h</x:v>
      </x:c>
      <x:c r="AO245" s="18" t="str">
        <x:v>DUPLICATE HOLD</x:v>
      </x:c>
      <x:c r="AP245" s="18" t="str">
        <x:v>Probable overlapping publication/cohort; do not pool as an independent study until linkage is resolved.</x:v>
      </x:c>
      <x:c r="AQ245" s="18" t="str">
        <x:v>No</x:v>
      </x:c>
      <x:c r="AR245" s="18" t="str">
        <x:v>Yeh lumbar-spine publication family</x:v>
      </x:c>
      <x:c r="AS245" s="18" t="str">
        <x:v>Use native IV morphine; convert to review-standard MME only per prespecified rule</x:v>
      </x:c>
      <x:c r="AT245" s="18" t="str">
        <x:v>24-h IV morphine PCA dose</x:v>
      </x:c>
      <x:c r="AU245" s="18" t="str">
        <x:v>First 24 postoperative hours</x:v>
      </x:c>
      <x:c r="AV245" s="18" t="str">
        <x:v>Some concerns</x:v>
      </x:c>
      <x:c r="AW245" s="18" t="str">
        <x:v>No — selected RoB matches this result</x:v>
      </x:c>
      <x:c r="AX245" s="18" t="str">
        <x:v>Yeh lumbar-spine publication family — ONE study unit pending overlap adjudication</x:v>
      </x:c>
      <x:c r="AY245" s="18" t="str">
        <x:v>Duplicate/overlap hold</x:v>
      </x:c>
      <x:c r="AZ245" s="18" t="str">
        <x:v>Do not count independently until overlapping-publication status is resolved.</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v>MD</x:v>
      </x:c>
      <x:c r="AD246" s="18" t="n">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c r="AM246" s="18" t="str">
        <x:v>Postoperative opioid consumption</x:v>
      </x:c>
      <x:c r="AN246" s="18" t="str">
        <x:v>Exact/explicit 24 h</x:v>
      </x:c>
      <x:c r="AO246" s="18" t="str">
        <x:v>DUPLICATE HOLD</x:v>
      </x:c>
      <x:c r="AP246" s="18" t="str">
        <x:v>Probable overlapping publication/cohort; do not pool as an independent study until linkage is resolved.</x:v>
      </x:c>
      <x:c r="AQ246" s="18" t="str">
        <x:v>No</x:v>
      </x:c>
      <x:c r="AR246" s="18" t="str">
        <x:v>Yeh lumbar-spine publication family</x:v>
      </x:c>
      <x:c r="AS246" s="18" t="str">
        <x:v>Use native IV morphine; convert to review-standard MME only per prespecified rule</x:v>
      </x:c>
      <x:c r="AT246" s="18" t="str">
        <x:v>24-h IV morphine PCA dose</x:v>
      </x:c>
      <x:c r="AU246" s="18" t="str">
        <x:v>First 24 postoperative hours</x:v>
      </x:c>
      <x:c r="AV246" s="18" t="str">
        <x:v>Some concerns</x:v>
      </x:c>
      <x:c r="AW246" s="18" t="str">
        <x:v>No — selected RoB matches this result</x:v>
      </x:c>
      <x:c r="AX246" s="18" t="str">
        <x:v>Yeh lumbar-spine publication family — ONE study unit pending overlap adjudication</x:v>
      </x:c>
      <x:c r="AY246" s="18" t="str">
        <x:v>Duplicate/overlap hold</x:v>
      </x:c>
      <x:c r="AZ246" s="18" t="str">
        <x:v>Do not count independently until overlapping-publication status is resolved.</x:v>
      </x:c>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v>MD</x:v>
      </x:c>
      <x:c r="AD247" s="18" t="n">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c r="AM247" s="18" t="str">
        <x:v>Postoperative opioid consumption</x:v>
      </x:c>
      <x:c r="AN247" s="18" t="str">
        <x:v>Day 0</x:v>
      </x:c>
      <x:c r="AO247" s="18" t="str">
        <x:v>EXCLUDE — NOT PRIMARY 24H OPIOID</x:v>
      </x:c>
      <x:c r="AP247" s="18" t="str">
        <x:v>Not a strict 0-24-h postoperative opioid-consumption endpoint.</x:v>
      </x:c>
      <x:c r="AQ247" s="18" t="str">
        <x:v>No</x:v>
      </x:c>
      <x:c r="AR247" s="18" t="str"/>
      <x:c r="AS247" s="18" t="str">
        <x:v>Use native IV morphine; convert to review-standard MME only per prespecified rule</x:v>
      </x:c>
      <x:c r="AT247" s="18" t="str">
        <x:v>Total IV PCA morphine</x:v>
      </x:c>
      <x:c r="AU247" s="18" t="str">
        <x:v>First 3 postoperative days</x:v>
      </x:c>
      <x:c r="AV247" s="18" t="str">
        <x:v>High</x:v>
      </x:c>
      <x:c r="AW247" s="18" t="str">
        <x:v>Yes — selected RoB is for a different result/timepoint</x:v>
      </x:c>
      <x:c r="AX247" s="18" t="str">
        <x:v>Wong 2006</x:v>
      </x:c>
      <x:c r="AY247" s="18" t="str">
        <x:v>Primary eligible contrast</x:v>
      </x:c>
      <x:c r="AZ247" s="18" t="str">
        <x:v>Count this study once per synthesis unless a valid multi-arm method is used.</x:v>
      </x:c>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v>MD</x:v>
      </x:c>
      <x:c r="AD248" s="18" t="n">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c r="AM248" s="18" t="str">
        <x:v>Postoperative opioid consumption</x:v>
      </x:c>
      <x:c r="AN248" s="18" t="str">
        <x:v>Day 1</x:v>
      </x:c>
      <x:c r="AO248" s="18" t="str">
        <x:v>EXCLUDE — NOT PRIMARY 24H OPIOID</x:v>
      </x:c>
      <x:c r="AP248" s="18" t="str">
        <x:v>Not a strict 0-24-h postoperative opioid-consumption endpoint.</x:v>
      </x:c>
      <x:c r="AQ248" s="18" t="str">
        <x:v>No</x:v>
      </x:c>
      <x:c r="AR248" s="18" t="str"/>
      <x:c r="AS248" s="18" t="str">
        <x:v>Use native IV morphine; convert to review-standard MME only per prespecified rule</x:v>
      </x:c>
      <x:c r="AT248" s="18" t="str">
        <x:v>Total IV PCA morphine</x:v>
      </x:c>
      <x:c r="AU248" s="18" t="str">
        <x:v>First 3 postoperative days</x:v>
      </x:c>
      <x:c r="AV248" s="18" t="str">
        <x:v>High</x:v>
      </x:c>
      <x:c r="AW248" s="18" t="str">
        <x:v>Yes — selected RoB is for a different result/timepoint</x:v>
      </x:c>
      <x:c r="AX248" s="18" t="str">
        <x:v>Wong 2006</x:v>
      </x:c>
      <x:c r="AY248" s="18" t="str">
        <x:v>Primary eligible contrast</x:v>
      </x:c>
      <x:c r="AZ248" s="18" t="str">
        <x:v>Count this study once per synthesis unless a valid multi-arm method is used.</x:v>
      </x:c>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v>MD</x:v>
      </x:c>
      <x:c r="AD249" s="18" t="n">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c r="AM249" s="18" t="str">
        <x:v>Postoperative opioid consumption</x:v>
      </x:c>
      <x:c r="AN249" s="18" t="str">
        <x:v>Day 2</x:v>
      </x:c>
      <x:c r="AO249" s="18" t="str">
        <x:v>EXCLUDE — NOT PRIMARY 24H OPIOID</x:v>
      </x:c>
      <x:c r="AP249" s="18" t="str">
        <x:v>Not a strict 0-24-h postoperative opioid-consumption endpoint.</x:v>
      </x:c>
      <x:c r="AQ249" s="18" t="str">
        <x:v>No</x:v>
      </x:c>
      <x:c r="AR249" s="18" t="str"/>
      <x:c r="AS249" s="18" t="str">
        <x:v>Use native IV morphine; convert to review-standard MME only per prespecified rule</x:v>
      </x:c>
      <x:c r="AT249" s="18" t="str">
        <x:v>Total IV PCA morphine</x:v>
      </x:c>
      <x:c r="AU249" s="18" t="str">
        <x:v>First 3 postoperative days</x:v>
      </x:c>
      <x:c r="AV249" s="18" t="str">
        <x:v>High</x:v>
      </x:c>
      <x:c r="AW249" s="18" t="str">
        <x:v>Yes — selected RoB is for a different result/timepoint</x:v>
      </x:c>
      <x:c r="AX249" s="18" t="str">
        <x:v>Wong 2006</x:v>
      </x:c>
      <x:c r="AY249" s="18" t="str">
        <x:v>Primary eligible contrast</x:v>
      </x:c>
      <x:c r="AZ249" s="18" t="str">
        <x:v>Count this study once per synthesis unless a valid multi-arm method is used.</x:v>
      </x:c>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v>MD</x:v>
      </x:c>
      <x:c r="AD250" s="18" t="n">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c r="AM250" s="18" t="str">
        <x:v>Postoperative opioid consumption</x:v>
      </x:c>
      <x:c r="AN250" s="18" t="str">
        <x:v>First 3 postoperative days total</x:v>
      </x:c>
      <x:c r="AO250" s="18" t="str">
        <x:v>EXCLUDE — NOT PRIMARY 24H OPIOID</x:v>
      </x:c>
      <x:c r="AP250" s="18" t="str">
        <x:v>Not a strict 0-24-h postoperative opioid-consumption endpoint.</x:v>
      </x:c>
      <x:c r="AQ250" s="18" t="str">
        <x:v>No</x:v>
      </x:c>
      <x:c r="AR250" s="18" t="str"/>
      <x:c r="AS250" s="18" t="str">
        <x:v>Use native IV morphine; convert to review-standard MME only per prespecified rule</x:v>
      </x:c>
      <x:c r="AT250" s="18" t="str">
        <x:v>Total IV PCA morphine</x:v>
      </x:c>
      <x:c r="AU250" s="18" t="str">
        <x:v>First 3 postoperative days</x:v>
      </x:c>
      <x:c r="AV250" s="18" t="str">
        <x:v>High</x:v>
      </x:c>
      <x:c r="AW250" s="18" t="str">
        <x:v>Yes — selected RoB is for a different result/timepoint</x:v>
      </x:c>
      <x:c r="AX250" s="18" t="str">
        <x:v>Wong 2006</x:v>
      </x:c>
      <x:c r="AY250" s="18" t="str">
        <x:v>Primary eligible contrast</x:v>
      </x:c>
      <x:c r="AZ250" s="18" t="str">
        <x:v>Count this study once per synthesis unless a valid multi-arm method is used.</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x:c r="AA251" s="18" t="str">
        <x:v>No</x:v>
      </x:c>
      <x:c r="AB251" s="18" t="str">
        <x:v>No</x:v>
      </x:c>
      <x:c r="AC251" s="18"/>
      <x:c r="AD251" s="18"/>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c r="AM251" s="18" t="str">
        <x:v>Postoperative opioid consumption</x:v>
      </x:c>
      <x:c r="AN251" s="18" t="str">
        <x:v>Exact/explicit 24 h</x:v>
      </x:c>
      <x:c r="AO251" s="18" t="str">
        <x:v>EXCLUDE — DATA UNAVAILABLE</x:v>
      </x:c>
      <x:c r="AP251" s="18" t="str">
        <x:v>The source does not provide a defensible quantitative value for this analysis.</x:v>
      </x:c>
      <x:c r="AQ251" s="18" t="str">
        <x:v>No</x:v>
      </x:c>
      <x:c r="AR251" s="18" t="str"/>
      <x:c r="AS251" s="18" t="str">
        <x:v>None</x:v>
      </x:c>
      <x:c r="AT251" s="18" t="str">
        <x:v>Total IV PCA morphine</x:v>
      </x:c>
      <x:c r="AU251" s="18" t="str">
        <x:v>First 3 postoperative days</x:v>
      </x:c>
      <x:c r="AV251" s="18" t="str">
        <x:v>High</x:v>
      </x:c>
      <x:c r="AW251" s="18" t="str">
        <x:v>Yes — selected RoB is for a different result/timepoint</x:v>
      </x:c>
      <x:c r="AX251" s="18" t="str">
        <x:v>Wong 2006</x:v>
      </x:c>
      <x:c r="AY251" s="18" t="str">
        <x:v>Primary eligible contrast</x:v>
      </x:c>
      <x:c r="AZ251" s="18" t="str">
        <x:v>Count this study once per synthesis unless a valid multi-arm method is used.</x:v>
      </x:c>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v>MD</x:v>
      </x:c>
      <x:c r="AD252" s="18" t="n">
        <x:v>-1.6000000000000014</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c r="AM252" s="18" t="str">
        <x:v>Postoperative opioid consumption</x:v>
      </x:c>
      <x:c r="AN252" s="18" t="str">
        <x:v>Exact/explicit 24 h</x:v>
      </x:c>
      <x:c r="AO252" s="18" t="str">
        <x:v>INCLUDE</x:v>
      </x:c>
      <x:c r="AP252" s="18" t="str">
        <x:v>Explicit 0-24-h postoperative opioid endpoint and marked eligible in the reconciled source data.</x:v>
      </x:c>
      <x:c r="AQ252" s="18" t="str">
        <x:v>Yes</x:v>
      </x:c>
      <x:c r="AR252" s="18" t="str"/>
      <x:c r="AS252" s="18" t="str">
        <x:v>Use native IV morphine; convert to review-standard MME only per prespecified rule</x:v>
      </x:c>
      <x:c r="AT252" s="18" t="str">
        <x:v>Total IV morphine analgesia</x:v>
      </x:c>
      <x:c r="AU252" s="18" t="str">
        <x:v>First 24 h</x:v>
      </x:c>
      <x:c r="AV252" s="18" t="str">
        <x:v>High</x:v>
      </x:c>
      <x:c r="AW252" s="18" t="str">
        <x:v>No — selected RoB matches this result</x:v>
      </x:c>
      <x:c r="AX252" s="18" t="str">
        <x:v>El-Rakshy 2009</x:v>
      </x:c>
      <x:c r="AY252" s="18" t="str">
        <x:v>Primary eligible contrast</x:v>
      </x:c>
      <x:c r="AZ252" s="18" t="str">
        <x:v>Count this study once per synthesis unless a valid multi-arm method is used.</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v>MD</x:v>
      </x:c>
      <x:c r="AD253" s="18" t="n">
        <x:v>0.20000000000000107</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c r="AM253" s="18" t="str">
        <x:v>Postoperative opioid consumption</x:v>
      </x:c>
      <x:c r="AN253" s="18" t="str">
        <x:v>First 4 h</x:v>
      </x:c>
      <x:c r="AO253" s="18" t="str">
        <x:v>EXCLUDE — NOT PRIMARY 24H OPIOID</x:v>
      </x:c>
      <x:c r="AP253" s="18" t="str">
        <x:v>Not a strict 0-24-h postoperative opioid-consumption endpoint.</x:v>
      </x:c>
      <x:c r="AQ253" s="18" t="str">
        <x:v>No</x:v>
      </x:c>
      <x:c r="AR253" s="18" t="str"/>
      <x:c r="AS253" s="18" t="str">
        <x:v>Use native IV morphine; convert to review-standard MME only per prespecified rule</x:v>
      </x:c>
      <x:c r="AT253" s="18" t="str">
        <x:v>Total IV morphine analgesia</x:v>
      </x:c>
      <x:c r="AU253" s="18" t="str">
        <x:v>First 24 h</x:v>
      </x:c>
      <x:c r="AV253" s="18" t="str">
        <x:v>High</x:v>
      </x:c>
      <x:c r="AW253" s="18" t="str">
        <x:v>No — selected RoB matches this result</x:v>
      </x:c>
      <x:c r="AX253" s="18" t="str">
        <x:v>El-Rakshy 2009</x:v>
      </x:c>
      <x:c r="AY253" s="18" t="str">
        <x:v>Primary eligible contrast</x:v>
      </x:c>
      <x:c r="AZ253" s="18" t="str">
        <x:v>Count this study once per synthesis unless a valid multi-arm method is used.</x:v>
      </x:c>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v>MD</x:v>
      </x:c>
      <x:c r="AD254" s="18" t="n">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c r="AM254" s="18" t="str">
        <x:v>Postoperative opioid consumption</x:v>
      </x:c>
      <x:c r="AN254" s="18" t="str">
        <x:v>Through reported 48-h PCIA period</x:v>
      </x:c>
      <x:c r="AO254" s="18" t="str">
        <x:v>EXCLUDE — NOT PRIMARY 24H OPIOID</x:v>
      </x:c>
      <x:c r="AP254" s="18" t="str">
        <x:v>Not a strict 0-24-h postoperative opioid-consumption endpoint.</x:v>
      </x:c>
      <x:c r="AQ254" s="18" t="str">
        <x:v>No</x:v>
      </x:c>
      <x:c r="AR254" s="18" t="str"/>
      <x:c r="AS254" s="18" t="str">
        <x:v>Opioid/MME conversion required using prespecified review conversion</x:v>
      </x:c>
      <x:c r="AT254" s="18" t="str">
        <x:v>Total postoperative fentanyl PCIA dose</x:v>
      </x:c>
      <x:c r="AU254" s="18" t="str">
        <x:v>Reported 48-h PCIA period</x:v>
      </x:c>
      <x:c r="AV254" s="18" t="str">
        <x:v>High</x:v>
      </x:c>
      <x:c r="AW254" s="18" t="str">
        <x:v>No — selected RoB matches this result</x:v>
      </x:c>
      <x:c r="AX254" s="18" t="str">
        <x:v>An 2014</x:v>
      </x:c>
      <x:c r="AY254" s="18" t="str">
        <x:v>Primary eligible contrast</x:v>
      </x:c>
      <x:c r="AZ254" s="18" t="str">
        <x:v>Count this study once per synthesis unless a valid multi-arm method is used.</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x:c r="AA255" s="18" t="str">
        <x:v>No</x:v>
      </x:c>
      <x:c r="AB255" s="18" t="str">
        <x:v>No</x:v>
      </x:c>
      <x:c r="AC255" s="18"/>
      <x:c r="AD255" s="18"/>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c r="AM255" s="18" t="str">
        <x:v>Postoperative opioid consumption</x:v>
      </x:c>
      <x:c r="AN255" s="18" t="str">
        <x:v>Exact/explicit 24 h</x:v>
      </x:c>
      <x:c r="AO255" s="18" t="str">
        <x:v>EXCLUDE — DATA UNAVAILABLE</x:v>
      </x:c>
      <x:c r="AP255" s="18" t="str">
        <x:v>The source does not provide a defensible quantitative value for this analysis.</x:v>
      </x:c>
      <x:c r="AQ255" s="18" t="str">
        <x:v>No</x:v>
      </x:c>
      <x:c r="AR255" s="18" t="str"/>
      <x:c r="AS255" s="18" t="str">
        <x:v>Opioid/MME conversion required using prespecified review conversion</x:v>
      </x:c>
      <x:c r="AT255" s="18" t="str">
        <x:v>Total postoperative fentanyl PCIA dose</x:v>
      </x:c>
      <x:c r="AU255" s="18" t="str">
        <x:v>Reported 48-h PCIA period</x:v>
      </x:c>
      <x:c r="AV255" s="18" t="str">
        <x:v>High</x:v>
      </x:c>
      <x:c r="AW255" s="18" t="str">
        <x:v>Yes — selected RoB is for a different result/timepoint</x:v>
      </x:c>
      <x:c r="AX255" s="18" t="str">
        <x:v>An 2014</x:v>
      </x:c>
      <x:c r="AY255" s="18" t="str">
        <x:v>Primary eligible contrast</x:v>
      </x:c>
      <x:c r="AZ255" s="18" t="str">
        <x:v>Count this study once per synthesis unless a valid multi-arm method is used.</x:v>
      </x:c>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x:c r="AD256" s="18"/>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c r="AM256" s="18" t="str">
        <x:v>Quality of recovery</x:v>
      </x:c>
      <x:c r="AN256" s="18" t="str">
        <x:v>Exact/explicit 24 h</x:v>
      </x:c>
      <x:c r="AO256" s="18" t="str">
        <x:v>INCLUDE</x:v>
      </x:c>
      <x:c r="AP256" s="18" t="str">
        <x:v>Valid QoR endpoint at the target recovery time.</x:v>
      </x:c>
      <x:c r="AQ256" s="18" t="str">
        <x:v>Yes</x:v>
      </x:c>
      <x:c r="AR256" s="18" t="str"/>
      <x:c r="AS256" s="18" t="str">
        <x:v>Use median/IQR-compatible meta-analysis method; do not relabel as mean/SD</x:v>
      </x:c>
      <x:c r="AT256" s="18" t="str">
        <x:v>Global QoR-40</x:v>
      </x:c>
      <x:c r="AU256" s="18" t="str">
        <x:v>24 h</x:v>
      </x:c>
      <x:c r="AV256" s="18" t="str">
        <x:v>High</x:v>
      </x:c>
      <x:c r="AW256" s="18" t="str">
        <x:v>No — selected RoB matches this result</x:v>
      </x:c>
      <x:c r="AX256" s="18" t="str">
        <x:v>Chen 2015</x:v>
      </x:c>
      <x:c r="AY256" s="18" t="str">
        <x:v>Primary eligible contrast</x:v>
      </x:c>
      <x:c r="AZ256" s="18" t="str">
        <x:v>Count this study once per synthesis unless a valid multi-arm method is used.</x:v>
      </x:c>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v>RR</x:v>
      </x:c>
      <x:c r="AD257" s="18" t="n">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c r="AM257" s="18" t="str">
        <x:v>PONV</x:v>
      </x:c>
      <x:c r="AN257" s="18" t="str">
        <x:v>Exact/explicit 24 h</x:v>
      </x:c>
      <x:c r="AO257" s="18" t="str">
        <x:v>INCLUDE</x:v>
      </x:c>
      <x:c r="AP257" s="18" t="str">
        <x:v>Explicit 24-h PONV endpoint.</x:v>
      </x:c>
      <x:c r="AQ257" s="18" t="str">
        <x:v>Yes</x:v>
      </x:c>
      <x:c r="AR257" s="18" t="str"/>
      <x:c r="AS257" s="18" t="str">
        <x:v>Binary effect measure (RR preferred per protocol)</x:v>
      </x:c>
      <x:c r="AT257" s="18" t="str">
        <x:v>Global QoR-40</x:v>
      </x:c>
      <x:c r="AU257" s="18" t="str">
        <x:v>24 h</x:v>
      </x:c>
      <x:c r="AV257" s="18" t="str">
        <x:v>High</x:v>
      </x:c>
      <x:c r="AW257" s="18" t="str">
        <x:v>Yes — selected RoB is for a different result/timepoint</x:v>
      </x:c>
      <x:c r="AX257" s="18" t="str">
        <x:v>Chen 2015</x:v>
      </x:c>
      <x:c r="AY257" s="18" t="str">
        <x:v>Primary eligible contrast</x:v>
      </x:c>
      <x:c r="AZ257" s="18" t="str">
        <x:v>Count this study once per synthesis unless a valid multi-arm method is used.</x:v>
      </x:c>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x:c r="AD258" s="18"/>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c r="AM258" s="18" t="str">
        <x:v>Postoperative opioid consumption</x:v>
      </x:c>
      <x:c r="AN258" s="18" t="str">
        <x:v>Exact/explicit 24 h</x:v>
      </x:c>
      <x:c r="AO258" s="18" t="str">
        <x:v>CONDITIONAL</x:v>
      </x:c>
      <x:c r="AP258" s="18" t="str">
        <x:v>24-h opioid endpoint exists but requires a prespecified route/unit/time-window or derived-value rule.</x:v>
      </x:c>
      <x:c r="AQ258" s="18" t="str">
        <x:v>No</x:v>
      </x:c>
      <x:c r="AR258" s="18" t="str"/>
      <x:c r="AS258" s="18" t="str">
        <x:v>Use native IV morphine; convert to review-standard MME only per prespecified rule</x:v>
      </x:c>
      <x:c r="AT258" s="18" t="str">
        <x:v>Global QoR-40</x:v>
      </x:c>
      <x:c r="AU258" s="18" t="str">
        <x:v>24 h</x:v>
      </x:c>
      <x:c r="AV258" s="18" t="str">
        <x:v>High</x:v>
      </x:c>
      <x:c r="AW258" s="18" t="str">
        <x:v>Yes — selected RoB is for a different result/timepoint</x:v>
      </x:c>
      <x:c r="AX258" s="18" t="str">
        <x:v>Chen 2015</x:v>
      </x:c>
      <x:c r="AY258" s="18" t="str">
        <x:v>Primary eligible contrast</x:v>
      </x:c>
      <x:c r="AZ258" s="18" t="str">
        <x:v>Count this study once per synthesis unless a valid multi-arm method is used.</x:v>
      </x:c>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x:c r="AD259" s="18"/>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c r="AM259" s="18" t="str">
        <x:v>PCA demand/proxy</x:v>
      </x:c>
      <x:c r="AN259" s="18" t="str">
        <x:v>Exact/explicit 24 h</x:v>
      </x:c>
      <x:c r="AO259" s="18" t="str">
        <x:v>SECONDARY / PROXY ONLY</x:v>
      </x:c>
      <x:c r="AP259" s="18" t="str">
        <x:v>PCA presses, attempts, deliveries, or solution volume are not equivalent to opioid dose unless the pump prescription permits exact reconstruction.</x:v>
      </x:c>
      <x:c r="AQ259" s="18" t="str">
        <x:v>No</x:v>
      </x:c>
      <x:c r="AR259" s="18" t="str"/>
      <x:c r="AS259" s="18" t="str">
        <x:v>Use median/IQR-compatible meta-analysis method; do not relabel as mean/SD</x:v>
      </x:c>
      <x:c r="AT259" s="18" t="str">
        <x:v>Cumulative rescue sufentanil PCIA boluses</x:v>
      </x:c>
      <x:c r="AU259" s="18" t="str">
        <x:v>0-24 h</x:v>
      </x:c>
      <x:c r="AV259" s="18" t="str">
        <x:v>Some concerns</x:v>
      </x:c>
      <x:c r="AW259" s="18" t="str">
        <x:v>Yes — selected RoB is for a different result/timepoint</x:v>
      </x:c>
      <x:c r="AX259" s="18" t="str">
        <x:v>Chen 2015 (Hyperalgesia)</x:v>
      </x:c>
      <x:c r="AY259" s="18" t="str">
        <x:v>Primary eligible contrast</x:v>
      </x:c>
      <x:c r="AZ259" s="18" t="str">
        <x:v>Count this study once per synthesis unless a valid multi-arm method is used.</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x:c r="AD260" s="18"/>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c r="AM260" s="18" t="str">
        <x:v>Postoperative opioid consumption</x:v>
      </x:c>
      <x:c r="AN260" s="18" t="str">
        <x:v>Exact/explicit 24 h</x:v>
      </x:c>
      <x:c r="AO260" s="18" t="str">
        <x:v>CONDITIONAL</x:v>
      </x:c>
      <x:c r="AP260" s="18" t="str">
        <x:v>24-h opioid endpoint exists but requires a prespecified route/unit/time-window or derived-value rule.</x:v>
      </x:c>
      <x:c r="AQ260" s="18" t="str">
        <x:v>No</x:v>
      </x:c>
      <x:c r="AR260" s="18" t="str"/>
      <x:c r="AS260" s="18" t="str">
        <x:v>Opioid/MME conversion required using prespecified review conversion</x:v>
      </x:c>
      <x:c r="AT260" s="18" t="str">
        <x:v>Cumulative rescue sufentanil PCIA boluses</x:v>
      </x:c>
      <x:c r="AU260" s="18" t="str">
        <x:v>0-24 h</x:v>
      </x:c>
      <x:c r="AV260" s="18" t="str">
        <x:v>Some concerns</x:v>
      </x:c>
      <x:c r="AW260" s="18" t="str">
        <x:v>Yes — selected RoB is for a different result/timepoint</x:v>
      </x:c>
      <x:c r="AX260" s="18" t="str">
        <x:v>Chen 2015 (Hyperalgesia)</x:v>
      </x:c>
      <x:c r="AY260" s="18" t="str">
        <x:v>Primary eligible contrast</x:v>
      </x:c>
      <x:c r="AZ260" s="18" t="str">
        <x:v>Count this study once per synthesis unless a valid multi-arm method is used.</x:v>
      </x:c>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v>RR</x:v>
      </x:c>
      <x:c r="AD261" s="18" t="n">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c r="AM261" s="18" t="str">
        <x:v>PONV</x:v>
      </x:c>
      <x:c r="AN261" s="18" t="str">
        <x:v>Exact/explicit 24 h</x:v>
      </x:c>
      <x:c r="AO261" s="18" t="str">
        <x:v>INCLUDE</x:v>
      </x:c>
      <x:c r="AP261" s="18" t="str">
        <x:v>Explicit 24-h PONV endpoint.</x:v>
      </x:c>
      <x:c r="AQ261" s="18" t="str">
        <x:v>Yes</x:v>
      </x:c>
      <x:c r="AR261" s="18" t="str"/>
      <x:c r="AS261" s="18" t="str">
        <x:v>Binary effect measure (RR preferred per protocol)</x:v>
      </x:c>
      <x:c r="AT261" s="18" t="str">
        <x:v>Cumulative rescue sufentanil PCIA boluses</x:v>
      </x:c>
      <x:c r="AU261" s="18" t="str">
        <x:v>0-24 h</x:v>
      </x:c>
      <x:c r="AV261" s="18" t="str">
        <x:v>Some concerns</x:v>
      </x:c>
      <x:c r="AW261" s="18" t="str">
        <x:v>Yes — selected RoB is for a different result/timepoint</x:v>
      </x:c>
      <x:c r="AX261" s="18" t="str">
        <x:v>Chen 2015 (Hyperalgesia)</x:v>
      </x:c>
      <x:c r="AY261" s="18" t="str">
        <x:v>Primary eligible contrast</x:v>
      </x:c>
      <x:c r="AZ261" s="18" t="str">
        <x:v>Count this study once per synthesis unless a valid multi-arm method is used.</x:v>
      </x:c>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v>MD</x:v>
      </x:c>
      <x:c r="AD262" s="18" t="n">
        <x:v>-17.799999999999997</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c r="AM262" s="18" t="str">
        <x:v>PCA demand/proxy</x:v>
      </x:c>
      <x:c r="AN262" s="18" t="str">
        <x:v>48 h</x:v>
      </x:c>
      <x:c r="AO262" s="18" t="str">
        <x:v>SECONDARY / PROXY ONLY</x:v>
      </x:c>
      <x:c r="AP262" s="18" t="str">
        <x:v>PCA presses, attempts, deliveries, or solution volume are not equivalent to opioid dose unless the pump prescription permits exact reconstruction.</x:v>
      </x:c>
      <x:c r="AQ262" s="18" t="str">
        <x:v>No</x:v>
      </x:c>
      <x:c r="AR262" s="18" t="str"/>
      <x:c r="AS262" s="18" t="str">
        <x:v>None</x:v>
      </x:c>
      <x:c r="AT262" s="18" t="str">
        <x:v>Cumulative PCA solution consumption</x:v>
      </x:c>
      <x:c r="AU262" s="18" t="str">
        <x:v>48 h</x:v>
      </x:c>
      <x:c r="AV262" s="18" t="str">
        <x:v>Some concerns</x:v>
      </x:c>
      <x:c r="AW262" s="18" t="str">
        <x:v>No — selected RoB matches this result</x:v>
      </x:c>
      <x:c r="AX262" s="18" t="str">
        <x:v>Ao 2021</x:v>
      </x:c>
      <x:c r="AY262" s="18" t="str">
        <x:v>Primary eligible contrast</x:v>
      </x:c>
      <x:c r="AZ262" s="18" t="str">
        <x:v>Count this study once per synthesis unless a valid multi-arm method is used.</x:v>
      </x:c>
    </x:row>
  </x:sheetData>
  <x:conditionalFormatting sqref="AO2:AO262">
    <x:cfRule type="expression" dxfId="36" priority="1">
      <x:formula>LEFT(AO2,7)="INCLUDE"</x:formula>
    </x:cfRule>
    <x:cfRule type="expression" dxfId="37" priority="2">
      <x:formula>LEFT(AO2,11)="CONDITIONAL"</x:formula>
    </x:cfRule>
    <x:cfRule type="expression" dxfId="38" priority="3">
      <x:formula>LEFT(AO2,7)="EXCLUDE"</x:formula>
    </x:cfRule>
    <x:cfRule type="expression" dxfId="39" priority="4">
      <x:formula>AO2="DUPLICATE HOLD"</x:formula>
    </x:cfRule>
    <x:cfRule type="expression" dxfId="40" priority="5">
      <x:formula>AO2="DIGITIZATION NEEDED"</x:formula>
    </x:cfRule>
    <x:cfRule type="expression" dxfId="41" priority="6">
      <x:formula>AO2="QC HOLD"</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60" hidden="0" customWidth="1"/>
    <x:col min="8" max="8" width="24" hidden="0" customWidth="1"/>
    <x:col min="9" max="9" width="45" hidden="0" customWidth="1"/>
  </x:cols>
  <x:sheetData>
    <x:row r="1">
      <x:c r="A1" s="56" t="str">
        <x:v>Synthesis family</x:v>
      </x:c>
      <x:c r="B1" s="56" t="str">
        <x:v>Total rows</x:v>
      </x:c>
      <x:c r="C1" s="56" t="str">
        <x:v>Include-ready</x:v>
      </x:c>
      <x:c r="D1" s="56" t="str">
        <x:v>Conditional/secondary</x:v>
      </x:c>
      <x:c r="E1" s="56" t="str">
        <x:v>Excluded/data unavailable</x:v>
      </x:c>
      <x:c r="F1" s="56" t="str">
        <x:v>Key note</x:v>
      </x:c>
      <x:c r="H1" s="70" t="str">
        <x:v>Dedicated candidate set</x:v>
      </x:c>
      <x:c r="I1" s="70" t="str">
        <x:v>Rows</x:v>
      </x:c>
    </x:row>
    <x:row r="2">
      <x:c r="A2" s="18" t="str">
        <x:v>Postoperative opioid consumption</x:v>
      </x:c>
      <x:c r="B2" s="18" t="n">
        <x:v>81</x:v>
      </x:c>
      <x:c r="C2" s="18" t="n">
        <x:v>8</x:v>
      </x:c>
      <x:c r="D2" s="18" t="n">
        <x:v>16</x:v>
      </x:c>
      <x:c r="E2" s="18" t="n">
        <x:v>57</x:v>
      </x:c>
      <x:c r="F2" s="18" t="str">
        <x:v>Primary 24-h synthesis should use only explicit eligible rows; keep route/unit/window and duplicate holds.</x:v>
      </x:c>
      <x:c r="H2" s="18" t="str">
        <x:v>Set_Opioid_24h</x:v>
      </x:c>
      <x:c r="I2" s="18" t="n">
        <x:v>22</x:v>
      </x:c>
    </x:row>
    <x:row r="3">
      <x:c r="A3" s="18" t="str">
        <x:v>Pain</x:v>
      </x:c>
      <x:c r="B3" s="18" t="n">
        <x:v>40</x:v>
      </x:c>
      <x:c r="C3" s="18" t="n">
        <x:v>20</x:v>
      </x:c>
      <x:c r="D3" s="18" t="n">
        <x:v>19</x:v>
      </x:c>
      <x:c r="E3" s="18" t="n">
        <x:v>1</x:v>
      </x:c>
      <x:c r="F3" s="18" t="str">
        <x:v>Separate exact 24 h from POD1/approximate 24 h; keep rest/movement outcomes distinct.</x:v>
      </x:c>
      <x:c r="H3" s="18" t="str">
        <x:v>Set_Pain_24h</x:v>
      </x:c>
      <x:c r="I3" s="18" t="n">
        <x:v>36</x:v>
      </x:c>
    </x:row>
    <x:row r="4">
      <x:c r="A4" s="18" t="str">
        <x:v>PONV</x:v>
      </x:c>
      <x:c r="B4" s="18" t="n">
        <x:v>37</x:v>
      </x:c>
      <x:c r="C4" s="18" t="n">
        <x:v>13</x:v>
      </x:c>
      <x:c r="D4" s="18" t="n">
        <x:v>22</x:v>
      </x:c>
      <x:c r="E4" s="18" t="n">
        <x:v>2</x:v>
      </x:c>
      <x:c r="F4" s="18" t="str">
        <x:v>Separate 24 h, 48 h and 72 h windows; nausea/vomiting/composite should not be merged indiscriminately.</x:v>
      </x:c>
      <x:c r="H4" s="18" t="str">
        <x:v>Set_PONV</x:v>
      </x:c>
      <x:c r="I4" s="18" t="n">
        <x:v>35</x:v>
      </x:c>
    </x:row>
    <x:row r="5">
      <x:c r="A5" s="18" t="str">
        <x:v>Quality of recovery</x:v>
      </x:c>
      <x:c r="B5" s="18" t="n">
        <x:v>4</x:v>
      </x:c>
      <x:c r="C5" s="18" t="n">
        <x:v>2</x:v>
      </x:c>
      <x:c r="D5" s="18" t="n">
        <x:v>2</x:v>
      </x:c>
      <x:c r="E5" s="18" t="n">
        <x:v>0</x:v>
      </x:c>
      <x:c r="F5" s="18" t="str">
        <x:v>QoR-40 and QoR-15 are different scales; use SMD or separate analyses as prespecified.</x:v>
      </x:c>
      <x:c r="H5" s="18" t="str">
        <x:v>Set_QoR</x:v>
      </x:c>
      <x:c r="I5" s="18" t="n">
        <x:v>4</x:v>
      </x:c>
    </x:row>
    <x:row r="6">
      <x:c r="A6" s="18" t="str">
        <x:v>GI recovery</x:v>
      </x:c>
      <x:c r="B6" s="18" t="n">
        <x:v>26</x:v>
      </x:c>
      <x:c r="C6" s="18" t="n">
        <x:v>25</x:v>
      </x:c>
      <x:c r="D6" s="18" t="n">
        <x:v>1</x:v>
      </x:c>
      <x:c r="E6" s="18" t="n">
        <x:v>0</x:v>
      </x:c>
      <x:c r="F6" s="18" t="str">
        <x:v>First flatus is the most common comparable endpoint; defecation/bowel motion/POI require separate outcome definitions.</x:v>
      </x:c>
      <x:c r="H6" s="18" t="str">
        <x:v>Set_GI_Recovery</x:v>
      </x:c>
      <x:c r="I6" s="18" t="n">
        <x:v>26</x:v>
      </x:c>
    </x:row>
    <x:row r="7">
      <x:c r="A7" s="18" t="str">
        <x:v>Intraoperative opioid</x:v>
      </x:c>
      <x:c r="B7" s="18" t="n">
        <x:v>20</x:v>
      </x:c>
      <x:c r="C7" s="18" t="n">
        <x:v>20</x:v>
      </x:c>
      <x:c r="D7" s="18" t="n">
        <x:v>0</x:v>
      </x:c>
      <x:c r="E7" s="18" t="n">
        <x:v>0</x:v>
      </x:c>
      <x:c r="F7" s="18" t="str"/>
      <x:c r="H7" s="18" t="str">
        <x:v>Note</x:v>
      </x:c>
      <x:c r="I7" s="18" t="str">
        <x:v>Rows are not equivalent to independent studies; see Study_Level_Synthesis.</x:v>
      </x:c>
    </x:row>
    <x:row r="8">
      <x:c r="A8" s="18" t="str">
        <x:v>Rescue opioid use</x:v>
      </x:c>
      <x:c r="B8" s="18" t="n">
        <x:v>4</x:v>
      </x:c>
      <x:c r="C8" s="18" t="n">
        <x:v>2</x:v>
      </x:c>
      <x:c r="D8" s="18" t="n">
        <x:v>0</x:v>
      </x:c>
      <x:c r="E8" s="18" t="n">
        <x:v>2</x:v>
      </x:c>
      <x:c r="F8" s="18" t="str"/>
    </x:row>
    <x:row r="9">
      <x:c r="A9" s="18" t="str">
        <x:v>PCA demand/proxy</x:v>
      </x:c>
      <x:c r="B9" s="18" t="n">
        <x:v>22</x:v>
      </x:c>
      <x:c r="C9" s="18" t="n">
        <x:v>0</x:v>
      </x:c>
      <x:c r="D9" s="18" t="n">
        <x:v>22</x:v>
      </x:c>
      <x:c r="E9" s="18" t="n">
        <x:v>0</x:v>
      </x:c>
      <x:c r="F9" s="18" t="str"/>
    </x:row>
    <x:row r="12">
      <x:c r="A12" s="60" t="str">
        <x:v>Analysis-readiness KPI</x:v>
      </x:c>
      <x:c r="B12" s="60" t="str">
        <x:v>Value</x:v>
      </x:c>
    </x:row>
    <x:row r="13">
      <x:c r="A13" t="str">
        <x:v>Canonical studies</x:v>
      </x:c>
      <x:c r="B13" t="n">
        <x:v>63</x:v>
      </x:c>
    </x:row>
    <x:row r="14">
      <x:c r="A14" t="str">
        <x:v>Outcome rows</x:v>
      </x:c>
      <x:c r="B14" t="n">
        <x:v>261</x:v>
      </x:c>
    </x:row>
    <x:row r="15">
      <x:c r="A15" t="str">
        <x:v>Rows marked INCLUDE*</x:v>
      </x:c>
      <x:c r="B15" t="n">
        <x:v>94</x:v>
      </x:c>
    </x:row>
    <x:row r="16">
      <x:c r="A16" t="str">
        <x:v>Rows requiring conditional/QC handling</x:v>
      </x:c>
      <x:c r="B16" t="n">
        <x:v>104</x:v>
      </x:c>
    </x:row>
    <x:row r="17">
      <x:c r="A17" t="str">
        <x:v>Rows excluded for unavailable/non-primary data</x:v>
      </x:c>
      <x:c r="B17" t="n">
        <x:v>63</x:v>
      </x:c>
    </x:row>
    <x:row r="18">
      <x:c r="A18" t="str">
        <x:v>Duplicate-hold rows</x:v>
      </x:c>
      <x:c r="B18" t="n">
        <x:v>4</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s>
  <x:sheetData>
    <x:row r="1">
      <x:c r="A1" s="56" t="str">
        <x:v>Study</x:v>
      </x:c>
      <x:c r="B1" s="56" t="str">
        <x:v>Comparison ID</x:v>
      </x:c>
      <x:c r="C1" s="56" t="str">
        <x:v>Intervention</x:v>
      </x:c>
      <x:c r="D1" s="56" t="str">
        <x:v>Comparator</x:v>
      </x:c>
      <x:c r="E1" s="56" t="str">
        <x:v>Outcome</x:v>
      </x:c>
      <x:c r="F1" s="56" t="str">
        <x:v>Timepoint</x:v>
      </x:c>
      <x:c r="G1" s="56" t="str">
        <x:v>Data type</x:v>
      </x:c>
      <x:c r="H1" s="56" t="str">
        <x:v>n I</x:v>
      </x:c>
      <x:c r="I1" s="56" t="str">
        <x:v>n C</x:v>
      </x:c>
      <x:c r="J1" s="56" t="str">
        <x:v>Mean/Median I</x:v>
      </x:c>
      <x:c r="K1" s="56" t="str">
        <x:v>SD/IQR I</x:v>
      </x:c>
      <x:c r="L1" s="56" t="str">
        <x:v>Mean/Median C</x:v>
      </x:c>
      <x:c r="M1" s="56" t="str">
        <x:v>SD/IQR C</x:v>
      </x:c>
      <x:c r="N1" s="56" t="str">
        <x:v>Unit</x:v>
      </x:c>
      <x:c r="O1" s="56" t="str">
        <x:v>Exact 0-24 h?</x:v>
      </x:c>
      <x:c r="P1" s="56" t="str">
        <x:v>Primary eligibility</x:v>
      </x:c>
      <x:c r="Q1" s="56" t="str">
        <x:v>Analysis readiness</x:v>
      </x:c>
      <x:c r="R1" s="56" t="str">
        <x:v>Reason</x:v>
      </x:c>
      <x:c r="S1" s="56" t="str">
        <x:v>Duplicate hold</x:v>
      </x:c>
      <x:c r="T1" s="56" t="str">
        <x:v>Source-QC issue</x:v>
      </x:c>
      <x:c r="U1" s="56" t="str">
        <x:v>Source 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21.38</x:v>
      </x:c>
      <x:c r="K2" s="18" t="n">
        <x:v>14.38</x:v>
      </x:c>
      <x:c r="L2" s="18" t="n">
        <x:v>33.94</x:v>
      </x:c>
      <x:c r="M2" s="18" t="n">
        <x:v>20.24</x:v>
      </x:c>
      <x:c r="N2" s="18" t="str">
        <x:v>mg morphine</x:v>
      </x:c>
      <x:c r="O2" s="18" t="str">
        <x:v>Yes</x:v>
      </x:c>
      <x:c r="P2" s="18" t="str">
        <x:v>Yes</x:v>
      </x:c>
      <x:c r="Q2" s="18" t="str">
        <x:v>INCLUDE</x:v>
      </x:c>
      <x:c r="R2" s="18" t="str">
        <x:v>Explicit 0-24-h postoperative opioid endpoint and marked eligible in the reconciled source data.</x:v>
      </x:c>
      <x:c r="S2" s="18" t="str"/>
      <x:c r="T2" s="18" t="str">
        <x:v>No allocation-concealment method reported</x:v>
      </x:c>
      <x:c r="U2" s="18" t="str">
        <x:v>https://drive.google.com/file/d/1OhuqhDUCEmOij7fZFhHHCJNwfQ9xpMzd/view?usp=drivesdk</x:v>
      </x:c>
    </x:row>
    <x:row r="3">
      <x:c r="A3" s="18" t="str">
        <x:v>Chen 1998</x:v>
      </x:c>
      <x:c r="B3" s="18" t="str">
        <x:v>CHEN98_NONACU_vs_SHAM</x:v>
      </x:c>
      <x:c r="C3" s="18" t="str">
        <x:v>Active nonacupoint shoulder TENS</x:v>
      </x:c>
      <x:c r="D3" s="18" t="str">
        <x:v>Sham ST36 TENS (0 mA)</x:v>
      </x:c>
      <x:c r="E3" s="18" t="str">
        <x:v>Cumulative IV PCA hydromorphone</x:v>
      </x:c>
      <x:c r="F3" s="18" t="str">
        <x:v>First 24 h postoperatively</x:v>
      </x:c>
      <x:c r="G3" s="18" t="str">
        <x:v>Mean/SD</x:v>
      </x:c>
      <x:c r="H3" s="18" t="n">
        <x:v>25</x:v>
      </x:c>
      <x:c r="I3" s="18" t="n">
        <x:v>25</x:v>
      </x:c>
      <x:c r="J3" s="18" t="n">
        <x:v>10.5</x:v>
      </x:c>
      <x:c r="K3" s="18" t="n">
        <x:v>6.2</x:v>
      </x:c>
      <x:c r="L3" s="18" t="n">
        <x:v>10.7</x:v>
      </x:c>
      <x:c r="M3" s="18" t="n">
        <x:v>5</x:v>
      </x:c>
      <x:c r="N3" s="18" t="str">
        <x:v>mg hydromorphone</x:v>
      </x:c>
      <x:c r="O3" s="18" t="str">
        <x:v>Yes</x:v>
      </x:c>
      <x:c r="P3" s="18" t="str">
        <x:v>Yes</x:v>
      </x:c>
      <x:c r="Q3" s="18" t="str">
        <x:v>INCLUDE</x:v>
      </x:c>
      <x:c r="R3" s="18" t="str">
        <x:v>Explicit 0-24-h postoperative opioid endpoint and marked eligible in the reconciled source data.</x:v>
      </x:c>
      <x:c r="S3" s="18" t="str"/>
      <x:c r="T3" s="18" t="str">
        <x:v>Four-arm RCT; shared sham control must be handled correctly</x:v>
      </x:c>
      <x:c r="U3" s="18" t="str">
        <x:v>https://drive.google.com/file/d/1lUyYj9aN1CL9RpY86ZY0970To83Kb17s/view?usp=drivesdk</x:v>
      </x:c>
    </x:row>
    <x:row r="4">
      <x:c r="A4" s="18" t="str">
        <x:v>Chen 1998</x:v>
      </x:c>
      <x:c r="B4" s="18" t="str">
        <x:v>CHEN98_DERM_vs_SHAM</x:v>
      </x:c>
      <x:c r="C4" s="18" t="str">
        <x:v>Active dermatomal/peri-incisional TENS</x:v>
      </x:c>
      <x:c r="D4" s="18" t="str">
        <x:v>Sham ST36 TENS (0 mA)</x:v>
      </x:c>
      <x:c r="E4" s="18" t="str">
        <x:v>Cumulative IV PCA hydromorphone</x:v>
      </x:c>
      <x:c r="F4" s="18" t="str">
        <x:v>First 24 h postoperatively</x:v>
      </x:c>
      <x:c r="G4" s="18" t="str">
        <x:v>Mean/SD</x:v>
      </x:c>
      <x:c r="H4" s="18" t="n">
        <x:v>25</x:v>
      </x:c>
      <x:c r="I4" s="18" t="n">
        <x:v>25</x:v>
      </x:c>
      <x:c r="J4" s="18" t="n">
        <x:v>6.8</x:v>
      </x:c>
      <x:c r="K4" s="18" t="n">
        <x:v>4.2</x:v>
      </x:c>
      <x:c r="L4" s="18" t="n">
        <x:v>10.7</x:v>
      </x:c>
      <x:c r="M4" s="18" t="n">
        <x:v>5</x:v>
      </x:c>
      <x:c r="N4" s="18" t="str">
        <x:v>mg hydromorphone</x:v>
      </x:c>
      <x:c r="O4" s="18" t="str">
        <x:v>Yes</x:v>
      </x:c>
      <x:c r="P4" s="18" t="str">
        <x:v>Yes</x:v>
      </x:c>
      <x:c r="Q4" s="18" t="str">
        <x:v>INCLUDE</x:v>
      </x:c>
      <x:c r="R4" s="18" t="str">
        <x:v>Explicit 0-24-h postoperative opioid endpoint and marked eligible in the reconciled source data.</x:v>
      </x:c>
      <x:c r="S4" s="18" t="str"/>
      <x:c r="T4" s="18" t="str">
        <x:v>Four-arm RCT; shared sham control must be handled correctly</x:v>
      </x:c>
      <x:c r="U4" s="18" t="str">
        <x:v>https://drive.google.com/file/d/1lUyYj9aN1CL9RpY86ZY0970To83Kb17s/view?usp=drivesdk</x:v>
      </x:c>
    </x:row>
    <x:row r="5">
      <x:c r="A5" s="18" t="str">
        <x:v>Chen 1998</x:v>
      </x:c>
      <x:c r="B5" s="18" t="str">
        <x:v>CHEN98_ACU_vs_SHAM</x:v>
      </x:c>
      <x:c r="C5" s="18" t="str">
        <x:v>Active ST36 acupoint TENS</x:v>
      </x:c>
      <x:c r="D5" s="18" t="str">
        <x:v>Sham ST36 TENS (0 mA)</x:v>
      </x:c>
      <x:c r="E5" s="18" t="str">
        <x:v>Cumulative IV PCA hydromorphone</x:v>
      </x:c>
      <x:c r="F5" s="18" t="str">
        <x:v>First 24 h postoperatively</x:v>
      </x:c>
      <x:c r="G5" s="18" t="str">
        <x:v>Mean/SD</x:v>
      </x:c>
      <x:c r="H5" s="18" t="n">
        <x:v>25</x:v>
      </x:c>
      <x:c r="I5" s="18" t="n">
        <x:v>25</x:v>
      </x:c>
      <x:c r="J5" s="18" t="n">
        <x:v>6.5</x:v>
      </x:c>
      <x:c r="K5" s="18" t="n">
        <x:v>3.5</x:v>
      </x:c>
      <x:c r="L5" s="18" t="n">
        <x:v>10.7</x:v>
      </x:c>
      <x:c r="M5" s="18" t="n">
        <x:v>5</x:v>
      </x:c>
      <x:c r="N5" s="18" t="str">
        <x:v>mg hydromorphone</x:v>
      </x:c>
      <x:c r="O5" s="18" t="str">
        <x:v>Yes</x:v>
      </x:c>
      <x:c r="P5" s="18" t="str">
        <x:v>Yes</x:v>
      </x:c>
      <x:c r="Q5" s="18" t="str">
        <x:v>INCLUDE</x:v>
      </x:c>
      <x:c r="R5" s="18" t="str">
        <x:v>Explicit 0-24-h postoperative opioid endpoint and marked eligible in the reconciled source data.</x:v>
      </x:c>
      <x:c r="S5" s="18" t="str"/>
      <x:c r="T5" s="18" t="str">
        <x:v>Four-arm RCT; shared sham control must be handled correctly</x:v>
      </x:c>
      <x:c r="U5" s="18" t="str">
        <x:v>https://drive.google.com/file/d/1lUyYj9aN1CL9RpY86ZY0970To83Kb17s/view?usp=drivesdk</x:v>
      </x:c>
    </x:row>
    <x:row r="6">
      <x:c r="A6" s="18" t="str">
        <x:v>Chen 2020</x:v>
      </x:c>
      <x:c r="B6" s="18" t="str">
        <x:v>CHEN20_TEAS_vs_SHAM</x:v>
      </x:c>
      <x:c r="C6" s="18" t="str">
        <x:v>Perioperative TEAS</x:v>
      </x:c>
      <x:c r="D6" s="18" t="str">
        <x:v>Sham low/zero-current protocol</x:v>
      </x:c>
      <x:c r="E6" s="18" t="str">
        <x:v>Cumulative sufentanil</x:v>
      </x:c>
      <x:c r="F6" s="18" t="str">
        <x:v>24 h postoperatively</x:v>
      </x:c>
      <x:c r="G6" s="18" t="str">
        <x:v>Mean/SD</x:v>
      </x:c>
      <x:c r="H6" s="18" t="n">
        <x:v>40</x:v>
      </x:c>
      <x:c r="I6" s="18" t="n">
        <x:v>40</x:v>
      </x:c>
      <x:c r="J6" s="18" t="n">
        <x:v>72.43</x:v>
      </x:c>
      <x:c r="K6" s="18" t="n">
        <x:v>4.78</x:v>
      </x:c>
      <x:c r="L6" s="18" t="n">
        <x:v>100.62</x:v>
      </x:c>
      <x:c r="M6" s="18" t="n">
        <x:v>10.2</x:v>
      </x:c>
      <x:c r="N6" s="18" t="str">
        <x:v>µg sufentanil</x:v>
      </x:c>
      <x:c r="O6" s="18" t="str">
        <x:v>Yes</x:v>
      </x:c>
      <x:c r="P6" s="18" t="str">
        <x:v>Yes</x:v>
      </x:c>
      <x:c r="Q6" s="18" t="str">
        <x:v>INCLUDE</x:v>
      </x:c>
      <x:c r="R6" s="18" t="str">
        <x:v>Explicit 0-24-h postoperative opioid endpoint and marked eligible in the reconciled source data.</x:v>
      </x:c>
      <x:c r="S6" s="18" t="str"/>
      <x:c r="T6" s="18" t="str">
        <x:v>Sham was 4 mA pre/postoperatively but 0 mA intraoperatively; preserve this nuance</x:v>
      </x:c>
      <x:c r="U6" s="18" t="str">
        <x:v>https://drive.google.com/file/d/1y0_cC1NCl5g2vYxDMOtYmxVA_YEE-rsR/view?usp=drivesdk</x:v>
      </x:c>
    </x:row>
    <x:row r="7">
      <x:c r="A7" s="18" t="str">
        <x:v>Coura 2011</x:v>
      </x:c>
      <x:c r="B7" s="18" t="str">
        <x:v>COURA11_EA_vs_SHAM</x:v>
      </x:c>
      <x:c r="C7" s="18" t="str">
        <x:v>Preoperative EA</x:v>
      </x:c>
      <x:c r="D7" s="18" t="str">
        <x:v>Sham stimulation</x:v>
      </x:c>
      <x:c r="E7" s="18" t="str">
        <x:v>Cumulative fentanyl</x:v>
      </x:c>
      <x:c r="F7" s="18" t="str">
        <x:v>First 24 h postoperatively</x:v>
      </x:c>
      <x:c r="G7" s="18" t="str">
        <x:v>Mean/SD</x:v>
      </x:c>
      <x:c r="H7" s="18" t="n">
        <x:v>13</x:v>
      </x:c>
      <x:c r="I7" s="18" t="n">
        <x:v>9</x:v>
      </x:c>
      <x:c r="J7" s="18" t="n">
        <x:v>13.1</x:v>
      </x:c>
      <x:c r="K7" s="18" t="n">
        <x:v>2.2</x:v>
      </x:c>
      <x:c r="L7" s="18" t="n">
        <x:v>16.3</x:v>
      </x:c>
      <x:c r="M7" s="18" t="n">
        <x:v>1.6</x:v>
      </x:c>
      <x:c r="N7" s="18" t="str">
        <x:v>µg/kg fentanyl</x:v>
      </x:c>
      <x:c r="O7" s="18" t="str">
        <x:v>Yes</x:v>
      </x:c>
      <x:c r="P7" s="18" t="str">
        <x:v>Conditional</x:v>
      </x:c>
      <x:c r="Q7" s="18" t="str">
        <x:v>CONDITIONAL</x:v>
      </x:c>
      <x:c r="R7" s="18" t="str">
        <x:v>24-h opioid endpoint exists but requires a prespecified route/unit/time-window or derived-value rule.</x:v>
      </x:c>
      <x:c r="S7" s="18" t="str"/>
      <x:c r="T7" s="18" t="str">
        <x:v>10/32 post-randomization exclusions; supplemental morphine/fentanyl inclusion unclear</x:v>
      </x:c>
      <x:c r="U7" s="18" t="str">
        <x:v>https://drive.google.com/file/d/120NJxCmxsdiyqWTXzjmaUWAaVa1i8iZz/view?usp=drivesdk</x:v>
      </x:c>
    </x:row>
    <x:row r="8">
      <x:c r="A8" s="18" t="str">
        <x:v>Ao 2021</x:v>
      </x:c>
      <x:c r="B8" s="18" t="str">
        <x:v>AO21_TEAS_vs_SHAM_OPIOID24</x:v>
      </x:c>
      <x:c r="C8" s="18" t="str">
        <x:v>TEAS</x:v>
      </x:c>
      <x:c r="D8" s="18" t="str">
        <x:v>Sham/no current</x:v>
      </x:c>
      <x:c r="E8" s="18" t="str">
        <x:v>Cumulative postoperative sufentanil</x:v>
      </x:c>
      <x:c r="F8" s="18" t="str">
        <x:v>Exact 0-24 h</x:v>
      </x:c>
      <x:c r="G8" s="18" t="str">
        <x:v>Not reported</x:v>
      </x:c>
      <x:c r="H8" s="18" t="n">
        <x:v>32</x:v>
      </x:c>
      <x:c r="I8" s="18" t="n">
        <x:v>33</x:v>
      </x:c>
      <x:c r="J8" s="18"/>
      <x:c r="K8" s="18"/>
      <x:c r="L8" s="18"/>
      <x:c r="M8" s="18"/>
      <x:c r="N8" s="18" t="str">
        <x:v>µg sufentanil</x:v>
      </x:c>
      <x:c r="O8" s="18" t="str">
        <x:v>No</x:v>
      </x:c>
      <x:c r="P8" s="18" t="str">
        <x:v>No</x:v>
      </x:c>
      <x:c r="Q8" s="18" t="str">
        <x:v>EXCLUDE — DATA UNAVAILABLE</x:v>
      </x:c>
      <x:c r="R8" s="18" t="str">
        <x:v>The source does not provide a defensible quantitative value for this analysis.</x:v>
      </x:c>
      <x:c r="S8" s="18" t="str"/>
      <x:c r="T8" s="18" t="str">
        <x:v>PCA followed for 48 h; no extractable cumulative 0-24-h total</x:v>
      </x:c>
      <x:c r="U8" s="18" t="str">
        <x:v>https://drive.google.com/file/d/1tNFnY0fJpx53hrtY4DIaE1RsNjE55Xvd/view?usp=drivesdk</x:v>
      </x:c>
    </x:row>
    <x:row r="9">
      <x:c r="A9" s="18" t="str">
        <x:v>Zhou 2025</x:v>
      </x:c>
      <x:c r="B9" s="18" t="str">
        <x:v>ZHOU25_TEAS_vs_SHAM_OPIOID24</x:v>
      </x:c>
      <x:c r="C9" s="18" t="str">
        <x:v>PACU TEAS</x:v>
      </x:c>
      <x:c r="D9" s="18" t="str">
        <x:v>Sham/no current</x:v>
      </x:c>
      <x:c r="E9" s="18" t="str">
        <x:v>Exact cumulative postoperative opioid dose</x:v>
      </x:c>
      <x:c r="F9" s="18" t="str">
        <x:v>0-24 h</x:v>
      </x:c>
      <x:c r="G9" s="18" t="str">
        <x:v>Not reported</x:v>
      </x:c>
      <x:c r="H9" s="18" t="n">
        <x:v>48</x:v>
      </x:c>
      <x:c r="I9" s="18" t="n">
        <x:v>49</x:v>
      </x:c>
      <x:c r="J9" s="18"/>
      <x:c r="K9" s="18"/>
      <x:c r="L9" s="18"/>
      <x:c r="M9" s="18"/>
      <x:c r="N9" s="18" t="str">
        <x:v>mg/µg</x:v>
      </x:c>
      <x:c r="O9" s="18" t="str">
        <x:v>No</x:v>
      </x:c>
      <x:c r="P9" s="18" t="str">
        <x:v>No</x:v>
      </x:c>
      <x:c r="Q9" s="18" t="str">
        <x:v>EXCLUDE — DATA UNAVAILABLE</x:v>
      </x:c>
      <x:c r="R9" s="18" t="str">
        <x:v>The source does not provide a defensible quantitative value for this analysis.</x:v>
      </x:c>
      <x:c r="S9" s="18" t="str"/>
      <x:c r="T9" s="18" t="str">
        <x:v>Standard perioperative sufentanil plus PRN tramadol; exact 0-24-h cumulative dose not reported</x:v>
      </x:c>
      <x:c r="U9" s="18" t="str">
        <x:v>https://drive.google.com/file/d/1gpNBuoukUttXKWiAAeZSqdIaaHSMOwDU/view?usp=drivesdk</x:v>
      </x:c>
    </x:row>
    <x:row r="10">
      <x:c r="A10" s="18" t="str">
        <x:v>Zhou 2021</x:v>
      </x:c>
      <x:c r="B10" s="18" t="str">
        <x:v>ZHOU21_TEAS_vs_UC_OPIOIDUSE</x:v>
      </x:c>
      <x:c r="C10" s="18" t="str">
        <x:v>Postoperative TEAS + ERAS</x:v>
      </x:c>
      <x:c r="D10" s="18" t="str">
        <x:v>ERAS/usual care</x:v>
      </x:c>
      <x:c r="E10" s="18" t="str">
        <x:v>Any postoperative opioid use</x:v>
      </x:c>
      <x:c r="F10" s="18" t="str">
        <x:v>Postoperative window not clearly defined as 0-24 h</x:v>
      </x:c>
      <x:c r="G10" s="18" t="str">
        <x:v>Events/total</x:v>
      </x:c>
      <x:c r="H10" s="18" t="n">
        <x:v>41</x:v>
      </x:c>
      <x:c r="I10" s="18" t="n">
        <x:v>40</x:v>
      </x:c>
      <x:c r="J10" s="18"/>
      <x:c r="K10" s="18"/>
      <x:c r="L10" s="18"/>
      <x:c r="M10" s="18"/>
      <x:c r="N10" s="18" t="str">
        <x:v>participants</x:v>
      </x:c>
      <x:c r="O10" s="18" t="str">
        <x:v>No</x:v>
      </x:c>
      <x:c r="P10" s="18" t="str">
        <x:v>No</x:v>
      </x:c>
      <x:c r="Q10" s="18" t="str">
        <x:v>CONDITIONAL</x:v>
      </x:c>
      <x:c r="R10" s="18" t="str">
        <x:v>Published postoperative opioid endpoint is relevant but does not meet the strict primary 0-24-h definition without an explicit protocol rule.</x:v>
      </x:c>
      <x:c r="S10" s="18" t="str"/>
      <x:c r="T10" s="18" t="str">
        <x:v>Exact postoperative time window is not clearly stated</x:v>
      </x:c>
      <x:c r="U10" s="18" t="str">
        <x:v>https://drive.google.com/file/d/1PxYyULBv_ZjWeqAm_bNYkDn_j2_lNYLq/view?usp=drivesdk</x:v>
      </x:c>
    </x:row>
    <x:row r="11">
      <x:c r="A11" s="18" t="str">
        <x:v>Zheng 2025</x:v>
      </x:c>
      <x:c r="B11" s="18" t="str">
        <x:v>ZHENG25_TEAS_vs_SHAM_OPIOID24</x:v>
      </x:c>
      <x:c r="C11" s="18" t="str">
        <x:v>Perioperative TEAS</x:v>
      </x:c>
      <x:c r="D11" s="18" t="str">
        <x:v>Sham/no current</x:v>
      </x:c>
      <x:c r="E11" s="18" t="str">
        <x:v>Exact cumulative postoperative sufentanil mass</x:v>
      </x:c>
      <x:c r="F11" s="18" t="str">
        <x:v>0-24 h</x:v>
      </x:c>
      <x:c r="G11" s="18" t="str">
        <x:v>Not reported</x:v>
      </x:c>
      <x:c r="H11" s="18" t="n">
        <x:v>42</x:v>
      </x:c>
      <x:c r="I11" s="18" t="n">
        <x:v>43</x:v>
      </x:c>
      <x:c r="J11" s="18"/>
      <x:c r="K11" s="18"/>
      <x:c r="L11" s="18"/>
      <x:c r="M11" s="18"/>
      <x:c r="N11" s="18" t="str">
        <x:v>µg sufentanil</x:v>
      </x:c>
      <x:c r="O11" s="18" t="str">
        <x:v>No</x:v>
      </x:c>
      <x:c r="P11" s="18" t="str">
        <x:v>No</x:v>
      </x:c>
      <x:c r="Q11" s="18" t="str">
        <x:v>EXCLUDE — DATA UNAVAILABLE</x:v>
      </x:c>
      <x:c r="R11" s="18" t="str">
        <x:v>The source does not provide a defensible quantitative value for this analysis.</x:v>
      </x:c>
      <x:c r="S11" s="18" t="str"/>
      <x:c r="T11" s="18" t="str">
        <x:v>Final PCIA volume/concentration and exact cumulative sufentanil mass are not reported</x:v>
      </x:c>
      <x:c r="U11" s="18" t="str">
        <x:v>https://drive.google.com/file/d/1-JWKZgQXaQQQBZgMSDqyIP-vG9aAxBqb/view?usp=drivesdk</x:v>
      </x:c>
    </x:row>
    <x:row r="12">
      <x:c r="A12" s="18" t="str">
        <x:v>Zhan 2020</x:v>
      </x:c>
      <x:c r="B12" s="18" t="str">
        <x:v>ZHAN20_TAPTEAS_vs_TAP_OPIOID24</x:v>
      </x:c>
      <x:c r="C12" s="18" t="str">
        <x:v>TAP block + postoperative TEAS</x:v>
      </x:c>
      <x:c r="D12" s="18" t="str">
        <x:v>TAP block</x:v>
      </x:c>
      <x:c r="E12" s="18" t="str">
        <x:v>Actual cumulative postoperative sufentanil consumption</x:v>
      </x:c>
      <x:c r="F12" s="18" t="str">
        <x:v>0-24 h</x:v>
      </x:c>
      <x:c r="G12" s="18" t="str">
        <x:v>Not reported</x:v>
      </x:c>
      <x:c r="H12" s="18" t="n">
        <x:v>30</x:v>
      </x:c>
      <x:c r="I12" s="18" t="n">
        <x:v>30</x:v>
      </x:c>
      <x:c r="J12" s="18"/>
      <x:c r="K12" s="18"/>
      <x:c r="L12" s="18"/>
      <x:c r="M12" s="18"/>
      <x:c r="N12" s="18" t="str">
        <x:v>µg sufentanil</x:v>
      </x:c>
      <x:c r="O12" s="18" t="str">
        <x:v>No</x:v>
      </x:c>
      <x:c r="P12" s="18" t="str">
        <x:v>No</x:v>
      </x:c>
      <x:c r="Q12" s="18" t="str">
        <x:v>EXCLUDE — DATA UNAVAILABLE</x:v>
      </x:c>
      <x:c r="R12" s="18" t="str">
        <x:v>The source does not provide a defensible quantitative value for this analysis.</x:v>
      </x:c>
      <x:c r="S12" s="18" t="str"/>
      <x:c r="T12" s="18" t="str">
        <x:v>Only programmed PCIA reservoir/basal settings are reported; actual group-specific delivered opioid is NR</x:v>
      </x:c>
      <x:c r="U12" s="18" t="str">
        <x:v>https://drive.google.com/file/d/1GYG7JxUOQxbt724-Ng7dWv3sYeC8dDSr/view?usp=drivesdk</x:v>
      </x:c>
    </x:row>
    <x:row r="13">
      <x:c r="A13" s="18" t="str">
        <x:v>Zhang 2025</x:v>
      </x:c>
      <x:c r="B13" s="18" t="str">
        <x:v>ZHANG25_TEAS_vs_SHAM_SUFPOD1</x:v>
      </x:c>
      <x:c r="C13" s="18" t="str">
        <x:v>Perioperative TEAS</x:v>
      </x:c>
      <x:c r="D13" s="18" t="str">
        <x:v>Sub-sensory sham</x:v>
      </x:c>
      <x:c r="E13" s="18" t="str">
        <x:v>Total sufentanil consumption</x:v>
      </x:c>
      <x:c r="F13" s="18" t="str">
        <x:v>POD1; approximately 24 h but exact clock window not explicit</x:v>
      </x:c>
      <x:c r="G13" s="18" t="str">
        <x:v>Mean/SD</x:v>
      </x:c>
      <x:c r="H13" s="18" t="n">
        <x:v>45</x:v>
      </x:c>
      <x:c r="I13" s="18" t="n">
        <x:v>48</x:v>
      </x:c>
      <x:c r="J13" s="18" t="n">
        <x:v>50.53</x:v>
      </x:c>
      <x:c r="K13" s="18" t="n">
        <x:v>4.46</x:v>
      </x:c>
      <x:c r="L13" s="18" t="n">
        <x:v>53.79</x:v>
      </x:c>
      <x:c r="M13" s="18" t="n">
        <x:v>5.14</x:v>
      </x:c>
      <x:c r="N13" s="18" t="str">
        <x:v>µg sufentanil</x:v>
      </x:c>
      <x:c r="O13" s="18" t="str">
        <x:v>Conditional</x:v>
      </x:c>
      <x:c r="P13" s="18" t="str">
        <x:v>Conditional</x:v>
      </x:c>
      <x:c r="Q13" s="18" t="str">
        <x:v>CONDITIONAL</x:v>
      </x:c>
      <x:c r="R13" s="18" t="str">
        <x:v>24-h opioid endpoint exists but requires a prespecified route/unit/time-window or derived-value rule.</x:v>
      </x:c>
      <x:c r="S13" s="18" t="str"/>
      <x:c r="T13" s="18" t="str">
        <x:v>Endpoint is directly reported as POD1, not explicitly clock-defined 0-24 h; 15/108 excluded after randomization</x:v>
      </x:c>
      <x:c r="U13" s="18" t="str">
        <x:v>https://drive.google.com/file/d/1eHx6Hk16vmIfMgoiZ5eNae4zmCR5ktwJ/view?usp=drivesdk</x:v>
      </x:c>
    </x:row>
    <x:row r="14">
      <x:c r="A14" s="18" t="str">
        <x:v>Zhang 2023</x:v>
      </x:c>
      <x:c r="B14" s="18" t="str">
        <x:v>ZHANG23_TEAS_vs_SHAM_MME48</x:v>
      </x:c>
      <x:c r="C14" s="18" t="str">
        <x:v>TEAS</x:v>
      </x:c>
      <x:c r="D14" s="18" t="str">
        <x:v>Sham/no current</x:v>
      </x:c>
      <x:c r="E14" s="18" t="str">
        <x:v>Postoperative IV morphine-equivalent consumption</x:v>
      </x:c>
      <x:c r="F14" s="18" t="str">
        <x:v>Within 48 h</x:v>
      </x:c>
      <x:c r="G14" s="18" t="str">
        <x:v>Median/IQR</x:v>
      </x:c>
      <x:c r="H14" s="18" t="n">
        <x:v>922</x:v>
      </x:c>
      <x:c r="I14" s="18" t="n">
        <x:v>916</x:v>
      </x:c>
      <x:c r="J14" s="18" t="n">
        <x:v>110</x:v>
      </x:c>
      <x:c r="K14" s="18" t="str">
        <x:v>80–110</x:v>
      </x:c>
      <x:c r="L14" s="18" t="n">
        <x:v>110</x:v>
      </x:c>
      <x:c r="M14" s="18" t="str">
        <x:v>90–110</x:v>
      </x:c>
      <x:c r="N14" s="18" t="str">
        <x:v>mg IV morphine-equivalent</x:v>
      </x:c>
      <x:c r="O14" s="18" t="str">
        <x:v>No</x:v>
      </x:c>
      <x:c r="P14" s="18" t="str">
        <x:v>No</x:v>
      </x:c>
      <x:c r="Q14" s="18" t="str">
        <x:v>EXCLUDE — NOT PRIMARY 24H OPIOID</x:v>
      </x:c>
      <x:c r="R14" s="18" t="str">
        <x:v>Not a strict 0-24-h postoperative opioid-consumption endpoint.</x:v>
      </x:c>
      <x:c r="S14" s="18" t="str"/>
      <x:c r="T14" s="18" t="str">
        <x:v>Authors converted opioids using ClinCalc; exact 24-h postoperative dose is not reported</x:v>
      </x:c>
      <x:c r="U14" s="18" t="str">
        <x:v>https://drive.google.com/file/d/1LXNXNhVJaOcYXBODulFUuMD4FQXC5dph/view?usp=drivesdk</x:v>
      </x:c>
    </x:row>
    <x:row r="15">
      <x:c r="A15" s="18" t="str">
        <x:v>Zhang 2023</x:v>
      </x:c>
      <x:c r="B15" s="18" t="str">
        <x:v>ZHANG23_TEAS_vs_SHAM_OPIOID24</x:v>
      </x:c>
      <x:c r="C15" s="18" t="str">
        <x:v>TEAS</x:v>
      </x:c>
      <x:c r="D15" s="18" t="str">
        <x:v>Sham/no current</x:v>
      </x:c>
      <x:c r="E15" s="18" t="str">
        <x:v>Exact cumulative postoperative opioid dose</x:v>
      </x:c>
      <x:c r="F15" s="18" t="str">
        <x:v>0-24 h</x:v>
      </x:c>
      <x:c r="G15" s="18" t="str">
        <x:v>Not reported</x:v>
      </x:c>
      <x:c r="H15" s="18" t="n">
        <x:v>922</x:v>
      </x:c>
      <x:c r="I15" s="18" t="n">
        <x:v>916</x:v>
      </x:c>
      <x:c r="J15" s="18"/>
      <x:c r="K15" s="18"/>
      <x:c r="L15" s="18"/>
      <x:c r="M15" s="18"/>
      <x:c r="N15" s="18" t="str">
        <x:v>mg IV morphine-equivalent</x:v>
      </x:c>
      <x:c r="O15" s="18" t="str">
        <x:v>No</x:v>
      </x:c>
      <x:c r="P15" s="18" t="str">
        <x:v>No</x:v>
      </x:c>
      <x:c r="Q15" s="18" t="str">
        <x:v>EXCLUDE — DATA UNAVAILABLE</x:v>
      </x:c>
      <x:c r="R15" s="18" t="str">
        <x:v>The source does not provide a defensible quantitative value for this analysis.</x:v>
      </x:c>
      <x:c r="S15" s="18" t="str"/>
      <x:c r="T15" s="18" t="str">
        <x:v>Only a postoperative 48-h opioid-equivalent endpoint is reported</x:v>
      </x:c>
      <x:c r="U15" s="18" t="str">
        <x:v>https://drive.google.com/file/d/1LXNXNhVJaOcYXBODulFUuMD4FQXC5dph/view?usp=drivesdk</x:v>
      </x:c>
    </x:row>
    <x:row r="16">
      <x:c r="A16" s="18" t="str">
        <x:v>Zhang 2014</x:v>
      </x:c>
      <x:c r="B16" s="18" t="str">
        <x:v>ZHANG14_TEAS_vs_SHAM_OPIOID24</x:v>
      </x:c>
      <x:c r="C16" s="18" t="str">
        <x:v>Preoperative TEAS</x:v>
      </x:c>
      <x:c r="D16" s="18" t="str">
        <x:v>Sham/no current</x:v>
      </x:c>
      <x:c r="E16" s="18" t="str">
        <x:v>Exact cumulative postoperative opioid dose</x:v>
      </x:c>
      <x:c r="F16" s="18" t="str">
        <x:v>0-24 h</x:v>
      </x:c>
      <x:c r="G16" s="18" t="str">
        <x:v>Not reported</x:v>
      </x:c>
      <x:c r="H16" s="18" t="n">
        <x:v>33</x:v>
      </x:c>
      <x:c r="I16" s="18" t="n">
        <x:v>32</x:v>
      </x:c>
      <x:c r="J16" s="18"/>
      <x:c r="K16" s="18"/>
      <x:c r="L16" s="18"/>
      <x:c r="M16" s="18"/>
      <x:c r="N16" s="18" t="str">
        <x:v>mg/µg</x:v>
      </x:c>
      <x:c r="O16" s="18" t="str">
        <x:v>No</x:v>
      </x:c>
      <x:c r="P16" s="18" t="str">
        <x:v>No</x:v>
      </x:c>
      <x:c r="Q16" s="18" t="str">
        <x:v>EXCLUDE — DATA UNAVAILABLE</x:v>
      </x:c>
      <x:c r="R16" s="18" t="str">
        <x:v>The source does not provide a defensible quantitative value for this analysis.</x:v>
      </x:c>
      <x:c r="S16" s="18" t="str"/>
      <x:c r="T16" s="18" t="str">
        <x:v>Study reports intraoperative remifentanil rate but no exact postoperative opioid-consumption total</x:v>
      </x:c>
      <x:c r="U16" s="18" t="str">
        <x:v>https://drive.google.com/file/d/1lws1zFpIE-wbLY8X9ewYyTuIP-WySa-c/view?usp=drivesdk</x:v>
      </x:c>
    </x:row>
    <x:row r="17">
      <x:c r="A17" s="18" t="str">
        <x:v>Yang 2024</x:v>
      </x:c>
      <x:c r="B17" s="18" t="str">
        <x:v>YANG24_EA_vs_UC_MORPH24</x:v>
      </x:c>
      <x:c r="C17" s="18" t="str">
        <x:v>Perioperative EA + usual care</x:v>
      </x:c>
      <x:c r="D17" s="18" t="str">
        <x:v>Usual care</x:v>
      </x:c>
      <x:c r="E17" s="18" t="str">
        <x:v>Morphine use via IV PCA</x:v>
      </x:c>
      <x:c r="F17" s="18" t="str">
        <x:v>First 24 h / POD1</x:v>
      </x:c>
      <x:c r="G17" s="18" t="str">
        <x:v>Mean/SD</x:v>
      </x:c>
      <x:c r="H17" s="18" t="n">
        <x:v>90</x:v>
      </x:c>
      <x:c r="I17" s="18" t="n">
        <x:v>90</x:v>
      </x:c>
      <x:c r="J17" s="18" t="n">
        <x:v>43.7</x:v>
      </x:c>
      <x:c r="K17" s="18" t="n">
        <x:v>4.7</x:v>
      </x:c>
      <x:c r="L17" s="18" t="n">
        <x:v>44</x:v>
      </x:c>
      <x:c r="M17" s="18" t="n">
        <x:v>4.9</x:v>
      </x:c>
      <x:c r="N17" s="18" t="str">
        <x:v>mg morphine</x:v>
      </x:c>
      <x:c r="O17" s="18" t="str">
        <x:v>Yes</x:v>
      </x:c>
      <x:c r="P17" s="18" t="str">
        <x:v>Yes</x:v>
      </x:c>
      <x:c r="Q17" s="18" t="str">
        <x:v>INCLUDE</x:v>
      </x:c>
      <x:c r="R17" s="18" t="str">
        <x:v>Explicit 0-24-h postoperative opioid endpoint and marked eligible in the reconciled source data.</x:v>
      </x:c>
      <x:c r="S17" s="18" t="str"/>
      <x:c r="T17" s="18" t="str">
        <x:v>All 180 randomized participants retained in ITT; open-label patients but objective PCA drug-use record</x:v>
      </x:c>
      <x:c r="U17" s="18" t="str">
        <x:v>https://drive.google.com/file/d/160N3psd5tLEphwXHJzUEZ3uJfaIXcs5V/view?usp=drivesdk</x:v>
      </x:c>
    </x:row>
    <x:row r="18">
      <x:c r="A18" s="18" t="str">
        <x:v>Xiong 2021</x:v>
      </x:c>
      <x:c r="B18" s="18" t="str">
        <x:v>XIONG21_TEAS_vs_CTRL_POSTOPMME</x:v>
      </x:c>
      <x:c r="C18" s="18" t="str">
        <x:v>TEAS + dexamethasone + tropisetron</x:v>
      </x:c>
      <x:c r="D18" s="18" t="str">
        <x:v>Dexamethasone + tropisetron</x:v>
      </x:c>
      <x:c r="E18" s="18" t="str">
        <x:v>Postoperative opioid consumption</x:v>
      </x:c>
      <x:c r="F18" s="18" t="str">
        <x:v>Postoperative window unclear</x:v>
      </x:c>
      <x:c r="G18" s="18" t="str">
        <x:v>Mean/SD</x:v>
      </x:c>
      <x:c r="H18" s="18" t="n">
        <x:v>31</x:v>
      </x:c>
      <x:c r="I18" s="18" t="n">
        <x:v>31</x:v>
      </x:c>
      <x:c r="J18" s="18" t="n">
        <x:v>0.6</x:v>
      </x:c>
      <x:c r="K18" s="18" t="n">
        <x:v>0.2</x:v>
      </x:c>
      <x:c r="L18" s="18" t="n">
        <x:v>0.6</x:v>
      </x:c>
      <x:c r="M18" s="18" t="n">
        <x:v>0.1</x:v>
      </x:c>
      <x:c r="N18" s="18" t="str">
        <x:v>mg morphine-equivalent/kg</x:v>
      </x:c>
      <x:c r="O18" s="18" t="str">
        <x:v>No</x:v>
      </x:c>
      <x:c r="P18" s="18" t="str">
        <x:v>No</x:v>
      </x:c>
      <x:c r="Q18" s="18" t="str">
        <x:v>EXCLUDE — NOT PRIMARY 24H OPIOID</x:v>
      </x:c>
      <x:c r="R18" s="18" t="str">
        <x:v>Not a strict 0-24-h postoperative opioid-consumption endpoint.</x:v>
      </x:c>
      <x:c r="S18" s="18" t="str"/>
      <x:c r="T18" s="18" t="str">
        <x:v>Exact postoperative interval is not stated; route terminology in Results is internally inconsistent</x:v>
      </x:c>
      <x:c r="U18" s="18" t="str">
        <x:v>https://drive.google.com/file/d/1sNaquYeWpsts7_e3XYP9c0CwM-tbQS6T/view?usp=drivesdk</x:v>
      </x:c>
    </x:row>
    <x:row r="19">
      <x:c r="A19" s="18" t="str">
        <x:v>Xiong 2021</x:v>
      </x:c>
      <x:c r="B19" s="18" t="str">
        <x:v>XIONG21_TEAS_vs_CTRL_OPIOID24</x:v>
      </x:c>
      <x:c r="C19" s="18" t="str">
        <x:v>TEAS + dexamethasone + tropisetron</x:v>
      </x:c>
      <x:c r="D19" s="18" t="str">
        <x:v>Dexamethasone + tropisetron</x:v>
      </x:c>
      <x:c r="E19" s="18" t="str">
        <x:v>Exact cumulative postoperative opioid dose</x:v>
      </x:c>
      <x:c r="F19" s="18" t="str">
        <x:v>0-24 h</x:v>
      </x:c>
      <x:c r="G19" s="18" t="str">
        <x:v>Not reported</x:v>
      </x:c>
      <x:c r="H19" s="18" t="n">
        <x:v>31</x:v>
      </x:c>
      <x:c r="I19" s="18" t="n">
        <x:v>31</x:v>
      </x:c>
      <x:c r="J19" s="18"/>
      <x:c r="K19" s="18"/>
      <x:c r="L19" s="18"/>
      <x:c r="M19" s="18"/>
      <x:c r="N19" s="18" t="str">
        <x:v>mg morphine-equivalent/kg</x:v>
      </x:c>
      <x:c r="O19" s="18" t="str">
        <x:v>No</x:v>
      </x:c>
      <x:c r="P19" s="18" t="str">
        <x:v>No</x:v>
      </x:c>
      <x:c r="Q19" s="18" t="str">
        <x:v>EXCLUDE — DATA UNAVAILABLE</x:v>
      </x:c>
      <x:c r="R19" s="18" t="str">
        <x:v>The source does not provide a defensible quantitative value for this analysis.</x:v>
      </x:c>
      <x:c r="S19" s="18" t="str"/>
      <x:c r="T19" s="18" t="str">
        <x:v>Published opioid-equivalent result lacks a fixed time window</x:v>
      </x:c>
      <x:c r="U19" s="18" t="str">
        <x:v>https://drive.google.com/file/d/1sNaquYeWpsts7_e3XYP9c0CwM-tbQS6T/view?usp=drivesdk</x:v>
      </x:c>
    </x:row>
    <x:row r="20">
      <x:c r="A20" s="18" t="str">
        <x:v>Xing 2022</x:v>
      </x:c>
      <x:c r="B20" s="18" t="str">
        <x:v>XING22_NTG_vs_NG_OPIOID24</x:v>
      </x:c>
      <x:c r="C20" s="18" t="str">
        <x:v>TEAS + active TAPB</x:v>
      </x:c>
      <x:c r="D20" s="18" t="str">
        <x:v>Sham TEAS + active TAPB</x:v>
      </x:c>
      <x:c r="E20" s="18" t="str">
        <x:v>Exact cumulative postoperative sufentanil delivered</x:v>
      </x:c>
      <x:c r="F20" s="18" t="str">
        <x:v>0-24 h</x:v>
      </x:c>
      <x:c r="G20" s="18" t="str">
        <x:v>Not reported</x:v>
      </x:c>
      <x:c r="H20" s="18" t="n">
        <x:v>29</x:v>
      </x:c>
      <x:c r="I20" s="18" t="n">
        <x:v>29</x:v>
      </x:c>
      <x:c r="J20" s="18"/>
      <x:c r="K20" s="18"/>
      <x:c r="L20" s="18"/>
      <x:c r="M20" s="18"/>
      <x:c r="N20" s="18" t="str">
        <x:v>µg sufentanil</x:v>
      </x:c>
      <x:c r="O20" s="18" t="str">
        <x:v>No</x:v>
      </x:c>
      <x:c r="P20" s="18" t="str">
        <x:v>No</x:v>
      </x:c>
      <x:c r="Q20" s="18" t="str">
        <x:v>EXCLUDE — DATA UNAVAILABLE</x:v>
      </x:c>
      <x:c r="R20" s="18" t="str">
        <x:v>The source does not provide a defensible quantitative value for this analysis.</x:v>
      </x:c>
      <x:c r="S20" s="18" t="str"/>
      <x:c r="T20" s="18" t="str">
        <x:v>PCIA wording is internally contradictory and only press counts are reported</x:v>
      </x:c>
      <x:c r="U20" s="18" t="str">
        <x:v>https://drive.google.com/file/d/1h3IGpQ56nSh7H16xBEVyTzCBkWOXRSxK/view?usp=drivesdk</x:v>
      </x:c>
    </x:row>
    <x:row r="21">
      <x:c r="A21" s="18" t="str">
        <x:v>Xie 2014</x:v>
      </x:c>
      <x:c r="B21" s="18" t="str">
        <x:v>XIE14_EAS_vs_SHAM_TOTALSUF</x:v>
      </x:c>
      <x:c r="C21" s="18" t="str">
        <x:v>Active EAS PC4/PC6</x:v>
      </x:c>
      <x:c r="D21" s="18" t="str">
        <x:v>Sham needling PC4/PC6</x:v>
      </x:c>
      <x:c r="E21" s="18" t="str">
        <x:v>Total postoperative/perioperative sufentanil</x:v>
      </x:c>
      <x:c r="F21" s="18" t="str">
        <x:v>Study PCA period; exact fixed window unclear</x:v>
      </x:c>
      <x:c r="G21" s="18" t="str">
        <x:v>Mean/SD</x:v>
      </x:c>
      <x:c r="H21" s="18" t="n">
        <x:v>20</x:v>
      </x:c>
      <x:c r="I21" s="18" t="n">
        <x:v>20</x:v>
      </x:c>
      <x:c r="J21" s="18" t="n">
        <x:v>115</x:v>
      </x:c>
      <x:c r="K21" s="18" t="n">
        <x:v>6</x:v>
      </x:c>
      <x:c r="L21" s="18" t="n">
        <x:v>133</x:v>
      </x:c>
      <x:c r="M21" s="18" t="n">
        <x:v>7</x:v>
      </x:c>
      <x:c r="N21" s="18" t="str">
        <x:v>µg sufentanil</x:v>
      </x:c>
      <x:c r="O21" s="18" t="str">
        <x:v>No</x:v>
      </x:c>
      <x:c r="P21" s="18" t="str">
        <x:v>No</x:v>
      </x:c>
      <x:c r="Q21" s="18" t="str">
        <x:v>EXCLUDE — NOT PRIMARY 24H OPIOID</x:v>
      </x:c>
      <x:c r="R21" s="18" t="str">
        <x:v>Not a strict 0-24-h postoperative opioid-consumption endpoint.</x:v>
      </x:c>
      <x:c r="S21" s="18" t="str"/>
      <x:c r="T21" s="18" t="str">
        <x:v>Infusion described through POD3; Discussion mentions lower use through 48 h; Table 2 does not define fixed window</x:v>
      </x:c>
      <x:c r="U21" s="18" t="str">
        <x:v>https://drive.google.com/file/d/17faY_h0rMJTuhjPOC5PL_S59jYmHDPee/view?usp=drivesdk</x:v>
      </x:c>
    </x:row>
    <x:row r="22">
      <x:c r="A22" s="18" t="str">
        <x:v>Xie 2014</x:v>
      </x:c>
      <x:c r="B22" s="18" t="str">
        <x:v>XIE14_EAS_vs_CONTROL_TOTALSUF</x:v>
      </x:c>
      <x:c r="C22" s="18" t="str">
        <x:v>Active EAS PC4/PC6</x:v>
      </x:c>
      <x:c r="D22" s="18" t="str">
        <x:v>General-anesthesia control</x:v>
      </x:c>
      <x:c r="E22" s="18" t="str">
        <x:v>Total postoperative/perioperative sufentanil</x:v>
      </x:c>
      <x:c r="F22" s="18" t="str">
        <x:v>Study PCA period; exact fixed window unclear</x:v>
      </x:c>
      <x:c r="G22" s="18" t="str">
        <x:v>Mean/SD</x:v>
      </x:c>
      <x:c r="H22" s="18" t="n">
        <x:v>20</x:v>
      </x:c>
      <x:c r="I22" s="18" t="n">
        <x:v>20</x:v>
      </x:c>
      <x:c r="J22" s="18" t="n">
        <x:v>115</x:v>
      </x:c>
      <x:c r="K22" s="18" t="n">
        <x:v>6</x:v>
      </x:c>
      <x:c r="L22" s="18" t="n">
        <x:v>134</x:v>
      </x:c>
      <x:c r="M22" s="18" t="n">
        <x:v>5.9</x:v>
      </x:c>
      <x:c r="N22" s="18" t="str">
        <x:v>µg sufentanil</x:v>
      </x:c>
      <x:c r="O22" s="18" t="str">
        <x:v>No</x:v>
      </x:c>
      <x:c r="P22" s="18" t="str">
        <x:v>No</x:v>
      </x:c>
      <x:c r="Q22" s="18" t="str">
        <x:v>EXCLUDE — NOT PRIMARY 24H OPIOID</x:v>
      </x:c>
      <x:c r="R22" s="18" t="str">
        <x:v>Not a strict 0-24-h postoperative opioid-consumption endpoint.</x:v>
      </x:c>
      <x:c r="S22" s="18" t="str"/>
      <x:c r="T22" s="18" t="str">
        <x:v>Three-arm shared-intervention structure; exact fixed observation window not established</x:v>
      </x:c>
      <x:c r="U22" s="18" t="str">
        <x:v>https://drive.google.com/file/d/17faY_h0rMJTuhjPOC5PL_S59jYmHDPee/view?usp=drivesdk</x:v>
      </x:c>
    </x:row>
    <x:row r="23">
      <x:c r="A23" s="18" t="str">
        <x:v>Xie 2014</x:v>
      </x:c>
      <x:c r="B23" s="18" t="str">
        <x:v>XIE14_EAS_vs_SHAM_OPIOID24</x:v>
      </x:c>
      <x:c r="C23" s="18" t="str">
        <x:v>Active EAS PC4/PC6</x:v>
      </x:c>
      <x:c r="D23" s="18" t="str">
        <x:v>Sham needling PC4/PC6</x:v>
      </x:c>
      <x:c r="E23" s="18" t="str">
        <x:v>Exact cumulative postoperative sufentanil</x:v>
      </x:c>
      <x:c r="F23" s="18" t="str">
        <x:v>0-24 h</x:v>
      </x:c>
      <x:c r="G23" s="18" t="str">
        <x:v>Not reported</x:v>
      </x:c>
      <x:c r="H23" s="18" t="n">
        <x:v>20</x:v>
      </x:c>
      <x:c r="I23" s="18" t="n">
        <x:v>20</x:v>
      </x:c>
      <x:c r="J23" s="18"/>
      <x:c r="K23" s="18"/>
      <x:c r="L23" s="18"/>
      <x:c r="M23" s="18"/>
      <x:c r="N23" s="18" t="str">
        <x:v>µg sufentanil</x:v>
      </x:c>
      <x:c r="O23" s="18" t="str">
        <x:v>No</x:v>
      </x:c>
      <x:c r="P23" s="18" t="str">
        <x:v>No</x:v>
      </x:c>
      <x:c r="Q23" s="18" t="str">
        <x:v>EXCLUDE — DATA UNAVAILABLE</x:v>
      </x:c>
      <x:c r="R23" s="18" t="str">
        <x:v>The source does not provide a defensible quantitative value for this analysis.</x:v>
      </x:c>
      <x:c r="S23" s="18" t="str"/>
      <x:c r="T23" s="18" t="str">
        <x:v>Directly reported total cannot be assigned to a fixed 24-h window</x:v>
      </x:c>
      <x:c r="U23" s="18" t="str">
        <x:v>https://drive.google.com/file/d/17faY_h0rMJTuhjPOC5PL_S59jYmHDPee/view?usp=drivesdk</x:v>
      </x:c>
    </x:row>
    <x:row r="24">
      <x:c r="A24" s="18" t="str">
        <x:v>Wu 2022</x:v>
      </x:c>
      <x:c r="B24" s="18" t="str">
        <x:v>WU22_PTEAS_vs_CTRL_OPIOID24</x:v>
      </x:c>
      <x:c r="C24" s="18" t="str">
        <x:v>Perioperative pTEAS</x:v>
      </x:c>
      <x:c r="D24" s="18" t="str">
        <x:v>No-current control</x:v>
      </x:c>
      <x:c r="E24" s="18" t="str">
        <x:v>Exact cumulative postoperative opioid consumption</x:v>
      </x:c>
      <x:c r="F24" s="18" t="str">
        <x:v>0-24 h</x:v>
      </x:c>
      <x:c r="G24" s="18" t="str">
        <x:v>Not reported</x:v>
      </x:c>
      <x:c r="H24" s="18" t="n">
        <x:v>44</x:v>
      </x:c>
      <x:c r="I24" s="18" t="n">
        <x:v>40</x:v>
      </x:c>
      <x:c r="J24" s="18"/>
      <x:c r="K24" s="18"/>
      <x:c r="L24" s="18"/>
      <x:c r="M24" s="18"/>
      <x:c r="N24" s="18" t="str">
        <x:v>mg/µg</x:v>
      </x:c>
      <x:c r="O24" s="18" t="str">
        <x:v>No</x:v>
      </x:c>
      <x:c r="P24" s="18" t="str">
        <x:v>No</x:v>
      </x:c>
      <x:c r="Q24" s="18" t="str">
        <x:v>EXCLUDE — DATA UNAVAILABLE</x:v>
      </x:c>
      <x:c r="R24" s="18" t="str">
        <x:v>The source does not provide a defensible quantitative value for this analysis.</x:v>
      </x:c>
      <x:c r="S24" s="18" t="str"/>
      <x:c r="T24" s="18" t="str">
        <x:v>Standard end-of-surgery tramadol/fentanyl are reported, but no randomized group-specific 0-24-h opioid total is provided</x:v>
      </x:c>
      <x:c r="U24" s="18" t="str">
        <x:v>https://drive.google.com/file/d/1XR_8qmeHR7ulwV7NaaI0CeYbpwKdc_ym/view?usp=drivesdk</x:v>
      </x:c>
    </x:row>
    <x:row r="25">
      <x:c r="A25" s="18" t="str">
        <x:v>Wu 2025</x:v>
      </x:c>
      <x:c r="B25" s="18" t="str">
        <x:v>WU25_TEAS_vs_SHAM_OPIOID24</x:v>
      </x:c>
      <x:c r="C25" s="18" t="str">
        <x:v>PACU TEAS</x:v>
      </x:c>
      <x:c r="D25" s="18" t="str">
        <x:v>Sham/no current</x:v>
      </x:c>
      <x:c r="E25" s="18" t="str">
        <x:v>Exact postoperative opioid/MME consumption</x:v>
      </x:c>
      <x:c r="F25" s="18" t="str">
        <x:v>0-24 h</x:v>
      </x:c>
      <x:c r="G25" s="18" t="str">
        <x:v>Not calculable</x:v>
      </x:c>
      <x:c r="H25" s="18" t="n">
        <x:v>50</x:v>
      </x:c>
      <x:c r="I25" s="18" t="n">
        <x:v>50</x:v>
      </x:c>
      <x:c r="J25" s="18"/>
      <x:c r="K25" s="18"/>
      <x:c r="L25" s="18"/>
      <x:c r="M25" s="18"/>
      <x:c r="N25" s="18" t="str">
        <x:v>MME</x:v>
      </x:c>
      <x:c r="O25" s="18" t="str">
        <x:v>No</x:v>
      </x:c>
      <x:c r="P25" s="18" t="str">
        <x:v>No</x:v>
      </x:c>
      <x:c r="Q25" s="18" t="str">
        <x:v>EXCLUDE — DATA UNAVAILABLE</x:v>
      </x:c>
      <x:c r="R25" s="18" t="str">
        <x:v>The source does not provide a defensible quantitative value for this analysis.</x:v>
      </x:c>
      <x:c r="S25" s="18" t="str"/>
      <x:c r="T25" s="18" t="str">
        <x:v>Oxycodone/acetaminophen rescue strength is not reported; rescue regimen is mixed opioid/non-opioid</x:v>
      </x:c>
      <x:c r="U25" s="18" t="str">
        <x:v>https://drive.google.com/file/d/1ZV6JFjevGSPqnISdX61KPdcC_yEtq3vf/view?usp=drivesdk</x:v>
      </x:c>
    </x:row>
    <x:row r="26">
      <x:c r="A26" s="18" t="str">
        <x:v>Wang 2023</x:v>
      </x:c>
      <x:c r="B26" s="18" t="str">
        <x:v>WANG23_TEAS_vs_SHAM_OPIOID24</x:v>
      </x:c>
      <x:c r="C26" s="18" t="str">
        <x:v>Nighttime TEAS</x:v>
      </x:c>
      <x:c r="D26" s="18" t="str">
        <x:v>Sham/no current</x:v>
      </x:c>
      <x:c r="E26" s="18" t="str">
        <x:v>Exact cumulative postoperative opioid dose</x:v>
      </x:c>
      <x:c r="F26" s="18" t="str">
        <x:v>0-24 h</x:v>
      </x:c>
      <x:c r="G26" s="18" t="str">
        <x:v>Not reported</x:v>
      </x:c>
      <x:c r="H26" s="18" t="n">
        <x:v>40</x:v>
      </x:c>
      <x:c r="I26" s="18" t="n">
        <x:v>43</x:v>
      </x:c>
      <x:c r="J26" s="18"/>
      <x:c r="K26" s="18"/>
      <x:c r="L26" s="18"/>
      <x:c r="M26" s="18"/>
      <x:c r="N26" s="18" t="str">
        <x:v>mg/µg</x:v>
      </x:c>
      <x:c r="O26" s="18" t="str">
        <x:v>No</x:v>
      </x:c>
      <x:c r="P26" s="18" t="str">
        <x:v>No</x:v>
      </x:c>
      <x:c r="Q26" s="18" t="str">
        <x:v>EXCLUDE — DATA UNAVAILABLE</x:v>
      </x:c>
      <x:c r="R26" s="18" t="str">
        <x:v>The source does not provide a defensible quantitative value for this analysis.</x:v>
      </x:c>
      <x:c r="S26" s="18" t="str"/>
      <x:c r="T26" s="18" t="str">
        <x:v>Only rescue-dose counts are reported and the rescue drug is not identified</x:v>
      </x:c>
      <x:c r="U26" s="18" t="str">
        <x:v>https://drive.google.com/file/d/177A4aH42GD90DhsvvtD-VOBSChBBpIWL/view?usp=drivesdk</x:v>
      </x:c>
    </x:row>
    <x:row r="27">
      <x:c r="A27" s="18" t="str">
        <x:v>Wang 2024</x:v>
      </x:c>
      <x:c r="B27" s="18" t="str">
        <x:v>WANG24_POSTOP_OPIOID24</x:v>
      </x:c>
      <x:c r="C27" s="18" t="str">
        <x:v>TEAS within risk strata</x:v>
      </x:c>
      <x:c r="D27" s="18" t="str">
        <x:v>OD within risk strata</x:v>
      </x:c>
      <x:c r="E27" s="18" t="str">
        <x:v>Postoperative opioid consumption</x:v>
      </x:c>
      <x:c r="F27" s="18" t="str">
        <x:v>0-24 h</x:v>
      </x:c>
      <x:c r="G27" s="18" t="str">
        <x:v>Not reported</x:v>
      </x:c>
      <x:c r="H27" s="18"/>
      <x:c r="I27" s="18"/>
      <x:c r="J27" s="18"/>
      <x:c r="K27" s="18"/>
      <x:c r="L27" s="18"/>
      <x:c r="M27" s="18"/>
      <x:c r="N27" s="18" t="str">
        <x:v>mg/µg</x:v>
      </x:c>
      <x:c r="O27" s="18" t="str">
        <x:v>No</x:v>
      </x:c>
      <x:c r="P27" s="18" t="str">
        <x:v>No</x:v>
      </x:c>
      <x:c r="Q27" s="18" t="str">
        <x:v>EXCLUDE — DATA UNAVAILABLE</x:v>
      </x:c>
      <x:c r="R27" s="18" t="str">
        <x:v>The source does not provide a defensible quantitative value for this analysis.</x:v>
      </x:c>
      <x:c r="S27" s="18" t="str"/>
      <x:c r="T27" s="18" t="str">
        <x:v>Postoperative rescue analgesia was non-opioid flurbiprofen; no postoperative opioid-consumption endpoint</x:v>
      </x:c>
      <x:c r="U27" s="18" t="str">
        <x:v>https://drive.google.com/file/d/1U8tkq6mKFO0IkA2glfgLjN4Krwku3FZn/view?usp=drivesdk</x:v>
      </x:c>
    </x:row>
    <x:row r="28">
      <x:c r="A28" s="18" t="str">
        <x:v>Tu 2024</x:v>
      </x:c>
      <x:c r="B28" s="18" t="str">
        <x:v>TU24_TEAS_vs_SHAM_OPIOID24</x:v>
      </x:c>
      <x:c r="C28" s="18" t="str">
        <x:v>Postoperative TEAS</x:v>
      </x:c>
      <x:c r="D28" s="18" t="str">
        <x:v>Sham/no current</x:v>
      </x:c>
      <x:c r="E28" s="18" t="str">
        <x:v>Cumulative rescue tramadol consumption</x:v>
      </x:c>
      <x:c r="F28" s="18" t="str">
        <x:v>0-24 h</x:v>
      </x:c>
      <x:c r="G28" s="18" t="str">
        <x:v>Not reported</x:v>
      </x:c>
      <x:c r="H28" s="18" t="n">
        <x:v>57</x:v>
      </x:c>
      <x:c r="I28" s="18" t="n">
        <x:v>58</x:v>
      </x:c>
      <x:c r="J28" s="18"/>
      <x:c r="K28" s="18"/>
      <x:c r="L28" s="18"/>
      <x:c r="M28" s="18"/>
      <x:c r="N28" s="18" t="str">
        <x:v>mg tramadol</x:v>
      </x:c>
      <x:c r="O28" s="18" t="str">
        <x:v>No</x:v>
      </x:c>
      <x:c r="P28" s="18" t="str">
        <x:v>No</x:v>
      </x:c>
      <x:c r="Q28" s="18" t="str">
        <x:v>EXCLUDE — DATA UNAVAILABLE</x:v>
      </x:c>
      <x:c r="R28" s="18" t="str">
        <x:v>The source does not provide a defensible quantitative value for this analysis.</x:v>
      </x:c>
      <x:c r="S28" s="18" t="str"/>
      <x:c r="T28" s="18" t="str">
        <x:v>Only number of patients receiving rescue tramadol is reported; cumulative dose is unavailable</x:v>
      </x:c>
      <x:c r="U28" s="18" t="str">
        <x:v>https://drive.google.com/file/d/1xQ9SbXVZblphUrb0-T9xpnAXk-_z5nBX/view?usp=drivesdk</x:v>
      </x:c>
    </x:row>
    <x:row r="29">
      <x:c r="A29" s="18" t="str">
        <x:v>Sun 2017</x:v>
      </x:c>
      <x:c r="B29" s="18" t="str">
        <x:v>SUN17_POSTOP_OPIOID24</x:v>
      </x:c>
      <x:c r="C29" s="18" t="str">
        <x:v>True TEAS timing arms</x:v>
      </x:c>
      <x:c r="D29" s="18" t="str">
        <x:v>All-period sham TEAS</x:v>
      </x:c>
      <x:c r="E29" s="18" t="str">
        <x:v>Postoperative opioid consumption</x:v>
      </x:c>
      <x:c r="F29" s="18" t="str">
        <x:v>0-24 h</x:v>
      </x:c>
      <x:c r="G29" s="18" t="str">
        <x:v>Not applicable / not reported</x:v>
      </x:c>
      <x:c r="H29" s="18"/>
      <x:c r="I29" s="18"/>
      <x:c r="J29" s="18"/>
      <x:c r="K29" s="18"/>
      <x:c r="L29" s="18"/>
      <x:c r="M29" s="18"/>
      <x:c r="N29" s="18" t="str">
        <x:v>mg/µg</x:v>
      </x:c>
      <x:c r="O29" s="18" t="str">
        <x:v>No</x:v>
      </x:c>
      <x:c r="P29" s="18" t="str">
        <x:v>No</x:v>
      </x:c>
      <x:c r="Q29" s="18" t="str">
        <x:v>EXCLUDE — NOT PRIMARY 24H OPIOID</x:v>
      </x:c>
      <x:c r="R29" s="18" t="str">
        <x:v>Not a strict 0-24-h postoperative opioid-consumption endpoint.</x:v>
      </x:c>
      <x:c r="S29" s="18" t="str"/>
      <x:c r="T29" s="18" t="str">
        <x:v>Postoperative rescue analgesia was flurbiprofen axetil (NSAID), not an opioid</x:v>
      </x:c>
      <x:c r="U29" s="18" t="str">
        <x:v>https://drive.google.com/file/d/1lELlw0IpkhqoB8OuintAI22fxKfNEcEd/view?usp=drivesdk</x:v>
      </x:c>
    </x:row>
    <x:row r="30">
      <x:c r="A30" s="18" t="str">
        <x:v>Sim 2002</x:v>
      </x:c>
      <x:c r="B30" s="18" t="str">
        <x:v>SIM02_PREOP_vs_PLACEBO_MORPH24</x:v>
      </x:c>
      <x:c r="C30" s="18" t="str">
        <x:v>Preoperative EA</x:v>
      </x:c>
      <x:c r="D30" s="18" t="str">
        <x:v>Placebo EA</x:v>
      </x:c>
      <x:c r="E30" s="18" t="str">
        <x:v>Cumulative postoperative IV PCA morphine</x:v>
      </x:c>
      <x:c r="F30" s="18" t="str">
        <x:v>0-24 h</x:v>
      </x:c>
      <x:c r="G30" s="18" t="str">
        <x:v>Mean/SD</x:v>
      </x:c>
      <x:c r="H30" s="18" t="n">
        <x:v>30</x:v>
      </x:c>
      <x:c r="I30" s="18" t="n">
        <x:v>30</x:v>
      </x:c>
      <x:c r="J30" s="18" t="n">
        <x:v>0.52</x:v>
      </x:c>
      <x:c r="K30" s="18" t="n">
        <x:v>0.19</x:v>
      </x:c>
      <x:c r="L30" s="18" t="n">
        <x:v>0.68</x:v>
      </x:c>
      <x:c r="M30" s="18" t="n">
        <x:v>0.38</x:v>
      </x:c>
      <x:c r="N30" s="18" t="str">
        <x:v>mg/kg morphine</x:v>
      </x:c>
      <x:c r="O30" s="18" t="str">
        <x:v>Yes</x:v>
      </x:c>
      <x:c r="P30" s="18" t="str">
        <x:v>Conditional</x:v>
      </x:c>
      <x:c r="Q30" s="18" t="str">
        <x:v>CONDITIONAL</x:v>
      </x:c>
      <x:c r="R30" s="18" t="str">
        <x:v>24-h opioid endpoint exists but requires a prespecified route/unit/time-window or derived-value rule.</x:v>
      </x:c>
      <x:c r="S30" s="18" t="str"/>
      <x:c r="T30" s="18" t="str">
        <x:v>Do not convert mg/kg to absolute mg using group mean body weight; aggregate means cannot reconstruct individual absolute dose</x:v>
      </x:c>
      <x:c r="U30" s="18" t="str">
        <x:v>https://drive.google.com/file/d/1YsNHL-J3Kgfu8mCanRrNu_bHk_roj0w6/view?usp=drivesdk</x:v>
      </x:c>
    </x:row>
    <x:row r="31">
      <x:c r="A31" s="18" t="str">
        <x:v>Sim 2002</x:v>
      </x:c>
      <x:c r="B31" s="18" t="str">
        <x:v>SIM02_POSTOP_vs_PLACEBO_MORPH24</x:v>
      </x:c>
      <x:c r="C31" s="18" t="str">
        <x:v>Postoperative EA</x:v>
      </x:c>
      <x:c r="D31" s="18" t="str">
        <x:v>Placebo EA</x:v>
      </x:c>
      <x:c r="E31" s="18" t="str">
        <x:v>Cumulative postoperative IV PCA morphine</x:v>
      </x:c>
      <x:c r="F31" s="18" t="str">
        <x:v>0-24 h</x:v>
      </x:c>
      <x:c r="G31" s="18" t="str">
        <x:v>Mean/SD</x:v>
      </x:c>
      <x:c r="H31" s="18" t="n">
        <x:v>30</x:v>
      </x:c>
      <x:c r="I31" s="18" t="n">
        <x:v>30</x:v>
      </x:c>
      <x:c r="J31" s="18" t="n">
        <x:v>0.58</x:v>
      </x:c>
      <x:c r="K31" s="18" t="n">
        <x:v>0.27</x:v>
      </x:c>
      <x:c r="L31" s="18" t="n">
        <x:v>0.68</x:v>
      </x:c>
      <x:c r="M31" s="18" t="n">
        <x:v>0.38</x:v>
      </x:c>
      <x:c r="N31" s="18" t="str">
        <x:v>mg/kg morphine</x:v>
      </x:c>
      <x:c r="O31" s="18" t="str">
        <x:v>Yes</x:v>
      </x:c>
      <x:c r="P31" s="18" t="str">
        <x:v>Conditional</x:v>
      </x:c>
      <x:c r="Q31" s="18" t="str">
        <x:v>CONDITIONAL</x:v>
      </x:c>
      <x:c r="R31" s="18" t="str">
        <x:v>24-h opioid endpoint exists but requires a prespecified route/unit/time-window or derived-value rule.</x:v>
      </x:c>
      <x:c r="S31" s="18" t="str"/>
      <x:c r="T31" s="18" t="str">
        <x:v>Postoperative EA is a distinct randomized timing arm and must not be merged with preoperative EA</x:v>
      </x:c>
      <x:c r="U31" s="18" t="str">
        <x:v>https://drive.google.com/file/d/1YsNHL-J3Kgfu8mCanRrNu_bHk_roj0w6/view?usp=drivesdk</x:v>
      </x:c>
    </x:row>
    <x:row r="32">
      <x:c r="A32" s="18" t="str">
        <x:v>Sim 2002</x:v>
      </x:c>
      <x:c r="B32" s="18" t="str">
        <x:v>SIM02_PREOP_vs_PLACEBO_MORPH6_12</x:v>
      </x:c>
      <x:c r="C32" s="18" t="str">
        <x:v>Preoperative EA</x:v>
      </x:c>
      <x:c r="D32" s="18" t="str">
        <x:v>Placebo EA</x:v>
      </x:c>
      <x:c r="E32" s="18" t="str">
        <x:v>Postoperative IV PCA morphine</x:v>
      </x:c>
      <x:c r="F32" s="18" t="str">
        <x:v>6-12 h</x:v>
      </x:c>
      <x:c r="G32" s="18" t="str">
        <x:v>Median/IQR</x:v>
      </x:c>
      <x:c r="H32" s="18" t="n">
        <x:v>30</x:v>
      </x:c>
      <x:c r="I32" s="18" t="n">
        <x:v>30</x:v>
      </x:c>
      <x:c r="J32" s="18" t="n">
        <x:v>0.03</x:v>
      </x:c>
      <x:c r="K32" s="18" t="str">
        <x:v>None–None</x:v>
      </x:c>
      <x:c r="L32" s="18" t="n">
        <x:v>0.1</x:v>
      </x:c>
      <x:c r="M32" s="18" t="str">
        <x:v>None–None</x:v>
      </x:c>
      <x:c r="N32" s="18" t="str">
        <x:v>mg/kg morphine</x:v>
      </x:c>
      <x:c r="O32" s="18" t="str">
        <x:v>No</x:v>
      </x:c>
      <x:c r="P32" s="18" t="str">
        <x:v>No</x:v>
      </x:c>
      <x:c r="Q32" s="18" t="str">
        <x:v>EXCLUDE — NOT PRIMARY 24H OPIOID</x:v>
      </x:c>
      <x:c r="R32" s="18" t="str">
        <x:v>Not a strict 0-24-h postoperative opioid-consumption endpoint.</x:v>
      </x:c>
      <x:c r="S32" s="18" t="str"/>
      <x:c r="T32" s="18" t="str">
        <x:v>Source reports median (IQR) as 0.03 (0.05) vs 0.10 (0.11); IQR is reported as a single width rather than Q1/Q3</x:v>
      </x:c>
      <x:c r="U32" s="18" t="str">
        <x:v>https://drive.google.com/file/d/1YsNHL-J3Kgfu8mCanRrNu_bHk_roj0w6/view?usp=drivesdk</x:v>
      </x:c>
    </x:row>
    <x:row r="33">
      <x:c r="A33" s="18" t="str">
        <x:v>Ntritsou 2014</x:v>
      </x:c>
      <x:c r="B33" s="18" t="str">
        <x:v>NTRI14_EA_vs_SHAM_TRAMSUM</x:v>
      </x:c>
      <x:c r="C33" s="18" t="str">
        <x:v>Perioperative EA + tramadol/ketamine</x:v>
      </x:c>
      <x:c r="D33" s="18" t="str">
        <x:v>Sham + tramadol/ketamine</x:v>
      </x:c>
      <x:c r="E33" s="18" t="str">
        <x:v>Total tramadol exposure</x:v>
      </x:c>
      <x:c r="F33" s="18" t="str">
        <x:v>Perioperative / first 24 h most consistent with protocol; table does not restate window</x:v>
      </x:c>
      <x:c r="G33" s="18" t="str">
        <x:v>Mean/SD</x:v>
      </x:c>
      <x:c r="H33" s="18" t="n">
        <x:v>35</x:v>
      </x:c>
      <x:c r="I33" s="18" t="n">
        <x:v>35</x:v>
      </x:c>
      <x:c r="J33" s="18" t="n">
        <x:v>443.7</x:v>
      </x:c>
      <x:c r="K33" s="18" t="n">
        <x:v>67.4</x:v>
      </x:c>
      <x:c r="L33" s="18" t="n">
        <x:v>461.5</x:v>
      </x:c>
      <x:c r="M33" s="18" t="n">
        <x:v>63.2</x:v>
      </x:c>
      <x:c r="N33" s="18" t="str">
        <x:v>mg tramadol</x:v>
      </x:c>
      <x:c r="O33" s="18" t="str">
        <x:v>Conditional</x:v>
      </x:c>
      <x:c r="P33" s="18" t="str">
        <x:v>No</x:v>
      </x:c>
      <x:c r="Q33" s="18" t="str">
        <x:v>EXCLUDE — NOT PRIMARY 24H OPIOID</x:v>
      </x:c>
      <x:c r="R33" s="18" t="str">
        <x:v>Not a strict 0-24-h postoperative opioid-consumption endpoint.</x:v>
      </x:c>
      <x:c r="S33" s="18" t="str"/>
      <x:c r="T33" s="18" t="str">
        <x:v>Includes scheduled/background tramadol and likely rescue tramadol; rescue morphine quantity not reported</x:v>
      </x:c>
      <x:c r="U33" s="18" t="str">
        <x:v>https://drive.google.com/file/d/1u_kNuuXF8upB3gJA2aDq8NldYDfhnWy3/view?usp=drivesdk</x:v>
      </x:c>
    </x:row>
    <x:row r="34">
      <x:c r="A34" s="18" t="str">
        <x:v>Ntritsou 2014</x:v>
      </x:c>
      <x:c r="B34" s="18" t="str">
        <x:v>NTRI14_EA_vs_SHAM_MME24</x:v>
      </x:c>
      <x:c r="C34" s="18" t="str">
        <x:v>Perioperative EA + tramadol/ketamine</x:v>
      </x:c>
      <x:c r="D34" s="18" t="str">
        <x:v>Sham + tramadol/ketamine</x:v>
      </x:c>
      <x:c r="E34" s="18" t="str">
        <x:v>Complete 24-h opioid/MME exposure</x:v>
      </x:c>
      <x:c r="F34" s="18" t="str">
        <x:v>0-24 h</x:v>
      </x:c>
      <x:c r="G34" s="18" t="str">
        <x:v>Not calculable</x:v>
      </x:c>
      <x:c r="H34" s="18" t="n">
        <x:v>35</x:v>
      </x:c>
      <x:c r="I34" s="18" t="n">
        <x:v>35</x:v>
      </x:c>
      <x:c r="J34" s="18"/>
      <x:c r="K34" s="18"/>
      <x:c r="L34" s="18"/>
      <x:c r="M34" s="18"/>
      <x:c r="N34" s="18" t="str">
        <x:v>MME</x:v>
      </x:c>
      <x:c r="O34" s="18" t="str">
        <x:v>No</x:v>
      </x:c>
      <x:c r="P34" s="18" t="str">
        <x:v>No</x:v>
      </x:c>
      <x:c r="Q34" s="18" t="str">
        <x:v>EXCLUDE — DATA UNAVAILABLE</x:v>
      </x:c>
      <x:c r="R34" s="18" t="str">
        <x:v>The source does not provide a defensible quantitative value for this analysis.</x:v>
      </x:c>
      <x:c r="S34" s="18" t="str"/>
      <x:c r="T34" s="18" t="str">
        <x:v>Do not equate lower rescue use with significantly lower total opioid exposure</x:v>
      </x:c>
      <x:c r="U34" s="18" t="str">
        <x:v>https://drive.google.com/file/d/1u_kNuuXF8upB3gJA2aDq8NldYDfhnWy3/view?usp=drivesdk</x:v>
      </x:c>
    </x:row>
    <x:row r="35">
      <x:c r="A35" s="18" t="str">
        <x:v>Ng 2013</x:v>
      </x:c>
      <x:c r="B35" s="18" t="str">
        <x:v>NG13_EA_vs_SHAM_OPIOID24</x:v>
      </x:c>
      <x:c r="C35" s="18" t="str">
        <x:v>Electroacupuncture</x:v>
      </x:c>
      <x:c r="D35" s="18" t="str">
        <x:v>Sham acupuncture</x:v>
      </x:c>
      <x:c r="E35" s="18" t="str">
        <x:v>Cumulative pethidine consumption</x:v>
      </x:c>
      <x:c r="F35" s="18" t="str">
        <x:v>0-24 h</x:v>
      </x:c>
      <x:c r="G35" s="18" t="str">
        <x:v>Not reported</x:v>
      </x:c>
      <x:c r="H35" s="18" t="n">
        <x:v>55</x:v>
      </x:c>
      <x:c r="I35" s="18" t="n">
        <x:v>55</x:v>
      </x:c>
      <x:c r="J35" s="18"/>
      <x:c r="K35" s="18"/>
      <x:c r="L35" s="18"/>
      <x:c r="M35" s="18"/>
      <x:c r="N35" s="18" t="str">
        <x:v>mg pethidine</x:v>
      </x:c>
      <x:c r="O35" s="18" t="str">
        <x:v>No</x:v>
      </x:c>
      <x:c r="P35" s="18" t="str">
        <x:v>No</x:v>
      </x:c>
      <x:c r="Q35" s="18" t="str">
        <x:v>EXCLUDE — DATA UNAVAILABLE</x:v>
      </x:c>
      <x:c r="R35" s="18" t="str">
        <x:v>The source does not provide a defensible quantitative value for this analysis.</x:v>
      </x:c>
      <x:c r="S35" s="18" t="str"/>
      <x:c r="T35" s="18" t="str">
        <x:v>Do not multiply injection counts by 50 mg and call it a 24-h dose; source time window/dosing statement is ambiguous</x:v>
      </x:c>
      <x:c r="U35" s="18" t="str">
        <x:v>https://drive.google.com/file/d/1R1zCiyfWvuSp99Hi2U_K1__8kgdi90gd/view?usp=drivesdk</x:v>
      </x:c>
    </x:row>
    <x:row r="36">
      <x:c r="A36" s="18" t="str">
        <x:v>Ma 2026</x:v>
      </x:c>
      <x:c r="B36" s="18" t="str">
        <x:v>MA26_T_vs_S_OPIOID24</x:v>
      </x:c>
      <x:c r="C36" s="18" t="str">
        <x:v>Group T: sleep disturbance + preop TEAS</x:v>
      </x:c>
      <x:c r="D36" s="18" t="str">
        <x:v>Group S: sleep disturbance, no TEAS</x:v>
      </x:c>
      <x:c r="E36" s="18" t="str">
        <x:v>Cumulative postoperative opioid consumption</x:v>
      </x:c>
      <x:c r="F36" s="18" t="str">
        <x:v>0-24 h</x:v>
      </x:c>
      <x:c r="G36" s="18" t="str">
        <x:v>Not reported</x:v>
      </x:c>
      <x:c r="H36" s="18" t="n">
        <x:v>17</x:v>
      </x:c>
      <x:c r="I36" s="18" t="n">
        <x:v>16</x:v>
      </x:c>
      <x:c r="J36" s="18"/>
      <x:c r="K36" s="18"/>
      <x:c r="L36" s="18"/>
      <x:c r="M36" s="18"/>
      <x:c r="N36" s="18" t="str">
        <x:v>mg/µg</x:v>
      </x:c>
      <x:c r="O36" s="18" t="str">
        <x:v>No</x:v>
      </x:c>
      <x:c r="P36" s="18" t="str">
        <x:v>No</x:v>
      </x:c>
      <x:c r="Q36" s="18" t="str">
        <x:v>EXCLUDE — DATA UNAVAILABLE</x:v>
      </x:c>
      <x:c r="R36" s="18" t="str">
        <x:v>The source does not provide a defensible quantitative value for this analysis.</x:v>
      </x:c>
      <x:c r="S36" s="18" t="str"/>
      <x:c r="T36" s="18" t="str">
        <x:v>Routine postoperative analgesia was non-opioid flurbiprofen; whether any postoperative opioid was given is not reported</x:v>
      </x:c>
      <x:c r="U36" s="18" t="str">
        <x:v>https://drive.google.com/file/d/1tMEOwvRWIMeEmBmKfeHEt7YF10yxslUe/view?usp=drivesdk</x:v>
      </x:c>
    </x:row>
    <x:row r="37">
      <x:c r="A37" s="18" t="str">
        <x:v>Lu 2021</x:v>
      </x:c>
      <x:c r="B37" s="18" t="str">
        <x:v>LU21_POSTOP_OPIOID24</x:v>
      </x:c>
      <x:c r="C37" s="18" t="str">
        <x:v>TEAS arms</x:v>
      </x:c>
      <x:c r="D37" s="18" t="str">
        <x:v>Sham/no current</x:v>
      </x:c>
      <x:c r="E37" s="18" t="str">
        <x:v>Cumulative postoperative sufentanil PCA consumption</x:v>
      </x:c>
      <x:c r="F37" s="18" t="str">
        <x:v>0-24 h</x:v>
      </x:c>
      <x:c r="G37" s="18" t="str">
        <x:v>Not reported</x:v>
      </x:c>
      <x:c r="H37" s="18"/>
      <x:c r="I37" s="18"/>
      <x:c r="J37" s="18"/>
      <x:c r="K37" s="18"/>
      <x:c r="L37" s="18"/>
      <x:c r="M37" s="18"/>
      <x:c r="N37" s="18" t="str">
        <x:v>µg sufentanil</x:v>
      </x:c>
      <x:c r="O37" s="18" t="str">
        <x:v>No</x:v>
      </x:c>
      <x:c r="P37" s="18" t="str">
        <x:v>No</x:v>
      </x:c>
      <x:c r="Q37" s="18" t="str">
        <x:v>EXCLUDE — DATA UNAVAILABLE</x:v>
      </x:c>
      <x:c r="R37" s="18" t="str">
        <x:v>The source does not provide a defensible quantitative value for this analysis.</x:v>
      </x:c>
      <x:c r="S37" s="18" t="str"/>
      <x:c r="T37" s="18" t="str">
        <x:v>PCA opioid is sufentanil but prescription and cumulative 24-h consumption are not reported</x:v>
      </x:c>
      <x:c r="U37" s="18" t="str">
        <x:v>https://drive.google.com/file/d/1MgD_OucfiyNEDdDe3osh8W01U1yYZs08/view?usp=drivesdk</x:v>
      </x:c>
    </x:row>
    <x:row r="38">
      <x:c r="A38" s="18" t="str">
        <x:v>Lu 2022</x:v>
      </x:c>
      <x:c r="B38" s="18" t="str">
        <x:v>LU22_TEAS_vs_CTRL_OPIOID24</x:v>
      </x:c>
      <x:c r="C38" s="18" t="str">
        <x:v>TEAS + ERAS</x:v>
      </x:c>
      <x:c r="D38" s="18" t="str">
        <x:v>No-current control + ERAS</x:v>
      </x:c>
      <x:c r="E38" s="18" t="str">
        <x:v>Exact cumulative PCA opioid consumption</x:v>
      </x:c>
      <x:c r="F38" s="18" t="str">
        <x:v>0-24 h</x:v>
      </x:c>
      <x:c r="G38" s="18" t="str">
        <x:v>Not reported</x:v>
      </x:c>
      <x:c r="H38" s="18" t="n">
        <x:v>47</x:v>
      </x:c>
      <x:c r="I38" s="18" t="n">
        <x:v>47</x:v>
      </x:c>
      <x:c r="J38" s="18"/>
      <x:c r="K38" s="18"/>
      <x:c r="L38" s="18"/>
      <x:c r="M38" s="18"/>
      <x:c r="N38" s="18" t="str">
        <x:v>mg/µg</x:v>
      </x:c>
      <x:c r="O38" s="18" t="str">
        <x:v>No</x:v>
      </x:c>
      <x:c r="P38" s="18" t="str">
        <x:v>No</x:v>
      </x:c>
      <x:c r="Q38" s="18" t="str">
        <x:v>EXCLUDE — DATA UNAVAILABLE</x:v>
      </x:c>
      <x:c r="R38" s="18" t="str">
        <x:v>The source does not provide a defensible quantitative value for this analysis.</x:v>
      </x:c>
      <x:c r="S38" s="18" t="str"/>
      <x:c r="T38" s="18" t="str">
        <x:v>The main article never identifies the PCA drug or dose</x:v>
      </x:c>
      <x:c r="U38" s="18" t="str">
        <x:v>https://drive.google.com/file/d/12Y86huNMuLC8cPH-L2vwlEd7r1X1Qela/view?usp=drivesdk</x:v>
      </x:c>
    </x:row>
    <x:row r="39">
      <x:c r="A39" s="18" t="str">
        <x:v>Luo 2026</x:v>
      </x:c>
      <x:c r="B39" s="18" t="str">
        <x:v>LUO26_TEAS_vs_SHAM_OPIOIDEQUIV</x:v>
      </x:c>
      <x:c r="C39" s="18" t="str">
        <x:v>Intraoperative PC6 TEAS + standard antiemetics</x:v>
      </x:c>
      <x:c r="D39" s="18" t="str">
        <x:v>Sham/no current + standard antiemetics</x:v>
      </x:c>
      <x:c r="E39" s="18" t="str">
        <x:v>Published 'sufentanil equivalents' metric</x:v>
      </x:c>
      <x:c r="F39" s="18" t="str">
        <x:v>Perioperative</x:v>
      </x:c>
      <x:c r="G39" s="18" t="str">
        <x:v>Mean/SD</x:v>
      </x:c>
      <x:c r="H39" s="18" t="n">
        <x:v>138</x:v>
      </x:c>
      <x:c r="I39" s="18" t="n">
        <x:v>139</x:v>
      </x:c>
      <x:c r="J39" s="18" t="n">
        <x:v>15.86</x:v>
      </x:c>
      <x:c r="K39" s="18" t="n">
        <x:v>5.11</x:v>
      </x:c>
      <x:c r="L39" s="18" t="n">
        <x:v>15.18</x:v>
      </x:c>
      <x:c r="M39" s="18" t="n">
        <x:v>4.95</x:v>
      </x:c>
      <x:c r="N39" s="18" t="str">
        <x:v>published as mg; definition/unit unresolved</x:v>
      </x:c>
      <x:c r="O39" s="18" t="str">
        <x:v>No</x:v>
      </x:c>
      <x:c r="P39" s="18" t="str">
        <x:v>No</x:v>
      </x:c>
      <x:c r="Q39" s="18" t="str">
        <x:v>CONDITIONAL</x:v>
      </x:c>
      <x:c r="R39" s="18" t="str">
        <x:v>Source value is valid in its native metric but cannot be converted to the target opioid mass/MME without additional information.</x:v>
      </x:c>
      <x:c r="S39" s="18" t="str"/>
      <x:c r="T39" s="18" t="str">
        <x:v>Source labels approximately 15-16 as 'sufentanil equivalents (mg)' without explaining conversion; preserve verbatim</x:v>
      </x:c>
      <x:c r="U39" s="18" t="str">
        <x:v>https://drive.google.com/file/d/1xxZle6mPpcnmHLblJbsy1kA4CyQHpvm2/view?usp=drivesdk</x:v>
      </x:c>
    </x:row>
    <x:row r="40">
      <x:c r="A40" s="18" t="str">
        <x:v>Luo 2026</x:v>
      </x:c>
      <x:c r="B40" s="18" t="str">
        <x:v>LUO26_TEAS_vs_SHAM_OPIOID24</x:v>
      </x:c>
      <x:c r="C40" s="18" t="str">
        <x:v>Intraoperative PC6 TEAS + standard antiemetics</x:v>
      </x:c>
      <x:c r="D40" s="18" t="str">
        <x:v>Sham/no current + standard antiemetics</x:v>
      </x:c>
      <x:c r="E40" s="18" t="str">
        <x:v>Cumulative postoperative oxycodone consumption</x:v>
      </x:c>
      <x:c r="F40" s="18" t="str">
        <x:v>0-24 h</x:v>
      </x:c>
      <x:c r="G40" s="18" t="str">
        <x:v>Not reported</x:v>
      </x:c>
      <x:c r="H40" s="18" t="n">
        <x:v>138</x:v>
      </x:c>
      <x:c r="I40" s="18" t="n">
        <x:v>139</x:v>
      </x:c>
      <x:c r="J40" s="18"/>
      <x:c r="K40" s="18"/>
      <x:c r="L40" s="18"/>
      <x:c r="M40" s="18"/>
      <x:c r="N40" s="18" t="str">
        <x:v>mg oxycodone</x:v>
      </x:c>
      <x:c r="O40" s="18" t="str">
        <x:v>No</x:v>
      </x:c>
      <x:c r="P40" s="18" t="str">
        <x:v>No</x:v>
      </x:c>
      <x:c r="Q40" s="18" t="str">
        <x:v>EXCLUDE — DATA UNAVAILABLE</x:v>
      </x:c>
      <x:c r="R40" s="18" t="str">
        <x:v>The source does not provide a defensible quantitative value for this analysis.</x:v>
      </x:c>
      <x:c r="S40" s="18" t="str"/>
      <x:c r="T40" s="18" t="str">
        <x:v>Postoperative IV oxycodone is described, but schedule and group-specific cumulative 24-h consumption are not reported</x:v>
      </x:c>
      <x:c r="U40" s="18" t="str">
        <x:v>https://drive.google.com/file/d/1xxZle6mPpcnmHLblJbsy1kA4CyQHpvm2/view?usp=drivesdk</x:v>
      </x:c>
    </x:row>
    <x:row r="41">
      <x:c r="A41" s="18" t="str">
        <x:v>Long 2025</x:v>
      </x:c>
      <x:c r="B41" s="18" t="str">
        <x:v>LONG25_TEAS_vs_CTRL_OPIOID24</x:v>
      </x:c>
      <x:c r="C41" s="18" t="str">
        <x:v>Perioperative electrical acupoint stimulation</x:v>
      </x:c>
      <x:c r="D41" s="18" t="str">
        <x:v>Electrodes/no current</x:v>
      </x:c>
      <x:c r="E41" s="18" t="str">
        <x:v>Exact cumulative postoperative sufentanil consumption</x:v>
      </x:c>
      <x:c r="F41" s="18" t="str">
        <x:v>0-24 h</x:v>
      </x:c>
      <x:c r="G41" s="18" t="str">
        <x:v>Not reported</x:v>
      </x:c>
      <x:c r="H41" s="18" t="n">
        <x:v>27</x:v>
      </x:c>
      <x:c r="I41" s="18" t="n">
        <x:v>26</x:v>
      </x:c>
      <x:c r="J41" s="18"/>
      <x:c r="K41" s="18"/>
      <x:c r="L41" s="18"/>
      <x:c r="M41" s="18"/>
      <x:c r="N41" s="18" t="str">
        <x:v>µg sufentanil</x:v>
      </x:c>
      <x:c r="O41" s="18" t="str">
        <x:v>No</x:v>
      </x:c>
      <x:c r="P41" s="18" t="str">
        <x:v>No</x:v>
      </x:c>
      <x:c r="Q41" s="18" t="str">
        <x:v>EXCLUDE — DATA UNAVAILABLE</x:v>
      </x:c>
      <x:c r="R41" s="18" t="str">
        <x:v>The source does not provide a defensible quantitative value for this analysis.</x:v>
      </x:c>
      <x:c r="S41" s="18" t="str"/>
      <x:c r="T41" s="18" t="str">
        <x:v>24-h PCIA volume/compressions are not reported; even 48-h volume cannot be converted exactly to sufentanil mass without body weight</x:v>
      </x:c>
      <x:c r="U41" s="18" t="str">
        <x:v>https://drive.google.com/file/d/1LDqtQLq9-kZLP0Vv_G3iiK8QKjy4pRXP/view?usp=drivesdk</x:v>
      </x:c>
    </x:row>
    <x:row r="42">
      <x:c r="A42" s="18" t="str">
        <x:v>Li 2021</x:v>
      </x:c>
      <x:c r="B42" s="18" t="str">
        <x:v>LI21_TEAS_vs_SHAM_OPIOID24</x:v>
      </x:c>
      <x:c r="C42" s="18" t="str">
        <x:v>Perioperative TEAS</x:v>
      </x:c>
      <x:c r="D42" s="18" t="str">
        <x:v>Sham-point/no current</x:v>
      </x:c>
      <x:c r="E42" s="18" t="str">
        <x:v>Cumulative postoperative sufentanil consumption</x:v>
      </x:c>
      <x:c r="F42" s="18" t="str">
        <x:v>0-24 h</x:v>
      </x:c>
      <x:c r="G42" s="18" t="str">
        <x:v>Not reported</x:v>
      </x:c>
      <x:c r="H42" s="18" t="n">
        <x:v>140</x:v>
      </x:c>
      <x:c r="I42" s="18" t="n">
        <x:v>140</x:v>
      </x:c>
      <x:c r="J42" s="18"/>
      <x:c r="K42" s="18"/>
      <x:c r="L42" s="18"/>
      <x:c r="M42" s="18"/>
      <x:c r="N42" s="18" t="str">
        <x:v>published pump formulation says 250 mg sufentanil/250 mL</x:v>
      </x:c>
      <x:c r="O42" s="18" t="str">
        <x:v>No</x:v>
      </x:c>
      <x:c r="P42" s="18" t="str">
        <x:v>No</x:v>
      </x:c>
      <x:c r="Q42" s="18" t="str">
        <x:v>EXCLUDE — DATA UNAVAILABLE</x:v>
      </x:c>
      <x:c r="R42" s="18" t="str">
        <x:v>The source does not provide a defensible quantitative value for this analysis.</x:v>
      </x:c>
      <x:c r="S42" s="18" t="str"/>
      <x:c r="T42" s="18" t="str">
        <x:v>Printed pump unit is clinically implausible, programming is missing, and actual 24-h delivered dose is not reported; do not silently change mg to µg</x:v>
      </x:c>
      <x:c r="U42" s="18" t="str">
        <x:v>https://drive.google.com/file/d/1NvcLlsb17N6EMhtHs_L_WBnf40wsrtRz/view?usp=drivesdk</x:v>
      </x:c>
    </x:row>
    <x:row r="43">
      <x:c r="A43" s="18" t="str">
        <x:v>Liu 2026 (ESD)</x:v>
      </x:c>
      <x:c r="B43" s="18" t="str">
        <x:v>LIU26ESD_TEAS_vs_SHAM_MORPH24</x:v>
      </x:c>
      <x:c r="C43" s="18" t="str">
        <x:v>Perioperative TEAS</x:v>
      </x:c>
      <x:c r="D43" s="18" t="str">
        <x:v>Sham-point/no current</x:v>
      </x:c>
      <x:c r="E43" s="18" t="str">
        <x:v>Cumulative postoperative morphine consumption</x:v>
      </x:c>
      <x:c r="F43" s="18" t="str">
        <x:v>0-24 h</x:v>
      </x:c>
      <x:c r="G43" s="18" t="str">
        <x:v>Not reported</x:v>
      </x:c>
      <x:c r="H43" s="18" t="n">
        <x:v>58</x:v>
      </x:c>
      <x:c r="I43" s="18" t="n">
        <x:v>62</x:v>
      </x:c>
      <x:c r="J43" s="18"/>
      <x:c r="K43" s="18"/>
      <x:c r="L43" s="18"/>
      <x:c r="M43" s="18"/>
      <x:c r="N43" s="18" t="str">
        <x:v>mg IV morphine</x:v>
      </x:c>
      <x:c r="O43" s="18" t="str">
        <x:v>No</x:v>
      </x:c>
      <x:c r="P43" s="18" t="str">
        <x:v>No</x:v>
      </x:c>
      <x:c r="Q43" s="18" t="str">
        <x:v>EXCLUDE — DATA UNAVAILABLE</x:v>
      </x:c>
      <x:c r="R43" s="18" t="str">
        <x:v>The source does not provide a defensible quantitative value for this analysis.</x:v>
      </x:c>
      <x:c r="S43" s="18" t="str"/>
      <x:c r="T43" s="18" t="str">
        <x:v>Binary morphine use is reported, but administration counts and cumulative dose are not</x:v>
      </x:c>
      <x:c r="U43" s="18" t="str">
        <x:v>https://drive.google.com/file/d/1Hp7pCBP8iXkGGYVhlFY0BHTeaaM7bhdY/view?usp=drivesdk</x:v>
      </x:c>
    </x:row>
    <x:row r="44">
      <x:c r="A44" s="18" t="str">
        <x:v>Liu 2021</x:v>
      </x:c>
      <x:c r="B44" s="18" t="str">
        <x:v>LIU21_TEAS_vs_CTRL_OPIOID24</x:v>
      </x:c>
      <x:c r="C44" s="18" t="str">
        <x:v>Perioperative TEAS</x:v>
      </x:c>
      <x:c r="D44" s="18" t="str">
        <x:v>Electrodes/no current</x:v>
      </x:c>
      <x:c r="E44" s="18" t="str">
        <x:v>Cumulative postoperative sufentanil consumption</x:v>
      </x:c>
      <x:c r="F44" s="18" t="str">
        <x:v>0-24 h</x:v>
      </x:c>
      <x:c r="G44" s="18" t="str">
        <x:v>Not calculable</x:v>
      </x:c>
      <x:c r="H44" s="18" t="n">
        <x:v>50</x:v>
      </x:c>
      <x:c r="I44" s="18" t="n">
        <x:v>50</x:v>
      </x:c>
      <x:c r="J44" s="18"/>
      <x:c r="K44" s="18"/>
      <x:c r="L44" s="18"/>
      <x:c r="M44" s="18"/>
      <x:c r="N44" s="18" t="str">
        <x:v>published formulation 0.15 µg/kg in 100 mL</x:v>
      </x:c>
      <x:c r="O44" s="18" t="str">
        <x:v>No</x:v>
      </x:c>
      <x:c r="P44" s="18" t="str">
        <x:v>No</x:v>
      </x:c>
      <x:c r="Q44" s="18" t="str">
        <x:v>EXCLUDE — DATA UNAVAILABLE</x:v>
      </x:c>
      <x:c r="R44" s="18" t="str">
        <x:v>The source does not provide a defensible quantitative value for this analysis.</x:v>
      </x:c>
      <x:c r="S44" s="18" t="str"/>
      <x:c r="T44" s="18" t="str">
        <x:v>Published PCA formulation is ambiguous/implausibly low, successful delivered boluses are not reported, and actual cumulative sufentanil is unavailable</x:v>
      </x:c>
      <x:c r="U44" s="18" t="str">
        <x:v>https://drive.google.com/file/d/1TA4BstaUWY3EdQbDNEvvGxF35ekGanrm/view?usp=drivesdk</x:v>
      </x:c>
    </x:row>
    <x:row r="45">
      <x:c r="A45" s="18" t="str">
        <x:v>Liu 2026 (burn)</x:v>
      </x:c>
      <x:c r="B45" s="18" t="str">
        <x:v>LIU26BURN_TEAS_vs_SHAM_OPIOID24</x:v>
      </x:c>
      <x:c r="C45" s="18" t="str">
        <x:v>Pre-induction TEAS</x:v>
      </x:c>
      <x:c r="D45" s="18" t="str">
        <x:v>Placebo/sham TEAS</x:v>
      </x:c>
      <x:c r="E45" s="18" t="str">
        <x:v>Complete postoperative opioid/MME exposure</x:v>
      </x:c>
      <x:c r="F45" s="18" t="str">
        <x:v>0-24 h</x:v>
      </x:c>
      <x:c r="G45" s="18" t="str">
        <x:v>Not calculable</x:v>
      </x:c>
      <x:c r="H45" s="18" t="n">
        <x:v>43</x:v>
      </x:c>
      <x:c r="I45" s="18" t="n">
        <x:v>43</x:v>
      </x:c>
      <x:c r="J45" s="18"/>
      <x:c r="K45" s="18"/>
      <x:c r="L45" s="18"/>
      <x:c r="M45" s="18"/>
      <x:c r="N45" s="18" t="str">
        <x:v>sufentanil + butorphanol PCIA; rescue dezocine</x:v>
      </x:c>
      <x:c r="O45" s="18" t="str">
        <x:v>No</x:v>
      </x:c>
      <x:c r="P45" s="18" t="str">
        <x:v>No</x:v>
      </x:c>
      <x:c r="Q45" s="18" t="str">
        <x:v>EXCLUDE — DATA UNAVAILABLE</x:v>
      </x:c>
      <x:c r="R45" s="18" t="str">
        <x:v>The source does not provide a defensible quantitative value for this analysis.</x:v>
      </x:c>
      <x:c r="S45" s="18" t="str"/>
      <x:c r="T45" s="18" t="str">
        <x:v>PCIA composition is known but bolus volume, basal rate, delivered-volume and successful-delivery counts are not; two opioids are present in the pump</x:v>
      </x:c>
      <x:c r="U45" s="18" t="str">
        <x:v>https://drive.google.com/file/d/1mvekGtHD2JAKCRbIXrvLw1Nz7hbQ1dZ3/view?usp=drivesdk</x:v>
      </x:c>
    </x:row>
    <x:row r="46">
      <x:c r="A46" s="18" t="str">
        <x:v>Liu 2025</x:v>
      </x:c>
      <x:c r="B46" s="18" t="str">
        <x:v>LIU25_EA_vs_CTRL_OPIOID24</x:v>
      </x:c>
      <x:c r="C46" s="18" t="str">
        <x:v>Perioperative electroacupuncture</x:v>
      </x:c>
      <x:c r="D46" s="18" t="str">
        <x:v>Control/sham procedure</x:v>
      </x:c>
      <x:c r="E46" s="18" t="str">
        <x:v>Exact cumulative postoperative opioid consumption</x:v>
      </x:c>
      <x:c r="F46" s="18" t="str">
        <x:v>0-24 h</x:v>
      </x:c>
      <x:c r="G46" s="18" t="str">
        <x:v>Not reported</x:v>
      </x:c>
      <x:c r="H46" s="18" t="n">
        <x:v>38</x:v>
      </x:c>
      <x:c r="I46" s="18" t="n">
        <x:v>39</x:v>
      </x:c>
      <x:c r="J46" s="18"/>
      <x:c r="K46" s="18"/>
      <x:c r="L46" s="18"/>
      <x:c r="M46" s="18"/>
      <x:c r="N46" s="18" t="str">
        <x:v>mg/µg</x:v>
      </x:c>
      <x:c r="O46" s="18" t="str">
        <x:v>No</x:v>
      </x:c>
      <x:c r="P46" s="18" t="str">
        <x:v>No</x:v>
      </x:c>
      <x:c r="Q46" s="18" t="str">
        <x:v>EXCLUDE — DATA UNAVAILABLE</x:v>
      </x:c>
      <x:c r="R46" s="18" t="str">
        <x:v>The source does not provide a defensible quantitative value for this analysis.</x:v>
      </x:c>
      <x:c r="S46" s="18" t="str"/>
      <x:c r="T46" s="18" t="str">
        <x:v>No source-grounded exact 0-24-h postoperative opioid total is available in the reconciled extraction</x:v>
      </x:c>
      <x:c r="U46" s="18" t="str">
        <x:v>https://drive.google.com/file/d/1SHBSKFaeE4G3PXTGVMm7TR8L0H9EgtsD/view?usp=drivesdk</x:v>
      </x:c>
    </x:row>
    <x:row r="47">
      <x:c r="A47" s="18" t="str">
        <x:v>Li 2022</x:v>
      </x:c>
      <x:c r="B47" s="18" t="str">
        <x:v>LI22_EA_vs_SHAM_OPIOID24</x:v>
      </x:c>
      <x:c r="C47" s="18" t="str">
        <x:v>Preoperative electroacupuncture</x:v>
      </x:c>
      <x:c r="D47" s="18" t="str">
        <x:v>Sham electroacupuncture</x:v>
      </x:c>
      <x:c r="E47" s="18" t="str">
        <x:v>Exact cumulative postoperative opioid consumption</x:v>
      </x:c>
      <x:c r="F47" s="18" t="str">
        <x:v>0-24 h</x:v>
      </x:c>
      <x:c r="G47" s="18" t="str">
        <x:v>Not reported</x:v>
      </x:c>
      <x:c r="H47" s="18" t="n">
        <x:v>39</x:v>
      </x:c>
      <x:c r="I47" s="18" t="n">
        <x:v>40</x:v>
      </x:c>
      <x:c r="J47" s="18"/>
      <x:c r="K47" s="18"/>
      <x:c r="L47" s="18"/>
      <x:c r="M47" s="18"/>
      <x:c r="N47" s="18" t="str">
        <x:v>mg/µg</x:v>
      </x:c>
      <x:c r="O47" s="18" t="str">
        <x:v>No</x:v>
      </x:c>
      <x:c r="P47" s="18" t="str">
        <x:v>No</x:v>
      </x:c>
      <x:c r="Q47" s="18" t="str">
        <x:v>EXCLUDE — DATA UNAVAILABLE</x:v>
      </x:c>
      <x:c r="R47" s="18" t="str">
        <x:v>The source does not provide a defensible quantitative value for this analysis.</x:v>
      </x:c>
      <x:c r="S47" s="18" t="str"/>
      <x:c r="T47" s="18" t="str">
        <x:v>The prior derivative's 24-h sufentanil result was fabricated; no source-grounded exact 24-h postoperative opioid total is available</x:v>
      </x:c>
      <x:c r="U47" s="18" t="str">
        <x:v>https://drive.google.com/file/d/1rQTrwnCvj72poJrGGvYjpxSZXvUhSD0u/view?usp=drivesdk</x:v>
      </x:c>
    </x:row>
    <x:row r="48">
      <x:c r="A48" s="18" t="str">
        <x:v>Liang 2021</x:v>
      </x:c>
      <x:c r="B48" s="18" t="str">
        <x:v>LIANG21_TEAS_vs_CTRL_OPIOID24</x:v>
      </x:c>
      <x:c r="C48" s="18" t="str">
        <x:v>Preoperative TEAS</x:v>
      </x:c>
      <x:c r="D48" s="18" t="str">
        <x:v>Control/no stimulation</x:v>
      </x:c>
      <x:c r="E48" s="18" t="str">
        <x:v>Exact cumulative postoperative opioid consumption</x:v>
      </x:c>
      <x:c r="F48" s="18" t="str">
        <x:v>0-24 h</x:v>
      </x:c>
      <x:c r="G48" s="18" t="str">
        <x:v>Not reported</x:v>
      </x:c>
      <x:c r="H48" s="18" t="n">
        <x:v>35</x:v>
      </x:c>
      <x:c r="I48" s="18" t="n">
        <x:v>35</x:v>
      </x:c>
      <x:c r="J48" s="18"/>
      <x:c r="K48" s="18"/>
      <x:c r="L48" s="18"/>
      <x:c r="M48" s="18"/>
      <x:c r="N48" s="18" t="str">
        <x:v>mg/µg</x:v>
      </x:c>
      <x:c r="O48" s="18" t="str">
        <x:v>No</x:v>
      </x:c>
      <x:c r="P48" s="18" t="str">
        <x:v>No</x:v>
      </x:c>
      <x:c r="Q48" s="18" t="str">
        <x:v>EXCLUDE — DATA UNAVAILABLE</x:v>
      </x:c>
      <x:c r="R48" s="18" t="str">
        <x:v>The source does not provide a defensible quantitative value for this analysis.</x:v>
      </x:c>
      <x:c r="S48" s="18" t="str"/>
      <x:c r="T48" s="18" t="str">
        <x:v>The source trial focuses on CRBD; no source-grounded exact cumulative 24-h opioid endpoint is available</x:v>
      </x:c>
      <x:c r="U48" s="18" t="str">
        <x:v>https://drive.google.com/file/d/1guriAcqNbJNXpfd_UjYwevULLVSeiHXS/view?usp=drivesdk</x:v>
      </x:c>
    </x:row>
    <x:row r="49">
      <x:c r="A49" s="18" t="str">
        <x:v>Jin 2023</x:v>
      </x:c>
      <x:c r="B49" s="18" t="str">
        <x:v>JIN23_2HZ_vs_SHAM_VOL24</x:v>
      </x:c>
      <x:c r="C49" s="18" t="str">
        <x:v>2-Hz postoperative EA</x:v>
      </x:c>
      <x:c r="D49" s="18" t="str">
        <x:v>Sham nonpenetrating EA/no current</x:v>
      </x:c>
      <x:c r="E49" s="18" t="str">
        <x:v>Published 'fentanyl consumption' / PCIA solution volume</x:v>
      </x:c>
      <x:c r="F49" s="18" t="str">
        <x:v>24 h</x:v>
      </x:c>
      <x:c r="G49" s="18" t="str">
        <x:v>Mean/SD</x:v>
      </x:c>
      <x:c r="H49" s="18" t="n">
        <x:v>53</x:v>
      </x:c>
      <x:c r="I49" s="18" t="n">
        <x:v>52</x:v>
      </x:c>
      <x:c r="J49" s="18" t="n">
        <x:v>39.31</x:v>
      </x:c>
      <x:c r="K49" s="18" t="n">
        <x:v>15.58</x:v>
      </x:c>
      <x:c r="L49" s="18" t="n">
        <x:v>56.54</x:v>
      </x:c>
      <x:c r="M49" s="18" t="n">
        <x:v>12.5</x:v>
      </x:c>
      <x:c r="N49" s="18" t="str">
        <x:v>mL PCIA solution</x:v>
      </x:c>
      <x:c r="O49" s="18" t="str">
        <x:v>Yes</x:v>
      </x:c>
      <x:c r="P49" s="18" t="str">
        <x:v>No</x:v>
      </x:c>
      <x:c r="Q49" s="18" t="str">
        <x:v>CONDITIONAL</x:v>
      </x:c>
      <x:c r="R49" s="18" t="str">
        <x:v>Source value is valid in its native metric but cannot be converted to the target opioid mass/MME without additional information.</x:v>
      </x:c>
      <x:c r="S49" s="18" t="str"/>
      <x:c r="T49" s="18" t="str">
        <x:v>Main article does not report fentanyl concentration. Do not convert mL to µg/mg/MME. 2-Hz vs 20/100-Hz inferential statistics conflict between table and prose</x:v>
      </x:c>
      <x:c r="U49" s="18" t="str">
        <x:v>https://drive.google.com/file/d/1fkNAFra0gZ9jkWkzp_S0TWy-5zVrXCtj/view?usp=drivesdk</x:v>
      </x:c>
    </x:row>
    <x:row r="50">
      <x:c r="A50" s="18" t="str">
        <x:v>Jin 2023</x:v>
      </x:c>
      <x:c r="B50" s="18" t="str">
        <x:v>JIN23_20100_vs_SHAM_VOL24</x:v>
      </x:c>
      <x:c r="C50" s="18" t="str">
        <x:v>20/100-Hz postoperative EA</x:v>
      </x:c>
      <x:c r="D50" s="18" t="str">
        <x:v>Sham nonpenetrating EA/no current</x:v>
      </x:c>
      <x:c r="E50" s="18" t="str">
        <x:v>Published 'fentanyl consumption' / PCIA solution volume</x:v>
      </x:c>
      <x:c r="F50" s="18" t="str">
        <x:v>24 h</x:v>
      </x:c>
      <x:c r="G50" s="18" t="str">
        <x:v>Mean/SD</x:v>
      </x:c>
      <x:c r="H50" s="18" t="n">
        <x:v>53</x:v>
      </x:c>
      <x:c r="I50" s="18" t="n">
        <x:v>52</x:v>
      </x:c>
      <x:c r="J50" s="18" t="n">
        <x:v>45.72</x:v>
      </x:c>
      <x:c r="K50" s="18" t="n">
        <x:v>16.92</x:v>
      </x:c>
      <x:c r="L50" s="18" t="n">
        <x:v>56.54</x:v>
      </x:c>
      <x:c r="M50" s="18" t="n">
        <x:v>12.5</x:v>
      </x:c>
      <x:c r="N50" s="18" t="str">
        <x:v>mL PCIA solution</x:v>
      </x:c>
      <x:c r="O50" s="18" t="str">
        <x:v>Yes</x:v>
      </x:c>
      <x:c r="P50" s="18" t="str">
        <x:v>No</x:v>
      </x:c>
      <x:c r="Q50" s="18" t="str">
        <x:v>CONDITIONAL</x:v>
      </x:c>
      <x:c r="R50" s="18" t="str">
        <x:v>Source value is valid in its native metric but cannot be converted to the target opioid mass/MME without additional information.</x:v>
      </x:c>
      <x:c r="S50" s="18" t="str"/>
      <x:c r="T50" s="18" t="str">
        <x:v>Main article does not report fentanyl concentration. Do not convert mL to µg/mg/MME. 2-Hz vs 20/100-Hz inferential statistics conflict between table and prose</x:v>
      </x:c>
      <x:c r="U50" s="18" t="str">
        <x:v>https://drive.google.com/file/d/1fkNAFra0gZ9jkWkzp_S0TWy-5zVrXCtj/view?usp=drivesdk</x:v>
      </x:c>
    </x:row>
    <x:row r="51">
      <x:c r="A51" s="18" t="str">
        <x:v>Jin 2023</x:v>
      </x:c>
      <x:c r="B51" s="18" t="str">
        <x:v>JIN23_OPIOID24_MASS</x:v>
      </x:c>
      <x:c r="C51" s="18" t="str">
        <x:v>Active EA arms</x:v>
      </x:c>
      <x:c r="D51" s="18" t="str">
        <x:v>Sham nonpenetrating EA/no current</x:v>
      </x:c>
      <x:c r="E51" s="18" t="str">
        <x:v>Exact cumulative fentanyl mass / MME</x:v>
      </x:c>
      <x:c r="F51" s="18" t="str">
        <x:v>0-24 h</x:v>
      </x:c>
      <x:c r="G51" s="18" t="str">
        <x:v>Not calculable</x:v>
      </x:c>
      <x:c r="H51" s="18"/>
      <x:c r="I51" s="18"/>
      <x:c r="J51" s="18"/>
      <x:c r="K51" s="18"/>
      <x:c r="L51" s="18"/>
      <x:c r="M51" s="18"/>
      <x:c r="N51" s="18" t="str">
        <x:v>µg fentanyl / MME</x:v>
      </x:c>
      <x:c r="O51" s="18" t="str">
        <x:v>Yes</x:v>
      </x:c>
      <x:c r="P51" s="18" t="str">
        <x:v>No</x:v>
      </x:c>
      <x:c r="Q51" s="18" t="str">
        <x:v>EXCLUDE — DATA UNAVAILABLE</x:v>
      </x:c>
      <x:c r="R51" s="18" t="str">
        <x:v>The source does not provide a defensible quantitative value for this analysis.</x:v>
      </x:c>
      <x:c r="S51" s="18" t="str"/>
      <x:c r="T51" s="18" t="str">
        <x:v>Only mL of solution are reported in the main article</x:v>
      </x:c>
      <x:c r="U51" s="18" t="str">
        <x:v>https://drive.google.com/file/d/1fkNAFra0gZ9jkWkzp_S0TWy-5zVrXCtj/view?usp=drivesdk</x:v>
      </x:c>
    </x:row>
    <x:row r="52">
      <x:c r="A52" s="18" t="str">
        <x:v>Jiang 2026</x:v>
      </x:c>
      <x:c r="B52" s="18" t="str">
        <x:v>JIANG26_TEAS_vs_SHAM_OPIOID24</x:v>
      </x:c>
      <x:c r="C52" s="18" t="str">
        <x:v>Perioperative TEAS</x:v>
      </x:c>
      <x:c r="D52" s="18" t="str">
        <x:v>Sham/no current</x:v>
      </x:c>
      <x:c r="E52" s="18" t="str">
        <x:v>Exact cumulative postoperative opioid consumption</x:v>
      </x:c>
      <x:c r="F52" s="18" t="str">
        <x:v>0-24 h</x:v>
      </x:c>
      <x:c r="G52" s="18" t="str">
        <x:v>Not reported</x:v>
      </x:c>
      <x:c r="H52" s="18" t="n">
        <x:v>294</x:v>
      </x:c>
      <x:c r="I52" s="18" t="n">
        <x:v>293</x:v>
      </x:c>
      <x:c r="J52" s="18"/>
      <x:c r="K52" s="18"/>
      <x:c r="L52" s="18"/>
      <x:c r="M52" s="18"/>
      <x:c r="N52" s="18" t="str">
        <x:v>mg/µg</x:v>
      </x:c>
      <x:c r="O52" s="18" t="str">
        <x:v>No</x:v>
      </x:c>
      <x:c r="P52" s="18" t="str">
        <x:v>No</x:v>
      </x:c>
      <x:c r="Q52" s="18" t="str">
        <x:v>EXCLUDE — DATA UNAVAILABLE</x:v>
      </x:c>
      <x:c r="R52" s="18" t="str">
        <x:v>The source does not provide a defensible quantitative value for this analysis.</x:v>
      </x:c>
      <x:c r="S52" s="18" t="str"/>
      <x:c r="T52" s="18" t="str">
        <x:v>PCIA use is reported but exact group-specific postoperative dose is not</x:v>
      </x:c>
      <x:c r="U52" s="18" t="str">
        <x:v>https://drive.google.com/file/d/1nujlP9A_IMWUfd3HdCD2rOxTc9-I8v92/view?usp=drivesdk</x:v>
      </x:c>
    </x:row>
    <x:row r="53">
      <x:c r="A53" s="18" t="str">
        <x:v>Huang 2025</x:v>
      </x:c>
      <x:c r="B53" s="18" t="str">
        <x:v>HUANG25_EA_vs_UC_OPIOID24</x:v>
      </x:c>
      <x:c r="C53" s="18" t="str">
        <x:v>Postoperative EA + ERAS</x:v>
      </x:c>
      <x:c r="D53" s="18" t="str">
        <x:v>ERAS/standard care</x:v>
      </x:c>
      <x:c r="E53" s="18" t="str">
        <x:v>Exact cumulative postoperative opioid consumption</x:v>
      </x:c>
      <x:c r="F53" s="18" t="str">
        <x:v>0-24 h</x:v>
      </x:c>
      <x:c r="G53" s="18" t="str">
        <x:v>Not reported</x:v>
      </x:c>
      <x:c r="H53" s="18" t="n">
        <x:v>43</x:v>
      </x:c>
      <x:c r="I53" s="18" t="n">
        <x:v>45</x:v>
      </x:c>
      <x:c r="J53" s="18"/>
      <x:c r="K53" s="18"/>
      <x:c r="L53" s="18"/>
      <x:c r="M53" s="18"/>
      <x:c r="N53" s="18" t="str">
        <x:v>mg/µg</x:v>
      </x:c>
      <x:c r="O53" s="18" t="str">
        <x:v>No</x:v>
      </x:c>
      <x:c r="P53" s="18" t="str">
        <x:v>No</x:v>
      </x:c>
      <x:c r="Q53" s="18" t="str">
        <x:v>EXCLUDE — DATA UNAVAILABLE</x:v>
      </x:c>
      <x:c r="R53" s="18" t="str">
        <x:v>The source does not provide a defensible quantitative value for this analysis.</x:v>
      </x:c>
      <x:c r="S53" s="18" t="str"/>
      <x:c r="T53" s="18" t="str">
        <x:v>PCA drug/composition and consumption are not reported; rescue analgesia was ketorolac, a non-opioid NSAID</x:v>
      </x:c>
      <x:c r="U53" s="18" t="str">
        <x:v>https://drive.google.com/file/d/1VnJCbIPz8Uy1kXYCTKk7l9Zqj-rTECrY/view?usp=drivesdk</x:v>
      </x:c>
    </x:row>
    <x:row r="54">
      <x:c r="A54" s="18" t="str">
        <x:v>Huang 2024</x:v>
      </x:c>
      <x:c r="B54" s="18" t="str">
        <x:v>HUANG24_OPIOID24</x:v>
      </x:c>
      <x:c r="C54" s="18" t="str">
        <x:v>True-EA arms</x:v>
      </x:c>
      <x:c r="D54" s="18" t="str">
        <x:v>Bilateral sham EA</x:v>
      </x:c>
      <x:c r="E54" s="18" t="str">
        <x:v>Exact cumulative postoperative opioid dose</x:v>
      </x:c>
      <x:c r="F54" s="18" t="str">
        <x:v>0-24 h</x:v>
      </x:c>
      <x:c r="G54" s="18" t="str">
        <x:v>Not calculable</x:v>
      </x:c>
      <x:c r="H54" s="18" t="n">
        <x:v>38</x:v>
      </x:c>
      <x:c r="I54" s="18" t="n">
        <x:v>38</x:v>
      </x:c>
      <x:c r="J54" s="18"/>
      <x:c r="K54" s="18"/>
      <x:c r="L54" s="18"/>
      <x:c r="M54" s="18"/>
      <x:c r="N54" s="18" t="str">
        <x:v>MME</x:v>
      </x:c>
      <x:c r="O54" s="18" t="str">
        <x:v>No</x:v>
      </x:c>
      <x:c r="P54" s="18" t="str">
        <x:v>No</x:v>
      </x:c>
      <x:c r="Q54" s="18" t="str">
        <x:v>EXCLUDE — DATA UNAVAILABLE</x:v>
      </x:c>
      <x:c r="R54" s="18" t="str">
        <x:v>The source does not provide a defensible quantitative value for this analysis.</x:v>
      </x:c>
      <x:c r="S54" s="18" t="str"/>
      <x:c r="T54" s="18" t="str">
        <x:v>PCA drug identity/composition, bolus dose and exact 24-h-after-surgery exposure are unavailable</x:v>
      </x:c>
      <x:c r="U54" s="18" t="str">
        <x:v>https://drive.google.com/file/d/1z-76QoxqmtMRV32wOpem7jAyDnuD6fb8/view?usp=drivesdk</x:v>
      </x:c>
    </x:row>
    <x:row r="55">
      <x:c r="A55" s="18" t="str">
        <x:v>Hou 2023</x:v>
      </x:c>
      <x:c r="B55" s="18" t="str">
        <x:v>HOU23_TEAS_vs_SHAM_OPIOID24</x:v>
      </x:c>
      <x:c r="C55" s="18" t="str">
        <x:v>Perioperative TEAS</x:v>
      </x:c>
      <x:c r="D55" s="18" t="str">
        <x:v>Sham/no-current TEAS</x:v>
      </x:c>
      <x:c r="E55" s="18" t="str">
        <x:v>Actual total postoperative sufentanil consumption</x:v>
      </x:c>
      <x:c r="F55" s="18" t="str">
        <x:v>0-24 h</x:v>
      </x:c>
      <x:c r="G55" s="18" t="str">
        <x:v>Not reported</x:v>
      </x:c>
      <x:c r="H55" s="18" t="n">
        <x:v>36</x:v>
      </x:c>
      <x:c r="I55" s="18" t="n">
        <x:v>36</x:v>
      </x:c>
      <x:c r="J55" s="18"/>
      <x:c r="K55" s="18"/>
      <x:c r="L55" s="18"/>
      <x:c r="M55" s="18"/>
      <x:c r="N55" s="18" t="str">
        <x:v>µg sufentanil</x:v>
      </x:c>
      <x:c r="O55" s="18" t="str">
        <x:v>Yes</x:v>
      </x:c>
      <x:c r="P55" s="18" t="str">
        <x:v>No</x:v>
      </x:c>
      <x:c r="Q55" s="18" t="str">
        <x:v>EXCLUDE — DATA UNAVAILABLE</x:v>
      </x:c>
      <x:c r="R55" s="18" t="str">
        <x:v>The source does not provide a defensible quantitative value for this analysis.</x:v>
      </x:c>
      <x:c r="S55" s="18" t="str"/>
      <x:c r="T55" s="18" t="str">
        <x:v>PCIA concentration and basal/bolus settings are known, but actual bolus use/total delivered sufentanil are not reported; fixed basal exposure is not total consumption</x:v>
      </x:c>
      <x:c r="U55" s="18" t="str">
        <x:v>https://drive.google.com/file/d/161WdTRehgwvDHvQ8OkRf8U9TbUmVQgaR/view?usp=drivesdk</x:v>
      </x:c>
    </x:row>
    <x:row r="56">
      <x:c r="A56" s="18" t="str">
        <x:v>Huang 2017</x:v>
      </x:c>
      <x:c r="B56" s="18" t="str">
        <x:v>HUANG17_POSTOP_SUF_AGG</x:v>
      </x:c>
      <x:c r="C56" s="18" t="str">
        <x:v>2/100-Hz TEAS</x:v>
      </x:c>
      <x:c r="D56" s="18" t="str">
        <x:v>Placebo TEAS/no current</x:v>
      </x:c>
      <x:c r="E56" s="18" t="str">
        <x:v>Published postoperative sufentanil aggregate</x:v>
      </x:c>
      <x:c r="F56" s="18" t="str">
        <x:v>Observation window unclear</x:v>
      </x:c>
      <x:c r="G56" s="18" t="str">
        <x:v>Mean/SD</x:v>
      </x:c>
      <x:c r="H56" s="18" t="n">
        <x:v>20</x:v>
      </x:c>
      <x:c r="I56" s="18" t="n">
        <x:v>20</x:v>
      </x:c>
      <x:c r="J56" s="18" t="n">
        <x:v>1.67</x:v>
      </x:c>
      <x:c r="K56" s="18" t="n">
        <x:v>0.59</x:v>
      </x:c>
      <x:c r="L56" s="18" t="n">
        <x:v>1.32</x:v>
      </x:c>
      <x:c r="M56" s="18" t="n">
        <x:v>0.48</x:v>
      </x:c>
      <x:c r="N56" s="18" t="str">
        <x:v>µg/kg sufentanil</x:v>
      </x:c>
      <x:c r="O56" s="18" t="str">
        <x:v>No</x:v>
      </x:c>
      <x:c r="P56" s="18" t="str">
        <x:v>No</x:v>
      </x:c>
      <x:c r="Q56" s="18" t="str">
        <x:v>EXCLUDE — NOT PRIMARY 24H OPIOID</x:v>
      </x:c>
      <x:c r="R56" s="18" t="str">
        <x:v>Not a strict 0-24-h postoperative opioid-consumption endpoint.</x:v>
      </x:c>
      <x:c r="S56" s="18" t="str"/>
      <x:c r="T56" s="18" t="str">
        <x:v>Methods mention 6/12/24/48-h assessments but Table 5 gives only one aggregate dose per group</x:v>
      </x:c>
      <x:c r="U56" s="18" t="str">
        <x:v>https://drive.google.com/file/d/1RJGi1PYvw75qVW9UK8CBtJPH4G035ASs/view?usp=drivesdk</x:v>
      </x:c>
    </x:row>
    <x:row r="57">
      <x:c r="A57" s="18" t="str">
        <x:v>Huang 2017</x:v>
      </x:c>
      <x:c r="B57" s="18" t="str">
        <x:v>HUANG17_OPIOID24</x:v>
      </x:c>
      <x:c r="C57" s="18" t="str">
        <x:v>Active TEAS frequency arms</x:v>
      </x:c>
      <x:c r="D57" s="18" t="str">
        <x:v>Placebo TEAS/no current</x:v>
      </x:c>
      <x:c r="E57" s="18" t="str">
        <x:v>Exact cumulative postoperative sufentanil consumption</x:v>
      </x:c>
      <x:c r="F57" s="18" t="str">
        <x:v>0-24 h</x:v>
      </x:c>
      <x:c r="G57" s="18" t="str">
        <x:v>Not reported</x:v>
      </x:c>
      <x:c r="H57" s="18" t="n">
        <x:v>20</x:v>
      </x:c>
      <x:c r="I57" s="18" t="n">
        <x:v>20</x:v>
      </x:c>
      <x:c r="J57" s="18"/>
      <x:c r="K57" s="18"/>
      <x:c r="L57" s="18"/>
      <x:c r="M57" s="18"/>
      <x:c r="N57" s="18" t="str">
        <x:v>µg/kg sufentanil</x:v>
      </x:c>
      <x:c r="O57" s="18" t="str">
        <x:v>No</x:v>
      </x:c>
      <x:c r="P57" s="18" t="str">
        <x:v>No</x:v>
      </x:c>
      <x:c r="Q57" s="18" t="str">
        <x:v>EXCLUDE — DATA UNAVAILABLE</x:v>
      </x:c>
      <x:c r="R57" s="18" t="str">
        <x:v>The source does not provide a defensible quantitative value for this analysis.</x:v>
      </x:c>
      <x:c r="S57" s="18" t="str"/>
      <x:c r="T57" s="18" t="str">
        <x:v>Exact 24-h group values and PCA demand/delivery counts are not published</x:v>
      </x:c>
      <x:c r="U57" s="18" t="str">
        <x:v>https://drive.google.com/file/d/1RJGi1PYvw75qVW9UK8CBtJPH4G035ASs/view?usp=drivesdk</x:v>
      </x:c>
    </x:row>
    <x:row r="58">
      <x:c r="A58" s="18" t="str">
        <x:v>He 2026 (hepatectomy/JIS)</x:v>
      </x:c>
      <x:c r="B58" s="18" t="str">
        <x:v>HEJIS26_TEAS_vs_CTRL_MME24</x:v>
      </x:c>
      <x:c r="C58" s="18" t="str">
        <x:v>Intraoperative PC6 TEAS</x:v>
      </x:c>
      <x:c r="D58" s="18" t="str">
        <x:v>No-current PC6 control</x:v>
      </x:c>
      <x:c r="E58" s="18" t="str">
        <x:v>Total postoperative opioid consumption in morphine equivalents</x:v>
      </x:c>
      <x:c r="F58" s="18" t="str">
        <x:v>0-24 h</x:v>
      </x:c>
      <x:c r="G58" s="18" t="str">
        <x:v>Mean/SD</x:v>
      </x:c>
      <x:c r="H58" s="18" t="n">
        <x:v>80</x:v>
      </x:c>
      <x:c r="I58" s="18" t="n">
        <x:v>79</x:v>
      </x:c>
      <x:c r="J58" s="18" t="n">
        <x:v>20</x:v>
      </x:c>
      <x:c r="K58" s="18" t="n">
        <x:v>2.5</x:v>
      </x:c>
      <x:c r="L58" s="18" t="n">
        <x:v>20.6</x:v>
      </x:c>
      <x:c r="M58" s="18" t="n">
        <x:v>4.5</x:v>
      </x:c>
      <x:c r="N58" s="18" t="str">
        <x:v>mg MME</x:v>
      </x:c>
      <x:c r="O58" s="18" t="str">
        <x:v>Yes</x:v>
      </x:c>
      <x:c r="P58" s="18" t="str">
        <x:v>Yes</x:v>
      </x:c>
      <x:c r="Q58" s="18" t="str">
        <x:v>INCLUDE</x:v>
      </x:c>
      <x:c r="R58" s="18" t="str">
        <x:v>Explicit 0-24-h postoperative opioid endpoint and marked eligible in the reconciled source data.</x:v>
      </x:c>
      <x:c r="S58" s="18" t="str"/>
      <x:c r="T58" s="18" t="str">
        <x:v>Supplemental eTable 1 directly reports MME; mITT excludes one canceled surgery and one consent withdrawal after randomization</x:v>
      </x:c>
      <x:c r="U58" s="18" t="str">
        <x:v>https://drive.google.com/file/d/1VgOxIOrGe7ZVevkKEVP7G-0V1DXPU0Gf/view?usp=drivesdk</x:v>
      </x:c>
    </x:row>
    <x:row r="59">
      <x:c r="A59" s="18" t="str">
        <x:v>He 2026 (breast/WJCO)</x:v>
      </x:c>
      <x:c r="B59" s="18" t="str">
        <x:v>HEBREAST26_OPIOID24</x:v>
      </x:c>
      <x:c r="C59" s="18" t="str">
        <x:v>Perioperative EA + flurbiprofen</x:v>
      </x:c>
      <x:c r="D59" s="18" t="str">
        <x:v>Sham acupuncture + flurbiprofen</x:v>
      </x:c>
      <x:c r="E59" s="18" t="str">
        <x:v>Cumulative rescue morphine consumption</x:v>
      </x:c>
      <x:c r="F59" s="18" t="str">
        <x:v>0-24 h</x:v>
      </x:c>
      <x:c r="G59" s="18" t="str">
        <x:v>Not reported</x:v>
      </x:c>
      <x:c r="H59" s="18" t="n">
        <x:v>65</x:v>
      </x:c>
      <x:c r="I59" s="18" t="n">
        <x:v>65</x:v>
      </x:c>
      <x:c r="J59" s="18"/>
      <x:c r="K59" s="18"/>
      <x:c r="L59" s="18"/>
      <x:c r="M59" s="18"/>
      <x:c r="N59" s="18" t="str">
        <x:v>mg IV morphine</x:v>
      </x:c>
      <x:c r="O59" s="18" t="str">
        <x:v>No</x:v>
      </x:c>
      <x:c r="P59" s="18" t="str">
        <x:v>No</x:v>
      </x:c>
      <x:c r="Q59" s="18" t="str">
        <x:v>EXCLUDE — DATA UNAVAILABLE</x:v>
      </x:c>
      <x:c r="R59" s="18" t="str">
        <x:v>The source does not provide a defensible quantitative value for this analysis.</x:v>
      </x:c>
      <x:c r="S59" s="18" t="str"/>
      <x:c r="T59" s="18" t="str">
        <x:v>Rescue morphine 1-3 mg IV was allowed, but authors explicitly state rescue opioid consumption was not recorded or compared</x:v>
      </x:c>
      <x:c r="U59" s="18" t="str">
        <x:v>https://drive.google.com/file/d/1D6Js5nTN2AwL5-BB-NIJVoCKVtcbcczH/view?usp=drivesdk</x:v>
      </x:c>
    </x:row>
    <x:row r="60">
      <x:c r="A60" s="18" t="str">
        <x:v>Gu 2019</x:v>
      </x:c>
      <x:c r="B60" s="18" t="str">
        <x:v>GU19_LTEAS_vs_CTEAS_PCIA4</x:v>
      </x:c>
      <x:c r="C60" s="18" t="str">
        <x:v>Long-duration TEAS</x:v>
      </x:c>
      <x:c r="D60" s="18" t="str">
        <x:v>Sham/no-current TEAS</x:v>
      </x:c>
      <x:c r="E60" s="18" t="str">
        <x:v>Cumulative multimodal PCIA solution consumed</x:v>
      </x:c>
      <x:c r="F60" s="18" t="str">
        <x:v>4 h</x:v>
      </x:c>
      <x:c r="G60" s="18" t="str">
        <x:v>Mean/SD</x:v>
      </x:c>
      <x:c r="H60" s="18" t="n">
        <x:v>58</x:v>
      </x:c>
      <x:c r="I60" s="18" t="n">
        <x:v>59</x:v>
      </x:c>
      <x:c r="J60" s="18" t="n">
        <x:v>10.02</x:v>
      </x:c>
      <x:c r="K60" s="18" t="n">
        <x:v>2.26</x:v>
      </x:c>
      <x:c r="L60" s="18" t="n">
        <x:v>13.38</x:v>
      </x:c>
      <x:c r="M60" s="18" t="n">
        <x:v>2.98</x:v>
      </x:c>
      <x:c r="N60" s="18" t="str">
        <x:v>mL solution = numerically same µg sufentanil at 1 µg/mL</x:v>
      </x:c>
      <x:c r="O60" s="18" t="str">
        <x:v>No</x:v>
      </x:c>
      <x:c r="P60" s="18" t="str">
        <x:v>No</x:v>
      </x:c>
      <x:c r="Q60" s="18" t="str">
        <x:v>EXCLUDE — NOT PRIMARY 24H OPIOID</x:v>
      </x:c>
      <x:c r="R60" s="18" t="str">
        <x:v>Not a strict 0-24-h postoperative opioid-consumption endpoint.</x:v>
      </x:c>
      <x:c r="S60" s="18" t="str"/>
      <x:c r="T60" s="18" t="str">
        <x:v>Pump also contains dexmedetomidine, flurbiprofen and palonosetron; exact 24-h value is graph-only</x:v>
      </x:c>
      <x:c r="U60" s="18" t="str">
        <x:v>https://drive.google.com/file/d/1ipQFXfERgAVmgNKMpLkvaaecYJVSTDiw/view?usp=drivesdk</x:v>
      </x:c>
    </x:row>
    <x:row r="61">
      <x:c r="A61" s="18" t="str">
        <x:v>Gu 2019</x:v>
      </x:c>
      <x:c r="B61" s="18" t="str">
        <x:v>GU19_LTEAS_vs_CTEAS_PCIA8</x:v>
      </x:c>
      <x:c r="C61" s="18" t="str">
        <x:v>Long-duration TEAS</x:v>
      </x:c>
      <x:c r="D61" s="18" t="str">
        <x:v>Sham/no-current TEAS</x:v>
      </x:c>
      <x:c r="E61" s="18" t="str">
        <x:v>Cumulative multimodal PCIA solution consumed</x:v>
      </x:c>
      <x:c r="F61" s="18" t="str">
        <x:v>8 h</x:v>
      </x:c>
      <x:c r="G61" s="18" t="str">
        <x:v>Mean/SD</x:v>
      </x:c>
      <x:c r="H61" s="18" t="n">
        <x:v>58</x:v>
      </x:c>
      <x:c r="I61" s="18" t="n">
        <x:v>59</x:v>
      </x:c>
      <x:c r="J61" s="18" t="n">
        <x:v>20.55</x:v>
      </x:c>
      <x:c r="K61" s="18" t="n">
        <x:v>4.59</x:v>
      </x:c>
      <x:c r="L61" s="18" t="n">
        <x:v>24.63</x:v>
      </x:c>
      <x:c r="M61" s="18" t="n">
        <x:v>3.94</x:v>
      </x:c>
      <x:c r="N61" s="18" t="str">
        <x:v>mL solution = numerically same µg sufentanil at 1 µg/mL</x:v>
      </x:c>
      <x:c r="O61" s="18" t="str">
        <x:v>No</x:v>
      </x:c>
      <x:c r="P61" s="18" t="str">
        <x:v>No</x:v>
      </x:c>
      <x:c r="Q61" s="18" t="str">
        <x:v>EXCLUDE — NOT PRIMARY 24H OPIOID</x:v>
      </x:c>
      <x:c r="R61" s="18" t="str">
        <x:v>Not a strict 0-24-h postoperative opioid-consumption endpoint.</x:v>
      </x:c>
      <x:c r="S61" s="18" t="str"/>
      <x:c r="T61" s="18" t="str">
        <x:v>Pump also contains dexmedetomidine, flurbiprofen and palonosetron; exact 24-h value is graph-only</x:v>
      </x:c>
      <x:c r="U61" s="18" t="str">
        <x:v>https://drive.google.com/file/d/1ipQFXfERgAVmgNKMpLkvaaecYJVSTDiw/view?usp=drivesdk</x:v>
      </x:c>
    </x:row>
    <x:row r="62">
      <x:c r="A62" s="18" t="str">
        <x:v>Gu 2019</x:v>
      </x:c>
      <x:c r="B62" s="18" t="str">
        <x:v>GU19_LTEAS_vs_CTEAS_PCIA36</x:v>
      </x:c>
      <x:c r="C62" s="18" t="str">
        <x:v>Long-duration TEAS</x:v>
      </x:c>
      <x:c r="D62" s="18" t="str">
        <x:v>Sham/no-current TEAS</x:v>
      </x:c>
      <x:c r="E62" s="18" t="str">
        <x:v>Cumulative multimodal PCIA solution consumed</x:v>
      </x:c>
      <x:c r="F62" s="18" t="str">
        <x:v>36 h</x:v>
      </x:c>
      <x:c r="G62" s="18" t="str">
        <x:v>Mean/SD</x:v>
      </x:c>
      <x:c r="H62" s="18" t="n">
        <x:v>58</x:v>
      </x:c>
      <x:c r="I62" s="18" t="n">
        <x:v>59</x:v>
      </x:c>
      <x:c r="J62" s="18" t="n">
        <x:v>72.64</x:v>
      </x:c>
      <x:c r="K62" s="18" t="n">
        <x:v>9.74</x:v>
      </x:c>
      <x:c r="L62" s="18" t="n">
        <x:v>76.01</x:v>
      </x:c>
      <x:c r="M62" s="18" t="n">
        <x:v>10.43</x:v>
      </x:c>
      <x:c r="N62" s="18" t="str">
        <x:v>mL solution = numerically same µg sufentanil at 1 µg/mL</x:v>
      </x:c>
      <x:c r="O62" s="18" t="str">
        <x:v>No</x:v>
      </x:c>
      <x:c r="P62" s="18" t="str">
        <x:v>No</x:v>
      </x:c>
      <x:c r="Q62" s="18" t="str">
        <x:v>EXCLUDE — NOT PRIMARY 24H OPIOID</x:v>
      </x:c>
      <x:c r="R62" s="18" t="str">
        <x:v>Not a strict 0-24-h postoperative opioid-consumption endpoint.</x:v>
      </x:c>
      <x:c r="S62" s="18" t="str"/>
      <x:c r="T62" s="18" t="str">
        <x:v>Pump also contains dexmedetomidine, flurbiprofen and palonosetron; exact 24-h value is graph-only</x:v>
      </x:c>
      <x:c r="U62" s="18" t="str">
        <x:v>https://drive.google.com/file/d/1ipQFXfERgAVmgNKMpLkvaaecYJVSTDiw/view?usp=drivesdk</x:v>
      </x:c>
    </x:row>
    <x:row r="63">
      <x:c r="A63" s="18" t="str">
        <x:v>Gu 2019</x:v>
      </x:c>
      <x:c r="B63" s="18" t="str">
        <x:v>GU19_OPIOID24</x:v>
      </x:c>
      <x:c r="C63" s="18" t="str">
        <x:v>Long-duration TEAS</x:v>
      </x:c>
      <x:c r="D63" s="18" t="str">
        <x:v>Sham/no-current TEAS</x:v>
      </x:c>
      <x:c r="E63" s="18" t="str">
        <x:v>Exact cumulative 24-h postoperative sufentanil</x:v>
      </x:c>
      <x:c r="F63" s="18" t="str">
        <x:v>0-24 h</x:v>
      </x:c>
      <x:c r="G63" s="18" t="str">
        <x:v>Graph-only / not numerically reported</x:v>
      </x:c>
      <x:c r="H63" s="18" t="n">
        <x:v>58</x:v>
      </x:c>
      <x:c r="I63" s="18" t="n">
        <x:v>59</x:v>
      </x:c>
      <x:c r="J63" s="18"/>
      <x:c r="K63" s="18"/>
      <x:c r="L63" s="18"/>
      <x:c r="M63" s="18"/>
      <x:c r="N63" s="18" t="str">
        <x:v>µg sufentanil</x:v>
      </x:c>
      <x:c r="O63" s="18" t="str">
        <x:v>Yes</x:v>
      </x:c>
      <x:c r="P63" s="18" t="str">
        <x:v>No</x:v>
      </x:c>
      <x:c r="Q63" s="18" t="str">
        <x:v>DIGITIZATION NEEDED</x:v>
      </x:c>
      <x:c r="R63" s="18" t="str">
        <x:v>Exact numeric result is not tabulated; formal graph digitization or author data is required before quantitative pooling.</x:v>
      </x:c>
      <x:c r="S63" s="18" t="str"/>
      <x:c r="T63" s="18" t="str">
        <x:v>24-h PCIA point is visible graphically but not numerically reported</x:v>
      </x:c>
      <x:c r="U63" s="18" t="str">
        <x:v>https://drive.google.com/file/d/1ipQFXfERgAVmgNKMpLkvaaecYJVSTDiw/view?usp=drivesdk</x:v>
      </x:c>
    </x:row>
    <x:row r="64">
      <x:c r="A64" s="18" t="str">
        <x:v>Guo 2023</x:v>
      </x:c>
      <x:c r="B64" s="18" t="str">
        <x:v>GUO23_OPIOID24</x:v>
      </x:c>
      <x:c r="C64" s="18" t="str">
        <x:v>Perioperative TEAS</x:v>
      </x:c>
      <x:c r="D64" s="18" t="str">
        <x:v>Sham/no-current TEAS</x:v>
      </x:c>
      <x:c r="E64" s="18" t="str">
        <x:v>Actual postoperative sufentanil consumption</x:v>
      </x:c>
      <x:c r="F64" s="18" t="str">
        <x:v>0-24 h</x:v>
      </x:c>
      <x:c r="G64" s="18" t="str">
        <x:v>Not reported</x:v>
      </x:c>
      <x:c r="H64" s="18" t="n">
        <x:v>55</x:v>
      </x:c>
      <x:c r="I64" s="18" t="n">
        <x:v>55</x:v>
      </x:c>
      <x:c r="J64" s="18"/>
      <x:c r="K64" s="18"/>
      <x:c r="L64" s="18"/>
      <x:c r="M64" s="18"/>
      <x:c r="N64" s="18" t="str">
        <x:v>µg sufentanil</x:v>
      </x:c>
      <x:c r="O64" s="18" t="str">
        <x:v>No</x:v>
      </x:c>
      <x:c r="P64" s="18" t="str">
        <x:v>No</x:v>
      </x:c>
      <x:c r="Q64" s="18" t="str">
        <x:v>EXCLUDE — DATA UNAVAILABLE</x:v>
      </x:c>
      <x:c r="R64" s="18" t="str">
        <x:v>The source does not provide a defensible quantitative value for this analysis.</x:v>
      </x:c>
      <x:c r="S64" s="18" t="str"/>
      <x:c r="T64" s="18" t="str">
        <x:v>PCIA prescription is reported but actual delivered 24-h/48-h sufentanil is not</x:v>
      </x:c>
      <x:c r="U64" s="18" t="str">
        <x:v>https://drive.google.com/file/d/1Idfl7rfZhgAUJHDpsmgzp17ADiGvrU8C/view?usp=drivesdk</x:v>
      </x:c>
    </x:row>
    <x:row r="65">
      <x:c r="A65" s="18" t="str">
        <x:v>Grech 2016</x:v>
      </x:c>
      <x:c r="B65" s="18" t="str">
        <x:v>GRECH16_EA_vs_CTRL_PACU_MME_WOMEN</x:v>
      </x:c>
      <x:c r="C65" s="18" t="str">
        <x:v>Intraoperative low-frequency EA</x:v>
      </x:c>
      <x:c r="D65" s="18" t="str">
        <x:v>Sham/control</x:v>
      </x:c>
      <x:c r="E65" s="18" t="str">
        <x:v>PACU analgesic requirement in women-only subgroup</x:v>
      </x:c>
      <x:c r="F65" s="18" t="str">
        <x:v>PACU</x:v>
      </x:c>
      <x:c r="G65" s="18" t="str">
        <x:v>Graph-only morphine-equivalent outcome</x:v>
      </x:c>
      <x:c r="H65" s="18" t="n">
        <x:v>9</x:v>
      </x:c>
      <x:c r="I65" s="18" t="n">
        <x:v>9</x:v>
      </x:c>
      <x:c r="J65" s="18"/>
      <x:c r="K65" s="18"/>
      <x:c r="L65" s="18"/>
      <x:c r="M65" s="18"/>
      <x:c r="N65" s="18" t="str">
        <x:v>mg morphine-equivalent</x:v>
      </x:c>
      <x:c r="O65" s="18" t="str">
        <x:v>No</x:v>
      </x:c>
      <x:c r="P65" s="18" t="str">
        <x:v>No</x:v>
      </x:c>
      <x:c r="Q65" s="18" t="str">
        <x:v>DIGITIZATION NEEDED</x:v>
      </x:c>
      <x:c r="R65" s="18" t="str">
        <x:v>Exact numeric result is not tabulated; formal graph digitization or author data is required before quantitative pooling.</x:v>
      </x:c>
      <x:c r="S65" s="18" t="str"/>
      <x:c r="T65" s="18" t="str">
        <x:v>Post hoc women-only subgroup excludes two men from EA arm; exact means/SEM are not tabulated</x:v>
      </x:c>
      <x:c r="U65" s="18" t="str">
        <x:v>https://drive.google.com/file/d/1U3KShiAZKL8n9hxSpBkhuhuQHW2EN-IY/view?usp=drivesdk</x:v>
      </x:c>
    </x:row>
    <x:row r="66">
      <x:c r="A66" s="18" t="str">
        <x:v>Grech 2016</x:v>
      </x:c>
      <x:c r="B66" s="18" t="str">
        <x:v>GRECH16_EA_vs_CTRL_OPIOID24</x:v>
      </x:c>
      <x:c r="C66" s="18" t="str">
        <x:v>Intraoperative low-frequency EA</x:v>
      </x:c>
      <x:c r="D66" s="18" t="str">
        <x:v>Sham/control</x:v>
      </x:c>
      <x:c r="E66" s="18" t="str">
        <x:v>Exact cumulative 24-h postoperative morphine-equivalent consumption</x:v>
      </x:c>
      <x:c r="F66" s="18" t="str">
        <x:v>0-24 h</x:v>
      </x:c>
      <x:c r="G66" s="18" t="str">
        <x:v>Not reported</x:v>
      </x:c>
      <x:c r="H66" s="18"/>
      <x:c r="I66" s="18"/>
      <x:c r="J66" s="18"/>
      <x:c r="K66" s="18"/>
      <x:c r="L66" s="18"/>
      <x:c r="M66" s="18"/>
      <x:c r="N66" s="18" t="str">
        <x:v>mg morphine-equivalent</x:v>
      </x:c>
      <x:c r="O66" s="18" t="str">
        <x:v>No</x:v>
      </x:c>
      <x:c r="P66" s="18" t="str">
        <x:v>No</x:v>
      </x:c>
      <x:c r="Q66" s="18" t="str">
        <x:v>EXCLUDE — DATA UNAVAILABLE</x:v>
      </x:c>
      <x:c r="R66" s="18" t="str">
        <x:v>The source does not provide a defensible quantitative value for this analysis.</x:v>
      </x:c>
      <x:c r="S66" s="18" t="str"/>
      <x:c r="T66" s="18" t="str">
        <x:v>Day-1 analgesic use is graphical and exact 24-h mean/dispersion is not tabulated</x:v>
      </x:c>
      <x:c r="U66" s="18" t="str">
        <x:v>https://drive.google.com/file/d/1U3KShiAZKL8n9hxSpBkhuhuQHW2EN-IY/view?usp=drivesdk</x:v>
      </x:c>
    </x:row>
    <x:row r="67">
      <x:c r="A67" s="18" t="str">
        <x:v>Gao 2021</x:v>
      </x:c>
      <x:c r="B67" s="18" t="str">
        <x:v>GAO21_OPIOID24</x:v>
      </x:c>
      <x:c r="C67" s="18" t="str">
        <x:v>Postoperative TEAS</x:v>
      </x:c>
      <x:c r="D67" s="18" t="str">
        <x:v>Sham/no-current TEAS</x:v>
      </x:c>
      <x:c r="E67" s="18" t="str">
        <x:v>Exact cumulative postoperative opioid consumption</x:v>
      </x:c>
      <x:c r="F67" s="18" t="str">
        <x:v>0-24 h</x:v>
      </x:c>
      <x:c r="G67" s="18" t="str">
        <x:v>Not reported</x:v>
      </x:c>
      <x:c r="H67" s="18" t="n">
        <x:v>303</x:v>
      </x:c>
      <x:c r="I67" s="18" t="n">
        <x:v>307</x:v>
      </x:c>
      <x:c r="J67" s="18"/>
      <x:c r="K67" s="18"/>
      <x:c r="L67" s="18"/>
      <x:c r="M67" s="18"/>
      <x:c r="N67" s="18" t="str">
        <x:v>mg/µg</x:v>
      </x:c>
      <x:c r="O67" s="18" t="str">
        <x:v>No</x:v>
      </x:c>
      <x:c r="P67" s="18" t="str">
        <x:v>No</x:v>
      </x:c>
      <x:c r="Q67" s="18" t="str">
        <x:v>EXCLUDE — DATA UNAVAILABLE</x:v>
      </x:c>
      <x:c r="R67" s="18" t="str">
        <x:v>The source does not provide a defensible quantitative value for this analysis.</x:v>
      </x:c>
      <x:c r="S67" s="18" t="str"/>
      <x:c r="T67" s="18" t="str">
        <x:v>Main article reports only whether postoperative analgesia was used, not drug-specific dose/route/PCA consumption</x:v>
      </x:c>
      <x:c r="U67" s="18" t="str">
        <x:v>https://drive.google.com/file/d/1QbM6CNi8KfBXmMTqG1ASm3hK05cz_hKQ/view?usp=drivesdk</x:v>
      </x:c>
    </x:row>
    <x:row r="68">
      <x:c r="A68" s="18" t="str">
        <x:v>Yeh 2010</x:v>
      </x:c>
      <x:c r="B68" s="18" t="str">
        <x:v>YEH10_AES_vs_SHAM_MORPH24</x:v>
      </x:c>
      <x:c r="C68" s="18" t="str">
        <x:v>True-acupoint AES</x:v>
      </x:c>
      <x:c r="D68" s="18" t="str">
        <x:v>Electrical sham/nonmeridian AES</x:v>
      </x:c>
      <x:c r="E68" s="18" t="str">
        <x:v>24-h morphine PCA dose</x:v>
      </x:c>
      <x:c r="F68" s="18" t="str">
        <x:v>First 24 postoperative hours</x:v>
      </x:c>
      <x:c r="G68" s="18" t="str">
        <x:v>Mean/SD</x:v>
      </x:c>
      <x:c r="H68" s="18" t="n">
        <x:v>33</x:v>
      </x:c>
      <x:c r="I68" s="18" t="n">
        <x:v>30</x:v>
      </x:c>
      <x:c r="J68" s="18" t="n">
        <x:v>18.6</x:v>
      </x:c>
      <x:c r="K68" s="18" t="n">
        <x:v>9.7</x:v>
      </x:c>
      <x:c r="L68" s="18" t="n">
        <x:v>21.6</x:v>
      </x:c>
      <x:c r="M68" s="18" t="n">
        <x:v>13.1</x:v>
      </x:c>
      <x:c r="N68" s="18" t="str">
        <x:v>mg morphine; source explicitly calls PCA epidural</x:v>
      </x:c>
      <x:c r="O68" s="18" t="str">
        <x:v>Yes</x:v>
      </x:c>
      <x:c r="P68" s="18" t="str">
        <x:v>Conditional</x:v>
      </x:c>
      <x:c r="Q68" s="18" t="str">
        <x:v>DUPLICATE HOLD</x:v>
      </x:c>
      <x:c r="R68" s="18" t="str">
        <x:v>Probable overlapping publication/cohort; do not pool as an independent study until linkage is resolved.</x:v>
      </x:c>
      <x:c r="S68" s="18" t="str">
        <x:v>Yeh lumbar-spine publication family</x:v>
      </x:c>
      <x:c r="T68" s="18" t="str">
        <x:v>Probable overlapping publication/cohort with Yeh 2011. Five of 99 entrants did not complete and randomized arm assignment of losses is NR. Do not treat both papers as independent.</x:v>
      </x:c>
      <x:c r="U68" s="18" t="str">
        <x:v>https://drive.google.com/file/d/1a1s31PQPWGnaVkYUtNUxO22F3QFTcwmi/view?usp=drivesdk</x:v>
      </x:c>
    </x:row>
    <x:row r="69">
      <x:c r="A69" s="18" t="str">
        <x:v>Yeh 2010</x:v>
      </x:c>
      <x:c r="B69" s="18" t="str">
        <x:v>YEH10_AES_vs_CONTROL_MORPH24</x:v>
      </x:c>
      <x:c r="C69" s="18" t="str">
        <x:v>True-acupoint AES</x:v>
      </x:c>
      <x:c r="D69" s="18" t="str">
        <x:v>No-AES control</x:v>
      </x:c>
      <x:c r="E69" s="18" t="str">
        <x:v>24-h morphine PCA dose</x:v>
      </x:c>
      <x:c r="F69" s="18" t="str">
        <x:v>First 24 postoperative hours</x:v>
      </x:c>
      <x:c r="G69" s="18" t="str">
        <x:v>Mean/SD</x:v>
      </x:c>
      <x:c r="H69" s="18" t="n">
        <x:v>33</x:v>
      </x:c>
      <x:c r="I69" s="18" t="n">
        <x:v>31</x:v>
      </x:c>
      <x:c r="J69" s="18" t="n">
        <x:v>18.6</x:v>
      </x:c>
      <x:c r="K69" s="18" t="n">
        <x:v>9.7</x:v>
      </x:c>
      <x:c r="L69" s="18" t="n">
        <x:v>27.2</x:v>
      </x:c>
      <x:c r="M69" s="18" t="n">
        <x:v>12.5</x:v>
      </x:c>
      <x:c r="N69" s="18" t="str">
        <x:v>mg morphine; source explicitly calls PCA epidural</x:v>
      </x:c>
      <x:c r="O69" s="18" t="str">
        <x:v>Yes</x:v>
      </x:c>
      <x:c r="P69" s="18" t="str">
        <x:v>Conditional</x:v>
      </x:c>
      <x:c r="Q69" s="18" t="str">
        <x:v>DUPLICATE HOLD</x:v>
      </x:c>
      <x:c r="R69" s="18" t="str">
        <x:v>Probable overlapping publication/cohort; do not pool as an independent study until linkage is resolved.</x:v>
      </x:c>
      <x:c r="S69" s="18" t="str">
        <x:v>Yeh lumbar-spine publication family</x:v>
      </x:c>
      <x:c r="T69" s="18" t="str">
        <x:v>Same probable overlapping cohort issue; route must not be silently recoded as IV.</x:v>
      </x:c>
      <x:c r="U69" s="18" t="str">
        <x:v>https://drive.google.com/file/d/1a1s31PQPWGnaVkYUtNUxO22F3QFTcwmi/view?usp=drivesdk</x:v>
      </x:c>
    </x:row>
    <x:row r="70">
      <x:c r="A70" s="18" t="str">
        <x:v>Yeh 2011</x:v>
      </x:c>
      <x:c r="B70" s="18" t="str">
        <x:v>YEH11_AES_vs_SHAM_MORPH24</x:v>
      </x:c>
      <x:c r="C70" s="18" t="str">
        <x:v>True-acupoint AES</x:v>
      </x:c>
      <x:c r="D70" s="18" t="str">
        <x:v>Electrical sham/nonacupoint AES</x:v>
      </x:c>
      <x:c r="E70" s="18" t="str">
        <x:v>24-h IV morphine PCA dose</x:v>
      </x:c>
      <x:c r="F70" s="18" t="str">
        <x:v>First 24 postoperative hours</x:v>
      </x:c>
      <x:c r="G70" s="18" t="str">
        <x:v>Mean/SD</x:v>
      </x:c>
      <x:c r="H70" s="18" t="n">
        <x:v>30</x:v>
      </x:c>
      <x:c r="I70" s="18" t="n">
        <x:v>30</x:v>
      </x:c>
      <x:c r="J70" s="18" t="n">
        <x:v>19.3</x:v>
      </x:c>
      <x:c r="K70" s="18" t="n">
        <x:v>9.7</x:v>
      </x:c>
      <x:c r="L70" s="18" t="n">
        <x:v>21.6</x:v>
      </x:c>
      <x:c r="M70" s="18" t="n">
        <x:v>13.1</x:v>
      </x:c>
      <x:c r="N70" s="18" t="str">
        <x:v>mg IV morphine</x:v>
      </x:c>
      <x:c r="O70" s="18" t="str">
        <x:v>Yes</x:v>
      </x:c>
      <x:c r="P70" s="18" t="str">
        <x:v>Conditional</x:v>
      </x:c>
      <x:c r="Q70" s="18" t="str">
        <x:v>DUPLICATE HOLD</x:v>
      </x:c>
      <x:c r="R70" s="18" t="str">
        <x:v>Probable overlapping publication/cohort; do not pool as an independent study until linkage is resolved.</x:v>
      </x:c>
      <x:c r="S70" s="18" t="str">
        <x:v>Yeh lumbar-spine publication family</x:v>
      </x:c>
      <x:c r="T70" s="18" t="str">
        <x:v>Highly similar to Yeh 2010 in population, acupoints, comparator and 24-h opioid values; do not count independently until cohort/publication linkage is adjudicated.</x:v>
      </x:c>
      <x:c r="U70" s="18" t="str">
        <x:v>https://drive.google.com/file/d/1ZJ60ZvJ5Q7sRu1iptK_tLLfBXxZZ_Hwl/view?usp=drivesdk</x:v>
      </x:c>
    </x:row>
    <x:row r="71">
      <x:c r="A71" s="18" t="str">
        <x:v>Yeh 2011</x:v>
      </x:c>
      <x:c r="B71" s="18" t="str">
        <x:v>YEH11_AES_vs_CONTROL_MORPH24</x:v>
      </x:c>
      <x:c r="C71" s="18" t="str">
        <x:v>True-acupoint AES</x:v>
      </x:c>
      <x:c r="D71" s="18" t="str">
        <x:v>No-AES control</x:v>
      </x:c>
      <x:c r="E71" s="18" t="str">
        <x:v>24-h IV morphine PCA dose</x:v>
      </x:c>
      <x:c r="F71" s="18" t="str">
        <x:v>First 24 postoperative hours</x:v>
      </x:c>
      <x:c r="G71" s="18" t="str">
        <x:v>Mean/SD</x:v>
      </x:c>
      <x:c r="H71" s="18" t="n">
        <x:v>30</x:v>
      </x:c>
      <x:c r="I71" s="18" t="n">
        <x:v>30</x:v>
      </x:c>
      <x:c r="J71" s="18" t="n">
        <x:v>19.3</x:v>
      </x:c>
      <x:c r="K71" s="18" t="n">
        <x:v>9.7</x:v>
      </x:c>
      <x:c r="L71" s="18" t="n">
        <x:v>28</x:v>
      </x:c>
      <x:c r="M71" s="18" t="n">
        <x:v>12.1</x:v>
      </x:c>
      <x:c r="N71" s="18" t="str">
        <x:v>mg IV morphine</x:v>
      </x:c>
      <x:c r="O71" s="18" t="str">
        <x:v>Yes</x:v>
      </x:c>
      <x:c r="P71" s="18" t="str">
        <x:v>Conditional</x:v>
      </x:c>
      <x:c r="Q71" s="18" t="str">
        <x:v>DUPLICATE HOLD</x:v>
      </x:c>
      <x:c r="R71" s="18" t="str">
        <x:v>Probable overlapping publication/cohort; do not pool as an independent study until linkage is resolved.</x:v>
      </x:c>
      <x:c r="S71" s="18" t="str">
        <x:v>Yeh lumbar-spine publication family</x:v>
      </x:c>
      <x:c r="T71" s="18" t="str">
        <x:v>Sequential allocation without sealed envelopes; probable overlapping publication family with Yeh 2010.</x:v>
      </x:c>
      <x:c r="U71" s="18" t="str">
        <x:v>https://drive.google.com/file/d/1ZJ60ZvJ5Q7sRu1iptK_tLLfBXxZZ_Hwl/view?usp=drivesdk</x:v>
      </x:c>
    </x:row>
    <x:row r="72">
      <x:c r="A72" s="18" t="str">
        <x:v>Wong 2006</x:v>
      </x:c>
      <x:c r="B72" s="18" t="str">
        <x:v>WONG06_EA_vs_SHAM_MORPHD0</x:v>
      </x:c>
      <x:c r="C72" s="18" t="str">
        <x:v>Postoperative electroacupuncture</x:v>
      </x:c>
      <x:c r="D72" s="18" t="str">
        <x:v>Nonpenetrating sham acupuncture</x:v>
      </x:c>
      <x:c r="E72" s="18" t="str">
        <x:v>IV PCA morphine consumption</x:v>
      </x:c>
      <x:c r="F72" s="18" t="str">
        <x:v>Day 0</x:v>
      </x:c>
      <x:c r="G72" s="18" t="str">
        <x:v>Mean/SD</x:v>
      </x:c>
      <x:c r="H72" s="18" t="n">
        <x:v>13</x:v>
      </x:c>
      <x:c r="I72" s="18" t="n">
        <x:v>12</x:v>
      </x:c>
      <x:c r="J72" s="18" t="n">
        <x:v>8.3</x:v>
      </x:c>
      <x:c r="K72" s="18" t="n">
        <x:v>4.9</x:v>
      </x:c>
      <x:c r="L72" s="18" t="n">
        <x:v>7.8</x:v>
      </x:c>
      <x:c r="M72" s="18" t="n">
        <x:v>6.4</x:v>
      </x:c>
      <x:c r="N72" s="18" t="str">
        <x:v>mg IV morphine</x:v>
      </x:c>
      <x:c r="O72" s="18" t="str">
        <x:v>No</x:v>
      </x:c>
      <x:c r="P72" s="18" t="str">
        <x:v>No</x:v>
      </x:c>
      <x:c r="Q72" s="18" t="str">
        <x:v>EXCLUDE — NOT PRIMARY 24H OPIOID</x:v>
      </x:c>
      <x:c r="R72" s="18" t="str">
        <x:v>Not a strict 0-24-h postoperative opioid-consumption endpoint.</x:v>
      </x:c>
      <x:c r="S72" s="18" t="str"/>
      <x:c r="T72" s="18" t="str">
        <x:v>Both groups also received scheduled oral dextropropoxyphene. Two randomized sham patients were excluded after serious postoperative complications.</x:v>
      </x:c>
      <x:c r="U72" s="18" t="str">
        <x:v>https://drive.google.com/file/d/1-XmRdgXyZmOmKIDRhL80sxha5M2P00jd/view?usp=drivesdk</x:v>
      </x:c>
    </x:row>
    <x:row r="73">
      <x:c r="A73" s="18" t="str">
        <x:v>Wong 2006</x:v>
      </x:c>
      <x:c r="B73" s="18" t="str">
        <x:v>WONG06_EA_vs_SHAM_MORPHD1</x:v>
      </x:c>
      <x:c r="C73" s="18" t="str">
        <x:v>Postoperative electroacupuncture</x:v>
      </x:c>
      <x:c r="D73" s="18" t="str">
        <x:v>Nonpenetrating sham acupuncture</x:v>
      </x:c>
      <x:c r="E73" s="18" t="str">
        <x:v>IV PCA morphine consumption</x:v>
      </x:c>
      <x:c r="F73" s="18" t="str">
        <x:v>Day 1</x:v>
      </x:c>
      <x:c r="G73" s="18" t="str">
        <x:v>Mean/SD</x:v>
      </x:c>
      <x:c r="H73" s="18" t="n">
        <x:v>13</x:v>
      </x:c>
      <x:c r="I73" s="18" t="n">
        <x:v>12</x:v>
      </x:c>
      <x:c r="J73" s="18" t="n">
        <x:v>18</x:v>
      </x:c>
      <x:c r="K73" s="18" t="n">
        <x:v>8.8</x:v>
      </x:c>
      <x:c r="L73" s="18" t="n">
        <x:v>18.8</x:v>
      </x:c>
      <x:c r="M73" s="18" t="n">
        <x:v>9.8</x:v>
      </x:c>
      <x:c r="N73" s="18" t="str">
        <x:v>mg IV morphine</x:v>
      </x:c>
      <x:c r="O73" s="18" t="str">
        <x:v>No</x:v>
      </x:c>
      <x:c r="P73" s="18" t="str">
        <x:v>No</x:v>
      </x:c>
      <x:c r="Q73" s="18" t="str">
        <x:v>EXCLUDE — NOT PRIMARY 24H OPIOID</x:v>
      </x:c>
      <x:c r="R73" s="18" t="str">
        <x:v>Not a strict 0-24-h postoperative opioid-consumption endpoint.</x:v>
      </x:c>
      <x:c r="S73" s="18" t="str"/>
      <x:c r="T73" s="18" t="str">
        <x:v>Both groups also received scheduled oral dextropropoxyphene. Two randomized sham patients were excluded after serious postoperative complications.</x:v>
      </x:c>
      <x:c r="U73" s="18" t="str">
        <x:v>https://drive.google.com/file/d/1-XmRdgXyZmOmKIDRhL80sxha5M2P00jd/view?usp=drivesdk</x:v>
      </x:c>
    </x:row>
    <x:row r="74">
      <x:c r="A74" s="18" t="str">
        <x:v>Wong 2006</x:v>
      </x:c>
      <x:c r="B74" s="18" t="str">
        <x:v>WONG06_EA_vs_SHAM_MORPHD2</x:v>
      </x:c>
      <x:c r="C74" s="18" t="str">
        <x:v>Postoperative electroacupuncture</x:v>
      </x:c>
      <x:c r="D74" s="18" t="str">
        <x:v>Nonpenetrating sham acupuncture</x:v>
      </x:c>
      <x:c r="E74" s="18" t="str">
        <x:v>IV PCA morphine consumption</x:v>
      </x:c>
      <x:c r="F74" s="18" t="str">
        <x:v>Day 2</x:v>
      </x:c>
      <x:c r="G74" s="18" t="str">
        <x:v>Mean/SD</x:v>
      </x:c>
      <x:c r="H74" s="18" t="n">
        <x:v>13</x:v>
      </x:c>
      <x:c r="I74" s="18" t="n">
        <x:v>12</x:v>
      </x:c>
      <x:c r="J74" s="18" t="n">
        <x:v>7.5</x:v>
      </x:c>
      <x:c r="K74" s="18" t="n">
        <x:v>5</x:v>
      </x:c>
      <x:c r="L74" s="18" t="n">
        <x:v>15.7</x:v>
      </x:c>
      <x:c r="M74" s="18" t="n">
        <x:v>12</x:v>
      </x:c>
      <x:c r="N74" s="18" t="str">
        <x:v>mg IV morphine</x:v>
      </x:c>
      <x:c r="O74" s="18" t="str">
        <x:v>No</x:v>
      </x:c>
      <x:c r="P74" s="18" t="str">
        <x:v>No</x:v>
      </x:c>
      <x:c r="Q74" s="18" t="str">
        <x:v>EXCLUDE — NOT PRIMARY 24H OPIOID</x:v>
      </x:c>
      <x:c r="R74" s="18" t="str">
        <x:v>Not a strict 0-24-h postoperative opioid-consumption endpoint.</x:v>
      </x:c>
      <x:c r="S74" s="18" t="str"/>
      <x:c r="T74" s="18" t="str">
        <x:v>Both groups also received scheduled oral dextropropoxyphene. Two randomized sham patients were excluded after serious postoperative complications.</x:v>
      </x:c>
      <x:c r="U74" s="18" t="str">
        <x:v>https://drive.google.com/file/d/1-XmRdgXyZmOmKIDRhL80sxha5M2P00jd/view?usp=drivesdk</x:v>
      </x:c>
    </x:row>
    <x:row r="75">
      <x:c r="A75" s="18" t="str">
        <x:v>Wong 2006</x:v>
      </x:c>
      <x:c r="B75" s="18" t="str">
        <x:v>WONG06_EA_vs_SHAM_MORPHTOTAL</x:v>
      </x:c>
      <x:c r="C75" s="18" t="str">
        <x:v>Postoperative electroacupuncture</x:v>
      </x:c>
      <x:c r="D75" s="18" t="str">
        <x:v>Nonpenetrating sham acupuncture</x:v>
      </x:c>
      <x:c r="E75" s="18" t="str">
        <x:v>IV PCA morphine consumption</x:v>
      </x:c>
      <x:c r="F75" s="18" t="str">
        <x:v>First 3 postoperative days total</x:v>
      </x:c>
      <x:c r="G75" s="18" t="str">
        <x:v>Mean/SD</x:v>
      </x:c>
      <x:c r="H75" s="18" t="n">
        <x:v>13</x:v>
      </x:c>
      <x:c r="I75" s="18" t="n">
        <x:v>12</x:v>
      </x:c>
      <x:c r="J75" s="18" t="n">
        <x:v>33.9</x:v>
      </x:c>
      <x:c r="K75" s="18" t="n">
        <x:v>12.8</x:v>
      </x:c>
      <x:c r="L75" s="18" t="n">
        <x:v>42.3</x:v>
      </x:c>
      <x:c r="M75" s="18" t="n">
        <x:v>21.3</x:v>
      </x:c>
      <x:c r="N75" s="18" t="str">
        <x:v>mg IV morphine</x:v>
      </x:c>
      <x:c r="O75" s="18" t="str">
        <x:v>No</x:v>
      </x:c>
      <x:c r="P75" s="18" t="str">
        <x:v>No</x:v>
      </x:c>
      <x:c r="Q75" s="18" t="str">
        <x:v>EXCLUDE — NOT PRIMARY 24H OPIOID</x:v>
      </x:c>
      <x:c r="R75" s="18" t="str">
        <x:v>Not a strict 0-24-h postoperative opioid-consumption endpoint.</x:v>
      </x:c>
      <x:c r="S75" s="18" t="str"/>
      <x:c r="T75" s="18" t="str">
        <x:v>Both groups also received scheduled oral dextropropoxyphene. Two randomized sham patients were excluded after serious postoperative complications.</x:v>
      </x:c>
      <x:c r="U75" s="18" t="str">
        <x:v>https://drive.google.com/file/d/1-XmRdgXyZmOmKIDRhL80sxha5M2P00jd/view?usp=drivesdk</x:v>
      </x:c>
    </x:row>
    <x:row r="76">
      <x:c r="A76" s="18" t="str">
        <x:v>Wong 2006</x:v>
      </x:c>
      <x:c r="B76" s="18" t="str">
        <x:v>WONG06_EA_vs_SHAM_OPIOID24</x:v>
      </x:c>
      <x:c r="C76" s="18" t="str">
        <x:v>Postoperative electroacupuncture</x:v>
      </x:c>
      <x:c r="D76" s="18" t="str">
        <x:v>Nonpenetrating sham acupuncture</x:v>
      </x:c>
      <x:c r="E76" s="18" t="str">
        <x:v>Exact total opioid exposure</x:v>
      </x:c>
      <x:c r="F76" s="18" t="str">
        <x:v>0-24 h</x:v>
      </x:c>
      <x:c r="G76" s="18" t="str">
        <x:v>Not reported</x:v>
      </x:c>
      <x:c r="H76" s="18" t="n">
        <x:v>13</x:v>
      </x:c>
      <x:c r="I76" s="18" t="n">
        <x:v>12</x:v>
      </x:c>
      <x:c r="J76" s="18"/>
      <x:c r="K76" s="18"/>
      <x:c r="L76" s="18"/>
      <x:c r="M76" s="18"/>
      <x:c r="N76" s="18" t="str">
        <x:v>mg MME</x:v>
      </x:c>
      <x:c r="O76" s="18" t="str">
        <x:v>No</x:v>
      </x:c>
      <x:c r="P76" s="18" t="str">
        <x:v>No</x:v>
      </x:c>
      <x:c r="Q76" s="18" t="str">
        <x:v>EXCLUDE — DATA UNAVAILABLE</x:v>
      </x:c>
      <x:c r="R76" s="18" t="str">
        <x:v>The source does not provide a defensible quantitative value for this analysis.</x:v>
      </x:c>
      <x:c r="S76" s="18" t="str"/>
      <x:c r="T76" s="18" t="str">
        <x:v>Day labels are not defined as exact consecutive 24-h windows and scheduled dextropropoxyphene contributes additional opioid exposure.</x:v>
      </x:c>
      <x:c r="U76" s="18" t="str">
        <x:v>https://drive.google.com/file/d/1-XmRdgXyZmOmKIDRhL80sxha5M2P00jd/view?usp=drivesdk</x:v>
      </x:c>
    </x:row>
    <x:row r="77">
      <x:c r="A77" s="18" t="str">
        <x:v>El-Rakshy 2009</x:v>
      </x:c>
      <x:c r="B77" s="18" t="str">
        <x:v>ELR09_EA_vs_CTRL_MORPH24</x:v>
      </x:c>
      <x:c r="C77" s="18" t="str">
        <x:v>Intraoperative EA + PCA</x:v>
      </x:c>
      <x:c r="D77" s="18" t="str">
        <x:v>PCA alone/no acupuncture</x:v>
      </x:c>
      <x:c r="E77" s="18" t="str">
        <x:v>Total IV morphine analgesia</x:v>
      </x:c>
      <x:c r="F77" s="18" t="str">
        <x:v>First 24 h</x:v>
      </x:c>
      <x:c r="G77" s="18" t="str">
        <x:v>Mean/SD</x:v>
      </x:c>
      <x:c r="H77" s="18" t="n">
        <x:v>42</x:v>
      </x:c>
      <x:c r="I77" s="18" t="n">
        <x:v>53</x:v>
      </x:c>
      <x:c r="J77" s="18" t="n">
        <x:v>35.3</x:v>
      </x:c>
      <x:c r="K77" s="18" t="n">
        <x:v>18</x:v>
      </x:c>
      <x:c r="L77" s="18" t="n">
        <x:v>36.9</x:v>
      </x:c>
      <x:c r="M77" s="18" t="n">
        <x:v>18</x:v>
      </x:c>
      <x:c r="N77" s="18" t="str">
        <x:v>mg IV morphine</x:v>
      </x:c>
      <x:c r="O77" s="18" t="str">
        <x:v>Yes</x:v>
      </x:c>
      <x:c r="P77" s="18" t="str">
        <x:v>Yes</x:v>
      </x:c>
      <x:c r="Q77" s="18" t="str">
        <x:v>INCLUDE</x:v>
      </x:c>
      <x:c r="R77" s="18" t="str">
        <x:v>Explicit 0-24-h postoperative opioid endpoint and marked eligible in the reconciled source data.</x:v>
      </x:c>
      <x:c r="S77" s="18" t="str"/>
      <x:c r="T77" s="18" t="str">
        <x:v>Publication has irreconcilable allocation/analyzed group labels. Use Table 2 n=42 EA and n=53 control for this result; do not substitute overall study denominators.</x:v>
      </x:c>
      <x:c r="U77" s="18" t="str">
        <x:v>https://drive.google.com/file/d/12AfIox-MgnMU15U-mdvZgaTKnukXKvAR/view?usp=drivesdk</x:v>
      </x:c>
    </x:row>
    <x:row r="78">
      <x:c r="A78" s="18" t="str">
        <x:v>El-Rakshy 2009</x:v>
      </x:c>
      <x:c r="B78" s="18" t="str">
        <x:v>ELR09_EA_vs_CTRL_MORPH4</x:v>
      </x:c>
      <x:c r="C78" s="18" t="str">
        <x:v>Intraoperative EA + PCA</x:v>
      </x:c>
      <x:c r="D78" s="18" t="str">
        <x:v>PCA alone/no acupuncture</x:v>
      </x:c>
      <x:c r="E78" s="18" t="str">
        <x:v>Total IV morphine analgesia</x:v>
      </x:c>
      <x:c r="F78" s="18" t="str">
        <x:v>First 4 h</x:v>
      </x:c>
      <x:c r="G78" s="18" t="str">
        <x:v>Mean/SD</x:v>
      </x:c>
      <x:c r="H78" s="18" t="n">
        <x:v>40</x:v>
      </x:c>
      <x:c r="I78" s="18" t="n">
        <x:v>53</x:v>
      </x:c>
      <x:c r="J78" s="18" t="n">
        <x:v>13.4</x:v>
      </x:c>
      <x:c r="K78" s="18" t="n">
        <x:v>7.5</x:v>
      </x:c>
      <x:c r="L78" s="18" t="n">
        <x:v>13.2</x:v>
      </x:c>
      <x:c r="M78" s="18" t="n">
        <x:v>8.6</x:v>
      </x:c>
      <x:c r="N78" s="18" t="str">
        <x:v>mg IV morphine</x:v>
      </x:c>
      <x:c r="O78" s="18" t="str">
        <x:v>No</x:v>
      </x:c>
      <x:c r="P78" s="18" t="str">
        <x:v>No</x:v>
      </x:c>
      <x:c r="Q78" s="18" t="str">
        <x:v>EXCLUDE — NOT PRIMARY 24H OPIOID</x:v>
      </x:c>
      <x:c r="R78" s="18" t="str">
        <x:v>Not a strict 0-24-h postoperative opioid-consumption endpoint.</x:v>
      </x:c>
      <x:c r="S78" s="18" t="str"/>
      <x:c r="T78" s="18" t="str">
        <x:v>Again preserve outcome-specific n=40 EA and n=53 control.</x:v>
      </x:c>
      <x:c r="U78" s="18" t="str">
        <x:v>https://drive.google.com/file/d/12AfIox-MgnMU15U-mdvZgaTKnukXKvAR/view?usp=drivesdk</x:v>
      </x:c>
    </x:row>
    <x:row r="79">
      <x:c r="A79" s="18" t="str">
        <x:v>An 2014</x:v>
      </x:c>
      <x:c r="B79" s="18" t="str">
        <x:v>AN14_EA_vs_CTRL_FENT48</x:v>
      </x:c>
      <x:c r="C79" s="18" t="str">
        <x:v>Intraoperative electroacupuncture</x:v>
      </x:c>
      <x:c r="D79" s="18" t="str">
        <x:v>No acupuncture control</x:v>
      </x:c>
      <x:c r="E79" s="18" t="str">
        <x:v>Total postoperative fentanyl PCIA dose</x:v>
      </x:c>
      <x:c r="F79" s="18" t="str">
        <x:v>Through reported 48-h PCIA period</x:v>
      </x:c>
      <x:c r="G79" s="18" t="str">
        <x:v>Mean/SD</x:v>
      </x:c>
      <x:c r="H79" s="18" t="n">
        <x:v>41</x:v>
      </x:c>
      <x:c r="I79" s="18" t="n">
        <x:v>40</x:v>
      </x:c>
      <x:c r="J79" s="18" t="n">
        <x:v>0.67</x:v>
      </x:c>
      <x:c r="K79" s="18" t="n">
        <x:v>0.09</x:v>
      </x:c>
      <x:c r="L79" s="18" t="n">
        <x:v>0.73</x:v>
      </x:c>
      <x:c r="M79" s="18" t="n">
        <x:v>0.12</x:v>
      </x:c>
      <x:c r="N79" s="18" t="str">
        <x:v>mg fentanyl</x:v>
      </x:c>
      <x:c r="O79" s="18" t="str">
        <x:v>No</x:v>
      </x:c>
      <x:c r="P79" s="18" t="str">
        <x:v>No</x:v>
      </x:c>
      <x:c r="Q79" s="18" t="str">
        <x:v>EXCLUDE — NOT PRIMARY 24H OPIOID</x:v>
      </x:c>
      <x:c r="R79" s="18" t="str">
        <x:v>Not a strict 0-24-h postoperative opioid-consumption endpoint.</x:v>
      </x:c>
      <x:c r="S79" s="18" t="str"/>
      <x:c r="T79" s="18" t="str">
        <x:v>Seven of 88 randomized patients were excluded from analysis; total fentanyl is not isolated to 0-24 h.</x:v>
      </x:c>
      <x:c r="U79" s="18" t="str">
        <x:v>https://drive.google.com/file/d/1Ygu3g28udKuPe0OS95oge2ryIGNeJ0te/view?usp=drivesdk</x:v>
      </x:c>
    </x:row>
    <x:row r="80">
      <x:c r="A80" s="18" t="str">
        <x:v>An 2014</x:v>
      </x:c>
      <x:c r="B80" s="18" t="str">
        <x:v>AN14_EA_vs_CTRL_OPIOID24</x:v>
      </x:c>
      <x:c r="C80" s="18" t="str">
        <x:v>Intraoperative electroacupuncture</x:v>
      </x:c>
      <x:c r="D80" s="18" t="str">
        <x:v>No acupuncture control</x:v>
      </x:c>
      <x:c r="E80" s="18" t="str">
        <x:v>Exact cumulative postoperative fentanyl</x:v>
      </x:c>
      <x:c r="F80" s="18" t="str">
        <x:v>0-24 h</x:v>
      </x:c>
      <x:c r="G80" s="18" t="str">
        <x:v>Not reported</x:v>
      </x:c>
      <x:c r="H80" s="18" t="n">
        <x:v>41</x:v>
      </x:c>
      <x:c r="I80" s="18" t="n">
        <x:v>40</x:v>
      </x:c>
      <x:c r="J80" s="18"/>
      <x:c r="K80" s="18"/>
      <x:c r="L80" s="18"/>
      <x:c r="M80" s="18"/>
      <x:c r="N80" s="18" t="str">
        <x:v>mg/µg fentanyl</x:v>
      </x:c>
      <x:c r="O80" s="18" t="str">
        <x:v>No</x:v>
      </x:c>
      <x:c r="P80" s="18" t="str">
        <x:v>No</x:v>
      </x:c>
      <x:c r="Q80" s="18" t="str">
        <x:v>EXCLUDE — DATA UNAVAILABLE</x:v>
      </x:c>
      <x:c r="R80" s="18" t="str">
        <x:v>The source does not provide a defensible quantitative value for this analysis.</x:v>
      </x:c>
      <x:c r="S80" s="18" t="str"/>
      <x:c r="T80" s="18" t="str">
        <x:v>Published bolus activity is split 0-6 h and 6-48 h; exact 0-24-h fentanyl cannot be reconstructed.</x:v>
      </x:c>
      <x:c r="U80" s="18" t="str">
        <x:v>https://drive.google.com/file/d/1Ygu3g28udKuPe0OS95oge2ryIGNeJ0te/view?usp=drivesdk</x:v>
      </x:c>
    </x:row>
    <x:row r="81">
      <x:c r="A81" s="18" t="str">
        <x:v>Chen 2015</x:v>
      </x:c>
      <x:c r="B81" s="18" t="str">
        <x:v>CHEN15Q_TEAS_vs_CTRL_RESCUEMORPH24</x:v>
      </x:c>
      <x:c r="C81" s="18" t="str">
        <x:v>Preoperative TEAS</x:v>
      </x:c>
      <x:c r="D81" s="18" t="str">
        <x:v>Electrodes/device with no stimulation</x:v>
      </x:c>
      <x:c r="E81" s="18" t="str">
        <x:v>Cumulative rescue IV morphine dose derived from fixed 2-mg rescue administrations</x:v>
      </x:c>
      <x:c r="F81" s="18" t="str">
        <x:v>0-24 h</x:v>
      </x:c>
      <x:c r="G81" s="18" t="str">
        <x:v>Median/IQR</x:v>
      </x:c>
      <x:c r="H81" s="18" t="n">
        <x:v>41</x:v>
      </x:c>
      <x:c r="I81" s="18" t="n">
        <x:v>42</x:v>
      </x:c>
      <x:c r="J81" s="18" t="n">
        <x:v>2</x:v>
      </x:c>
      <x:c r="K81" s="18" t="str">
        <x:v>2–6</x:v>
      </x:c>
      <x:c r="L81" s="18" t="n">
        <x:v>7</x:v>
      </x:c>
      <x:c r="M81" s="18" t="str">
        <x:v>4–14</x:v>
      </x:c>
      <x:c r="N81" s="18" t="str">
        <x:v>mg IV morphine</x:v>
      </x:c>
      <x:c r="O81" s="18" t="str">
        <x:v>Yes</x:v>
      </x:c>
      <x:c r="P81" s="18" t="str">
        <x:v>Conditional</x:v>
      </x:c>
      <x:c r="Q81" s="18" t="str">
        <x:v>CONDITIONAL</x:v>
      </x:c>
      <x:c r="R81" s="18" t="str">
        <x:v>24-h opioid endpoint exists but requires a prespecified route/unit/time-window or derived-value rule.</x:v>
      </x:c>
      <x:c r="S81" s="18" t="str"/>
      <x:c r="T81" s="18" t="str">
        <x:v>Source reports rescue-administration count 1 (1-3) vs 3.5 (2-7); each rescue administration was fixed at morphine 2 mg. Linear conversion to mg is exact, but the source itself reports counts rather than dose.</x:v>
      </x:c>
      <x:c r="U81" s="18" t="str">
        <x:v>https://drive.google.com/file/d/1ZtE8GImDcpDJH1tOvzqazoh_S4Gd67oH/view?usp=drivesdk</x:v>
      </x:c>
    </x:row>
    <x:row r="82">
      <x:c r="A82" s="18" t="str">
        <x:v>Chen 2015 (Hyperalgesia)</x:v>
      </x:c>
      <x:c r="B82" s="18" t="str">
        <x:v>CHEN15H_TEAS_vs_SHAM_SUFKG24</x:v>
      </x:c>
      <x:c r="C82" s="18" t="str">
        <x:v>Preoperative TEAS</x:v>
      </x:c>
      <x:c r="D82" s="18" t="str">
        <x:v>Electrodes/no-current sham</x:v>
      </x:c>
      <x:c r="E82" s="18" t="str">
        <x:v>Derived cumulative sufentanil dose from fixed 0.05 µg/kg bolus</x:v>
      </x:c>
      <x:c r="F82" s="18" t="str">
        <x:v>0-24 h</x:v>
      </x:c>
      <x:c r="G82" s="18" t="str">
        <x:v>Median/IQR</x:v>
      </x:c>
      <x:c r="H82" s="18" t="n">
        <x:v>29</x:v>
      </x:c>
      <x:c r="I82" s="18" t="n">
        <x:v>30</x:v>
      </x:c>
      <x:c r="J82" s="18" t="n">
        <x:v>0.15</x:v>
      </x:c>
      <x:c r="K82" s="18" t="str">
        <x:v>0.1–0.2</x:v>
      </x:c>
      <x:c r="L82" s="18" t="n">
        <x:v>0.35</x:v>
      </x:c>
      <x:c r="M82" s="18" t="str">
        <x:v>0.3–0.4</x:v>
      </x:c>
      <x:c r="N82" s="18" t="str">
        <x:v>µg/kg sufentanil</x:v>
      </x:c>
      <x:c r="O82" s="18" t="str">
        <x:v>Yes</x:v>
      </x:c>
      <x:c r="P82" s="18" t="str">
        <x:v>Conditional</x:v>
      </x:c>
      <x:c r="Q82" s="18" t="str">
        <x:v>CONDITIONAL</x:v>
      </x:c>
      <x:c r="R82" s="18" t="str">
        <x:v>24-h opioid endpoint exists but requires a prespecified route/unit/time-window or derived-value rule.</x:v>
      </x:c>
      <x:c r="S82" s="18" t="str"/>
      <x:c r="T82" s="18" t="str">
        <x:v>Exact linear conversion from 0.05 µg/kg per bolus × reported bolus count. Do not convert to absolute µg or MME without individual body weights.</x:v>
      </x:c>
      <x:c r="U82" s="18" t="str">
        <x:v>https://drive.google.com/file/d/13YKAZZsc2VQEPqkw1Ye40BYDZSRpI6N3/view?usp=drivesdk</x:v>
      </x:c>
    </x:row>
  </x:sheetData>
  <x:conditionalFormatting sqref="Q2:Q82">
    <x:cfRule type="expression" dxfId="42" priority="1">
      <x:formula>LEFT(Q2,7)="INCLUDE"</x:formula>
    </x:cfRule>
    <x:cfRule type="expression" dxfId="43" priority="2">
      <x:formula>LEFT(Q2,11)="CONDITIONAL"</x:formula>
    </x:cfRule>
    <x:cfRule type="expression" dxfId="44" priority="3">
      <x:formula>LEFT(Q2,7)="EXCLUDE"</x:formula>
    </x:cfRule>
    <x:cfRule type="expression" dxfId="45" priority="4">
      <x:formula>Q2="DUPLICATE HOLD"</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32</x:v>
      </x:c>
      <x:c r="K2" s="18" t="n">
        <x:v>32</x:v>
      </x:c>
      <x:c r="L2" s="18" t="n">
        <x:v>21.38</x:v>
      </x:c>
      <x:c r="M2" s="18" t="n">
        <x:v>14.38</x:v>
      </x:c>
      <x:c r="N2" s="18"/>
      <x:c r="O2" s="18"/>
      <x:c r="P2" s="18"/>
      <x:c r="Q2" s="18"/>
      <x:c r="R2" s="18" t="n">
        <x:v>33.94</x:v>
      </x:c>
      <x:c r="S2" s="18" t="n">
        <x:v>20.24</x:v>
      </x:c>
      <x:c r="T2" s="18"/>
      <x:c r="U2" s="18"/>
      <x:c r="V2" s="18"/>
      <x:c r="W2" s="18"/>
      <x:c r="X2" s="18" t="str">
        <x:v>mg morphine</x:v>
      </x:c>
      <x:c r="Y2" s="18" t="str">
        <x:v>0.006</x:v>
      </x:c>
      <x:c r="Z2" s="18" t="str">
        <x:v>MD</x:v>
      </x:c>
      <x:c r="AA2" s="18" t="n">
        <x:v>-12.559999999999999</x:v>
      </x:c>
      <x:c r="AB2" s="18" t="str">
        <x:v>INCLUDE</x:v>
      </x:c>
      <x:c r="AC2" s="18" t="str">
        <x:v>Explicit 0-24-h postoperative opioid endpoint and marked eligible in the reconciled source data.</x:v>
      </x:c>
      <x:c r="AD2" s="18"/>
      <x:c r="AE2" s="18" t="str">
        <x:v>None</x:v>
      </x:c>
      <x:c r="AF2" s="18" t="str">
        <x:v>Some concerns</x:v>
      </x:c>
      <x:c r="AG2" s="18" t="str">
        <x:v>Yes — selected RoB is for a different result/timepoint</x:v>
      </x:c>
      <x:c r="AH2" s="18" t="str">
        <x:v>Seevaunnamtum 2016</x:v>
      </x:c>
      <x:c r="AI2" s="18" t="str">
        <x:v>Primary eligible contrast</x:v>
      </x:c>
      <x:c r="AJ2" s="18" t="str">
        <x:v>Count this study once per synthesis unless a valid multi-arm method is used.</x:v>
      </x:c>
      <x:c r="AK2" s="18" t="str">
        <x:v>No allocation-concealment method reported</x:v>
      </x:c>
      <x:c r="AL2" s="18" t="str">
        <x:v>https://drive.google.com/file/d/1OhuqhDUCEmOij7fZFhHHCJNwfQ9xpMzd/view?usp=drivesdk</x:v>
      </x:c>
    </x:row>
    <x:row r="3">
      <x:c r="A3" s="18" t="str">
        <x:v>Chen 1998</x:v>
      </x:c>
      <x:c r="B3" s="18" t="str">
        <x:v>CHEN98_NONACU_vs_SHAM</x:v>
      </x:c>
      <x:c r="C3" s="18" t="str">
        <x:v>Active nonacupoint shoulder TENS</x:v>
      </x:c>
      <x:c r="D3" s="18" t="str">
        <x:v>Sham ST36 TENS (0 mA)</x:v>
      </x:c>
      <x:c r="E3" s="18" t="str">
        <x:v>Cumulative IV PCA hydromorphone</x:v>
      </x:c>
      <x:c r="F3" s="18" t="str">
        <x:v>First 24 h postoperatively</x:v>
      </x:c>
      <x:c r="G3" s="18" t="str">
        <x:v>Mean/SD</x:v>
      </x:c>
      <x:c r="H3" s="18" t="n">
        <x:v>25</x:v>
      </x:c>
      <x:c r="I3" s="18" t="n">
        <x:v>25</x:v>
      </x:c>
      <x:c r="J3" s="18" t="n">
        <x:v>25</x:v>
      </x:c>
      <x:c r="K3" s="18" t="n">
        <x:v>25</x:v>
      </x:c>
      <x:c r="L3" s="18" t="n">
        <x:v>10.5</x:v>
      </x:c>
      <x:c r="M3" s="18" t="n">
        <x:v>6.2</x:v>
      </x:c>
      <x:c r="N3" s="18"/>
      <x:c r="O3" s="18"/>
      <x:c r="P3" s="18"/>
      <x:c r="Q3" s="18"/>
      <x:c r="R3" s="18" t="n">
        <x:v>10.7</x:v>
      </x:c>
      <x:c r="S3" s="18" t="n">
        <x:v>5</x:v>
      </x:c>
      <x:c r="T3" s="18"/>
      <x:c r="U3" s="18"/>
      <x:c r="V3" s="18"/>
      <x:c r="W3" s="18"/>
      <x:c r="X3" s="18" t="str">
        <x:v>mg hydromorphone</x:v>
      </x:c>
      <x:c r="Y3" s="18"/>
      <x:c r="Z3" s="18" t="str">
        <x:v>MD</x:v>
      </x:c>
      <x:c r="AA3" s="18" t="n">
        <x:v>-0.1999999999999993</x:v>
      </x:c>
      <x:c r="AB3" s="18" t="str">
        <x:v>INCLUDE</x:v>
      </x:c>
      <x:c r="AC3" s="18" t="str">
        <x:v>Explicit 0-24-h postoperative opioid endpoint and marked eligible in the reconciled source data.</x:v>
      </x:c>
      <x:c r="AD3" s="18"/>
      <x:c r="AE3" s="18" t="str">
        <x:v>Opioid/MME conversion required using prespecified review conversion</x:v>
      </x:c>
      <x:c r="AF3" s="18" t="str">
        <x:v>Some concerns</x:v>
      </x:c>
      <x:c r="AG3" s="18" t="str">
        <x:v>No — selected RoB matches this result</x:v>
      </x:c>
      <x:c r="AH3" s="18" t="str">
        <x:v>Chen 1998</x:v>
      </x:c>
      <x:c r="AI3" s="18" t="str">
        <x:v>Preferred acupoint-specific contrast</x:v>
      </x:c>
      <x:c r="AJ3" s="18" t="str">
        <x:v>Four-arm RCT with shared sham; do not count three active-vs-sham rows as three independent studies.</x:v>
      </x:c>
      <x:c r="AK3" s="18" t="str">
        <x:v>Four-arm RCT; shared sham control must be handled correctly</x:v>
      </x:c>
      <x:c r="AL3" s="18" t="str">
        <x:v>https://drive.google.com/file/d/1lUyYj9aN1CL9RpY86ZY0970To83Kb17s/view?usp=drivesdk</x:v>
      </x:c>
    </x:row>
    <x:row r="4">
      <x:c r="A4" s="18" t="str">
        <x:v>Chen 1998</x:v>
      </x:c>
      <x:c r="B4" s="18" t="str">
        <x:v>CHEN98_DERM_vs_SHAM</x:v>
      </x:c>
      <x:c r="C4" s="18" t="str">
        <x:v>Active dermatomal/peri-incisional TENS</x:v>
      </x:c>
      <x:c r="D4" s="18" t="str">
        <x:v>Sham ST36 TENS (0 mA)</x:v>
      </x:c>
      <x:c r="E4" s="18" t="str">
        <x:v>Cumulative IV PCA hydromorphone</x:v>
      </x:c>
      <x:c r="F4" s="18" t="str">
        <x:v>First 24 h postoperatively</x:v>
      </x:c>
      <x:c r="G4" s="18" t="str">
        <x:v>Mean/SD</x:v>
      </x:c>
      <x:c r="H4" s="18" t="n">
        <x:v>25</x:v>
      </x:c>
      <x:c r="I4" s="18" t="n">
        <x:v>25</x:v>
      </x:c>
      <x:c r="J4" s="18" t="n">
        <x:v>25</x:v>
      </x:c>
      <x:c r="K4" s="18" t="n">
        <x:v>25</x:v>
      </x:c>
      <x:c r="L4" s="18" t="n">
        <x:v>6.8</x:v>
      </x:c>
      <x:c r="M4" s="18" t="n">
        <x:v>4.2</x:v>
      </x:c>
      <x:c r="N4" s="18"/>
      <x:c r="O4" s="18"/>
      <x:c r="P4" s="18"/>
      <x:c r="Q4" s="18"/>
      <x:c r="R4" s="18" t="n">
        <x:v>10.7</x:v>
      </x:c>
      <x:c r="S4" s="18" t="n">
        <x:v>5</x:v>
      </x:c>
      <x:c r="T4" s="18"/>
      <x:c r="U4" s="18"/>
      <x:c r="V4" s="18"/>
      <x:c r="W4" s="18"/>
      <x:c r="X4" s="18" t="str">
        <x:v>mg hydromorphone</x:v>
      </x:c>
      <x:c r="Y4" s="18"/>
      <x:c r="Z4" s="18" t="str">
        <x:v>MD</x:v>
      </x:c>
      <x:c r="AA4" s="18" t="n">
        <x:v>-3.8999999999999995</x:v>
      </x:c>
      <x:c r="AB4" s="18" t="str">
        <x:v>INCLUDE</x:v>
      </x:c>
      <x:c r="AC4" s="18" t="str">
        <x:v>Explicit 0-24-h postoperative opioid endpoint and marked eligible in the reconciled source data.</x:v>
      </x:c>
      <x:c r="AD4" s="18"/>
      <x:c r="AE4" s="18" t="str">
        <x:v>Opioid/MME conversion required using prespecified review conversion</x:v>
      </x:c>
      <x:c r="AF4" s="18" t="str">
        <x:v>Some concerns</x:v>
      </x:c>
      <x:c r="AG4" s="18" t="str">
        <x:v>No — selected RoB matches this result</x:v>
      </x:c>
      <x:c r="AH4" s="18" t="str">
        <x:v>Chen 1998</x:v>
      </x:c>
      <x:c r="AI4" s="18" t="str">
        <x:v>Alternative active-site contrast</x:v>
      </x:c>
      <x:c r="AJ4" s="18" t="str">
        <x:v>Four-arm RCT with shared sham; do not count three active-vs-sham rows as three independent studies.</x:v>
      </x:c>
      <x:c r="AK4" s="18" t="str">
        <x:v>Four-arm RCT; shared sham control must be handled correctly</x:v>
      </x:c>
      <x:c r="AL4" s="18" t="str">
        <x:v>https://drive.google.com/file/d/1lUyYj9aN1CL9RpY86ZY0970To83Kb17s/view?usp=drivesdk</x:v>
      </x:c>
    </x:row>
    <x:row r="5">
      <x:c r="A5" s="18" t="str">
        <x:v>Chen 1998</x:v>
      </x:c>
      <x:c r="B5" s="18" t="str">
        <x:v>CHEN98_ACU_vs_SHAM</x:v>
      </x:c>
      <x:c r="C5" s="18" t="str">
        <x:v>Active ST36 acupoint TENS</x:v>
      </x:c>
      <x:c r="D5" s="18" t="str">
        <x:v>Sham ST36 TENS (0 mA)</x:v>
      </x:c>
      <x:c r="E5" s="18" t="str">
        <x:v>Cumulative IV PCA hydromorphone</x:v>
      </x:c>
      <x:c r="F5" s="18" t="str">
        <x:v>First 24 h postoperatively</x:v>
      </x:c>
      <x:c r="G5" s="18" t="str">
        <x:v>Mean/SD</x:v>
      </x:c>
      <x:c r="H5" s="18" t="n">
        <x:v>25</x:v>
      </x:c>
      <x:c r="I5" s="18" t="n">
        <x:v>25</x:v>
      </x:c>
      <x:c r="J5" s="18" t="n">
        <x:v>25</x:v>
      </x:c>
      <x:c r="K5" s="18" t="n">
        <x:v>25</x:v>
      </x:c>
      <x:c r="L5" s="18" t="n">
        <x:v>6.5</x:v>
      </x:c>
      <x:c r="M5" s="18" t="n">
        <x:v>3.5</x:v>
      </x:c>
      <x:c r="N5" s="18"/>
      <x:c r="O5" s="18"/>
      <x:c r="P5" s="18"/>
      <x:c r="Q5" s="18"/>
      <x:c r="R5" s="18" t="n">
        <x:v>10.7</x:v>
      </x:c>
      <x:c r="S5" s="18" t="n">
        <x:v>5</x:v>
      </x:c>
      <x:c r="T5" s="18"/>
      <x:c r="U5" s="18"/>
      <x:c r="V5" s="18"/>
      <x:c r="W5" s="18"/>
      <x:c r="X5" s="18" t="str">
        <x:v>mg hydromorphone</x:v>
      </x:c>
      <x:c r="Y5" s="18"/>
      <x:c r="Z5" s="18" t="str">
        <x:v>MD</x:v>
      </x:c>
      <x:c r="AA5" s="18" t="n">
        <x:v>-4.199999999999999</x:v>
      </x:c>
      <x:c r="AB5" s="18" t="str">
        <x:v>INCLUDE</x:v>
      </x:c>
      <x:c r="AC5" s="18" t="str">
        <x:v>Explicit 0-24-h postoperative opioid endpoint and marked eligible in the reconciled source data.</x:v>
      </x:c>
      <x:c r="AD5" s="18"/>
      <x:c r="AE5" s="18" t="str">
        <x:v>Opioid/MME conversion required using prespecified review conversion</x:v>
      </x:c>
      <x:c r="AF5" s="18" t="str">
        <x:v>Some concerns</x:v>
      </x:c>
      <x:c r="AG5" s="18" t="str">
        <x:v>No — selected RoB matches this result</x:v>
      </x:c>
      <x:c r="AH5" s="18" t="str">
        <x:v>Chen 1998</x:v>
      </x:c>
      <x:c r="AI5" s="18" t="str">
        <x:v>Preferred acupoint-specific contrast</x:v>
      </x:c>
      <x:c r="AJ5" s="18" t="str">
        <x:v>Four-arm RCT with shared sham; do not count three active-vs-sham rows as three independent studies.</x:v>
      </x:c>
      <x:c r="AK5" s="18" t="str">
        <x:v>Four-arm RCT; shared sham control must be handled correctly</x:v>
      </x:c>
      <x:c r="AL5" s="18" t="str">
        <x:v>https://drive.google.com/file/d/1lUyYj9aN1CL9RpY86ZY0970To83Kb17s/view?usp=drivesdk</x:v>
      </x:c>
    </x:row>
    <x:row r="6">
      <x:c r="A6" s="18" t="str">
        <x:v>Chen 2020</x:v>
      </x:c>
      <x:c r="B6" s="18" t="str">
        <x:v>CHEN20_TEAS_vs_SHAM</x:v>
      </x:c>
      <x:c r="C6" s="18" t="str">
        <x:v>Perioperative TEAS</x:v>
      </x:c>
      <x:c r="D6" s="18" t="str">
        <x:v>Sham low/zero-current protocol</x:v>
      </x:c>
      <x:c r="E6" s="18" t="str">
        <x:v>Cumulative sufentanil</x:v>
      </x:c>
      <x:c r="F6" s="18" t="str">
        <x:v>24 h postoperatively</x:v>
      </x:c>
      <x:c r="G6" s="18" t="str">
        <x:v>Mean/SD</x:v>
      </x:c>
      <x:c r="H6" s="18" t="n">
        <x:v>40</x:v>
      </x:c>
      <x:c r="I6" s="18" t="n">
        <x:v>40</x:v>
      </x:c>
      <x:c r="J6" s="18" t="n">
        <x:v>40</x:v>
      </x:c>
      <x:c r="K6" s="18" t="n">
        <x:v>40</x:v>
      </x:c>
      <x:c r="L6" s="18" t="n">
        <x:v>72.43</x:v>
      </x:c>
      <x:c r="M6" s="18" t="n">
        <x:v>4.78</x:v>
      </x:c>
      <x:c r="N6" s="18"/>
      <x:c r="O6" s="18"/>
      <x:c r="P6" s="18"/>
      <x:c r="Q6" s="18"/>
      <x:c r="R6" s="18" t="n">
        <x:v>100.62</x:v>
      </x:c>
      <x:c r="S6" s="18" t="n">
        <x:v>10.2</x:v>
      </x:c>
      <x:c r="T6" s="18"/>
      <x:c r="U6" s="18"/>
      <x:c r="V6" s="18"/>
      <x:c r="W6" s="18"/>
      <x:c r="X6" s="18" t="str">
        <x:v>µg sufentanil</x:v>
      </x:c>
      <x:c r="Y6" s="18"/>
      <x:c r="Z6" s="18" t="str">
        <x:v>MD</x:v>
      </x:c>
      <x:c r="AA6" s="18" t="n">
        <x:v>-28.189999999999998</x:v>
      </x:c>
      <x:c r="AB6" s="18" t="str">
        <x:v>INCLUDE</x:v>
      </x:c>
      <x:c r="AC6" s="18" t="str">
        <x:v>Explicit 0-24-h postoperative opioid endpoint and marked eligible in the reconciled source data.</x:v>
      </x:c>
      <x:c r="AD6" s="18"/>
      <x:c r="AE6" s="18" t="str">
        <x:v>Opioid/MME conversion required using prespecified review conversion</x:v>
      </x:c>
      <x:c r="AF6" s="18" t="str">
        <x:v>Some concerns</x:v>
      </x:c>
      <x:c r="AG6" s="18" t="str">
        <x:v>No — selected RoB matches this result</x:v>
      </x:c>
      <x:c r="AH6" s="18" t="str">
        <x:v>Chen 2020</x:v>
      </x:c>
      <x:c r="AI6" s="18" t="str">
        <x:v>Primary eligible contrast</x:v>
      </x:c>
      <x:c r="AJ6" s="18" t="str">
        <x:v>Count this study once per synthesis unless a valid multi-arm method is used.</x:v>
      </x:c>
      <x:c r="AK6" s="18" t="str">
        <x:v>Sham was 4 mA pre/postoperatively but 0 mA intraoperatively; preserve this nuance</x:v>
      </x:c>
      <x:c r="AL6" s="18" t="str">
        <x:v>https://drive.google.com/file/d/1y0_cC1NCl5g2vYxDMOtYmxVA_YEE-rsR/view?usp=drivesdk</x:v>
      </x:c>
    </x:row>
    <x:row r="7">
      <x:c r="A7" s="18" t="str">
        <x:v>Coura 2011</x:v>
      </x:c>
      <x:c r="B7" s="18" t="str">
        <x:v>COURA11_EA_vs_SHAM</x:v>
      </x:c>
      <x:c r="C7" s="18" t="str">
        <x:v>Preoperative EA</x:v>
      </x:c>
      <x:c r="D7" s="18" t="str">
        <x:v>Sham stimulation</x:v>
      </x:c>
      <x:c r="E7" s="18" t="str">
        <x:v>Cumulative fentanyl</x:v>
      </x:c>
      <x:c r="F7" s="18" t="str">
        <x:v>First 24 h postoperatively</x:v>
      </x:c>
      <x:c r="G7" s="18" t="str">
        <x:v>Mean/SD</x:v>
      </x:c>
      <x:c r="H7" s="18" t="n">
        <x:v>16</x:v>
      </x:c>
      <x:c r="I7" s="18" t="n">
        <x:v>16</x:v>
      </x:c>
      <x:c r="J7" s="18" t="n">
        <x:v>13</x:v>
      </x:c>
      <x:c r="K7" s="18" t="n">
        <x:v>9</x:v>
      </x:c>
      <x:c r="L7" s="18" t="n">
        <x:v>13.1</x:v>
      </x:c>
      <x:c r="M7" s="18" t="n">
        <x:v>2.2</x:v>
      </x:c>
      <x:c r="N7" s="18"/>
      <x:c r="O7" s="18"/>
      <x:c r="P7" s="18"/>
      <x:c r="Q7" s="18"/>
      <x:c r="R7" s="18" t="n">
        <x:v>16.3</x:v>
      </x:c>
      <x:c r="S7" s="18" t="n">
        <x:v>1.6</x:v>
      </x:c>
      <x:c r="T7" s="18"/>
      <x:c r="U7" s="18"/>
      <x:c r="V7" s="18"/>
      <x:c r="W7" s="18"/>
      <x:c r="X7" s="18" t="str">
        <x:v>µg/kg fentanyl</x:v>
      </x:c>
      <x:c r="Y7" s="18"/>
      <x:c r="Z7" s="18" t="str">
        <x:v>MD</x:v>
      </x:c>
      <x:c r="AA7" s="18" t="n">
        <x:v>-3.200000000000001</x:v>
      </x:c>
      <x:c r="AB7" s="18" t="str">
        <x:v>CONDITIONAL</x:v>
      </x:c>
      <x:c r="AC7" s="18" t="str">
        <x:v>24-h opioid endpoint exists but requires a prespecified route/unit/time-window or derived-value rule.</x:v>
      </x:c>
      <x:c r="AD7" s="18"/>
      <x:c r="AE7" s="18" t="str">
        <x:v>Opioid/MME conversion required using prespecified review conversion</x:v>
      </x:c>
      <x:c r="AF7" s="18" t="str">
        <x:v>High</x:v>
      </x:c>
      <x:c r="AG7" s="18" t="str">
        <x:v>No — selected RoB matches this result</x:v>
      </x:c>
      <x:c r="AH7" s="18" t="str">
        <x:v>Coura 2011</x:v>
      </x:c>
      <x:c r="AI7" s="18" t="str">
        <x:v>Primary eligible contrast</x:v>
      </x:c>
      <x:c r="AJ7" s="18" t="str">
        <x:v>Count this study once per synthesis unless a valid multi-arm method is used.</x:v>
      </x:c>
      <x:c r="AK7" s="18" t="str">
        <x:v>10/32 post-randomization exclusions; supplemental morphine/fentanyl inclusion unclear</x:v>
      </x:c>
      <x:c r="AL7" s="18" t="str">
        <x:v>https://drive.google.com/file/d/120NJxCmxsdiyqWTXzjmaUWAaVa1i8iZz/view?usp=drivesdk</x:v>
      </x:c>
    </x:row>
    <x:row r="8">
      <x:c r="A8" s="18" t="str">
        <x:v>Zhou 2021</x:v>
      </x:c>
      <x:c r="B8" s="18" t="str">
        <x:v>ZHOU21_TEAS_vs_UC_OPIOIDUSE</x:v>
      </x:c>
      <x:c r="C8" s="18" t="str">
        <x:v>Postoperative TEAS + ERAS</x:v>
      </x:c>
      <x:c r="D8" s="18" t="str">
        <x:v>ERAS/usual care</x:v>
      </x:c>
      <x:c r="E8" s="18" t="str">
        <x:v>Any postoperative opioid use</x:v>
      </x:c>
      <x:c r="F8" s="18" t="str">
        <x:v>Postoperative window not clearly defined as 0-24 h</x:v>
      </x:c>
      <x:c r="G8" s="18" t="str">
        <x:v>Events/total</x:v>
      </x:c>
      <x:c r="H8" s="18" t="n">
        <x:v>41</x:v>
      </x:c>
      <x:c r="I8" s="18" t="n">
        <x:v>41</x:v>
      </x:c>
      <x:c r="J8" s="18" t="n">
        <x:v>41</x:v>
      </x:c>
      <x:c r="K8" s="18" t="n">
        <x:v>40</x:v>
      </x:c>
      <x:c r="L8" s="18"/>
      <x:c r="M8" s="18"/>
      <x:c r="N8" s="18"/>
      <x:c r="O8" s="18"/>
      <x:c r="P8" s="18"/>
      <x:c r="Q8" s="18" t="n">
        <x:v>18</x:v>
      </x:c>
      <x:c r="R8" s="18"/>
      <x:c r="S8" s="18"/>
      <x:c r="T8" s="18"/>
      <x:c r="U8" s="18"/>
      <x:c r="V8" s="18"/>
      <x:c r="W8" s="18" t="n">
        <x:v>30</x:v>
      </x:c>
      <x:c r="X8" s="18" t="str">
        <x:v>participants</x:v>
      </x:c>
      <x:c r="Y8" s="18" t="str">
        <x:v>0.004</x:v>
      </x:c>
      <x:c r="Z8" s="18" t="str">
        <x:v>RR</x:v>
      </x:c>
      <x:c r="AA8" s="18" t="n">
        <x:v>0.5853658536585366</x:v>
      </x:c>
      <x:c r="AB8" s="18" t="str">
        <x:v>CONDITIONAL</x:v>
      </x:c>
      <x:c r="AC8" s="18" t="str">
        <x:v>Published postoperative opioid endpoint is relevant but does not meet the strict primary 0-24-h definition without an explicit protocol rule.</x:v>
      </x:c>
      <x:c r="AD8" s="18"/>
      <x:c r="AE8" s="18" t="str">
        <x:v>None</x:v>
      </x:c>
      <x:c r="AF8" s="18" t="str">
        <x:v>High</x:v>
      </x:c>
      <x:c r="AG8" s="18" t="str">
        <x:v>Yes — selected RoB is for a different result/timepoint</x:v>
      </x:c>
      <x:c r="AH8" s="18" t="str">
        <x:v>Zhou 2021</x:v>
      </x:c>
      <x:c r="AI8" s="18" t="str">
        <x:v>Primary eligible contrast</x:v>
      </x:c>
      <x:c r="AJ8" s="18" t="str">
        <x:v>Count this study once per synthesis unless a valid multi-arm method is used.</x:v>
      </x:c>
      <x:c r="AK8" s="18" t="str">
        <x:v>Exact postoperative time window is not clearly stated</x:v>
      </x:c>
      <x:c r="AL8" s="18" t="str">
        <x:v>https://drive.google.com/file/d/1PxYyULBv_ZjWeqAm_bNYkDn_j2_lNYLq/view?usp=drivesdk</x:v>
      </x:c>
    </x:row>
    <x:row r="9">
      <x:c r="A9" s="18" t="str">
        <x:v>Zhang 2025</x:v>
      </x:c>
      <x:c r="B9" s="18" t="str">
        <x:v>ZHANG25_TEAS_vs_SHAM_SUFPOD1</x:v>
      </x:c>
      <x:c r="C9" s="18" t="str">
        <x:v>Perioperative TEAS</x:v>
      </x:c>
      <x:c r="D9" s="18" t="str">
        <x:v>Sub-sensory sham</x:v>
      </x:c>
      <x:c r="E9" s="18" t="str">
        <x:v>Total sufentanil consumption</x:v>
      </x:c>
      <x:c r="F9" s="18" t="str">
        <x:v>POD1; approximately 24 h but exact clock window not explicit</x:v>
      </x:c>
      <x:c r="G9" s="18" t="str">
        <x:v>Mean/SD</x:v>
      </x:c>
      <x:c r="H9" s="18" t="n">
        <x:v>54</x:v>
      </x:c>
      <x:c r="I9" s="18" t="n">
        <x:v>54</x:v>
      </x:c>
      <x:c r="J9" s="18" t="n">
        <x:v>45</x:v>
      </x:c>
      <x:c r="K9" s="18" t="n">
        <x:v>48</x:v>
      </x:c>
      <x:c r="L9" s="18" t="n">
        <x:v>50.53</x:v>
      </x:c>
      <x:c r="M9" s="18" t="n">
        <x:v>4.46</x:v>
      </x:c>
      <x:c r="N9" s="18"/>
      <x:c r="O9" s="18"/>
      <x:c r="P9" s="18"/>
      <x:c r="Q9" s="18"/>
      <x:c r="R9" s="18" t="n">
        <x:v>53.79</x:v>
      </x:c>
      <x:c r="S9" s="18" t="n">
        <x:v>5.14</x:v>
      </x:c>
      <x:c r="T9" s="18"/>
      <x:c r="U9" s="18"/>
      <x:c r="V9" s="18"/>
      <x:c r="W9" s="18"/>
      <x:c r="X9" s="18" t="str">
        <x:v>µg sufentanil</x:v>
      </x:c>
      <x:c r="Y9" s="18" t="str">
        <x:v>0.002</x:v>
      </x:c>
      <x:c r="Z9" s="18" t="str">
        <x:v>MD</x:v>
      </x:c>
      <x:c r="AA9" s="18" t="n">
        <x:v>-3.259999999999998</x:v>
      </x:c>
      <x:c r="AB9" s="18" t="str">
        <x:v>CONDITIONAL</x:v>
      </x:c>
      <x:c r="AC9" s="18" t="str">
        <x:v>24-h opioid endpoint exists but requires a prespecified route/unit/time-window or derived-value rule.</x:v>
      </x:c>
      <x:c r="AD9" s="18"/>
      <x:c r="AE9" s="18" t="str">
        <x:v>Opioid/MME conversion required using prespecified review conversion</x:v>
      </x:c>
      <x:c r="AF9" s="18" t="str">
        <x:v>High</x:v>
      </x:c>
      <x:c r="AG9" s="18" t="str">
        <x:v>No — selected RoB matches this result</x:v>
      </x:c>
      <x:c r="AH9" s="18" t="str">
        <x:v>Zhang 2025</x:v>
      </x:c>
      <x:c r="AI9" s="18" t="str">
        <x:v>Primary eligible contrast</x:v>
      </x:c>
      <x:c r="AJ9" s="18" t="str">
        <x:v>Count this study once per synthesis unless a valid multi-arm method is used.</x:v>
      </x:c>
      <x:c r="AK9" s="18" t="str">
        <x:v>Endpoint is directly reported as POD1, not explicitly clock-defined 0-24 h; 15/108 excluded after randomization</x:v>
      </x:c>
      <x:c r="AL9" s="18" t="str">
        <x:v>https://drive.google.com/file/d/1eHx6Hk16vmIfMgoiZ5eNae4zmCR5ktwJ/view?usp=drivesdk</x:v>
      </x:c>
    </x:row>
    <x:row r="10">
      <x:c r="A10" s="18" t="str">
        <x:v>Yang 2024</x:v>
      </x:c>
      <x:c r="B10" s="18" t="str">
        <x:v>YANG24_EA_vs_UC_MORPH24</x:v>
      </x:c>
      <x:c r="C10" s="18" t="str">
        <x:v>Perioperative EA + usual care</x:v>
      </x:c>
      <x:c r="D10" s="18" t="str">
        <x:v>Usual care</x:v>
      </x:c>
      <x:c r="E10" s="18" t="str">
        <x:v>Morphine use via IV PCA</x:v>
      </x:c>
      <x:c r="F10" s="18" t="str">
        <x:v>First 24 h / POD1</x:v>
      </x:c>
      <x:c r="G10" s="18" t="str">
        <x:v>Mean/SD</x:v>
      </x:c>
      <x:c r="H10" s="18" t="n">
        <x:v>90</x:v>
      </x:c>
      <x:c r="I10" s="18" t="n">
        <x:v>90</x:v>
      </x:c>
      <x:c r="J10" s="18" t="n">
        <x:v>90</x:v>
      </x:c>
      <x:c r="K10" s="18" t="n">
        <x:v>90</x:v>
      </x:c>
      <x:c r="L10" s="18" t="n">
        <x:v>43.7</x:v>
      </x:c>
      <x:c r="M10" s="18" t="n">
        <x:v>4.7</x:v>
      </x:c>
      <x:c r="N10" s="18"/>
      <x:c r="O10" s="18"/>
      <x:c r="P10" s="18"/>
      <x:c r="Q10" s="18"/>
      <x:c r="R10" s="18" t="n">
        <x:v>44</x:v>
      </x:c>
      <x:c r="S10" s="18" t="n">
        <x:v>4.9</x:v>
      </x:c>
      <x:c r="T10" s="18"/>
      <x:c r="U10" s="18"/>
      <x:c r="V10" s="18"/>
      <x:c r="W10" s="18"/>
      <x:c r="X10" s="18" t="str">
        <x:v>mg morphine</x:v>
      </x:c>
      <x:c r="Y10" s="18" t="str">
        <x:v>0.733</x:v>
      </x:c>
      <x:c r="Z10" s="18" t="str">
        <x:v>MD</x:v>
      </x:c>
      <x:c r="AA10" s="18" t="n">
        <x:v>-0.29999999999999716</x:v>
      </x:c>
      <x:c r="AB10" s="18" t="str">
        <x:v>INCLUDE</x:v>
      </x:c>
      <x:c r="AC10" s="18" t="str">
        <x:v>Explicit 0-24-h postoperative opioid endpoint and marked eligible in the reconciled source data.</x:v>
      </x:c>
      <x:c r="AD10" s="18"/>
      <x:c r="AE10" s="18" t="str">
        <x:v>None</x:v>
      </x:c>
      <x:c r="AF10" s="18" t="str">
        <x:v>Some concerns</x:v>
      </x:c>
      <x:c r="AG10" s="18" t="str">
        <x:v>No — selected RoB matches this result</x:v>
      </x:c>
      <x:c r="AH10" s="18" t="str">
        <x:v>Yang 2024</x:v>
      </x:c>
      <x:c r="AI10" s="18" t="str">
        <x:v>Primary eligible contrast</x:v>
      </x:c>
      <x:c r="AJ10" s="18" t="str">
        <x:v>Count this study once per synthesis unless a valid multi-arm method is used.</x:v>
      </x:c>
      <x:c r="AK10" s="18" t="str">
        <x:v>All 180 randomized participants retained in ITT; open-label patients but objective PCA drug-use record</x:v>
      </x:c>
      <x:c r="AL10" s="18" t="str">
        <x:v>https://drive.google.com/file/d/160N3psd5tLEphwXHJzUEZ3uJfaIXcs5V/view?usp=drivesdk</x:v>
      </x:c>
    </x:row>
    <x:row r="11">
      <x:c r="A11" s="18" t="str">
        <x:v>Sim 2002</x:v>
      </x:c>
      <x:c r="B11" s="18" t="str">
        <x:v>SIM02_PREOP_vs_PLACEBO_MORPH24</x:v>
      </x:c>
      <x:c r="C11" s="18" t="str">
        <x:v>Preoperative EA</x:v>
      </x:c>
      <x:c r="D11" s="18" t="str">
        <x:v>Placebo EA</x:v>
      </x:c>
      <x:c r="E11" s="18" t="str">
        <x:v>Cumulative postoperative IV PCA morphine</x:v>
      </x:c>
      <x:c r="F11" s="18" t="str">
        <x:v>0-24 h</x:v>
      </x:c>
      <x:c r="G11" s="18" t="str">
        <x:v>Mean/SD</x:v>
      </x:c>
      <x:c r="H11" s="18" t="n">
        <x:v>30</x:v>
      </x:c>
      <x:c r="I11" s="18" t="n">
        <x:v>30</x:v>
      </x:c>
      <x:c r="J11" s="18" t="n">
        <x:v>30</x:v>
      </x:c>
      <x:c r="K11" s="18" t="n">
        <x:v>30</x:v>
      </x:c>
      <x:c r="L11" s="18" t="n">
        <x:v>0.52</x:v>
      </x:c>
      <x:c r="M11" s="18" t="n">
        <x:v>0.19</x:v>
      </x:c>
      <x:c r="N11" s="18"/>
      <x:c r="O11" s="18"/>
      <x:c r="P11" s="18"/>
      <x:c r="Q11" s="18"/>
      <x:c r="R11" s="18" t="n">
        <x:v>0.68</x:v>
      </x:c>
      <x:c r="S11" s="18" t="n">
        <x:v>0.38</x:v>
      </x:c>
      <x:c r="T11" s="18"/>
      <x:c r="U11" s="18"/>
      <x:c r="V11" s="18"/>
      <x:c r="W11" s="18"/>
      <x:c r="X11" s="18" t="str">
        <x:v>mg/kg morphine</x:v>
      </x:c>
      <x:c r="Y11" s="18" t="str">
        <x:v>NS overall 24-h cumulative comparison</x:v>
      </x:c>
      <x:c r="Z11" s="18" t="str">
        <x:v>MD</x:v>
      </x:c>
      <x:c r="AA11" s="18" t="n">
        <x:v>-0.16000000000000003</x:v>
      </x:c>
      <x:c r="AB11" s="18" t="str">
        <x:v>CONDITIONAL</x:v>
      </x:c>
      <x:c r="AC11" s="18" t="str">
        <x:v>24-h opioid endpoint exists but requires a prespecified route/unit/time-window or derived-value rule.</x:v>
      </x:c>
      <x:c r="AD11" s="18"/>
      <x:c r="AE11" s="18" t="str">
        <x:v>Weight-normalized endpoint; do not reconstruct absolute dose from group mean weight</x:v>
      </x:c>
      <x:c r="AF11" s="18" t="str">
        <x:v>Some concerns</x:v>
      </x:c>
      <x:c r="AG11" s="18" t="str">
        <x:v>No — selected RoB matches this result</x:v>
      </x:c>
      <x:c r="AH11" s="18" t="str">
        <x:v>Sim 2002</x:v>
      </x:c>
      <x:c r="AI11" s="18" t="str">
        <x:v>Timing-arm contrast</x:v>
      </x:c>
      <x:c r="AJ11" s="18" t="str">
        <x:v>Three-arm trial with shared placebo; preop and postop EA are not independent studies.</x:v>
      </x:c>
      <x:c r="AK11" s="18" t="str">
        <x:v>Do not convert mg/kg to absolute mg using group mean body weight; aggregate means cannot reconstruct individual absolute dose</x:v>
      </x:c>
      <x:c r="AL11" s="18" t="str">
        <x:v>https://drive.google.com/file/d/1YsNHL-J3Kgfu8mCanRrNu_bHk_roj0w6/view?usp=drivesdk</x:v>
      </x:c>
    </x:row>
    <x:row r="12">
      <x:c r="A12" s="18" t="str">
        <x:v>Sim 2002</x:v>
      </x:c>
      <x:c r="B12" s="18" t="str">
        <x:v>SIM02_POSTOP_vs_PLACEBO_MORPH24</x:v>
      </x:c>
      <x:c r="C12" s="18" t="str">
        <x:v>Postoperative EA</x:v>
      </x:c>
      <x:c r="D12" s="18" t="str">
        <x:v>Placebo EA</x:v>
      </x:c>
      <x:c r="E12" s="18" t="str">
        <x:v>Cumulative postoperative IV PCA morphine</x:v>
      </x:c>
      <x:c r="F12" s="18" t="str">
        <x:v>0-24 h</x:v>
      </x:c>
      <x:c r="G12" s="18" t="str">
        <x:v>Mean/SD</x:v>
      </x:c>
      <x:c r="H12" s="18" t="n">
        <x:v>30</x:v>
      </x:c>
      <x:c r="I12" s="18" t="n">
        <x:v>30</x:v>
      </x:c>
      <x:c r="J12" s="18" t="n">
        <x:v>30</x:v>
      </x:c>
      <x:c r="K12" s="18" t="n">
        <x:v>30</x:v>
      </x:c>
      <x:c r="L12" s="18" t="n">
        <x:v>0.58</x:v>
      </x:c>
      <x:c r="M12" s="18" t="n">
        <x:v>0.27</x:v>
      </x:c>
      <x:c r="N12" s="18"/>
      <x:c r="O12" s="18"/>
      <x:c r="P12" s="18"/>
      <x:c r="Q12" s="18"/>
      <x:c r="R12" s="18" t="n">
        <x:v>0.68</x:v>
      </x:c>
      <x:c r="S12" s="18" t="n">
        <x:v>0.38</x:v>
      </x:c>
      <x:c r="T12" s="18"/>
      <x:c r="U12" s="18"/>
      <x:c r="V12" s="18"/>
      <x:c r="W12" s="18"/>
      <x:c r="X12" s="18" t="str">
        <x:v>mg/kg morphine</x:v>
      </x:c>
      <x:c r="Y12" s="18" t="str">
        <x:v>NS overall 24-h cumulative comparison</x:v>
      </x:c>
      <x:c r="Z12" s="18" t="str">
        <x:v>MD</x:v>
      </x:c>
      <x:c r="AA12" s="18" t="n">
        <x:v>-0.10000000000000009</x:v>
      </x:c>
      <x:c r="AB12" s="18" t="str">
        <x:v>CONDITIONAL</x:v>
      </x:c>
      <x:c r="AC12" s="18" t="str">
        <x:v>24-h opioid endpoint exists but requires a prespecified route/unit/time-window or derived-value rule.</x:v>
      </x:c>
      <x:c r="AD12" s="18"/>
      <x:c r="AE12" s="18" t="str">
        <x:v>Weight-normalized endpoint; do not reconstruct absolute dose from group mean weight</x:v>
      </x:c>
      <x:c r="AF12" s="18" t="str">
        <x:v>Some concerns</x:v>
      </x:c>
      <x:c r="AG12" s="18" t="str">
        <x:v>No — selected RoB matches this result</x:v>
      </x:c>
      <x:c r="AH12" s="18" t="str">
        <x:v>Sim 2002</x:v>
      </x:c>
      <x:c r="AI12" s="18" t="str">
        <x:v>Timing-arm contrast</x:v>
      </x:c>
      <x:c r="AJ12" s="18" t="str">
        <x:v>Three-arm trial with shared placebo; preop and postop EA are not independent studies.</x:v>
      </x:c>
      <x:c r="AK12" s="18" t="str">
        <x:v>Postoperative EA is a distinct randomized timing arm and must not be merged with preoperative EA</x:v>
      </x:c>
      <x:c r="AL12" s="18" t="str">
        <x:v>https://drive.google.com/file/d/1YsNHL-J3Kgfu8mCanRrNu_bHk_roj0w6/view?usp=drivesdk</x:v>
      </x:c>
    </x:row>
    <x:row r="13">
      <x:c r="A13" s="18" t="str">
        <x:v>Luo 2026</x:v>
      </x:c>
      <x:c r="B13" s="18" t="str">
        <x:v>LUO26_TEAS_vs_SHAM_OPIOIDEQUIV</x:v>
      </x:c>
      <x:c r="C13" s="18" t="str">
        <x:v>Intraoperative PC6 TEAS + standard antiemetics</x:v>
      </x:c>
      <x:c r="D13" s="18" t="str">
        <x:v>Sham/no current + standard antiemetics</x:v>
      </x:c>
      <x:c r="E13" s="18" t="str">
        <x:v>Published 'sufentanil equivalents' metric</x:v>
      </x:c>
      <x:c r="F13" s="18" t="str">
        <x:v>Perioperative</x:v>
      </x:c>
      <x:c r="G13" s="18" t="str">
        <x:v>Mean/SD</x:v>
      </x:c>
      <x:c r="H13" s="18" t="n">
        <x:v>138</x:v>
      </x:c>
      <x:c r="I13" s="18" t="n">
        <x:v>139</x:v>
      </x:c>
      <x:c r="J13" s="18" t="n">
        <x:v>138</x:v>
      </x:c>
      <x:c r="K13" s="18" t="n">
        <x:v>139</x:v>
      </x:c>
      <x:c r="L13" s="18" t="n">
        <x:v>15.86</x:v>
      </x:c>
      <x:c r="M13" s="18" t="n">
        <x:v>5.11</x:v>
      </x:c>
      <x:c r="N13" s="18"/>
      <x:c r="O13" s="18"/>
      <x:c r="P13" s="18"/>
      <x:c r="Q13" s="18"/>
      <x:c r="R13" s="18" t="n">
        <x:v>15.18</x:v>
      </x:c>
      <x:c r="S13" s="18" t="n">
        <x:v>4.95</x:v>
      </x:c>
      <x:c r="T13" s="18"/>
      <x:c r="U13" s="18"/>
      <x:c r="V13" s="18"/>
      <x:c r="W13" s="18"/>
      <x:c r="X13" s="18" t="str">
        <x:v>published as mg; definition/unit unresolved</x:v>
      </x:c>
      <x:c r="Y13" s="18" t="str">
        <x:v>0.27</x:v>
      </x:c>
      <x:c r="Z13" s="18" t="str">
        <x:v>MD</x:v>
      </x:c>
      <x:c r="AA13" s="18" t="n">
        <x:v>0.6799999999999997</x:v>
      </x:c>
      <x:c r="AB13" s="18" t="str">
        <x:v>CONDITIONAL</x:v>
      </x:c>
      <x:c r="AC13" s="18" t="str">
        <x:v>Source value is valid in its native metric but cannot be converted to the target opioid mass/MME without additional information.</x:v>
      </x:c>
      <x:c r="AD13" s="18"/>
      <x:c r="AE13" s="18" t="str">
        <x:v>None</x:v>
      </x:c>
      <x:c r="AF13" s="18" t="str">
        <x:v>Some concerns</x:v>
      </x:c>
      <x:c r="AG13" s="18" t="str">
        <x:v>Yes — selected RoB is for a different result/timepoint</x:v>
      </x:c>
      <x:c r="AH13" s="18" t="str">
        <x:v>Luo 2026</x:v>
      </x:c>
      <x:c r="AI13" s="18" t="str">
        <x:v>Primary eligible contrast</x:v>
      </x:c>
      <x:c r="AJ13" s="18" t="str">
        <x:v>Count this study once per synthesis unless a valid multi-arm method is used.</x:v>
      </x:c>
      <x:c r="AK13" s="18" t="str">
        <x:v>Source labels approximately 15-16 as 'sufentanil equivalents (mg)' without explaining conversion; preserve verbatim</x:v>
      </x:c>
      <x:c r="AL13" s="18" t="str">
        <x:v>https://drive.google.com/file/d/1xxZle6mPpcnmHLblJbsy1kA4CyQHpvm2/view?usp=drivesdk</x:v>
      </x:c>
    </x:row>
    <x:row r="14">
      <x:c r="A14" s="18" t="str">
        <x:v>Jin 2023</x:v>
      </x:c>
      <x:c r="B14" s="18" t="str">
        <x:v>JIN23_2HZ_vs_SHAM_VOL24</x:v>
      </x:c>
      <x:c r="C14" s="18" t="str">
        <x:v>2-Hz postoperative EA</x:v>
      </x:c>
      <x:c r="D14" s="18" t="str">
        <x:v>Sham nonpenetrating EA/no current</x:v>
      </x:c>
      <x:c r="E14" s="18" t="str">
        <x:v>Published 'fentanyl consumption' / PCIA solution volume</x:v>
      </x:c>
      <x:c r="F14" s="18" t="str">
        <x:v>24 h</x:v>
      </x:c>
      <x:c r="G14" s="18" t="str">
        <x:v>Mean/SD</x:v>
      </x:c>
      <x:c r="H14" s="18" t="n">
        <x:v>58</x:v>
      </x:c>
      <x:c r="I14" s="18" t="n">
        <x:v>58</x:v>
      </x:c>
      <x:c r="J14" s="18" t="n">
        <x:v>53</x:v>
      </x:c>
      <x:c r="K14" s="18" t="n">
        <x:v>52</x:v>
      </x:c>
      <x:c r="L14" s="18" t="n">
        <x:v>39.31</x:v>
      </x:c>
      <x:c r="M14" s="18" t="n">
        <x:v>15.58</x:v>
      </x:c>
      <x:c r="N14" s="18"/>
      <x:c r="O14" s="18"/>
      <x:c r="P14" s="18"/>
      <x:c r="Q14" s="18"/>
      <x:c r="R14" s="18" t="n">
        <x:v>56.54</x:v>
      </x:c>
      <x:c r="S14" s="18" t="n">
        <x:v>12.5</x:v>
      </x:c>
      <x:c r="T14" s="18"/>
      <x:c r="U14" s="18"/>
      <x:c r="V14" s="18"/>
      <x:c r="W14" s="18"/>
      <x:c r="X14" s="18" t="str">
        <x:v>mL PCIA solution</x:v>
      </x:c>
      <x:c r="Y14" s="18" t="str">
        <x:v>&lt;0.001 overall; pairwise P&lt;0.001 (2 Hz) / 0.001 (20/100 Hz)</x:v>
      </x:c>
      <x:c r="Z14" s="18" t="str">
        <x:v>MD</x:v>
      </x:c>
      <x:c r="AA14" s="18" t="n">
        <x:v>-17.229999999999997</x:v>
      </x:c>
      <x:c r="AB14" s="18" t="str">
        <x:v>CONDITIONAL</x:v>
      </x:c>
      <x:c r="AC14" s="18" t="str">
        <x:v>Source value is valid in its native metric but cannot be converted to the target opioid mass/MME without additional information.</x:v>
      </x:c>
      <x:c r="AD14" s="18"/>
      <x:c r="AE14" s="18" t="str">
        <x:v>Do not convert unless concentration and delivered dose are fully known</x:v>
      </x:c>
      <x:c r="AF14" s="18" t="str">
        <x:v>High</x:v>
      </x:c>
      <x:c r="AG14" s="18" t="str">
        <x:v>Yes — selected RoB is for a different result/timepoint</x:v>
      </x:c>
      <x:c r="AH14" s="18" t="str">
        <x:v>Jin 2023</x:v>
      </x:c>
      <x:c r="AI14" s="18" t="str">
        <x:v>Frequency-arm contrast</x:v>
      </x:c>
      <x:c r="AJ14" s="18" t="str">
        <x:v>Three-arm trial with shared sham; use multi-arm handling.</x:v>
      </x:c>
      <x:c r="AK14" s="18" t="str">
        <x:v>Main article does not report fentanyl concentration. Do not convert mL to µg/mg/MME. 2-Hz vs 20/100-Hz inferential statistics conflict between table and prose</x:v>
      </x:c>
      <x:c r="AL14" s="18" t="str">
        <x:v>https://drive.google.com/file/d/1fkNAFra0gZ9jkWkzp_S0TWy-5zVrXCtj/view?usp=drivesdk</x:v>
      </x:c>
    </x:row>
    <x:row r="15">
      <x:c r="A15" s="18" t="str">
        <x:v>Jin 2023</x:v>
      </x:c>
      <x:c r="B15" s="18" t="str">
        <x:v>JIN23_20100_vs_SHAM_VOL24</x:v>
      </x:c>
      <x:c r="C15" s="18" t="str">
        <x:v>20/100-Hz postoperative EA</x:v>
      </x:c>
      <x:c r="D15" s="18" t="str">
        <x:v>Sham nonpenetrating EA/no current</x:v>
      </x:c>
      <x:c r="E15" s="18" t="str">
        <x:v>Published 'fentanyl consumption' / PCIA solution volume</x:v>
      </x:c>
      <x:c r="F15" s="18" t="str">
        <x:v>24 h</x:v>
      </x:c>
      <x:c r="G15" s="18" t="str">
        <x:v>Mean/SD</x:v>
      </x:c>
      <x:c r="H15" s="18" t="n">
        <x:v>58</x:v>
      </x:c>
      <x:c r="I15" s="18" t="n">
        <x:v>58</x:v>
      </x:c>
      <x:c r="J15" s="18" t="n">
        <x:v>53</x:v>
      </x:c>
      <x:c r="K15" s="18" t="n">
        <x:v>52</x:v>
      </x:c>
      <x:c r="L15" s="18" t="n">
        <x:v>45.72</x:v>
      </x:c>
      <x:c r="M15" s="18" t="n">
        <x:v>16.92</x:v>
      </x:c>
      <x:c r="N15" s="18"/>
      <x:c r="O15" s="18"/>
      <x:c r="P15" s="18"/>
      <x:c r="Q15" s="18"/>
      <x:c r="R15" s="18" t="n">
        <x:v>56.54</x:v>
      </x:c>
      <x:c r="S15" s="18" t="n">
        <x:v>12.5</x:v>
      </x:c>
      <x:c r="T15" s="18"/>
      <x:c r="U15" s="18"/>
      <x:c r="V15" s="18"/>
      <x:c r="W15" s="18"/>
      <x:c r="X15" s="18" t="str">
        <x:v>mL PCIA solution</x:v>
      </x:c>
      <x:c r="Y15" s="18" t="str">
        <x:v>&lt;0.001 overall; pairwise P&lt;0.001 (2 Hz) / 0.001 (20/100 Hz)</x:v>
      </x:c>
      <x:c r="Z15" s="18" t="str">
        <x:v>MD</x:v>
      </x:c>
      <x:c r="AA15" s="18" t="n">
        <x:v>-10.82</x:v>
      </x:c>
      <x:c r="AB15" s="18" t="str">
        <x:v>CONDITIONAL</x:v>
      </x:c>
      <x:c r="AC15" s="18" t="str">
        <x:v>Source value is valid in its native metric but cannot be converted to the target opioid mass/MME without additional information.</x:v>
      </x:c>
      <x:c r="AD15" s="18"/>
      <x:c r="AE15" s="18" t="str">
        <x:v>Do not convert unless concentration and delivered dose are fully known</x:v>
      </x:c>
      <x:c r="AF15" s="18" t="str">
        <x:v>High</x:v>
      </x:c>
      <x:c r="AG15" s="18" t="str">
        <x:v>Yes — selected RoB is for a different result/timepoint</x:v>
      </x:c>
      <x:c r="AH15" s="18" t="str">
        <x:v>Jin 2023</x:v>
      </x:c>
      <x:c r="AI15" s="18" t="str">
        <x:v>Frequency-arm contrast</x:v>
      </x:c>
      <x:c r="AJ15" s="18" t="str">
        <x:v>Three-arm trial with shared sham; use multi-arm handling.</x:v>
      </x:c>
      <x:c r="AK15" s="18" t="str">
        <x:v>Main article does not report fentanyl concentration. Do not convert mL to µg/mg/MME. 2-Hz vs 20/100-Hz inferential statistics conflict between table and prose</x:v>
      </x:c>
      <x:c r="AL15" s="18" t="str">
        <x:v>https://drive.google.com/file/d/1fkNAFra0gZ9jkWkzp_S0TWy-5zVrXCtj/view?usp=drivesdk</x:v>
      </x:c>
    </x:row>
    <x:row r="16">
      <x:c r="A16" s="18" t="str">
        <x:v>He 2026 (hepatectomy/JIS)</x:v>
      </x:c>
      <x:c r="B16" s="18" t="str">
        <x:v>HEJIS26_TEAS_vs_CTRL_MME24</x:v>
      </x:c>
      <x:c r="C16" s="18" t="str">
        <x:v>Intraoperative PC6 TEAS</x:v>
      </x:c>
      <x:c r="D16" s="18" t="str">
        <x:v>No-current PC6 control</x:v>
      </x:c>
      <x:c r="E16" s="18" t="str">
        <x:v>Total postoperative opioid consumption in morphine equivalents</x:v>
      </x:c>
      <x:c r="F16" s="18" t="str">
        <x:v>0-24 h</x:v>
      </x:c>
      <x:c r="G16" s="18" t="str">
        <x:v>Mean/SD</x:v>
      </x:c>
      <x:c r="H16" s="18" t="n">
        <x:v>81</x:v>
      </x:c>
      <x:c r="I16" s="18" t="n">
        <x:v>80</x:v>
      </x:c>
      <x:c r="J16" s="18" t="n">
        <x:v>80</x:v>
      </x:c>
      <x:c r="K16" s="18" t="n">
        <x:v>79</x:v>
      </x:c>
      <x:c r="L16" s="18" t="n">
        <x:v>20</x:v>
      </x:c>
      <x:c r="M16" s="18" t="n">
        <x:v>2.5</x:v>
      </x:c>
      <x:c r="N16" s="18"/>
      <x:c r="O16" s="18"/>
      <x:c r="P16" s="18"/>
      <x:c r="Q16" s="18"/>
      <x:c r="R16" s="18" t="n">
        <x:v>20.6</x:v>
      </x:c>
      <x:c r="S16" s="18" t="n">
        <x:v>4.5</x:v>
      </x:c>
      <x:c r="T16" s="18"/>
      <x:c r="U16" s="18"/>
      <x:c r="V16" s="18"/>
      <x:c r="W16" s="18"/>
      <x:c r="X16" s="18" t="str">
        <x:v>mg MME</x:v>
      </x:c>
      <x:c r="Y16" s="18" t="str">
        <x:v>0.30</x:v>
      </x:c>
      <x:c r="Z16" s="18" t="str">
        <x:v>MD</x:v>
      </x:c>
      <x:c r="AA16" s="18" t="n">
        <x:v>-0.6000000000000014</x:v>
      </x:c>
      <x:c r="AB16" s="18" t="str">
        <x:v>INCLUDE</x:v>
      </x:c>
      <x:c r="AC16" s="18" t="str">
        <x:v>Explicit 0-24-h postoperative opioid endpoint and marked eligible in the reconciled source data.</x:v>
      </x:c>
      <x:c r="AD16" s="18"/>
      <x:c r="AE16" s="18" t="str">
        <x:v>None</x:v>
      </x:c>
      <x:c r="AF16" s="18" t="str">
        <x:v>Some concerns</x:v>
      </x:c>
      <x:c r="AG16" s="18" t="str">
        <x:v>No — selected RoB matches this result</x:v>
      </x:c>
      <x:c r="AH16" s="18" t="str">
        <x:v>He 2026 (hepatectomy/JIS)</x:v>
      </x:c>
      <x:c r="AI16" s="18" t="str">
        <x:v>Primary eligible contrast</x:v>
      </x:c>
      <x:c r="AJ16" s="18" t="str">
        <x:v>Count this study once per synthesis unless a valid multi-arm method is used.</x:v>
      </x:c>
      <x:c r="AK16" s="18" t="str">
        <x:v>Supplemental eTable 1 directly reports MME; mITT excludes one canceled surgery and one consent withdrawal after randomization</x:v>
      </x:c>
      <x:c r="AL16" s="18" t="str">
        <x:v>https://drive.google.com/file/d/1VgOxIOrGe7ZVevkKEVP7G-0V1DXPU0Gf/view?usp=drivesdk</x:v>
      </x:c>
    </x:row>
    <x:row r="17">
      <x:c r="A17" s="18" t="str">
        <x:v>Yeh 2010</x:v>
      </x:c>
      <x:c r="B17" s="18" t="str">
        <x:v>YEH10_AES_vs_SHAM_MORPH24</x:v>
      </x:c>
      <x:c r="C17" s="18" t="str">
        <x:v>True-acupoint AES</x:v>
      </x:c>
      <x:c r="D17" s="18" t="str">
        <x:v>Electrical sham/nonmeridian AES</x:v>
      </x:c>
      <x:c r="E17" s="18" t="str">
        <x:v>24-h morphine PCA dose</x:v>
      </x:c>
      <x:c r="F17" s="18" t="str">
        <x:v>First 24 postoperative hours</x:v>
      </x:c>
      <x:c r="G17" s="18" t="str">
        <x:v>Mean/SD</x:v>
      </x:c>
      <x:c r="H17" s="18"/>
      <x:c r="I17" s="18"/>
      <x:c r="J17" s="18" t="n">
        <x:v>33</x:v>
      </x:c>
      <x:c r="K17" s="18" t="n">
        <x:v>30</x:v>
      </x:c>
      <x:c r="L17" s="18" t="n">
        <x:v>18.6</x:v>
      </x:c>
      <x:c r="M17" s="18" t="n">
        <x:v>9.7</x:v>
      </x:c>
      <x:c r="N17" s="18"/>
      <x:c r="O17" s="18"/>
      <x:c r="P17" s="18"/>
      <x:c r="Q17" s="18"/>
      <x:c r="R17" s="18" t="n">
        <x:v>21.6</x:v>
      </x:c>
      <x:c r="S17" s="18" t="n">
        <x:v>13.1</x:v>
      </x:c>
      <x:c r="T17" s="18"/>
      <x:c r="U17" s="18"/>
      <x:c r="V17" s="18"/>
      <x:c r="W17" s="18"/>
      <x:c r="X17" s="18" t="str">
        <x:v>mg morphine; source explicitly calls PCA epidural</x:v>
      </x:c>
      <x:c r="Y17" s="18" t="str">
        <x:v>AES-vs-sham pairwise significance NR</x:v>
      </x:c>
      <x:c r="Z17" s="18" t="str">
        <x:v>MD</x:v>
      </x:c>
      <x:c r="AA17" s="18" t="n">
        <x:v>-3</x:v>
      </x:c>
      <x:c r="AB17" s="18" t="str">
        <x:v>DUPLICATE HOLD</x:v>
      </x:c>
      <x:c r="AC17" s="18" t="str">
        <x:v>Probable overlapping publication/cohort; do not pool as an independent study until linkage is resolved.</x:v>
      </x:c>
      <x:c r="AD17" s="18" t="str">
        <x:v>Yeh lumbar-spine publication family</x:v>
      </x:c>
      <x:c r="AE17" s="18" t="str">
        <x:v>None</x:v>
      </x:c>
      <x:c r="AF17" s="18" t="str">
        <x:v>Some concerns</x:v>
      </x:c>
      <x:c r="AG17" s="18" t="str">
        <x:v>No — selected RoB matches this result</x:v>
      </x:c>
      <x:c r="AH17" s="18" t="str">
        <x:v>Yeh lumbar-spine publication family — ONE study unit pending overlap adjudication</x:v>
      </x:c>
      <x:c r="AI17" s="18" t="str">
        <x:v>Duplicate/overlap hold</x:v>
      </x:c>
      <x:c r="AJ17" s="18" t="str">
        <x:v>Do not count independently until overlapping-publication status is resolved.</x:v>
      </x:c>
      <x:c r="AK17" s="18" t="str">
        <x:v>Probable overlapping publication/cohort with Yeh 2011. Five of 99 entrants did not complete and randomized arm assignment of losses is NR. Do not treat both papers as independent.</x:v>
      </x:c>
      <x:c r="AL17" s="18" t="str">
        <x:v>https://drive.google.com/file/d/1a1s31PQPWGnaVkYUtNUxO22F3QFTcwmi/view?usp=drivesdk</x:v>
      </x:c>
    </x:row>
    <x:row r="18">
      <x:c r="A18" s="18" t="str">
        <x:v>Yeh 2010</x:v>
      </x:c>
      <x:c r="B18" s="18" t="str">
        <x:v>YEH10_AES_vs_CONTROL_MORPH24</x:v>
      </x:c>
      <x:c r="C18" s="18" t="str">
        <x:v>True-acupoint AES</x:v>
      </x:c>
      <x:c r="D18" s="18" t="str">
        <x:v>No-AES control</x:v>
      </x:c>
      <x:c r="E18" s="18" t="str">
        <x:v>24-h morphine PCA dose</x:v>
      </x:c>
      <x:c r="F18" s="18" t="str">
        <x:v>First 24 postoperative hours</x:v>
      </x:c>
      <x:c r="G18" s="18" t="str">
        <x:v>Mean/SD</x:v>
      </x:c>
      <x:c r="H18" s="18"/>
      <x:c r="I18" s="18"/>
      <x:c r="J18" s="18" t="n">
        <x:v>33</x:v>
      </x:c>
      <x:c r="K18" s="18" t="n">
        <x:v>31</x:v>
      </x:c>
      <x:c r="L18" s="18" t="n">
        <x:v>18.6</x:v>
      </x:c>
      <x:c r="M18" s="18" t="n">
        <x:v>9.7</x:v>
      </x:c>
      <x:c r="N18" s="18"/>
      <x:c r="O18" s="18"/>
      <x:c r="P18" s="18"/>
      <x:c r="Q18" s="18"/>
      <x:c r="R18" s="18" t="n">
        <x:v>27.2</x:v>
      </x:c>
      <x:c r="S18" s="18" t="n">
        <x:v>12.5</x:v>
      </x:c>
      <x:c r="T18" s="18"/>
      <x:c r="U18" s="18"/>
      <x:c r="V18" s="18"/>
      <x:c r="W18" s="18"/>
      <x:c r="X18" s="18" t="str">
        <x:v>mg morphine; source explicitly calls PCA epidural</x:v>
      </x:c>
      <x:c r="Y18" s="18" t="str">
        <x:v>0.02</x:v>
      </x:c>
      <x:c r="Z18" s="18" t="str">
        <x:v>MD</x:v>
      </x:c>
      <x:c r="AA18" s="18" t="n">
        <x:v>-8.599999999999998</x:v>
      </x:c>
      <x:c r="AB18" s="18" t="str">
        <x:v>DUPLICATE HOLD</x:v>
      </x:c>
      <x:c r="AC18" s="18" t="str">
        <x:v>Probable overlapping publication/cohort; do not pool as an independent study until linkage is resolved.</x:v>
      </x:c>
      <x:c r="AD18" s="18" t="str">
        <x:v>Yeh lumbar-spine publication family</x:v>
      </x:c>
      <x:c r="AE18" s="18" t="str">
        <x:v>None</x:v>
      </x:c>
      <x:c r="AF18" s="18" t="str">
        <x:v>Some concerns</x:v>
      </x:c>
      <x:c r="AG18" s="18" t="str">
        <x:v>No — selected RoB matches this result</x:v>
      </x:c>
      <x:c r="AH18" s="18" t="str">
        <x:v>Yeh lumbar-spine publication family — ONE study unit pending overlap adjudication</x:v>
      </x:c>
      <x:c r="AI18" s="18" t="str">
        <x:v>Duplicate/overlap hold</x:v>
      </x:c>
      <x:c r="AJ18" s="18" t="str">
        <x:v>Do not count independently until overlapping-publication status is resolved.</x:v>
      </x:c>
      <x:c r="AK18" s="18" t="str">
        <x:v>Same probable overlapping cohort issue; route must not be silently recoded as IV.</x:v>
      </x:c>
      <x:c r="AL18" s="18" t="str">
        <x:v>https://drive.google.com/file/d/1a1s31PQPWGnaVkYUtNUxO22F3QFTcwmi/view?usp=drivesdk</x:v>
      </x:c>
    </x:row>
    <x:row r="19">
      <x:c r="A19" s="18" t="str">
        <x:v>Yeh 2011</x:v>
      </x:c>
      <x:c r="B19" s="18" t="str">
        <x:v>YEH11_AES_vs_SHAM_MORPH24</x:v>
      </x:c>
      <x:c r="C19" s="18" t="str">
        <x:v>True-acupoint AES</x:v>
      </x:c>
      <x:c r="D19" s="18" t="str">
        <x:v>Electrical sham/nonacupoint AES</x:v>
      </x:c>
      <x:c r="E19" s="18" t="str">
        <x:v>24-h IV morphine PCA dose</x:v>
      </x:c>
      <x:c r="F19" s="18" t="str">
        <x:v>First 24 postoperative hours</x:v>
      </x:c>
      <x:c r="G19" s="18" t="str">
        <x:v>Mean/SD</x:v>
      </x:c>
      <x:c r="H19" s="18" t="n">
        <x:v>30</x:v>
      </x:c>
      <x:c r="I19" s="18" t="n">
        <x:v>30</x:v>
      </x:c>
      <x:c r="J19" s="18" t="n">
        <x:v>30</x:v>
      </x:c>
      <x:c r="K19" s="18" t="n">
        <x:v>30</x:v>
      </x:c>
      <x:c r="L19" s="18" t="n">
        <x:v>19.3</x:v>
      </x:c>
      <x:c r="M19" s="18" t="n">
        <x:v>9.7</x:v>
      </x:c>
      <x:c r="N19" s="18"/>
      <x:c r="O19" s="18"/>
      <x:c r="P19" s="18"/>
      <x:c r="Q19" s="18"/>
      <x:c r="R19" s="18" t="n">
        <x:v>21.6</x:v>
      </x:c>
      <x:c r="S19" s="18" t="n">
        <x:v>13.1</x:v>
      </x:c>
      <x:c r="T19" s="18"/>
      <x:c r="U19" s="18"/>
      <x:c r="V19" s="18"/>
      <x:c r="W19" s="18"/>
      <x:c r="X19" s="18" t="str">
        <x:v>mg IV morphine</x:v>
      </x:c>
      <x:c r="Y19" s="18" t="str">
        <x:v>AES-vs-sham pairwise significance NR</x:v>
      </x:c>
      <x:c r="Z19" s="18" t="str">
        <x:v>MD</x:v>
      </x:c>
      <x:c r="AA19" s="18" t="n">
        <x:v>-2.3000000000000007</x:v>
      </x:c>
      <x:c r="AB19" s="18" t="str">
        <x:v>DUPLICATE HOLD</x:v>
      </x:c>
      <x:c r="AC19" s="18" t="str">
        <x:v>Probable overlapping publication/cohort; do not pool as an independent study until linkage is resolved.</x:v>
      </x:c>
      <x:c r="AD19" s="18" t="str">
        <x:v>Yeh lumbar-spine publication family</x:v>
      </x:c>
      <x:c r="AE19" s="18" t="str">
        <x:v>Use native IV morphine; convert to review-standard MME only per prespecified rule</x:v>
      </x:c>
      <x:c r="AF19" s="18" t="str">
        <x:v>Some concerns</x:v>
      </x:c>
      <x:c r="AG19" s="18" t="str">
        <x:v>No — selected RoB matches this result</x:v>
      </x:c>
      <x:c r="AH19" s="18" t="str">
        <x:v>Yeh lumbar-spine publication family — ONE study unit pending overlap adjudication</x:v>
      </x:c>
      <x:c r="AI19" s="18" t="str">
        <x:v>Duplicate/overlap hold</x:v>
      </x:c>
      <x:c r="AJ19" s="18" t="str">
        <x:v>Do not count independently until overlapping-publication status is resolved.</x:v>
      </x:c>
      <x:c r="AK19" s="18" t="str">
        <x:v>Highly similar to Yeh 2010 in population, acupoints, comparator and 24-h opioid values; do not count independently until cohort/publication linkage is adjudicated.</x:v>
      </x:c>
      <x:c r="AL19" s="18" t="str">
        <x:v>https://drive.google.com/file/d/1ZJ60ZvJ5Q7sRu1iptK_tLLfBXxZZ_Hwl/view?usp=drivesdk</x:v>
      </x:c>
    </x:row>
    <x:row r="20">
      <x:c r="A20" s="18" t="str">
        <x:v>Yeh 2011</x:v>
      </x:c>
      <x:c r="B20" s="18" t="str">
        <x:v>YEH11_AES_vs_CONTROL_MORPH24</x:v>
      </x:c>
      <x:c r="C20" s="18" t="str">
        <x:v>True-acupoint AES</x:v>
      </x:c>
      <x:c r="D20" s="18" t="str">
        <x:v>No-AES control</x:v>
      </x:c>
      <x:c r="E20" s="18" t="str">
        <x:v>24-h IV morphine PCA dose</x:v>
      </x:c>
      <x:c r="F20" s="18" t="str">
        <x:v>First 24 postoperative hours</x:v>
      </x:c>
      <x:c r="G20" s="18" t="str">
        <x:v>Mean/SD</x:v>
      </x:c>
      <x:c r="H20" s="18" t="n">
        <x:v>30</x:v>
      </x:c>
      <x:c r="I20" s="18" t="n">
        <x:v>30</x:v>
      </x:c>
      <x:c r="J20" s="18" t="n">
        <x:v>30</x:v>
      </x:c>
      <x:c r="K20" s="18" t="n">
        <x:v>30</x:v>
      </x:c>
      <x:c r="L20" s="18" t="n">
        <x:v>19.3</x:v>
      </x:c>
      <x:c r="M20" s="18" t="n">
        <x:v>9.7</x:v>
      </x:c>
      <x:c r="N20" s="18"/>
      <x:c r="O20" s="18"/>
      <x:c r="P20" s="18"/>
      <x:c r="Q20" s="18"/>
      <x:c r="R20" s="18" t="n">
        <x:v>28</x:v>
      </x:c>
      <x:c r="S20" s="18" t="n">
        <x:v>12.1</x:v>
      </x:c>
      <x:c r="T20" s="18"/>
      <x:c r="U20" s="18"/>
      <x:c r="V20" s="18"/>
      <x:c r="W20" s="18"/>
      <x:c r="X20" s="18" t="str">
        <x:v>mg IV morphine</x:v>
      </x:c>
      <x:c r="Y20" s="18" t="str">
        <x:v>0.023</x:v>
      </x:c>
      <x:c r="Z20" s="18" t="str">
        <x:v>MD</x:v>
      </x:c>
      <x:c r="AA20" s="18" t="n">
        <x:v>-8.7</x:v>
      </x:c>
      <x:c r="AB20" s="18" t="str">
        <x:v>DUPLICATE HOLD</x:v>
      </x:c>
      <x:c r="AC20" s="18" t="str">
        <x:v>Probable overlapping publication/cohort; do not pool as an independent study until linkage is resolved.</x:v>
      </x:c>
      <x:c r="AD20" s="18" t="str">
        <x:v>Yeh lumbar-spine publication family</x:v>
      </x:c>
      <x:c r="AE20" s="18" t="str">
        <x:v>Use native IV morphine; convert to review-standard MME only per prespecified rule</x:v>
      </x:c>
      <x:c r="AF20" s="18" t="str">
        <x:v>Some concerns</x:v>
      </x:c>
      <x:c r="AG20" s="18" t="str">
        <x:v>No — selected RoB matches this result</x:v>
      </x:c>
      <x:c r="AH20" s="18" t="str">
        <x:v>Yeh lumbar-spine publication family — ONE study unit pending overlap adjudication</x:v>
      </x:c>
      <x:c r="AI20" s="18" t="str">
        <x:v>Duplicate/overlap hold</x:v>
      </x:c>
      <x:c r="AJ20" s="18" t="str">
        <x:v>Do not count independently until overlapping-publication status is resolved.</x:v>
      </x:c>
      <x:c r="AK20" s="18" t="str">
        <x:v>Sequential allocation without sealed envelopes; probable overlapping publication family with Yeh 2010.</x:v>
      </x:c>
      <x:c r="AL20" s="18" t="str">
        <x:v>https://drive.google.com/file/d/1ZJ60ZvJ5Q7sRu1iptK_tLLfBXxZZ_Hwl/view?usp=drivesdk</x:v>
      </x:c>
    </x:row>
    <x:row r="21">
      <x:c r="A21" s="18" t="str">
        <x:v>El-Rakshy 2009</x:v>
      </x:c>
      <x:c r="B21" s="18" t="str">
        <x:v>ELR09_EA_vs_CTRL_MORPH24</x:v>
      </x:c>
      <x:c r="C21" s="18" t="str">
        <x:v>Intraoperative EA + PCA</x:v>
      </x:c>
      <x:c r="D21" s="18" t="str">
        <x:v>PCA alone/no acupuncture</x:v>
      </x:c>
      <x:c r="E21" s="18" t="str">
        <x:v>Total IV morphine analgesia</x:v>
      </x:c>
      <x:c r="F21" s="18" t="str">
        <x:v>First 24 h</x:v>
      </x:c>
      <x:c r="G21" s="18" t="str">
        <x:v>Mean/SD</x:v>
      </x:c>
      <x:c r="H21" s="18"/>
      <x:c r="I21" s="18"/>
      <x:c r="J21" s="18" t="n">
        <x:v>42</x:v>
      </x:c>
      <x:c r="K21" s="18" t="n">
        <x:v>53</x:v>
      </x:c>
      <x:c r="L21" s="18" t="n">
        <x:v>35.3</x:v>
      </x:c>
      <x:c r="M21" s="18" t="n">
        <x:v>18</x:v>
      </x:c>
      <x:c r="N21" s="18"/>
      <x:c r="O21" s="18"/>
      <x:c r="P21" s="18"/>
      <x:c r="Q21" s="18"/>
      <x:c r="R21" s="18" t="n">
        <x:v>36.9</x:v>
      </x:c>
      <x:c r="S21" s="18" t="n">
        <x:v>18</x:v>
      </x:c>
      <x:c r="T21" s="18"/>
      <x:c r="U21" s="18"/>
      <x:c r="V21" s="18"/>
      <x:c r="W21" s="18"/>
      <x:c r="X21" s="18" t="str">
        <x:v>mg IV morphine</x:v>
      </x:c>
      <x:c r="Y21" s="18" t="str">
        <x:v>0.961</x:v>
      </x:c>
      <x:c r="Z21" s="18" t="str">
        <x:v>MD</x:v>
      </x:c>
      <x:c r="AA21" s="18" t="n">
        <x:v>-1.6000000000000014</x:v>
      </x:c>
      <x:c r="AB21" s="18" t="str">
        <x:v>INCLUDE</x:v>
      </x:c>
      <x:c r="AC21" s="18" t="str">
        <x:v>Explicit 0-24-h postoperative opioid endpoint and marked eligible in the reconciled source data.</x:v>
      </x:c>
      <x:c r="AD21" s="18"/>
      <x:c r="AE21" s="18" t="str">
        <x:v>Use native IV morphine; convert to review-standard MME only per prespecified rule</x:v>
      </x:c>
      <x:c r="AF21" s="18" t="str">
        <x:v>High</x:v>
      </x:c>
      <x:c r="AG21" s="18" t="str">
        <x:v>No — selected RoB matches this result</x:v>
      </x:c>
      <x:c r="AH21" s="18" t="str">
        <x:v>El-Rakshy 2009</x:v>
      </x:c>
      <x:c r="AI21" s="18" t="str">
        <x:v>Primary eligible contrast</x:v>
      </x:c>
      <x:c r="AJ21" s="18" t="str">
        <x:v>Count this study once per synthesis unless a valid multi-arm method is used.</x:v>
      </x:c>
      <x:c r="AK21" s="18" t="str">
        <x:v>Publication has irreconcilable allocation/analyzed group labels. Use Table 2 n=42 EA and n=53 control for this result; do not substitute overall study denominators.</x:v>
      </x:c>
      <x:c r="AL21" s="18" t="str">
        <x:v>https://drive.google.com/file/d/12AfIox-MgnMU15U-mdvZgaTKnukXKvAR/view?usp=drivesdk</x:v>
      </x:c>
    </x:row>
    <x:row r="22">
      <x:c r="A22" s="18" t="str">
        <x:v>Chen 2015</x:v>
      </x:c>
      <x:c r="B22" s="18" t="str">
        <x:v>CHEN15Q_TEAS_vs_CTRL_RESCUEMORPH24</x:v>
      </x:c>
      <x:c r="C22" s="18" t="str">
        <x:v>Preoperative TEAS</x:v>
      </x:c>
      <x:c r="D22" s="18" t="str">
        <x:v>Electrodes/device with no stimulation</x:v>
      </x:c>
      <x:c r="E22" s="18" t="str">
        <x:v>Cumulative rescue IV morphine dose derived from fixed 2-mg rescue administrations</x:v>
      </x:c>
      <x:c r="F22" s="18" t="str">
        <x:v>0-24 h</x:v>
      </x:c>
      <x:c r="G22" s="18" t="str">
        <x:v>Median/IQR</x:v>
      </x:c>
      <x:c r="H22" s="18" t="n">
        <x:v>42</x:v>
      </x:c>
      <x:c r="I22" s="18" t="n">
        <x:v>42</x:v>
      </x:c>
      <x:c r="J22" s="18" t="n">
        <x:v>41</x:v>
      </x:c>
      <x:c r="K22" s="18" t="n">
        <x:v>42</x:v>
      </x:c>
      <x:c r="L22" s="18"/>
      <x:c r="M22" s="18"/>
      <x:c r="N22" s="18" t="n">
        <x:v>2</x:v>
      </x:c>
      <x:c r="O22" s="18" t="n">
        <x:v>2</x:v>
      </x:c>
      <x:c r="P22" s="18" t="n">
        <x:v>6</x:v>
      </x:c>
      <x:c r="Q22" s="18"/>
      <x:c r="R22" s="18"/>
      <x:c r="S22" s="18"/>
      <x:c r="T22" s="18" t="n">
        <x:v>7</x:v>
      </x:c>
      <x:c r="U22" s="18" t="n">
        <x:v>4</x:v>
      </x:c>
      <x:c r="V22" s="18" t="n">
        <x:v>14</x:v>
      </x:c>
      <x:c r="W22" s="18"/>
      <x:c r="X22" s="18" t="str">
        <x:v>mg IV morphine</x:v>
      </x:c>
      <x:c r="Y22" s="18" t="str">
        <x:v>0.004</x:v>
      </x:c>
      <x:c r="Z22" s="18"/>
      <x:c r="AA22" s="18"/>
      <x:c r="AB22" s="18" t="str">
        <x:v>CONDITIONAL</x:v>
      </x:c>
      <x:c r="AC22" s="18" t="str">
        <x:v>24-h opioid endpoint exists but requires a prespecified route/unit/time-window or derived-value rule.</x:v>
      </x:c>
      <x:c r="AD22" s="18"/>
      <x:c r="AE22" s="18" t="str">
        <x:v>Use native IV morphine; convert to review-standard MME only per prespecified rule</x:v>
      </x:c>
      <x:c r="AF22" s="18" t="str">
        <x:v>High</x:v>
      </x:c>
      <x:c r="AG22" s="18" t="str">
        <x:v>Yes — selected RoB is for a different result/timepoint</x:v>
      </x:c>
      <x:c r="AH22" s="18" t="str">
        <x:v>Chen 2015</x:v>
      </x:c>
      <x:c r="AI22" s="18" t="str">
        <x:v>Primary eligible contrast</x:v>
      </x:c>
      <x:c r="AJ22" s="18" t="str">
        <x:v>Count this study once per synthesis unless a valid multi-arm method is used.</x:v>
      </x:c>
      <x:c r="AK22" s="18" t="str">
        <x:v>Source reports rescue-administration count 1 (1-3) vs 3.5 (2-7); each rescue administration was fixed at morphine 2 mg. Linear conversion to mg is exact, but the source itself reports counts rather than dose.</x:v>
      </x:c>
      <x:c r="AL22" s="18" t="str">
        <x:v>https://drive.google.com/file/d/1ZtE8GImDcpDJH1tOvzqazoh_S4Gd67oH/view?usp=drivesdk</x:v>
      </x:c>
    </x:row>
    <x:row r="23">
      <x:c r="A23" s="18" t="str">
        <x:v>Chen 2015 (Hyperalgesia)</x:v>
      </x:c>
      <x:c r="B23" s="18" t="str">
        <x:v>CHEN15H_TEAS_vs_SHAM_SUFKG24</x:v>
      </x:c>
      <x:c r="C23" s="18" t="str">
        <x:v>Preoperative TEAS</x:v>
      </x:c>
      <x:c r="D23" s="18" t="str">
        <x:v>Electrodes/no-current sham</x:v>
      </x:c>
      <x:c r="E23" s="18" t="str">
        <x:v>Derived cumulative sufentanil dose from fixed 0.05 µg/kg bolus</x:v>
      </x:c>
      <x:c r="F23" s="18" t="str">
        <x:v>0-24 h</x:v>
      </x:c>
      <x:c r="G23" s="18" t="str">
        <x:v>Median/IQR</x:v>
      </x:c>
      <x:c r="H23" s="18" t="n">
        <x:v>30</x:v>
      </x:c>
      <x:c r="I23" s="18" t="n">
        <x:v>30</x:v>
      </x:c>
      <x:c r="J23" s="18" t="n">
        <x:v>29</x:v>
      </x:c>
      <x:c r="K23" s="18" t="n">
        <x:v>30</x:v>
      </x:c>
      <x:c r="L23" s="18"/>
      <x:c r="M23" s="18"/>
      <x:c r="N23" s="18" t="n">
        <x:v>0.15</x:v>
      </x:c>
      <x:c r="O23" s="18" t="n">
        <x:v>0.1</x:v>
      </x:c>
      <x:c r="P23" s="18" t="n">
        <x:v>0.2</x:v>
      </x:c>
      <x:c r="Q23" s="18"/>
      <x:c r="R23" s="18"/>
      <x:c r="S23" s="18"/>
      <x:c r="T23" s="18" t="n">
        <x:v>0.35</x:v>
      </x:c>
      <x:c r="U23" s="18" t="n">
        <x:v>0.3</x:v>
      </x:c>
      <x:c r="V23" s="18" t="n">
        <x:v>0.4</x:v>
      </x:c>
      <x:c r="W23" s="18"/>
      <x:c r="X23" s="18" t="str">
        <x:v>µg/kg sufentanil</x:v>
      </x:c>
      <x:c r="Y23" s="18" t="str">
        <x:v>&lt;0.001</x:v>
      </x:c>
      <x:c r="Z23" s="18"/>
      <x:c r="AA23" s="18"/>
      <x:c r="AB23" s="18" t="str">
        <x:v>CONDITIONAL</x:v>
      </x:c>
      <x:c r="AC23" s="18" t="str">
        <x:v>24-h opioid endpoint exists but requires a prespecified route/unit/time-window or derived-value rule.</x:v>
      </x:c>
      <x:c r="AD23" s="18"/>
      <x:c r="AE23" s="18" t="str">
        <x:v>Opioid/MME conversion required using prespecified review conversion</x:v>
      </x:c>
      <x:c r="AF23" s="18" t="str">
        <x:v>Some concerns</x:v>
      </x:c>
      <x:c r="AG23" s="18" t="str">
        <x:v>Yes — selected RoB is for a different result/timepoint</x:v>
      </x:c>
      <x:c r="AH23" s="18" t="str">
        <x:v>Chen 2015 (Hyperalgesia)</x:v>
      </x:c>
      <x:c r="AI23" s="18" t="str">
        <x:v>Primary eligible contrast</x:v>
      </x:c>
      <x:c r="AJ23" s="18" t="str">
        <x:v>Count this study once per synthesis unless a valid multi-arm method is used.</x:v>
      </x:c>
      <x:c r="AK23" s="18" t="str">
        <x:v>Exact linear conversion from 0.05 µg/kg per bolus × reported bolus count. Do not convert to absolute µg or MME without individual body weights.</x:v>
      </x:c>
      <x:c r="AL23" s="18" t="str">
        <x:v>https://drive.google.com/file/d/13YKAZZsc2VQEPqkw1Ye40BYDZSRpI6N3/view?usp=drivesdk</x:v>
      </x:c>
    </x:row>
  </x:sheetData>
  <x:conditionalFormatting sqref="AB2:AB23">
    <x:cfRule type="expression" dxfId="46" priority="1">
      <x:formula>LEFT(AB2,7)="INCLUDE"</x:formula>
    </x:cfRule>
    <x:cfRule type="expression" dxfId="47" priority="2">
      <x:formula>LEFT(AB2,11)="CONDITIONAL"</x:formula>
    </x:cfRule>
    <x:cfRule type="expression" dxfId="48" priority="3">
      <x:formula>LEFT(AB2,7)="EXCLUDE"</x:formula>
    </x:cfRule>
    <x:cfRule type="expression" dxfId="49" priority="4">
      <x:formula>AB2="DUPLICATE HOLD"</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Chen 2020</x:v>
      </x:c>
      <x:c r="B2" s="18" t="str">
        <x:v>CHEN20_TEAS_vs_SHAM_VAS</x:v>
      </x:c>
      <x:c r="C2" s="18" t="str">
        <x:v>Perioperative TEAS</x:v>
      </x:c>
      <x:c r="D2" s="18" t="str">
        <x:v>Sham low/zero-current protocol</x:v>
      </x:c>
      <x:c r="E2" s="18" t="str">
        <x:v>VAS pain intensity</x:v>
      </x:c>
      <x:c r="F2" s="18" t="str">
        <x:v>24 h postoperatively</x:v>
      </x:c>
      <x:c r="G2" s="18" t="str">
        <x:v>Mean/SD</x:v>
      </x:c>
      <x:c r="H2" s="18" t="n">
        <x:v>40</x:v>
      </x:c>
      <x:c r="I2" s="18" t="n">
        <x:v>40</x:v>
      </x:c>
      <x:c r="J2" s="18" t="n">
        <x:v>40</x:v>
      </x:c>
      <x:c r="K2" s="18" t="n">
        <x:v>40</x:v>
      </x:c>
      <x:c r="L2" s="18" t="n">
        <x:v>2.91</x:v>
      </x:c>
      <x:c r="M2" s="18" t="n">
        <x:v>0.2</x:v>
      </x:c>
      <x:c r="N2" s="18"/>
      <x:c r="O2" s="18"/>
      <x:c r="P2" s="18"/>
      <x:c r="Q2" s="18"/>
      <x:c r="R2" s="18" t="n">
        <x:v>5.97</x:v>
      </x:c>
      <x:c r="S2" s="18" t="n">
        <x:v>0.56</x:v>
      </x:c>
      <x:c r="T2" s="18"/>
      <x:c r="U2" s="18"/>
      <x:c r="V2" s="18"/>
      <x:c r="W2" s="18"/>
      <x:c r="X2" s="18" t="str">
        <x:v>VAS 0-10</x:v>
      </x:c>
      <x:c r="Y2" s="18"/>
      <x:c r="Z2" s="18" t="str">
        <x:v>MD</x:v>
      </x:c>
      <x:c r="AA2" s="18" t="n">
        <x:v>-3.0599999999999996</x:v>
      </x:c>
      <x:c r="AB2" s="18" t="str">
        <x:v>CONDITIONAL</x:v>
      </x:c>
      <x:c r="AC2" s="18" t="str">
        <x:v>Contains a 24-h measurement but timepoint definition differs from the strict analysis.</x:v>
      </x:c>
      <x:c r="AD2" s="18"/>
      <x:c r="AE2" s="18" t="str">
        <x:v>None</x:v>
      </x:c>
      <x:c r="AF2" s="18" t="str">
        <x:v>Some concerns</x:v>
      </x:c>
      <x:c r="AG2" s="18" t="str">
        <x:v>Yes — selected RoB is for a different result/timepoint</x:v>
      </x:c>
      <x:c r="AH2" s="18" t="str">
        <x:v>Chen 2020</x:v>
      </x:c>
      <x:c r="AI2" s="18" t="str">
        <x:v>Primary eligible contrast</x:v>
      </x:c>
      <x:c r="AJ2" s="18" t="str">
        <x:v>Count this study once per synthesis unless a valid multi-arm method is used.</x:v>
      </x:c>
      <x:c r="AK2" s="18" t="str">
        <x:v>Patient blinding adequacy depends on sensory contrast of sham protocol</x:v>
      </x:c>
      <x:c r="AL2" s="18" t="str">
        <x:v>https://drive.google.com/file/d/1y0_cC1NCl5g2vYxDMOtYmxVA_YEE-rsR/view?usp=drivesdk</x:v>
      </x:c>
    </x:row>
    <x:row r="3">
      <x:c r="A3" s="18" t="str">
        <x:v>Ao 2021</x:v>
      </x:c>
      <x:c r="B3" s="18" t="str">
        <x:v>AO21_TEAS_vs_SHAM_VAS</x:v>
      </x:c>
      <x:c r="C3" s="18" t="str">
        <x:v>TEAS</x:v>
      </x:c>
      <x:c r="D3" s="18" t="str">
        <x:v>Sham/no current</x:v>
      </x:c>
      <x:c r="E3" s="18" t="str">
        <x:v>VAS pain intensity</x:v>
      </x:c>
      <x:c r="F3" s="18" t="str">
        <x:v>24 h postoperatively</x:v>
      </x:c>
      <x:c r="G3" s="18" t="str">
        <x:v>Graph-digitized mean/SD</x:v>
      </x:c>
      <x:c r="H3" s="18" t="n">
        <x:v>35</x:v>
      </x:c>
      <x:c r="I3" s="18" t="n">
        <x:v>35</x:v>
      </x:c>
      <x:c r="J3" s="18" t="n">
        <x:v>32</x:v>
      </x:c>
      <x:c r="K3" s="18" t="n">
        <x:v>33</x:v>
      </x:c>
      <x:c r="L3" s="18" t="n">
        <x:v>2.51</x:v>
      </x:c>
      <x:c r="M3" s="18" t="n">
        <x:v>0.49</x:v>
      </x:c>
      <x:c r="N3" s="18"/>
      <x:c r="O3" s="18"/>
      <x:c r="P3" s="18"/>
      <x:c r="Q3" s="18"/>
      <x:c r="R3" s="18" t="n">
        <x:v>2.95</x:v>
      </x:c>
      <x:c r="S3" s="18" t="n">
        <x:v>0.53</x:v>
      </x:c>
      <x:c r="T3" s="18"/>
      <x:c r="U3" s="18"/>
      <x:c r="V3" s="18"/>
      <x:c r="W3" s="18"/>
      <x:c r="X3" s="18" t="str">
        <x:v>VAS 0-10</x:v>
      </x:c>
      <x:c r="Y3" s="18"/>
      <x:c r="Z3" s="18"/>
      <x:c r="AA3" s="18"/>
      <x:c r="AB3" s="18" t="str">
        <x:v>CONDITIONAL</x:v>
      </x:c>
      <x:c r="AC3" s="18" t="str">
        <x:v>Contains a 24-h measurement but timepoint definition differs from the strict analysis.</x:v>
      </x:c>
      <x:c r="AD3" s="18"/>
      <x:c r="AE3" s="18" t="str">
        <x:v>None</x:v>
      </x:c>
      <x:c r="AF3" s="18" t="str">
        <x:v>Some concerns</x:v>
      </x:c>
      <x:c r="AG3" s="18" t="str">
        <x:v>Yes — selected RoB is for a different result/timepoint</x:v>
      </x:c>
      <x:c r="AH3" s="18" t="str">
        <x:v>Ao 2021</x:v>
      </x:c>
      <x:c r="AI3" s="18" t="str">
        <x:v>Primary eligible contrast</x:v>
      </x:c>
      <x:c r="AJ3" s="18" t="str">
        <x:v>Count this study once per synthesis unless a valid multi-arm method is used.</x:v>
      </x:c>
      <x:c r="AK3" s="18" t="str">
        <x:v>Exact values are graph-digitized, not numerically tabulated by authors</x:v>
      </x:c>
      <x:c r="AL3" s="18" t="str">
        <x:v>https://drive.google.com/file/d/1tNFnY0fJpx53hrtY4DIaE1RsNjE55Xvd/view?usp=drivesdk</x:v>
      </x:c>
    </x:row>
    <x:row r="4">
      <x:c r="A4" s="18" t="str">
        <x:v>Zhou 2025</x:v>
      </x:c>
      <x:c r="B4" s="18" t="str">
        <x:v>ZHOU25_TEAS_vs_SHAM_PAINREST</x:v>
      </x:c>
      <x:c r="C4" s="18" t="str">
        <x:v>PACU TEAS</x:v>
      </x:c>
      <x:c r="D4" s="18" t="str">
        <x:v>Sham/no current</x:v>
      </x:c>
      <x:c r="E4" s="18" t="str">
        <x:v>Resting pain VAS</x:v>
      </x:c>
      <x:c r="F4" s="18" t="str">
        <x:v>POD1</x:v>
      </x:c>
      <x:c r="G4" s="18" t="str">
        <x:v>Median/IQR</x:v>
      </x:c>
      <x:c r="H4" s="18" t="n">
        <x:v>50</x:v>
      </x:c>
      <x:c r="I4" s="18" t="n">
        <x:v>50</x:v>
      </x:c>
      <x:c r="J4" s="18" t="n">
        <x:v>48</x:v>
      </x:c>
      <x:c r="K4" s="18" t="n">
        <x:v>49</x:v>
      </x:c>
      <x:c r="L4" s="18"/>
      <x:c r="M4" s="18"/>
      <x:c r="N4" s="18" t="n">
        <x:v>3</x:v>
      </x:c>
      <x:c r="O4" s="18" t="n">
        <x:v>3</x:v>
      </x:c>
      <x:c r="P4" s="18" t="n">
        <x:v>4</x:v>
      </x:c>
      <x:c r="Q4" s="18"/>
      <x:c r="R4" s="18"/>
      <x:c r="S4" s="18"/>
      <x:c r="T4" s="18" t="n">
        <x:v>4</x:v>
      </x:c>
      <x:c r="U4" s="18" t="n">
        <x:v>4</x:v>
      </x:c>
      <x:c r="V4" s="18" t="n">
        <x:v>5</x:v>
      </x:c>
      <x:c r="W4" s="18"/>
      <x:c r="X4" s="18" t="str">
        <x:v>VAS 0-10</x:v>
      </x:c>
      <x:c r="Y4" s="18" t="str">
        <x:v>&lt;0.001</x:v>
      </x:c>
      <x:c r="Z4" s="18"/>
      <x:c r="AA4" s="18"/>
      <x:c r="AB4" s="18" t="str">
        <x:v>CONDITIONAL — POD1</x:v>
      </x:c>
      <x:c r="AC4" s="18" t="str">
        <x:v>POD1/day-after-surgery is not necessarily a clock-defined 24-h measurement; pool only if protocol permits.</x:v>
      </x:c>
      <x:c r="AD4" s="18"/>
      <x:c r="AE4" s="18" t="str">
        <x:v>Use median/IQR-compatible meta-analysis method; do not relabel as mean/SD</x:v>
      </x:c>
      <x:c r="AF4" s="18" t="str">
        <x:v>High</x:v>
      </x:c>
      <x:c r="AG4" s="18" t="str">
        <x:v>Yes — selected RoB is for a different result/timepoint</x:v>
      </x:c>
      <x:c r="AH4" s="18" t="str">
        <x:v>Zhou 2025</x:v>
      </x:c>
      <x:c r="AI4" s="18" t="str">
        <x:v>Primary eligible contrast</x:v>
      </x:c>
      <x:c r="AJ4" s="18" t="str">
        <x:v>Count this study once per synthesis unless a valid multi-arm method is used.</x:v>
      </x:c>
      <x:c r="AK4" s="18" t="str">
        <x:v>Do not convert median/IQR to mean/SD without prespecified method</x:v>
      </x:c>
      <x:c r="AL4" s="18" t="str">
        <x:v>https://drive.google.com/file/d/1gpNBuoukUttXKWiAAeZSqdIaaHSMOwDU/view?usp=drivesdk</x:v>
      </x:c>
    </x:row>
    <x:row r="5">
      <x:c r="A5" s="18" t="str">
        <x:v>Zhou 2021</x:v>
      </x:c>
      <x:c r="B5" s="18" t="str">
        <x:v>ZHOU21_TEAS_vs_UC_PAIN</x:v>
      </x:c>
      <x:c r="C5" s="18" t="str">
        <x:v>Postoperative TEAS + ERAS</x:v>
      </x:c>
      <x:c r="D5" s="18" t="str">
        <x:v>ERAS/usual care</x:v>
      </x:c>
      <x:c r="E5" s="18" t="str">
        <x:v>Average postoperative pain</x:v>
      </x:c>
      <x:c r="F5" s="18" t="str">
        <x:v>POD1-POD5 average</x:v>
      </x:c>
      <x:c r="G5" s="18" t="str">
        <x:v>Mean/SD</x:v>
      </x:c>
      <x:c r="H5" s="18" t="n">
        <x:v>41</x:v>
      </x:c>
      <x:c r="I5" s="18" t="n">
        <x:v>41</x:v>
      </x:c>
      <x:c r="J5" s="18" t="n">
        <x:v>41</x:v>
      </x:c>
      <x:c r="K5" s="18" t="n">
        <x:v>40</x:v>
      </x:c>
      <x:c r="L5" s="18" t="n">
        <x:v>2.55</x:v>
      </x:c>
      <x:c r="M5" s="18" t="n">
        <x:v>0.21</x:v>
      </x:c>
      <x:c r="N5" s="18"/>
      <x:c r="O5" s="18"/>
      <x:c r="P5" s="18"/>
      <x:c r="Q5" s="18"/>
      <x:c r="R5" s="18" t="n">
        <x:v>3.1</x:v>
      </x:c>
      <x:c r="S5" s="18" t="n">
        <x:v>0.42</x:v>
      </x:c>
      <x:c r="T5" s="18"/>
      <x:c r="U5" s="18"/>
      <x:c r="V5" s="18"/>
      <x:c r="W5" s="18"/>
      <x:c r="X5" s="18" t="str">
        <x:v>pain score</x:v>
      </x:c>
      <x:c r="Y5" s="18" t="str">
        <x:v>&lt;0.001</x:v>
      </x:c>
      <x:c r="Z5" s="18" t="str">
        <x:v>MD</x:v>
      </x:c>
      <x:c r="AA5" s="18" t="n">
        <x:v>-0.5500000000000003</x:v>
      </x:c>
      <x:c r="AB5" s="18" t="str">
        <x:v>CONDITIONAL — POD1</x:v>
      </x:c>
      <x:c r="AC5" s="18" t="str">
        <x:v>POD1/day-after-surgery is not necessarily a clock-defined 24-h measurement; pool only if protocol permits.</x:v>
      </x:c>
      <x:c r="AD5" s="18"/>
      <x:c r="AE5" s="18" t="str">
        <x:v>None</x:v>
      </x:c>
      <x:c r="AF5" s="18" t="str">
        <x:v>High</x:v>
      </x:c>
      <x:c r="AG5" s="18" t="str">
        <x:v>Yes — selected RoB is for a different result/timepoint</x:v>
      </x:c>
      <x:c r="AH5" s="18" t="str">
        <x:v>Zhou 2021</x:v>
      </x:c>
      <x:c r="AI5" s="18" t="str">
        <x:v>Primary eligible contrast</x:v>
      </x:c>
      <x:c r="AJ5" s="18" t="str">
        <x:v>Count this study once per synthesis unless a valid multi-arm method is used.</x:v>
      </x:c>
      <x:c r="AK5" s="18" t="str">
        <x:v>Open-label/no sham; subjective outcome</x:v>
      </x:c>
      <x:c r="AL5" s="18" t="str">
        <x:v>https://drive.google.com/file/d/1PxYyULBv_ZjWeqAm_bNYkDn_j2_lNYLq/view?usp=drivesdk</x:v>
      </x:c>
    </x:row>
    <x:row r="6">
      <x:c r="A6" s="18" t="str">
        <x:v>Zhan 2020</x:v>
      </x:c>
      <x:c r="B6" s="18" t="str">
        <x:v>ZHAN20_TAPTEAS_vs_TAP_PAIN24</x:v>
      </x:c>
      <x:c r="C6" s="18" t="str">
        <x:v>TAP block + postoperative TEAS</x:v>
      </x:c>
      <x:c r="D6" s="18" t="str">
        <x:v>TAP block</x:v>
      </x:c>
      <x:c r="E6" s="18" t="str">
        <x:v>VAS pain intensity</x:v>
      </x:c>
      <x:c r="F6" s="18" t="str">
        <x:v>24 h postoperatively</x:v>
      </x:c>
      <x:c r="G6" s="18" t="str">
        <x:v>Source-format ambiguous</x:v>
      </x:c>
      <x:c r="H6" s="18" t="n">
        <x:v>30</x:v>
      </x:c>
      <x:c r="I6" s="18" t="n">
        <x:v>30</x:v>
      </x:c>
      <x:c r="J6" s="18" t="n">
        <x:v>30</x:v>
      </x:c>
      <x:c r="K6" s="18" t="n">
        <x:v>30</x:v>
      </x:c>
      <x:c r="L6" s="18"/>
      <x:c r="M6" s="18"/>
      <x:c r="N6" s="18"/>
      <x:c r="O6" s="18"/>
      <x:c r="P6" s="18"/>
      <x:c r="Q6" s="18"/>
      <x:c r="R6" s="18"/>
      <x:c r="S6" s="18"/>
      <x:c r="T6" s="18"/>
      <x:c r="U6" s="18"/>
      <x:c r="V6" s="18"/>
      <x:c r="W6" s="18"/>
      <x:c r="X6" s="18" t="str">
        <x:v>VAS</x:v>
      </x:c>
      <x:c r="Y6" s="18" t="str">
        <x:v>0.03 pairwise</x:v>
      </x:c>
      <x:c r="Z6" s="18"/>
      <x:c r="AA6" s="18"/>
      <x:c r="AB6" s="18" t="str">
        <x:v>CONDITIONAL</x:v>
      </x:c>
      <x:c r="AC6" s="18" t="str">
        <x:v>Contains a 24-h measurement but timepoint definition differs from the strict analysis.</x:v>
      </x:c>
      <x:c r="AD6" s="18"/>
      <x:c r="AE6" s="18" t="str">
        <x:v>None</x:v>
      </x:c>
      <x:c r="AF6" s="18" t="str">
        <x:v>High</x:v>
      </x:c>
      <x:c r="AG6" s="18" t="str">
        <x:v>No — selected RoB matches this result</x:v>
      </x:c>
      <x:c r="AH6" s="18" t="str">
        <x:v>Zhan 2020</x:v>
      </x:c>
      <x:c r="AI6" s="18" t="str">
        <x:v>Shared-control / multi-arm contrast</x:v>
      </x:c>
      <x:c r="AJ6" s="18" t="str">
        <x:v>Shared comparator present; avoid double-counting controls.</x:v>
      </x:c>
      <x:c r="AK6" s="18" t="str">
        <x:v>Printed source values are TAP+TEAS '2 (1.7 ± 2.2)' vs TAP '2 (2.0 ± 3.0)'; format is not defined as mean/SD, median/IQR, or range</x:v>
      </x:c>
      <x:c r="AL6" s="18" t="str">
        <x:v>https://drive.google.com/file/d/1GYG7JxUOQxbt724-Ng7dWv3sYeC8dDSr/view?usp=drivesdk</x:v>
      </x:c>
    </x:row>
    <x:row r="7">
      <x:c r="A7" s="18" t="str">
        <x:v>Zhang 2025</x:v>
      </x:c>
      <x:c r="B7" s="18" t="str">
        <x:v>ZHANG25_TEAS_vs_SHAM_VISCERAL_POD1</x:v>
      </x:c>
      <x:c r="C7" s="18" t="str">
        <x:v>Perioperative TEAS</x:v>
      </x:c>
      <x:c r="D7" s="18" t="str">
        <x:v>Sub-sensory sham</x:v>
      </x:c>
      <x:c r="E7" s="18" t="str">
        <x:v>Moderate-to-severe visceral pain</x:v>
      </x:c>
      <x:c r="F7" s="18" t="str">
        <x:v>POD1</x:v>
      </x:c>
      <x:c r="G7" s="18" t="str">
        <x:v>Events/total</x:v>
      </x:c>
      <x:c r="H7" s="18" t="n">
        <x:v>54</x:v>
      </x:c>
      <x:c r="I7" s="18" t="n">
        <x:v>54</x:v>
      </x:c>
      <x:c r="J7" s="18" t="n">
        <x:v>45</x:v>
      </x:c>
      <x:c r="K7" s="18" t="n">
        <x:v>48</x:v>
      </x:c>
      <x:c r="L7" s="18"/>
      <x:c r="M7" s="18"/>
      <x:c r="N7" s="18"/>
      <x:c r="O7" s="18"/>
      <x:c r="P7" s="18"/>
      <x:c r="Q7" s="18" t="n">
        <x:v>4</x:v>
      </x:c>
      <x:c r="R7" s="18"/>
      <x:c r="S7" s="18"/>
      <x:c r="T7" s="18"/>
      <x:c r="U7" s="18"/>
      <x:c r="V7" s="18"/>
      <x:c r="W7" s="18" t="n">
        <x:v>18</x:v>
      </x:c>
      <x:c r="X7" s="18" t="str">
        <x:v>participants</x:v>
      </x:c>
      <x:c r="Y7" s="18" t="str">
        <x:v>0.001</x:v>
      </x:c>
      <x:c r="Z7" s="18" t="str">
        <x:v>RR</x:v>
      </x:c>
      <x:c r="AA7" s="18" t="n">
        <x:v>0.23703703703703705</x:v>
      </x:c>
      <x:c r="AB7" s="18" t="str">
        <x:v>CONDITIONAL — POD1</x:v>
      </x:c>
      <x:c r="AC7" s="18" t="str">
        <x:v>POD1/day-after-surgery is not necessarily a clock-defined 24-h measurement; pool only if protocol permits.</x:v>
      </x:c>
      <x:c r="AD7" s="18"/>
      <x:c r="AE7" s="18" t="str">
        <x:v>Binary effect measure (RR preferred per protocol)</x:v>
      </x:c>
      <x:c r="AF7" s="18" t="str">
        <x:v>High</x:v>
      </x:c>
      <x:c r="AG7" s="18" t="str">
        <x:v>Yes — selected RoB is for a different result/timepoint</x:v>
      </x:c>
      <x:c r="AH7" s="18" t="str">
        <x:v>Zhang 2025</x:v>
      </x:c>
      <x:c r="AI7" s="18" t="str">
        <x:v>Primary eligible contrast</x:v>
      </x:c>
      <x:c r="AJ7" s="18" t="str">
        <x:v>Count this study once per synthesis unless a valid multi-arm method is used.</x:v>
      </x:c>
      <x:c r="AK7" s="18" t="str">
        <x:v>Figure 3D reports 8.9% vs 37.5%; 4/45 and 18/48 are exact denominator reconstructions</x:v>
      </x:c>
      <x:c r="AL7" s="18" t="str">
        <x:v>https://drive.google.com/file/d/1eHx6Hk16vmIfMgoiZ5eNae4zmCR5ktwJ/view?usp=drivesdk</x:v>
      </x:c>
    </x:row>
    <x:row r="8">
      <x:c r="A8" s="18" t="str">
        <x:v>Xing 2022</x:v>
      </x:c>
      <x:c r="B8" s="18" t="str">
        <x:v>XING22_NTG_vs_NG_RESTVAS24</x:v>
      </x:c>
      <x:c r="C8" s="18" t="str">
        <x:v>TEAS + active TAPB</x:v>
      </x:c>
      <x:c r="D8" s="18" t="str">
        <x:v>Sham TEAS + active TAPB</x:v>
      </x:c>
      <x:c r="E8" s="18" t="str">
        <x:v>Rest pain VAS</x:v>
      </x:c>
      <x:c r="F8" s="18" t="str">
        <x:v>24 h</x:v>
      </x:c>
      <x:c r="G8" s="18" t="str">
        <x:v>Mean/SD</x:v>
      </x:c>
      <x:c r="H8" s="18" t="n">
        <x:v>30</x:v>
      </x:c>
      <x:c r="I8" s="18" t="n">
        <x:v>30</x:v>
      </x:c>
      <x:c r="J8" s="18" t="n">
        <x:v>29</x:v>
      </x:c>
      <x:c r="K8" s="18" t="n">
        <x:v>29</x:v>
      </x:c>
      <x:c r="L8" s="18" t="n">
        <x:v>1.18</x:v>
      </x:c>
      <x:c r="M8" s="18" t="n">
        <x:v>0.42</x:v>
      </x:c>
      <x:c r="N8" s="18"/>
      <x:c r="O8" s="18"/>
      <x:c r="P8" s="18"/>
      <x:c r="Q8" s="18"/>
      <x:c r="R8" s="18" t="n">
        <x:v>1.4</x:v>
      </x:c>
      <x:c r="S8" s="18" t="n">
        <x:v>0.52</x:v>
      </x:c>
      <x:c r="T8" s="18"/>
      <x:c r="U8" s="18"/>
      <x:c r="V8" s="18"/>
      <x:c r="W8" s="18"/>
      <x:c r="X8" s="18" t="str">
        <x:v>VAS 0-10</x:v>
      </x:c>
      <x:c r="Y8" s="18" t="str">
        <x:v>NS for NTG vs NG at 24 h</x:v>
      </x:c>
      <x:c r="Z8" s="18" t="str">
        <x:v>MD</x:v>
      </x:c>
      <x:c r="AA8" s="18" t="n">
        <x:v>-0.21999999999999997</x:v>
      </x:c>
      <x:c r="AB8" s="18" t="str">
        <x:v>INCLUDE</x:v>
      </x:c>
      <x:c r="AC8" s="18" t="str">
        <x:v>Explicit 24-h pain endpoint with quantitative source data.</x:v>
      </x:c>
      <x:c r="AD8" s="18"/>
      <x:c r="AE8" s="18" t="str">
        <x:v>None</x:v>
      </x:c>
      <x:c r="AF8" s="18" t="str">
        <x:v>Some concerns</x:v>
      </x:c>
      <x:c r="AG8" s="18" t="str">
        <x:v>Yes — selected RoB is for a different result/timepoint</x:v>
      </x:c>
      <x:c r="AH8" s="18" t="str">
        <x:v>Xing 2022</x:v>
      </x:c>
      <x:c r="AI8" s="18" t="str">
        <x:v>Shared-control / multi-arm contrast</x:v>
      </x:c>
      <x:c r="AJ8" s="18" t="str">
        <x:v>Shared comparator present; avoid double-counting controls.</x:v>
      </x:c>
      <x:c r="AK8" s="18" t="str">
        <x:v>At 24 h both TAPB groups improved versus G, but incremental NTG-vs-NG difference was not reported significant</x:v>
      </x:c>
      <x:c r="AL8" s="18" t="str">
        <x:v>https://drive.google.com/file/d/1h3IGpQ56nSh7H16xBEVyTzCBkWOXRSxK/view?usp=drivesdk</x:v>
      </x:c>
    </x:row>
    <x:row r="9">
      <x:c r="A9" s="18" t="str">
        <x:v>Wu 2022</x:v>
      </x:c>
      <x:c r="B9" s="18" t="str">
        <x:v>WU22_PTEAS_vs_CTRL_PAINPOD1</x:v>
      </x:c>
      <x:c r="C9" s="18" t="str">
        <x:v>Perioperative pTEAS</x:v>
      </x:c>
      <x:c r="D9" s="18" t="str">
        <x:v>No-current control</x:v>
      </x:c>
      <x:c r="E9" s="18" t="str">
        <x:v>VAS pain intensity</x:v>
      </x:c>
      <x:c r="F9" s="18" t="str">
        <x:v>POD1</x:v>
      </x:c>
      <x:c r="G9" s="18" t="str">
        <x:v>Mean/SD</x:v>
      </x:c>
      <x:c r="H9" s="18" t="n">
        <x:v>45</x:v>
      </x:c>
      <x:c r="I9" s="18" t="n">
        <x:v>45</x:v>
      </x:c>
      <x:c r="J9" s="18" t="n">
        <x:v>44</x:v>
      </x:c>
      <x:c r="K9" s="18" t="n">
        <x:v>40</x:v>
      </x:c>
      <x:c r="L9" s="18" t="n">
        <x:v>1.77</x:v>
      </x:c>
      <x:c r="M9" s="18" t="n">
        <x:v>0.91</x:v>
      </x:c>
      <x:c r="N9" s="18"/>
      <x:c r="O9" s="18"/>
      <x:c r="P9" s="18"/>
      <x:c r="Q9" s="18"/>
      <x:c r="R9" s="18" t="n">
        <x:v>2.25</x:v>
      </x:c>
      <x:c r="S9" s="18" t="n">
        <x:v>0.71</x:v>
      </x:c>
      <x:c r="T9" s="18"/>
      <x:c r="U9" s="18"/>
      <x:c r="V9" s="18"/>
      <x:c r="W9" s="18"/>
      <x:c r="X9" s="18" t="str">
        <x:v>VAS 0-10</x:v>
      </x:c>
      <x:c r="Y9" s="18" t="str">
        <x:v>0.009</x:v>
      </x:c>
      <x:c r="Z9" s="18" t="str">
        <x:v>MD</x:v>
      </x:c>
      <x:c r="AA9" s="18" t="n">
        <x:v>-0.48</x:v>
      </x:c>
      <x:c r="AB9" s="18" t="str">
        <x:v>CONDITIONAL — POD1</x:v>
      </x:c>
      <x:c r="AC9" s="18" t="str">
        <x:v>POD1/day-after-surgery is not necessarily a clock-defined 24-h measurement; pool only if protocol permits.</x:v>
      </x:c>
      <x:c r="AD9" s="18"/>
      <x:c r="AE9" s="18" t="str">
        <x:v>None</x:v>
      </x:c>
      <x:c r="AF9" s="18" t="str">
        <x:v>High</x:v>
      </x:c>
      <x:c r="AG9" s="18" t="str">
        <x:v>No — selected RoB matches this result</x:v>
      </x:c>
      <x:c r="AH9" s="18" t="str">
        <x:v>Wu 2022</x:v>
      </x:c>
      <x:c r="AI9" s="18" t="str">
        <x:v>Primary eligible contrast</x:v>
      </x:c>
      <x:c r="AJ9" s="18" t="str">
        <x:v>Count this study once per synthesis unless a valid multi-arm method is used.</x:v>
      </x:c>
      <x:c r="AK9" s="18" t="str">
        <x:v>Asymmetric post-randomization exclusions: 1/45 pTEAS vs 5/45 control; participant sensory blinding not convincing</x:v>
      </x:c>
      <x:c r="AL9" s="18" t="str">
        <x:v>https://drive.google.com/file/d/1XR_8qmeHR7ulwV7NaaI0CeYbpwKdc_ym/view?usp=drivesdk</x:v>
      </x:c>
    </x:row>
    <x:row r="10">
      <x:c r="A10" s="18" t="str">
        <x:v>Wu 2025</x:v>
      </x:c>
      <x:c r="B10" s="18" t="str">
        <x:v>WU25_TEAS_vs_SHAM_VAS24</x:v>
      </x:c>
      <x:c r="C10" s="18" t="str">
        <x:v>PACU TEAS</x:v>
      </x:c>
      <x:c r="D10" s="18" t="str">
        <x:v>Sham/no current</x:v>
      </x:c>
      <x:c r="E10" s="18" t="str">
        <x:v>VAS pain intensity</x:v>
      </x:c>
      <x:c r="F10" s="18" t="str">
        <x:v>24 h</x:v>
      </x:c>
      <x:c r="G10" s="18" t="str">
        <x:v>Mean/SD</x:v>
      </x:c>
      <x:c r="H10" s="18" t="n">
        <x:v>50</x:v>
      </x:c>
      <x:c r="I10" s="18" t="n">
        <x:v>50</x:v>
      </x:c>
      <x:c r="J10" s="18" t="n">
        <x:v>50</x:v>
      </x:c>
      <x:c r="K10" s="18" t="n">
        <x:v>50</x:v>
      </x:c>
      <x:c r="L10" s="18" t="n">
        <x:v>1.7</x:v>
      </x:c>
      <x:c r="M10" s="18" t="n">
        <x:v>0.9</x:v>
      </x:c>
      <x:c r="N10" s="18"/>
      <x:c r="O10" s="18"/>
      <x:c r="P10" s="18"/>
      <x:c r="Q10" s="18"/>
      <x:c r="R10" s="18" t="n">
        <x:v>4</x:v>
      </x:c>
      <x:c r="S10" s="18" t="n">
        <x:v>1.4</x:v>
      </x:c>
      <x:c r="T10" s="18"/>
      <x:c r="U10" s="18"/>
      <x:c r="V10" s="18"/>
      <x:c r="W10" s="18"/>
      <x:c r="X10" s="18" t="str">
        <x:v>VAS 0-10</x:v>
      </x:c>
      <x:c r="Y10" s="18" t="str">
        <x:v>&lt;0.001</x:v>
      </x:c>
      <x:c r="Z10" s="18" t="str">
        <x:v>MD</x:v>
      </x:c>
      <x:c r="AA10" s="18" t="n">
        <x:v>-2.3</x:v>
      </x:c>
      <x:c r="AB10" s="18" t="str">
        <x:v>EXCLUDE — DATA UNAVAILABLE</x:v>
      </x:c>
      <x:c r="AC10" s="18" t="str">
        <x:v>The source does not provide a defensible quantitative value for this analysis.</x:v>
      </x:c>
      <x:c r="AD10" s="18"/>
      <x:c r="AE10" s="18" t="str">
        <x:v>None</x:v>
      </x:c>
      <x:c r="AF10" s="18" t="str">
        <x:v>High</x:v>
      </x:c>
      <x:c r="AG10" s="18" t="str">
        <x:v>No — selected RoB matches this result</x:v>
      </x:c>
      <x:c r="AH10" s="18" t="str">
        <x:v>Wu 2025</x:v>
      </x:c>
      <x:c r="AI10" s="18" t="str">
        <x:v>Primary eligible contrast</x:v>
      </x:c>
      <x:c r="AJ10" s="18" t="str">
        <x:v>Count this study once per synthesis unless a valid multi-arm method is used.</x:v>
      </x:c>
      <x:c r="AK10" s="18" t="str">
        <x:v>Three patients could not be contacted at 24 h, yet all 100 were included in ITT; imputation/handling method is not explained</x:v>
      </x:c>
      <x:c r="AL10" s="18" t="str">
        <x:v>https://drive.google.com/file/d/1ZV6JFjevGSPqnISdX61KPdcC_yEtq3vf/view?usp=drivesdk</x:v>
      </x:c>
    </x:row>
    <x:row r="11">
      <x:c r="A11" s="18" t="str">
        <x:v>Wang 2023</x:v>
      </x:c>
      <x:c r="B11" s="18" t="str">
        <x:v>WANG23_TEAS_vs_SHAM_PAIN24</x:v>
      </x:c>
      <x:c r="C11" s="18" t="str">
        <x:v>Nighttime TEAS</x:v>
      </x:c>
      <x:c r="D11" s="18" t="str">
        <x:v>Sham/no current</x:v>
      </x:c>
      <x:c r="E11" s="18" t="str">
        <x:v>Activity pain VAS</x:v>
      </x:c>
      <x:c r="F11" s="18" t="str">
        <x:v>24 h</x:v>
      </x:c>
      <x:c r="G11" s="18" t="str">
        <x:v>Graph-only mean/SD</x:v>
      </x:c>
      <x:c r="H11" s="18" t="n">
        <x:v>43</x:v>
      </x:c>
      <x:c r="I11" s="18" t="n">
        <x:v>45</x:v>
      </x:c>
      <x:c r="J11" s="18" t="n">
        <x:v>40</x:v>
      </x:c>
      <x:c r="K11" s="18" t="n">
        <x:v>43</x:v>
      </x:c>
      <x:c r="L11" s="18"/>
      <x:c r="M11" s="18"/>
      <x:c r="N11" s="18"/>
      <x:c r="O11" s="18"/>
      <x:c r="P11" s="18"/>
      <x:c r="Q11" s="18"/>
      <x:c r="R11" s="18"/>
      <x:c r="S11" s="18"/>
      <x:c r="T11" s="18"/>
      <x:c r="U11" s="18"/>
      <x:c r="V11" s="18"/>
      <x:c r="W11" s="18"/>
      <x:c r="X11" s="18" t="str">
        <x:v>VAS 0-10</x:v>
      </x:c>
      <x:c r="Y11" s="18" t="str">
        <x:v>&lt;0.05</x:v>
      </x:c>
      <x:c r="Z11" s="18"/>
      <x:c r="AA11" s="18"/>
      <x:c r="AB11" s="18" t="str">
        <x:v>DIGITIZATION NEEDED</x:v>
      </x:c>
      <x:c r="AC11" s="18" t="str">
        <x:v>Exact numeric result is not tabulated; formal graph digitization or author data is required before quantitative pooling.</x:v>
      </x:c>
      <x:c r="AD11" s="18"/>
      <x:c r="AE11" s="18" t="str">
        <x:v>None</x:v>
      </x:c>
      <x:c r="AF11" s="18" t="str">
        <x:v>High</x:v>
      </x:c>
      <x:c r="AG11" s="18" t="str">
        <x:v>Yes — selected RoB is for a different result/timepoint</x:v>
      </x:c>
      <x:c r="AH11" s="18" t="str">
        <x:v>Wang 2023</x:v>
      </x:c>
      <x:c r="AI11" s="18" t="str">
        <x:v>Primary eligible contrast</x:v>
      </x:c>
      <x:c r="AJ11" s="18" t="str">
        <x:v>Count this study once per synthesis unless a valid multi-arm method is used.</x:v>
      </x:c>
      <x:c r="AK11" s="18" t="str">
        <x:v>Exact 24-h activity VAS values are only shown graphically; stored derivative exact values were fabricated</x:v>
      </x:c>
      <x:c r="AL11" s="18" t="str">
        <x:v>https://drive.google.com/file/d/177A4aH42GD90DhsvvtD-VOBSChBBpIWL/view?usp=drivesdk</x:v>
      </x:c>
    </x:row>
    <x:row r="12">
      <x:c r="A12" s="18" t="str">
        <x:v>Tu 2024</x:v>
      </x:c>
      <x:c r="B12" s="18" t="str">
        <x:v>TU24_TEAS_vs_SHAM_PAIN6_24</x:v>
      </x:c>
      <x:c r="C12" s="18" t="str">
        <x:v>Postoperative TEAS</x:v>
      </x:c>
      <x:c r="D12" s="18" t="str">
        <x:v>Sham/no current</x:v>
      </x:c>
      <x:c r="E12" s="18" t="str">
        <x:v>VAS pain intensity</x:v>
      </x:c>
      <x:c r="F12" s="18" t="str">
        <x:v>6-24 h</x:v>
      </x:c>
      <x:c r="G12" s="18" t="str">
        <x:v>Median/IQR</x:v>
      </x:c>
      <x:c r="H12" s="18" t="n">
        <x:v>60</x:v>
      </x:c>
      <x:c r="I12" s="18" t="n">
        <x:v>60</x:v>
      </x:c>
      <x:c r="J12" s="18" t="n">
        <x:v>57</x:v>
      </x:c>
      <x:c r="K12" s="18" t="n">
        <x:v>58</x:v>
      </x:c>
      <x:c r="L12" s="18"/>
      <x:c r="M12" s="18"/>
      <x:c r="N12" s="18" t="n">
        <x:v>2</x:v>
      </x:c>
      <x:c r="O12" s="18" t="n">
        <x:v>0.5</x:v>
      </x:c>
      <x:c r="P12" s="18" t="n">
        <x:v>3</x:v>
      </x:c>
      <x:c r="Q12" s="18"/>
      <x:c r="R12" s="18"/>
      <x:c r="S12" s="18"/>
      <x:c r="T12" s="18" t="n">
        <x:v>4</x:v>
      </x:c>
      <x:c r="U12" s="18" t="n">
        <x:v>3</x:v>
      </x:c>
      <x:c r="V12" s="18" t="n">
        <x:v>4</x:v>
      </x:c>
      <x:c r="W12" s="18"/>
      <x:c r="X12" s="18" t="str">
        <x:v>VAS 0-10</x:v>
      </x:c>
      <x:c r="Y12" s="18" t="str">
        <x:v>0.001</x:v>
      </x:c>
      <x:c r="Z12" s="18"/>
      <x:c r="AA12" s="18"/>
      <x:c r="AB12" s="18" t="str">
        <x:v>CONDITIONAL</x:v>
      </x:c>
      <x:c r="AC12" s="18" t="str">
        <x:v>Contains a 24-h measurement but timepoint definition differs from the strict analysis.</x:v>
      </x:c>
      <x:c r="AD12" s="18"/>
      <x:c r="AE12" s="18" t="str">
        <x:v>Use median/IQR-compatible meta-analysis method; do not relabel as mean/SD</x:v>
      </x:c>
      <x:c r="AF12" s="18" t="str">
        <x:v>High</x:v>
      </x:c>
      <x:c r="AG12" s="18" t="str">
        <x:v>Yes — selected RoB is for a different result/timepoint</x:v>
      </x:c>
      <x:c r="AH12" s="18" t="str">
        <x:v>Tu 2024</x:v>
      </x:c>
      <x:c r="AI12" s="18" t="str">
        <x:v>Primary eligible contrast</x:v>
      </x:c>
      <x:c r="AJ12" s="18" t="str">
        <x:v>Count this study once per synthesis unless a valid multi-arm method is used.</x:v>
      </x:c>
      <x:c r="AK12" s="18" t="str">
        <x:v>Subjective outcome; sensory difference between active de qi and no-current sham may affect participant masking</x:v>
      </x:c>
      <x:c r="AL12" s="18" t="str">
        <x:v>https://drive.google.com/file/d/1xQ9SbXVZblphUrb0-T9xpnAXk-_z5nBX/view?usp=drivesdk</x:v>
      </x:c>
    </x:row>
    <x:row r="13">
      <x:c r="A13" s="18" t="str">
        <x:v>Sun 2017</x:v>
      </x:c>
      <x:c r="B13" s="18" t="str">
        <x:v>SUN17_TSS_vs_SSS_ACTIVITY24</x:v>
      </x:c>
      <x:c r="C13" s="18" t="str">
        <x:v>Preoperative true TEAS only</x:v>
      </x:c>
      <x:c r="D13" s="18" t="str">
        <x:v>All-period sham TEAS (SSS)</x:v>
      </x:c>
      <x:c r="E13" s="18" t="str">
        <x:v>Activity-evoked VAS</x:v>
      </x:c>
      <x:c r="F13" s="18" t="str">
        <x:v>24 h</x:v>
      </x:c>
      <x:c r="G13" s="18" t="str">
        <x:v>Median/IQR</x:v>
      </x:c>
      <x:c r="H13" s="18" t="n">
        <x:v>95</x:v>
      </x:c>
      <x:c r="I13" s="18" t="n">
        <x:v>95</x:v>
      </x:c>
      <x:c r="J13" s="18" t="n">
        <x:v>91</x:v>
      </x:c>
      <x:c r="K13" s="18" t="n">
        <x:v>90</x:v>
      </x:c>
      <x:c r="L13" s="18"/>
      <x:c r="M13" s="18"/>
      <x:c r="N13" s="18" t="n">
        <x:v>4</x:v>
      </x:c>
      <x:c r="O13" s="18" t="n">
        <x:v>4</x:v>
      </x:c>
      <x:c r="P13" s="18" t="n">
        <x:v>5</x:v>
      </x:c>
      <x:c r="Q13" s="18"/>
      <x:c r="R13" s="18"/>
      <x:c r="S13" s="18"/>
      <x:c r="T13" s="18" t="n">
        <x:v>4</x:v>
      </x:c>
      <x:c r="U13" s="18" t="n">
        <x:v>3.8</x:v>
      </x:c>
      <x:c r="V13" s="18" t="n">
        <x:v>5</x:v>
      </x:c>
      <x:c r="W13" s="18"/>
      <x:c r="X13" s="18" t="str">
        <x:v>VAS 0-10</x:v>
      </x:c>
      <x:c r="Y13" s="18" t="str">
        <x:v>&lt;0.001 reported comparisons</x:v>
      </x:c>
      <x:c r="Z13" s="18"/>
      <x:c r="AA13" s="18"/>
      <x:c r="AB13" s="18" t="str">
        <x:v>INCLUDE</x:v>
      </x:c>
      <x:c r="AC13" s="18" t="str">
        <x:v>Explicit 24-h pain endpoint with quantitative source data.</x:v>
      </x:c>
      <x:c r="AD13" s="18"/>
      <x:c r="AE13" s="18" t="str">
        <x:v>Use median/IQR-compatible meta-analysis method; do not relabel as mean/SD</x:v>
      </x:c>
      <x:c r="AF13" s="18" t="str">
        <x:v>Some concerns</x:v>
      </x:c>
      <x:c r="AG13" s="18" t="str">
        <x:v>No — selected RoB matches this result</x:v>
      </x:c>
      <x:c r="AH13" s="18" t="str">
        <x:v>Sun 2017</x:v>
      </x:c>
      <x:c r="AI13" s="18" t="str">
        <x:v>TEAS timing-arm contrast</x:v>
      </x:c>
      <x:c r="AJ13" s="18" t="str">
        <x:v>Four-arm timing trial with shared sham; do not count timing arms as independent studies.</x:v>
      </x:c>
      <x:c r="AK13" s="18" t="str">
        <x:v>Four-arm timing trial; sham received 5 min perceptible low-current stimulation, not electrically inert</x:v>
      </x:c>
      <x:c r="AL13" s="18" t="str">
        <x:v>https://drive.google.com/file/d/1lELlw0IpkhqoB8OuintAI22fxKfNEcEd/view?usp=drivesdk</x:v>
      </x:c>
    </x:row>
    <x:row r="14">
      <x:c r="A14" s="18" t="str">
        <x:v>Sun 2017</x:v>
      </x:c>
      <x:c r="B14" s="18" t="str">
        <x:v>SUN17_TTS_vs_SSS_ACTIVITY24</x:v>
      </x:c>
      <x:c r="C14" s="18" t="str">
        <x:v>Preoperative + intraoperative true TEAS</x:v>
      </x:c>
      <x:c r="D14" s="18" t="str">
        <x:v>All-period sham TEAS (SSS)</x:v>
      </x:c>
      <x:c r="E14" s="18" t="str">
        <x:v>Activity-evoked VAS</x:v>
      </x:c>
      <x:c r="F14" s="18" t="str">
        <x:v>24 h</x:v>
      </x:c>
      <x:c r="G14" s="18" t="str">
        <x:v>Median/IQR</x:v>
      </x:c>
      <x:c r="H14" s="18" t="n">
        <x:v>95</x:v>
      </x:c>
      <x:c r="I14" s="18" t="n">
        <x:v>95</x:v>
      </x:c>
      <x:c r="J14" s="18" t="n">
        <x:v>91</x:v>
      </x:c>
      <x:c r="K14" s="18" t="n">
        <x:v>90</x:v>
      </x:c>
      <x:c r="L14" s="18"/>
      <x:c r="M14" s="18"/>
      <x:c r="N14" s="18" t="n">
        <x:v>4</x:v>
      </x:c>
      <x:c r="O14" s="18" t="n">
        <x:v>3</x:v>
      </x:c>
      <x:c r="P14" s="18" t="n">
        <x:v>4</x:v>
      </x:c>
      <x:c r="Q14" s="18"/>
      <x:c r="R14" s="18"/>
      <x:c r="S14" s="18"/>
      <x:c r="T14" s="18" t="n">
        <x:v>4</x:v>
      </x:c>
      <x:c r="U14" s="18" t="n">
        <x:v>3.8</x:v>
      </x:c>
      <x:c r="V14" s="18" t="n">
        <x:v>5</x:v>
      </x:c>
      <x:c r="W14" s="18"/>
      <x:c r="X14" s="18" t="str">
        <x:v>VAS 0-10</x:v>
      </x:c>
      <x:c r="Y14" s="18" t="str">
        <x:v>&lt;0.001 reported comparisons</x:v>
      </x:c>
      <x:c r="Z14" s="18"/>
      <x:c r="AA14" s="18"/>
      <x:c r="AB14" s="18" t="str">
        <x:v>INCLUDE</x:v>
      </x:c>
      <x:c r="AC14" s="18" t="str">
        <x:v>Explicit 24-h pain endpoint with quantitative source data.</x:v>
      </x:c>
      <x:c r="AD14" s="18"/>
      <x:c r="AE14" s="18" t="str">
        <x:v>Use median/IQR-compatible meta-analysis method; do not relabel as mean/SD</x:v>
      </x:c>
      <x:c r="AF14" s="18" t="str">
        <x:v>Some concerns</x:v>
      </x:c>
      <x:c r="AG14" s="18" t="str">
        <x:v>No — selected RoB matches this result</x:v>
      </x:c>
      <x:c r="AH14" s="18" t="str">
        <x:v>Sun 2017</x:v>
      </x:c>
      <x:c r="AI14" s="18" t="str">
        <x:v>TEAS timing-arm contrast</x:v>
      </x:c>
      <x:c r="AJ14" s="18" t="str">
        <x:v>Four-arm timing trial with shared sham; do not count timing arms as independent studies.</x:v>
      </x:c>
      <x:c r="AK14" s="18" t="str">
        <x:v>Four-arm timing trial; sham received 5 min perceptible low-current stimulation, not electrically inert</x:v>
      </x:c>
      <x:c r="AL14" s="18" t="str">
        <x:v>https://drive.google.com/file/d/1lELlw0IpkhqoB8OuintAI22fxKfNEcEd/view?usp=drivesdk</x:v>
      </x:c>
    </x:row>
    <x:row r="15">
      <x:c r="A15" s="18" t="str">
        <x:v>Sun 2017</x:v>
      </x:c>
      <x:c r="B15" s="18" t="str">
        <x:v>SUN17_TST_vs_SSS_ACTIVITY24</x:v>
      </x:c>
      <x:c r="C15" s="18" t="str">
        <x:v>Preoperative + postoperative true TEAS</x:v>
      </x:c>
      <x:c r="D15" s="18" t="str">
        <x:v>All-period sham TEAS (SSS)</x:v>
      </x:c>
      <x:c r="E15" s="18" t="str">
        <x:v>Activity-evoked VAS</x:v>
      </x:c>
      <x:c r="F15" s="18" t="str">
        <x:v>24 h</x:v>
      </x:c>
      <x:c r="G15" s="18" t="str">
        <x:v>Median/IQR</x:v>
      </x:c>
      <x:c r="H15" s="18" t="n">
        <x:v>95</x:v>
      </x:c>
      <x:c r="I15" s="18" t="n">
        <x:v>95</x:v>
      </x:c>
      <x:c r="J15" s="18" t="n">
        <x:v>89</x:v>
      </x:c>
      <x:c r="K15" s="18" t="n">
        <x:v>90</x:v>
      </x:c>
      <x:c r="L15" s="18"/>
      <x:c r="M15" s="18"/>
      <x:c r="N15" s="18" t="n">
        <x:v>3</x:v>
      </x:c>
      <x:c r="O15" s="18" t="n">
        <x:v>3</x:v>
      </x:c>
      <x:c r="P15" s="18" t="n">
        <x:v>4</x:v>
      </x:c>
      <x:c r="Q15" s="18"/>
      <x:c r="R15" s="18"/>
      <x:c r="S15" s="18"/>
      <x:c r="T15" s="18" t="n">
        <x:v>4</x:v>
      </x:c>
      <x:c r="U15" s="18" t="n">
        <x:v>3.8</x:v>
      </x:c>
      <x:c r="V15" s="18" t="n">
        <x:v>5</x:v>
      </x:c>
      <x:c r="W15" s="18"/>
      <x:c r="X15" s="18" t="str">
        <x:v>VAS 0-10</x:v>
      </x:c>
      <x:c r="Y15" s="18" t="str">
        <x:v>&lt;0.001 reported comparisons</x:v>
      </x:c>
      <x:c r="Z15" s="18"/>
      <x:c r="AA15" s="18"/>
      <x:c r="AB15" s="18" t="str">
        <x:v>INCLUDE</x:v>
      </x:c>
      <x:c r="AC15" s="18" t="str">
        <x:v>Explicit 24-h pain endpoint with quantitative source data.</x:v>
      </x:c>
      <x:c r="AD15" s="18"/>
      <x:c r="AE15" s="18" t="str">
        <x:v>Use median/IQR-compatible meta-analysis method; do not relabel as mean/SD</x:v>
      </x:c>
      <x:c r="AF15" s="18" t="str">
        <x:v>Some concerns</x:v>
      </x:c>
      <x:c r="AG15" s="18" t="str">
        <x:v>No — selected RoB matches this result</x:v>
      </x:c>
      <x:c r="AH15" s="18" t="str">
        <x:v>Sun 2017</x:v>
      </x:c>
      <x:c r="AI15" s="18" t="str">
        <x:v>TEAS timing-arm contrast</x:v>
      </x:c>
      <x:c r="AJ15" s="18" t="str">
        <x:v>Four-arm timing trial with shared sham; do not count timing arms as independent studies.</x:v>
      </x:c>
      <x:c r="AK15" s="18" t="str">
        <x:v>Four-arm timing trial; sham received 5 min perceptible low-current stimulation, not electrically inert</x:v>
      </x:c>
      <x:c r="AL15" s="18" t="str">
        <x:v>https://drive.google.com/file/d/1lELlw0IpkhqoB8OuintAI22fxKfNEcEd/view?usp=drivesdk</x:v>
      </x:c>
    </x:row>
    <x:row r="16">
      <x:c r="A16" s="18" t="str">
        <x:v>Ng 2013</x:v>
      </x:c>
      <x:c r="B16" s="18" t="str">
        <x:v>NG13_EA_vs_SHAM_PAINPOD1</x:v>
      </x:c>
      <x:c r="C16" s="18" t="str">
        <x:v>Electroacupuncture</x:v>
      </x:c>
      <x:c r="D16" s="18" t="str">
        <x:v>Sham acupuncture</x:v>
      </x:c>
      <x:c r="E16" s="18" t="str">
        <x:v>VAS pain intensity</x:v>
      </x:c>
      <x:c r="F16" s="18" t="str">
        <x:v>POD1</x:v>
      </x:c>
      <x:c r="G16" s="18" t="str">
        <x:v>Mean/SD</x:v>
      </x:c>
      <x:c r="H16" s="18" t="n">
        <x:v>55</x:v>
      </x:c>
      <x:c r="I16" s="18" t="n">
        <x:v>55</x:v>
      </x:c>
      <x:c r="J16" s="18" t="n">
        <x:v>55</x:v>
      </x:c>
      <x:c r="K16" s="18" t="n">
        <x:v>55</x:v>
      </x:c>
      <x:c r="L16" s="18" t="n">
        <x:v>5.6</x:v>
      </x:c>
      <x:c r="M16" s="18" t="n">
        <x:v>2</x:v>
      </x:c>
      <x:c r="N16" s="18"/>
      <x:c r="O16" s="18"/>
      <x:c r="P16" s="18"/>
      <x:c r="Q16" s="18"/>
      <x:c r="R16" s="18" t="n">
        <x:v>5.8</x:v>
      </x:c>
      <x:c r="S16" s="18" t="n">
        <x:v>1.9</x:v>
      </x:c>
      <x:c r="T16" s="18"/>
      <x:c r="U16" s="18"/>
      <x:c r="V16" s="18"/>
      <x:c r="W16" s="18"/>
      <x:c r="X16" s="18" t="str">
        <x:v>VAS 0-10</x:v>
      </x:c>
      <x:c r="Y16" s="18" t="str">
        <x:v>0.655</x:v>
      </x:c>
      <x:c r="Z16" s="18" t="str">
        <x:v>MD</x:v>
      </x:c>
      <x:c r="AA16" s="18" t="n">
        <x:v>-0.20000000000000018</x:v>
      </x:c>
      <x:c r="AB16" s="18" t="str">
        <x:v>CONDITIONAL — POD1</x:v>
      </x:c>
      <x:c r="AC16" s="18" t="str">
        <x:v>POD1/day-after-surgery is not necessarily a clock-defined 24-h measurement; pool only if protocol permits.</x:v>
      </x:c>
      <x:c r="AD16" s="18"/>
      <x:c r="AE16" s="18" t="str">
        <x:v>None</x:v>
      </x:c>
      <x:c r="AF16" s="18" t="str">
        <x:v>Some concerns</x:v>
      </x:c>
      <x:c r="AG16" s="18" t="str">
        <x:v>Yes — selected RoB is for a different result/timepoint</x:v>
      </x:c>
      <x:c r="AH16" s="18" t="str">
        <x:v>Ng 2013</x:v>
      </x:c>
      <x:c r="AI16" s="18" t="str">
        <x:v>Shared-control / multi-arm contrast</x:v>
      </x:c>
      <x:c r="AJ16" s="18" t="str">
        <x:v>Shared comparator present; avoid double-counting controls.</x:v>
      </x:c>
      <x:c r="AK16" s="18" t="str">
        <x:v>POD1 is not an exact clock-defined 24-h point</x:v>
      </x:c>
      <x:c r="AL16" s="18" t="str">
        <x:v>https://drive.google.com/file/d/1R1zCiyfWvuSp99Hi2U_K1__8kgdi90gd/view?usp=drivesdk</x:v>
      </x:c>
    </x:row>
    <x:row r="17">
      <x:c r="A17" s="18" t="str">
        <x:v>Ma 2026</x:v>
      </x:c>
      <x:c r="B17" s="18" t="str">
        <x:v>MA26_T_vs_S_PAIN24</x:v>
      </x:c>
      <x:c r="C17" s="18" t="str">
        <x:v>Group T: sleep disturbance + preop TEAS</x:v>
      </x:c>
      <x:c r="D17" s="18" t="str">
        <x:v>Group S: sleep disturbance, no TEAS</x:v>
      </x:c>
      <x:c r="E17" s="18" t="str">
        <x:v>Resting NRS pain</x:v>
      </x:c>
      <x:c r="F17" s="18" t="str">
        <x:v>24 h</x:v>
      </x:c>
      <x:c r="G17" s="18" t="str">
        <x:v>Graph-only continuous data</x:v>
      </x:c>
      <x:c r="H17" s="18" t="n">
        <x:v>18</x:v>
      </x:c>
      <x:c r="I17" s="18" t="n">
        <x:v>17</x:v>
      </x:c>
      <x:c r="J17" s="18" t="n">
        <x:v>17</x:v>
      </x:c>
      <x:c r="K17" s="18" t="n">
        <x:v>16</x:v>
      </x:c>
      <x:c r="L17" s="18"/>
      <x:c r="M17" s="18"/>
      <x:c r="N17" s="18"/>
      <x:c r="O17" s="18"/>
      <x:c r="P17" s="18"/>
      <x:c r="Q17" s="18"/>
      <x:c r="R17" s="18"/>
      <x:c r="S17" s="18"/>
      <x:c r="T17" s="18"/>
      <x:c r="U17" s="18"/>
      <x:c r="V17" s="18"/>
      <x:c r="W17" s="18"/>
      <x:c r="X17" s="18" t="str">
        <x:v>NRS 0-10</x:v>
      </x:c>
      <x:c r="Y17" s="18" t="str">
        <x:v>P&lt;0.05 T vs S</x:v>
      </x:c>
      <x:c r="Z17" s="18"/>
      <x:c r="AA17" s="18"/>
      <x:c r="AB17" s="18" t="str">
        <x:v>DIGITIZATION NEEDED</x:v>
      </x:c>
      <x:c r="AC17" s="18" t="str">
        <x:v>Exact numeric result is not tabulated; formal graph digitization or author data is required before quantitative pooling.</x:v>
      </x:c>
      <x:c r="AD17" s="18"/>
      <x:c r="AE17" s="18" t="str">
        <x:v>None</x:v>
      </x:c>
      <x:c r="AF17" s="18" t="str">
        <x:v>High</x:v>
      </x:c>
      <x:c r="AG17" s="18" t="str">
        <x:v>No — selected RoB matches this result</x:v>
      </x:c>
      <x:c r="AH17" s="18" t="str">
        <x:v>Ma 2026</x:v>
      </x:c>
      <x:c r="AI17" s="18" t="str">
        <x:v>Primary eligible contrast</x:v>
      </x:c>
      <x:c r="AJ17" s="18" t="str">
        <x:v>Count this study once per synthesis unless a valid multi-arm method is used.</x:v>
      </x:c>
      <x:c r="AK17" s="18" t="str">
        <x:v>Partially randomized trial: only T vs S is randomized. Exact 24-h means/SDs are graph-only and must not be inferred from Antigravity candidate values</x:v>
      </x:c>
      <x:c r="AL17" s="18" t="str">
        <x:v>https://drive.google.com/file/d/1tMEOwvRWIMeEmBmKfeHEt7YF10yxslUe/view?usp=drivesdk</x:v>
      </x:c>
    </x:row>
    <x:row r="18">
      <x:c r="A18" s="18" t="str">
        <x:v>Luo 2026</x:v>
      </x:c>
      <x:c r="B18" s="18" t="str">
        <x:v>LUO26_TEAS_vs_SHAM_NRS24</x:v>
      </x:c>
      <x:c r="C18" s="18" t="str">
        <x:v>Intraoperative PC6 TEAS + standard antiemetics</x:v>
      </x:c>
      <x:c r="D18" s="18" t="str">
        <x:v>Sham/no current + standard antiemetics</x:v>
      </x:c>
      <x:c r="E18" s="18" t="str">
        <x:v>Postoperative NRS pain</x:v>
      </x:c>
      <x:c r="F18" s="18" t="str">
        <x:v>24 h</x:v>
      </x:c>
      <x:c r="G18" s="18" t="str">
        <x:v>Mean/SD</x:v>
      </x:c>
      <x:c r="H18" s="18" t="n">
        <x:v>138</x:v>
      </x:c>
      <x:c r="I18" s="18" t="n">
        <x:v>139</x:v>
      </x:c>
      <x:c r="J18" s="18" t="n">
        <x:v>138</x:v>
      </x:c>
      <x:c r="K18" s="18" t="n">
        <x:v>139</x:v>
      </x:c>
      <x:c r="L18" s="18" t="n">
        <x:v>1.3</x:v>
      </x:c>
      <x:c r="M18" s="18" t="n">
        <x:v>0.92</x:v>
      </x:c>
      <x:c r="N18" s="18"/>
      <x:c r="O18" s="18"/>
      <x:c r="P18" s="18"/>
      <x:c r="Q18" s="18"/>
      <x:c r="R18" s="18" t="n">
        <x:v>1.65</x:v>
      </x:c>
      <x:c r="S18" s="18" t="n">
        <x:v>0.95</x:v>
      </x:c>
      <x:c r="T18" s="18"/>
      <x:c r="U18" s="18"/>
      <x:c r="V18" s="18"/>
      <x:c r="W18" s="18"/>
      <x:c r="X18" s="18" t="str">
        <x:v>NRS 0-10</x:v>
      </x:c>
      <x:c r="Y18" s="18" t="str">
        <x:v>&lt;0.01</x:v>
      </x:c>
      <x:c r="Z18" s="18" t="str">
        <x:v>MD</x:v>
      </x:c>
      <x:c r="AA18" s="18" t="n">
        <x:v>-0.34999999999999987</x:v>
      </x:c>
      <x:c r="AB18" s="18" t="str">
        <x:v>INCLUDE</x:v>
      </x:c>
      <x:c r="AC18" s="18" t="str">
        <x:v>Explicit 24-h pain endpoint with quantitative source data.</x:v>
      </x:c>
      <x:c r="AD18" s="18"/>
      <x:c r="AE18" s="18" t="str">
        <x:v>None</x:v>
      </x:c>
      <x:c r="AF18" s="18" t="str">
        <x:v>Some concerns</x:v>
      </x:c>
      <x:c r="AG18" s="18" t="str">
        <x:v>Yes — selected RoB is for a different result/timepoint</x:v>
      </x:c>
      <x:c r="AH18" s="18" t="str">
        <x:v>Luo 2026</x:v>
      </x:c>
      <x:c r="AI18" s="18" t="str">
        <x:v>Primary eligible contrast</x:v>
      </x:c>
      <x:c r="AJ18" s="18" t="str">
        <x:v>Count this study once per synthesis unless a valid multi-arm method is used.</x:v>
      </x:c>
      <x:c r="AK18" s="18" t="str">
        <x:v>Rest-versus-movement condition is not reported; participant masking was incomplete</x:v>
      </x:c>
      <x:c r="AL18" s="18" t="str">
        <x:v>https://drive.google.com/file/d/1xxZle6mPpcnmHLblJbsy1kA4CyQHpvm2/view?usp=drivesdk</x:v>
      </x:c>
    </x:row>
    <x:row r="19">
      <x:c r="A19" s="18" t="str">
        <x:v>Long 2025</x:v>
      </x:c>
      <x:c r="B19" s="18" t="str">
        <x:v>LONG25_TEAS_vs_CTRL_VAS24</x:v>
      </x:c>
      <x:c r="C19" s="18" t="str">
        <x:v>Perioperative electrical acupoint stimulation</x:v>
      </x:c>
      <x:c r="D19" s="18" t="str">
        <x:v>Electrodes/no current</x:v>
      </x:c>
      <x:c r="E19" s="18" t="str">
        <x:v>VAS pain intensity</x:v>
      </x:c>
      <x:c r="F19" s="18" t="str">
        <x:v>24 h</x:v>
      </x:c>
      <x:c r="G19" s="18" t="str">
        <x:v>Mean/SD</x:v>
      </x:c>
      <x:c r="H19" s="18" t="n">
        <x:v>30</x:v>
      </x:c>
      <x:c r="I19" s="18" t="n">
        <x:v>30</x:v>
      </x:c>
      <x:c r="J19" s="18" t="n">
        <x:v>27</x:v>
      </x:c>
      <x:c r="K19" s="18" t="n">
        <x:v>26</x:v>
      </x:c>
      <x:c r="L19" s="18" t="n">
        <x:v>2.78</x:v>
      </x:c>
      <x:c r="M19" s="18" t="n">
        <x:v>0.97</x:v>
      </x:c>
      <x:c r="N19" s="18"/>
      <x:c r="O19" s="18"/>
      <x:c r="P19" s="18"/>
      <x:c r="Q19" s="18"/>
      <x:c r="R19" s="18" t="n">
        <x:v>3.96</x:v>
      </x:c>
      <x:c r="S19" s="18" t="n">
        <x:v>0.96</x:v>
      </x:c>
      <x:c r="T19" s="18"/>
      <x:c r="U19" s="18"/>
      <x:c r="V19" s="18"/>
      <x:c r="W19" s="18"/>
      <x:c r="X19" s="18" t="str">
        <x:v>VAS 0-10</x:v>
      </x:c>
      <x:c r="Y19" s="18" t="str">
        <x:v>&lt;0.001</x:v>
      </x:c>
      <x:c r="Z19" s="18" t="str">
        <x:v>MD</x:v>
      </x:c>
      <x:c r="AA19" s="18" t="n">
        <x:v>-1.1800000000000002</x:v>
      </x:c>
      <x:c r="AB19" s="18" t="str">
        <x:v>INCLUDE</x:v>
      </x:c>
      <x:c r="AC19" s="18" t="str">
        <x:v>Explicit 24-h pain endpoint with quantitative source data.</x:v>
      </x:c>
      <x:c r="AD19" s="18"/>
      <x:c r="AE19" s="18" t="str">
        <x:v>None</x:v>
      </x:c>
      <x:c r="AF19" s="18" t="str">
        <x:v>High</x:v>
      </x:c>
      <x:c r="AG19" s="18" t="str">
        <x:v>Yes — selected RoB is for a different result/timepoint</x:v>
      </x:c>
      <x:c r="AH19" s="18" t="str">
        <x:v>Long 2025</x:v>
      </x:c>
      <x:c r="AI19" s="18" t="str">
        <x:v>Primary eligible contrast</x:v>
      </x:c>
      <x:c r="AJ19" s="18" t="str">
        <x:v>Count this study once per synthesis unless a valid multi-arm method is used.</x:v>
      </x:c>
      <x:c r="AK19" s="18" t="str">
        <x:v>Abstract/Results prose gives active 2.65 ± 0.94; Table 7/Figure 9 gives 2.78 ± 0.97. Master uses the directly tabulated Table 7 value and retains discrepancy</x:v>
      </x:c>
      <x:c r="AL19" s="18" t="str">
        <x:v>https://drive.google.com/file/d/1LDqtQLq9-kZLP0Vv_G3iiK8QKjy4pRXP/view?usp=drivesdk</x:v>
      </x:c>
    </x:row>
    <x:row r="20">
      <x:c r="A20" s="18" t="str">
        <x:v>Liu 2026 (ESD)</x:v>
      </x:c>
      <x:c r="B20" s="18" t="str">
        <x:v>LIU26ESD_TEAS_vs_SHAM_MODPAIN24</x:v>
      </x:c>
      <x:c r="C20" s="18" t="str">
        <x:v>Perioperative TEAS</x:v>
      </x:c>
      <x:c r="D20" s="18" t="str">
        <x:v>Sham-point/no current</x:v>
      </x:c>
      <x:c r="E20" s="18" t="str">
        <x:v>Moderate-to-severe pain (NRS ≥4)</x:v>
      </x:c>
      <x:c r="F20" s="18" t="str">
        <x:v>Within 24 h</x:v>
      </x:c>
      <x:c r="G20" s="18" t="str">
        <x:v>Events/total</x:v>
      </x:c>
      <x:c r="H20" s="18" t="n">
        <x:v>64</x:v>
      </x:c>
      <x:c r="I20" s="18" t="n">
        <x:v>65</x:v>
      </x:c>
      <x:c r="J20" s="18" t="n">
        <x:v>58</x:v>
      </x:c>
      <x:c r="K20" s="18" t="n">
        <x:v>62</x:v>
      </x:c>
      <x:c r="L20" s="18"/>
      <x:c r="M20" s="18"/>
      <x:c r="N20" s="18"/>
      <x:c r="O20" s="18"/>
      <x:c r="P20" s="18"/>
      <x:c r="Q20" s="18" t="n">
        <x:v>22</x:v>
      </x:c>
      <x:c r="R20" s="18"/>
      <x:c r="S20" s="18"/>
      <x:c r="T20" s="18"/>
      <x:c r="U20" s="18"/>
      <x:c r="V20" s="18"/>
      <x:c r="W20" s="18" t="n">
        <x:v>40</x:v>
      </x:c>
      <x:c r="X20" s="18" t="str">
        <x:v>participants</x:v>
      </x:c>
      <x:c r="Y20" s="18" t="str">
        <x:v>0.004</x:v>
      </x:c>
      <x:c r="Z20" s="18" t="str">
        <x:v>RR</x:v>
      </x:c>
      <x:c r="AA20" s="18" t="n">
        <x:v>0.5879310344827586</x:v>
      </x:c>
      <x:c r="AB20" s="18" t="str">
        <x:v>CONDITIONAL</x:v>
      </x:c>
      <x:c r="AC20" s="18" t="str">
        <x:v>Contains a 24-h measurement but timepoint definition differs from the strict analysis.</x:v>
      </x:c>
      <x:c r="AD20" s="18"/>
      <x:c r="AE20" s="18" t="str">
        <x:v>Binary effect measure (RR preferred per protocol)</x:v>
      </x:c>
      <x:c r="AF20" s="18" t="str">
        <x:v>High</x:v>
      </x:c>
      <x:c r="AG20" s="18" t="str">
        <x:v>No — selected RoB matches this result</x:v>
      </x:c>
      <x:c r="AH20" s="18" t="str">
        <x:v>Liu 2026 (ESD)</x:v>
      </x:c>
      <x:c r="AI20" s="18" t="str">
        <x:v>Primary eligible contrast</x:v>
      </x:c>
      <x:c r="AJ20" s="18" t="str">
        <x:v>Count this study once per synthesis unless a valid multi-arm method is used.</x:v>
      </x:c>
      <x:c r="AK20" s="18" t="str">
        <x:v>9/129 randomized participants excluded after randomization, including postoperative bleeding and conversion to laparotomy; no ITT sensitivity analysis</x:v>
      </x:c>
      <x:c r="AL20" s="18" t="str">
        <x:v>https://drive.google.com/file/d/1Hp7pCBP8iXkGGYVhlFY0BHTeaaM7bhdY/view?usp=drivesdk</x:v>
      </x:c>
    </x:row>
    <x:row r="21">
      <x:c r="A21" s="18" t="str">
        <x:v>Liu 2026 (ESD)</x:v>
      </x:c>
      <x:c r="B21" s="18" t="str">
        <x:v>LIU26ESD_TEAS_vs_SHAM_NRS24</x:v>
      </x:c>
      <x:c r="C21" s="18" t="str">
        <x:v>Perioperative TEAS</x:v>
      </x:c>
      <x:c r="D21" s="18" t="str">
        <x:v>Sham-point/no current</x:v>
      </x:c>
      <x:c r="E21" s="18" t="str">
        <x:v>NRS pain intensity</x:v>
      </x:c>
      <x:c r="F21" s="18" t="str">
        <x:v>24 h</x:v>
      </x:c>
      <x:c r="G21" s="18" t="str">
        <x:v>Mean/SD</x:v>
      </x:c>
      <x:c r="H21" s="18" t="n">
        <x:v>64</x:v>
      </x:c>
      <x:c r="I21" s="18" t="n">
        <x:v>65</x:v>
      </x:c>
      <x:c r="J21" s="18" t="n">
        <x:v>58</x:v>
      </x:c>
      <x:c r="K21" s="18" t="n">
        <x:v>62</x:v>
      </x:c>
      <x:c r="L21" s="18" t="n">
        <x:v>1.2</x:v>
      </x:c>
      <x:c r="M21" s="18" t="n">
        <x:v>1.3</x:v>
      </x:c>
      <x:c r="N21" s="18"/>
      <x:c r="O21" s="18"/>
      <x:c r="P21" s="18"/>
      <x:c r="Q21" s="18"/>
      <x:c r="R21" s="18" t="n">
        <x:v>2.8</x:v>
      </x:c>
      <x:c r="S21" s="18" t="n">
        <x:v>1.9</x:v>
      </x:c>
      <x:c r="T21" s="18"/>
      <x:c r="U21" s="18"/>
      <x:c r="V21" s="18"/>
      <x:c r="W21" s="18"/>
      <x:c r="X21" s="18" t="str">
        <x:v>NRS 0-10</x:v>
      </x:c>
      <x:c r="Y21" s="18" t="str">
        <x:v>0.001</x:v>
      </x:c>
      <x:c r="Z21" s="18" t="str">
        <x:v>MD</x:v>
      </x:c>
      <x:c r="AA21" s="18" t="n">
        <x:v>-1.5999999999999999</x:v>
      </x:c>
      <x:c r="AB21" s="18" t="str">
        <x:v>INCLUDE</x:v>
      </x:c>
      <x:c r="AC21" s="18" t="str">
        <x:v>Explicit 24-h pain endpoint with quantitative source data.</x:v>
      </x:c>
      <x:c r="AD21" s="18"/>
      <x:c r="AE21" s="18" t="str">
        <x:v>None</x:v>
      </x:c>
      <x:c r="AF21" s="18" t="str">
        <x:v>High</x:v>
      </x:c>
      <x:c r="AG21" s="18" t="str">
        <x:v>Yes — selected RoB is for a different result/timepoint</x:v>
      </x:c>
      <x:c r="AH21" s="18" t="str">
        <x:v>Liu 2026 (ESD)</x:v>
      </x:c>
      <x:c r="AI21" s="18" t="str">
        <x:v>Primary eligible contrast</x:v>
      </x:c>
      <x:c r="AJ21" s="18" t="str">
        <x:v>Count this study once per synthesis unless a valid multi-arm method is used.</x:v>
      </x:c>
      <x:c r="AK21" s="18" t="str">
        <x:v>Active TEAS at maximum tolerated intensity vs sham no current; sensory blinding success was not tested</x:v>
      </x:c>
      <x:c r="AL21" s="18" t="str">
        <x:v>https://drive.google.com/file/d/1Hp7pCBP8iXkGGYVhlFY0BHTeaaM7bhdY/view?usp=drivesdk</x:v>
      </x:c>
    </x:row>
    <x:row r="22">
      <x:c r="A22" s="18" t="str">
        <x:v>Liu 2021</x:v>
      </x:c>
      <x:c r="B22" s="18" t="str">
        <x:v>LIU21_TEAS_vs_CTRL_VASREST24</x:v>
      </x:c>
      <x:c r="C22" s="18" t="str">
        <x:v>Perioperative TEAS</x:v>
      </x:c>
      <x:c r="D22" s="18" t="str">
        <x:v>Electrodes/no current</x:v>
      </x:c>
      <x:c r="E22" s="18" t="str">
        <x:v>VAS at rest</x:v>
      </x:c>
      <x:c r="F22" s="18" t="str">
        <x:v>24 h</x:v>
      </x:c>
      <x:c r="G22" s="18" t="str">
        <x:v>Mean/SD</x:v>
      </x:c>
      <x:c r="H22" s="18" t="n">
        <x:v>50</x:v>
      </x:c>
      <x:c r="I22" s="18" t="n">
        <x:v>50</x:v>
      </x:c>
      <x:c r="J22" s="18" t="n">
        <x:v>50</x:v>
      </x:c>
      <x:c r="K22" s="18" t="n">
        <x:v>50</x:v>
      </x:c>
      <x:c r="L22" s="18" t="n">
        <x:v>2.52</x:v>
      </x:c>
      <x:c r="M22" s="18" t="n">
        <x:v>0.505</x:v>
      </x:c>
      <x:c r="N22" s="18"/>
      <x:c r="O22" s="18"/>
      <x:c r="P22" s="18"/>
      <x:c r="Q22" s="18"/>
      <x:c r="R22" s="18" t="n">
        <x:v>2.66</x:v>
      </x:c>
      <x:c r="S22" s="18" t="n">
        <x:v>0.626</x:v>
      </x:c>
      <x:c r="T22" s="18"/>
      <x:c r="U22" s="18"/>
      <x:c r="V22" s="18"/>
      <x:c r="W22" s="18"/>
      <x:c r="X22" s="18" t="str">
        <x:v>VAS</x:v>
      </x:c>
      <x:c r="Y22" s="18" t="str">
        <x:v>0.221</x:v>
      </x:c>
      <x:c r="Z22" s="18" t="str">
        <x:v>MD</x:v>
      </x:c>
      <x:c r="AA22" s="18" t="n">
        <x:v>-0.14000000000000012</x:v>
      </x:c>
      <x:c r="AB22" s="18" t="str">
        <x:v>INCLUDE</x:v>
      </x:c>
      <x:c r="AC22" s="18" t="str">
        <x:v>Explicit 24-h pain endpoint with quantitative source data.</x:v>
      </x:c>
      <x:c r="AD22" s="18"/>
      <x:c r="AE22" s="18" t="str">
        <x:v>None</x:v>
      </x:c>
      <x:c r="AF22" s="18" t="str">
        <x:v>Some concerns</x:v>
      </x:c>
      <x:c r="AG22" s="18" t="str">
        <x:v>Yes — selected RoB is for a different result/timepoint</x:v>
      </x:c>
      <x:c r="AH22" s="18" t="str">
        <x:v>Liu 2021</x:v>
      </x:c>
      <x:c r="AI22" s="18" t="str">
        <x:v>Primary eligible contrast</x:v>
      </x:c>
      <x:c r="AJ22" s="18" t="str">
        <x:v>Count this study once per synthesis unless a valid multi-arm method is used.</x:v>
      </x:c>
      <x:c r="AK22" s="18" t="str">
        <x:v>Participant blinding is unclear because active stimulation was maximum tolerated and control received no current</x:v>
      </x:c>
      <x:c r="AL22" s="18" t="str">
        <x:v>https://drive.google.com/file/d/1TA4BstaUWY3EdQbDNEvvGxF35ekGanrm/view?usp=drivesdk</x:v>
      </x:c>
    </x:row>
    <x:row r="23">
      <x:c r="A23" s="18" t="str">
        <x:v>Liu 2021</x:v>
      </x:c>
      <x:c r="B23" s="18" t="str">
        <x:v>LIU21_TEAS_vs_CTRL_VASCOUGH24</x:v>
      </x:c>
      <x:c r="C23" s="18" t="str">
        <x:v>Perioperative TEAS</x:v>
      </x:c>
      <x:c r="D23" s="18" t="str">
        <x:v>Electrodes/no current</x:v>
      </x:c>
      <x:c r="E23" s="18" t="str">
        <x:v>VAS with coughing</x:v>
      </x:c>
      <x:c r="F23" s="18" t="str">
        <x:v>24 h</x:v>
      </x:c>
      <x:c r="G23" s="18" t="str">
        <x:v>Mean/SD</x:v>
      </x:c>
      <x:c r="H23" s="18" t="n">
        <x:v>50</x:v>
      </x:c>
      <x:c r="I23" s="18" t="n">
        <x:v>50</x:v>
      </x:c>
      <x:c r="J23" s="18" t="n">
        <x:v>50</x:v>
      </x:c>
      <x:c r="K23" s="18" t="n">
        <x:v>50</x:v>
      </x:c>
      <x:c r="L23" s="18" t="n">
        <x:v>3.2</x:v>
      </x:c>
      <x:c r="M23" s="18" t="n">
        <x:v>0.571</x:v>
      </x:c>
      <x:c r="N23" s="18"/>
      <x:c r="O23" s="18"/>
      <x:c r="P23" s="18"/>
      <x:c r="Q23" s="18"/>
      <x:c r="R23" s="18" t="n">
        <x:v>3.16</x:v>
      </x:c>
      <x:c r="S23" s="18" t="n">
        <x:v>0.681</x:v>
      </x:c>
      <x:c r="T23" s="18"/>
      <x:c r="U23" s="18"/>
      <x:c r="V23" s="18"/>
      <x:c r="W23" s="18"/>
      <x:c r="X23" s="18" t="str">
        <x:v>VAS</x:v>
      </x:c>
      <x:c r="Y23" s="18" t="str">
        <x:v>0.751</x:v>
      </x:c>
      <x:c r="Z23" s="18" t="str">
        <x:v>MD</x:v>
      </x:c>
      <x:c r="AA23" s="18" t="n">
        <x:v>0.040000000000000036</x:v>
      </x:c>
      <x:c r="AB23" s="18" t="str">
        <x:v>INCLUDE</x:v>
      </x:c>
      <x:c r="AC23" s="18" t="str">
        <x:v>Explicit 24-h pain endpoint with quantitative source data.</x:v>
      </x:c>
      <x:c r="AD23" s="18"/>
      <x:c r="AE23" s="18" t="str">
        <x:v>None</x:v>
      </x:c>
      <x:c r="AF23" s="18" t="str">
        <x:v>Some concerns</x:v>
      </x:c>
      <x:c r="AG23" s="18" t="str">
        <x:v>Yes — selected RoB is for a different result/timepoint</x:v>
      </x:c>
      <x:c r="AH23" s="18" t="str">
        <x:v>Liu 2021</x:v>
      </x:c>
      <x:c r="AI23" s="18" t="str">
        <x:v>Primary eligible contrast</x:v>
      </x:c>
      <x:c r="AJ23" s="18" t="str">
        <x:v>Count this study once per synthesis unless a valid multi-arm method is used.</x:v>
      </x:c>
      <x:c r="AK23" s="18" t="str">
        <x:v>No evidence of analgesic benefit at 24 h</x:v>
      </x:c>
      <x:c r="AL23" s="18" t="str">
        <x:v>https://drive.google.com/file/d/1TA4BstaUWY3EdQbDNEvvGxF35ekGanrm/view?usp=drivesdk</x:v>
      </x:c>
    </x:row>
    <x:row r="24">
      <x:c r="A24" s="18" t="str">
        <x:v>Liu 2026 (burn)</x:v>
      </x:c>
      <x:c r="B24" s="18" t="str">
        <x:v>LIU26BURN_TEAS_vs_SHAM_FVAS24</x:v>
      </x:c>
      <x:c r="C24" s="18" t="str">
        <x:v>Pre-induction TEAS</x:v>
      </x:c>
      <x:c r="D24" s="18" t="str">
        <x:v>Placebo/sham TEAS</x:v>
      </x:c>
      <x:c r="E24" s="18" t="str">
        <x:v>Resting F-VAS pain</x:v>
      </x:c>
      <x:c r="F24" s="18" t="str">
        <x:v>24 h</x:v>
      </x:c>
      <x:c r="G24" s="18" t="str">
        <x:v>Graph-only continuous data</x:v>
      </x:c>
      <x:c r="H24" s="18" t="n">
        <x:v>44</x:v>
      </x:c>
      <x:c r="I24" s="18" t="n">
        <x:v>44</x:v>
      </x:c>
      <x:c r="J24" s="18" t="n">
        <x:v>43</x:v>
      </x:c>
      <x:c r="K24" s="18" t="n">
        <x:v>43</x:v>
      </x:c>
      <x:c r="L24" s="18"/>
      <x:c r="M24" s="18"/>
      <x:c r="N24" s="18"/>
      <x:c r="O24" s="18"/>
      <x:c r="P24" s="18"/>
      <x:c r="Q24" s="18"/>
      <x:c r="R24" s="18"/>
      <x:c r="S24" s="18"/>
      <x:c r="T24" s="18"/>
      <x:c r="U24" s="18"/>
      <x:c r="V24" s="18"/>
      <x:c r="W24" s="18"/>
      <x:c r="X24" s="18" t="str">
        <x:v>F-VAS 0-100 mm</x:v>
      </x:c>
      <x:c r="Y24" s="18" t="str">
        <x:v>0.039</x:v>
      </x:c>
      <x:c r="Z24" s="18"/>
      <x:c r="AA24" s="18"/>
      <x:c r="AB24" s="18" t="str">
        <x:v>DIGITIZATION NEEDED</x:v>
      </x:c>
      <x:c r="AC24" s="18" t="str">
        <x:v>Exact numeric result is not tabulated; formal graph digitization or author data is required before quantitative pooling.</x:v>
      </x:c>
      <x:c r="AD24" s="18"/>
      <x:c r="AE24" s="18" t="str">
        <x:v>None</x:v>
      </x:c>
      <x:c r="AF24" s="18" t="str">
        <x:v>Some concerns</x:v>
      </x:c>
      <x:c r="AG24" s="18" t="str">
        <x:v>Yes — selected RoB is for a different result/timepoint</x:v>
      </x:c>
      <x:c r="AH24" s="18" t="str">
        <x:v>Liu 2026 (burn)</x:v>
      </x:c>
      <x:c r="AI24" s="18" t="str">
        <x:v>Primary eligible contrast</x:v>
      </x:c>
      <x:c r="AJ24" s="18" t="str">
        <x:v>Count this study once per synthesis unless a valid multi-arm method is used.</x:v>
      </x:c>
      <x:c r="AK24" s="18" t="str">
        <x:v>Exact means/SDs are figure-only; do not infer numeric values from bar heights</x:v>
      </x:c>
      <x:c r="AL24" s="18" t="str">
        <x:v>https://drive.google.com/file/d/1mvekGtHD2JAKCRbIXrvLw1Nz7hbQ1dZ3/view?usp=drivesdk</x:v>
      </x:c>
    </x:row>
    <x:row r="25">
      <x:c r="A25" s="18" t="str">
        <x:v>Liu 2025</x:v>
      </x:c>
      <x:c r="B25" s="18" t="str">
        <x:v>LIU25_EA_vs_CTRL_PAIN24</x:v>
      </x:c>
      <x:c r="C25" s="18" t="str">
        <x:v>Perioperative electroacupuncture</x:v>
      </x:c>
      <x:c r="D25" s="18" t="str">
        <x:v>Control/sham procedure</x:v>
      </x:c>
      <x:c r="E25" s="18" t="str">
        <x:v>VAS pain intensity</x:v>
      </x:c>
      <x:c r="F25" s="18" t="str">
        <x:v>24 h</x:v>
      </x:c>
      <x:c r="G25" s="18" t="str">
        <x:v>Graph-only continuous data</x:v>
      </x:c>
      <x:c r="H25" s="18" t="n">
        <x:v>40</x:v>
      </x:c>
      <x:c r="I25" s="18" t="n">
        <x:v>40</x:v>
      </x:c>
      <x:c r="J25" s="18" t="n">
        <x:v>38</x:v>
      </x:c>
      <x:c r="K25" s="18" t="n">
        <x:v>39</x:v>
      </x:c>
      <x:c r="L25" s="18"/>
      <x:c r="M25" s="18"/>
      <x:c r="N25" s="18"/>
      <x:c r="O25" s="18"/>
      <x:c r="P25" s="18"/>
      <x:c r="Q25" s="18"/>
      <x:c r="R25" s="18"/>
      <x:c r="S25" s="18"/>
      <x:c r="T25" s="18"/>
      <x:c r="U25" s="18"/>
      <x:c r="V25" s="18"/>
      <x:c r="W25" s="18"/>
      <x:c r="X25" s="18" t="str">
        <x:v>VAS 0-10</x:v>
      </x:c>
      <x:c r="Y25" s="18" t="str">
        <x:v>Between-group difference not significant</x:v>
      </x:c>
      <x:c r="Z25" s="18"/>
      <x:c r="AA25" s="18"/>
      <x:c r="AB25" s="18" t="str">
        <x:v>DIGITIZATION NEEDED</x:v>
      </x:c>
      <x:c r="AC25" s="18" t="str">
        <x:v>Exact numeric result is not tabulated; formal graph digitization or author data is required before quantitative pooling.</x:v>
      </x:c>
      <x:c r="AD25" s="18"/>
      <x:c r="AE25" s="18" t="str">
        <x:v>None</x:v>
      </x:c>
      <x:c r="AF25" s="18" t="str">
        <x:v>Some concerns</x:v>
      </x:c>
      <x:c r="AG25" s="18" t="str">
        <x:v>Yes — selected RoB is for a different result/timepoint</x:v>
      </x:c>
      <x:c r="AH25" s="18" t="str">
        <x:v>Liu 2025</x:v>
      </x:c>
      <x:c r="AI25" s="18" t="str">
        <x:v>Primary eligible contrast</x:v>
      </x:c>
      <x:c r="AJ25" s="18" t="str">
        <x:v>Count this study once per synthesis unless a valid multi-arm method is used.</x:v>
      </x:c>
      <x:c r="AK25" s="18" t="str">
        <x:v>Figure shows approximately 2/10 in both groups, but exact means/SDs are not numerically reported</x:v>
      </x:c>
      <x:c r="AL25" s="18" t="str">
        <x:v>https://drive.google.com/file/d/1SHBSKFaeE4G3PXTGVMm7TR8L0H9EgtsD/view?usp=drivesdk</x:v>
      </x:c>
    </x:row>
    <x:row r="26">
      <x:c r="A26" s="18" t="str">
        <x:v>Li 2022</x:v>
      </x:c>
      <x:c r="B26" s="18" t="str">
        <x:v>LI22_EA_vs_SHAM_NRS24</x:v>
      </x:c>
      <x:c r="C26" s="18" t="str">
        <x:v>Preoperative electroacupuncture</x:v>
      </x:c>
      <x:c r="D26" s="18" t="str">
        <x:v>Sham electroacupuncture</x:v>
      </x:c>
      <x:c r="E26" s="18" t="str">
        <x:v>Postoperative NRS pain</x:v>
      </x:c>
      <x:c r="F26" s="18" t="str">
        <x:v>24 h</x:v>
      </x:c>
      <x:c r="G26" s="18" t="str">
        <x:v>Median/IQR</x:v>
      </x:c>
      <x:c r="H26" s="18" t="n">
        <x:v>40</x:v>
      </x:c>
      <x:c r="I26" s="18" t="n">
        <x:v>40</x:v>
      </x:c>
      <x:c r="J26" s="18" t="n">
        <x:v>39</x:v>
      </x:c>
      <x:c r="K26" s="18" t="n">
        <x:v>40</x:v>
      </x:c>
      <x:c r="L26" s="18"/>
      <x:c r="M26" s="18"/>
      <x:c r="N26" s="18" t="n">
        <x:v>1.5</x:v>
      </x:c>
      <x:c r="O26" s="18" t="n">
        <x:v>1</x:v>
      </x:c>
      <x:c r="P26" s="18" t="n">
        <x:v>3</x:v>
      </x:c>
      <x:c r="Q26" s="18"/>
      <x:c r="R26" s="18"/>
      <x:c r="S26" s="18"/>
      <x:c r="T26" s="18" t="n">
        <x:v>1.6</x:v>
      </x:c>
      <x:c r="U26" s="18" t="n">
        <x:v>1</x:v>
      </x:c>
      <x:c r="V26" s="18" t="n">
        <x:v>3</x:v>
      </x:c>
      <x:c r="W26" s="18"/>
      <x:c r="X26" s="18" t="str">
        <x:v>NRS 0-10</x:v>
      </x:c>
      <x:c r="Y26" s="18" t="str">
        <x:v>0.223</x:v>
      </x:c>
      <x:c r="Z26" s="18"/>
      <x:c r="AA26" s="18"/>
      <x:c r="AB26" s="18" t="str">
        <x:v>INCLUDE</x:v>
      </x:c>
      <x:c r="AC26" s="18" t="str">
        <x:v>Explicit 24-h pain endpoint with quantitative source data.</x:v>
      </x:c>
      <x:c r="AD26" s="18"/>
      <x:c r="AE26" s="18" t="str">
        <x:v>Use median/IQR-compatible meta-analysis method; do not relabel as mean/SD</x:v>
      </x:c>
      <x:c r="AF26" s="18" t="str">
        <x:v>Some concerns</x:v>
      </x:c>
      <x:c r="AG26" s="18" t="str">
        <x:v>No — selected RoB matches this result</x:v>
      </x:c>
      <x:c r="AH26" s="18" t="str">
        <x:v>Li 2022</x:v>
      </x:c>
      <x:c r="AI26" s="18" t="str">
        <x:v>Primary eligible contrast</x:v>
      </x:c>
      <x:c r="AJ26" s="18" t="str">
        <x:v>Count this study once per synthesis unless a valid multi-arm method is used.</x:v>
      </x:c>
      <x:c r="AK26" s="18" t="str">
        <x:v>One randomized participant was not included in the final EA analysis; the 24-h pain difference is not significant</x:v>
      </x:c>
      <x:c r="AL26" s="18" t="str">
        <x:v>https://drive.google.com/file/d/1rQTrwnCvj72poJrGGvYjpxSZXvUhSD0u/view?usp=drivesdk</x:v>
      </x:c>
    </x:row>
    <x:row r="27">
      <x:c r="A27" s="18" t="str">
        <x:v>Li 2022</x:v>
      </x:c>
      <x:c r="B27" s="18" t="str">
        <x:v>LI22_EA_vs_SHAM_MPT24</x:v>
      </x:c>
      <x:c r="C27" s="18" t="str">
        <x:v>Preoperative electroacupuncture</x:v>
      </x:c>
      <x:c r="D27" s="18" t="str">
        <x:v>Sham electroacupuncture</x:v>
      </x:c>
      <x:c r="E27" s="18" t="str">
        <x:v>Mechanical pain threshold around surgical incision</x:v>
      </x:c>
      <x:c r="F27" s="18" t="str">
        <x:v>24 h</x:v>
      </x:c>
      <x:c r="G27" s="18" t="str">
        <x:v>Source-reported direction; exact value not promoted</x:v>
      </x:c>
      <x:c r="H27" s="18" t="n">
        <x:v>40</x:v>
      </x:c>
      <x:c r="I27" s="18" t="n">
        <x:v>40</x:v>
      </x:c>
      <x:c r="J27" s="18" t="n">
        <x:v>39</x:v>
      </x:c>
      <x:c r="K27" s="18" t="n">
        <x:v>40</x:v>
      </x:c>
      <x:c r="L27" s="18"/>
      <x:c r="M27" s="18"/>
      <x:c r="N27" s="18"/>
      <x:c r="O27" s="18"/>
      <x:c r="P27" s="18"/>
      <x:c r="Q27" s="18"/>
      <x:c r="R27" s="18"/>
      <x:c r="S27" s="18"/>
      <x:c r="T27" s="18"/>
      <x:c r="U27" s="18"/>
      <x:c r="V27" s="18"/>
      <x:c r="W27" s="18"/>
      <x:c r="X27" s="18" t="str">
        <x:v>mechanical threshold</x:v>
      </x:c>
      <x:c r="Y27" s="18" t="str">
        <x:v>No significant between-group difference at 24 h</x:v>
      </x:c>
      <x:c r="Z27" s="18"/>
      <x:c r="AA27" s="18"/>
      <x:c r="AB27" s="18" t="str">
        <x:v>INCLUDE</x:v>
      </x:c>
      <x:c r="AC27" s="18" t="str">
        <x:v>Explicit 24-h pain endpoint with quantitative source data.</x:v>
      </x:c>
      <x:c r="AD27" s="18"/>
      <x:c r="AE27" s="18" t="str">
        <x:v>None</x:v>
      </x:c>
      <x:c r="AF27" s="18" t="str">
        <x:v>Some concerns</x:v>
      </x:c>
      <x:c r="AG27" s="18" t="str">
        <x:v>Yes — selected RoB is for a different result/timepoint</x:v>
      </x:c>
      <x:c r="AH27" s="18" t="str">
        <x:v>Li 2022</x:v>
      </x:c>
      <x:c r="AI27" s="18" t="str">
        <x:v>Primary eligible contrast</x:v>
      </x:c>
      <x:c r="AJ27" s="18" t="str">
        <x:v>Count this study once per synthesis unless a valid multi-arm method is used.</x:v>
      </x:c>
      <x:c r="AK27" s="18" t="str">
        <x:v>EA advantage was reported at 30 min and 6 h, not at 24 or 48 h; the earlier stored RoB fabricated a significant 24-h result</x:v>
      </x:c>
      <x:c r="AL27" s="18" t="str">
        <x:v>https://drive.google.com/file/d/1rQTrwnCvj72poJrGGvYjpxSZXvUhSD0u/view?usp=drivesdk</x:v>
      </x:c>
    </x:row>
    <x:row r="28">
      <x:c r="A28" s="18" t="str">
        <x:v>Lee 2011</x:v>
      </x:c>
      <x:c r="B28" s="18" t="str">
        <x:v>LEE11_LOW_vs_SHAM_VAS24</x:v>
      </x:c>
      <x:c r="C28" s="18" t="str">
        <x:v>Low-frequency dense-sparse SSP</x:v>
      </x:c>
      <x:c r="D28" s="18" t="str">
        <x:v>Sham SSP</x:v>
      </x:c>
      <x:c r="E28" s="18" t="str">
        <x:v>VAS pain intensity</x:v>
      </x:c>
      <x:c r="F28" s="18" t="str">
        <x:v>24 h</x:v>
      </x:c>
      <x:c r="G28" s="18" t="str">
        <x:v>Mean/SD</x:v>
      </x:c>
      <x:c r="H28" s="18" t="n">
        <x:v>12</x:v>
      </x:c>
      <x:c r="I28" s="18" t="n">
        <x:v>12</x:v>
      </x:c>
      <x:c r="J28" s="18" t="n">
        <x:v>10</x:v>
      </x:c>
      <x:c r="K28" s="18" t="n">
        <x:v>12</x:v>
      </x:c>
      <x:c r="L28" s="18" t="n">
        <x:v>1.21</x:v>
      </x:c>
      <x:c r="M28" s="18" t="n">
        <x:v>1.31</x:v>
      </x:c>
      <x:c r="N28" s="18"/>
      <x:c r="O28" s="18"/>
      <x:c r="P28" s="18"/>
      <x:c r="Q28" s="18"/>
      <x:c r="R28" s="18" t="n">
        <x:v>2.54</x:v>
      </x:c>
      <x:c r="S28" s="18" t="n">
        <x:v>0.86</x:v>
      </x:c>
      <x:c r="T28" s="18"/>
      <x:c r="U28" s="18"/>
      <x:c r="V28" s="18"/>
      <x:c r="W28" s="18"/>
      <x:c r="X28" s="18" t="str">
        <x:v>VAS 0-10</x:v>
      </x:c>
      <x:c r="Y28" s="18" t="str">
        <x:v>Group 4 significantly different from Groups 1-3</x:v>
      </x:c>
      <x:c r="Z28" s="18" t="str">
        <x:v>MD</x:v>
      </x:c>
      <x:c r="AA28" s="18" t="n">
        <x:v>-1.33</x:v>
      </x:c>
      <x:c r="AB28" s="18" t="str">
        <x:v>INCLUDE</x:v>
      </x:c>
      <x:c r="AC28" s="18" t="str">
        <x:v>Explicit 24-h pain endpoint with quantitative source data.</x:v>
      </x:c>
      <x:c r="AD28" s="18"/>
      <x:c r="AE28" s="18" t="str">
        <x:v>None</x:v>
      </x:c>
      <x:c r="AF28" s="18" t="str">
        <x:v>Some concerns</x:v>
      </x:c>
      <x:c r="AG28" s="18" t="str">
        <x:v>Yes — selected RoB is for a different result/timepoint</x:v>
      </x:c>
      <x:c r="AH28" s="18" t="str">
        <x:v>Lee 2011</x:v>
      </x:c>
      <x:c r="AI28" s="18" t="str">
        <x:v>Shared-control / multi-arm contrast</x:v>
      </x:c>
      <x:c r="AJ28" s="18" t="str">
        <x:v>Shared comparator present; avoid double-counting controls.</x:v>
      </x:c>
      <x:c r="AK28" s="18" t="str">
        <x:v>Rest vs movement not reported; two low-frequency participants excluded because unable to complete VAS</x:v>
      </x:c>
      <x:c r="AL28" s="18" t="str">
        <x:v>https://drive.google.com/file/d/1kQDSBtx3OpFOsim5oUMwhpfHOqaMy8Q9/view?usp=drivesdk</x:v>
      </x:c>
    </x:row>
    <x:row r="29">
      <x:c r="A29" s="18" t="str">
        <x:v>Huang 2024</x:v>
      </x:c>
      <x:c r="B29" s="18" t="str">
        <x:v>HUANG24_CONTRA_vs_SHAM_VASD1</x:v>
      </x:c>
      <x:c r="C29" s="18" t="str">
        <x:v>Contralateral EA</x:v>
      </x:c>
      <x:c r="D29" s="18" t="str">
        <x:v>Bilateral sham EA</x:v>
      </x:c>
      <x:c r="E29" s="18" t="str">
        <x:v>VAS during walking/knee movement</x:v>
      </x:c>
      <x:c r="F29" s="18" t="str">
        <x:v>POD1</x:v>
      </x:c>
      <x:c r="G29" s="18" t="str">
        <x:v>Mean/SD</x:v>
      </x:c>
      <x:c r="H29" s="18" t="n">
        <x:v>38</x:v>
      </x:c>
      <x:c r="I29" s="18" t="n">
        <x:v>38</x:v>
      </x:c>
      <x:c r="J29" s="18" t="n">
        <x:v>38</x:v>
      </x:c>
      <x:c r="K29" s="18" t="n">
        <x:v>38</x:v>
      </x:c>
      <x:c r="L29" s="18" t="n">
        <x:v>53.16</x:v>
      </x:c>
      <x:c r="M29" s="18" t="n">
        <x:v>9.99</x:v>
      </x:c>
      <x:c r="N29" s="18"/>
      <x:c r="O29" s="18"/>
      <x:c r="P29" s="18"/>
      <x:c r="Q29" s="18"/>
      <x:c r="R29" s="18" t="n">
        <x:v>56.71</x:v>
      </x:c>
      <x:c r="S29" s="18" t="n">
        <x:v>9.84</x:v>
      </x:c>
      <x:c r="T29" s="18"/>
      <x:c r="U29" s="18"/>
      <x:c r="V29" s="18"/>
      <x:c r="W29" s="18"/>
      <x:c r="X29" s="18" t="str">
        <x:v>VAS 0-100</x:v>
      </x:c>
      <x:c r="Y29" s="18" t="str">
        <x:v>Adjusted pairwise not significant on Day 1</x:v>
      </x:c>
      <x:c r="Z29" s="18" t="str">
        <x:v>MD</x:v>
      </x:c>
      <x:c r="AA29" s="18" t="n">
        <x:v>-3.5500000000000043</x:v>
      </x:c>
      <x:c r="AB29" s="18" t="str">
        <x:v>CONDITIONAL — POD1</x:v>
      </x:c>
      <x:c r="AC29" s="18" t="str">
        <x:v>POD1/day-after-surgery is not necessarily a clock-defined 24-h measurement; pool only if protocol permits.</x:v>
      </x:c>
      <x:c r="AD29" s="18"/>
      <x:c r="AE29" s="18" t="str">
        <x:v>None</x:v>
      </x:c>
      <x:c r="AF29" s="18" t="str">
        <x:v>Some concerns</x:v>
      </x:c>
      <x:c r="AG29" s="18" t="str">
        <x:v>No — selected RoB matches this result</x:v>
      </x:c>
      <x:c r="AH29" s="18" t="str">
        <x:v>Huang 2024</x:v>
      </x:c>
      <x:c r="AI29" s="18" t="str">
        <x:v>Laterality-arm contrast</x:v>
      </x:c>
      <x:c r="AJ29" s="18" t="str">
        <x:v>Three-arm trial with shared sham; contralateral and ipsilateral EA are not independent studies.</x:v>
      </x:c>
      <x:c r="AK29" s="18" t="str">
        <x:v>Three-arm trial; 6 did not complete allocated intervention but authors state ITT and follow-up was obtained for all 114</x:v>
      </x:c>
      <x:c r="AL29" s="18" t="str">
        <x:v>https://drive.google.com/file/d/1z-76QoxqmtMRV32wOpem7jAyDnuD6fb8/view?usp=drivesdk</x:v>
      </x:c>
    </x:row>
    <x:row r="30">
      <x:c r="A30" s="18" t="str">
        <x:v>Huang 2024</x:v>
      </x:c>
      <x:c r="B30" s="18" t="str">
        <x:v>HUANG24_IPSI_vs_SHAM_VASD1</x:v>
      </x:c>
      <x:c r="C30" s="18" t="str">
        <x:v>Ipsilateral EA</x:v>
      </x:c>
      <x:c r="D30" s="18" t="str">
        <x:v>Bilateral sham EA</x:v>
      </x:c>
      <x:c r="E30" s="18" t="str">
        <x:v>VAS during walking/knee movement</x:v>
      </x:c>
      <x:c r="F30" s="18" t="str">
        <x:v>POD1</x:v>
      </x:c>
      <x:c r="G30" s="18" t="str">
        <x:v>Mean/SD</x:v>
      </x:c>
      <x:c r="H30" s="18" t="n">
        <x:v>38</x:v>
      </x:c>
      <x:c r="I30" s="18" t="n">
        <x:v>38</x:v>
      </x:c>
      <x:c r="J30" s="18" t="n">
        <x:v>38</x:v>
      </x:c>
      <x:c r="K30" s="18" t="n">
        <x:v>38</x:v>
      </x:c>
      <x:c r="L30" s="18" t="n">
        <x:v>53.5</x:v>
      </x:c>
      <x:c r="M30" s="18" t="n">
        <x:v>10.79</x:v>
      </x:c>
      <x:c r="N30" s="18"/>
      <x:c r="O30" s="18"/>
      <x:c r="P30" s="18"/>
      <x:c r="Q30" s="18"/>
      <x:c r="R30" s="18" t="n">
        <x:v>56.71</x:v>
      </x:c>
      <x:c r="S30" s="18" t="n">
        <x:v>9.84</x:v>
      </x:c>
      <x:c r="T30" s="18"/>
      <x:c r="U30" s="18"/>
      <x:c r="V30" s="18"/>
      <x:c r="W30" s="18"/>
      <x:c r="X30" s="18" t="str">
        <x:v>VAS 0-100</x:v>
      </x:c>
      <x:c r="Y30" s="18" t="str">
        <x:v>Adjusted pairwise not significant on Day 1</x:v>
      </x:c>
      <x:c r="Z30" s="18" t="str">
        <x:v>MD</x:v>
      </x:c>
      <x:c r="AA30" s="18" t="n">
        <x:v>-3.210000000000001</x:v>
      </x:c>
      <x:c r="AB30" s="18" t="str">
        <x:v>CONDITIONAL — POD1</x:v>
      </x:c>
      <x:c r="AC30" s="18" t="str">
        <x:v>POD1/day-after-surgery is not necessarily a clock-defined 24-h measurement; pool only if protocol permits.</x:v>
      </x:c>
      <x:c r="AD30" s="18"/>
      <x:c r="AE30" s="18" t="str">
        <x:v>None</x:v>
      </x:c>
      <x:c r="AF30" s="18" t="str">
        <x:v>Some concerns</x:v>
      </x:c>
      <x:c r="AG30" s="18" t="str">
        <x:v>No — selected RoB matches this result</x:v>
      </x:c>
      <x:c r="AH30" s="18" t="str">
        <x:v>Huang 2024</x:v>
      </x:c>
      <x:c r="AI30" s="18" t="str">
        <x:v>Laterality-arm contrast</x:v>
      </x:c>
      <x:c r="AJ30" s="18" t="str">
        <x:v>Three-arm trial with shared sham; contralateral and ipsilateral EA are not independent studies.</x:v>
      </x:c>
      <x:c r="AK30" s="18" t="str">
        <x:v>Three-arm trial; 6 did not complete allocated intervention but authors state ITT and follow-up was obtained for all 114</x:v>
      </x:c>
      <x:c r="AL30" s="18" t="str">
        <x:v>https://drive.google.com/file/d/1z-76QoxqmtMRV32wOpem7jAyDnuD6fb8/view?usp=drivesdk</x:v>
      </x:c>
    </x:row>
    <x:row r="31">
      <x:c r="A31" s="18" t="str">
        <x:v>Hou 2023</x:v>
      </x:c>
      <x:c r="B31" s="18" t="str">
        <x:v>HOU23_TEAS_vs_SHAM_PAIN_D2</x:v>
      </x:c>
      <x:c r="C31" s="18" t="str">
        <x:v>Perioperative TEAS</x:v>
      </x:c>
      <x:c r="D31" s="18" t="str">
        <x:v>Sham/no-current TEAS</x:v>
      </x:c>
      <x:c r="E31" s="18" t="str">
        <x:v>VAS-P pain</x:v>
      </x:c>
      <x:c r="F31" s="18" t="str">
        <x:v>D2 = one day after surgery, not exact clock-time 24 h</x:v>
      </x:c>
      <x:c r="G31" s="18" t="str">
        <x:v>Median/IQR</x:v>
      </x:c>
      <x:c r="H31" s="18" t="n">
        <x:v>37</x:v>
      </x:c>
      <x:c r="I31" s="18" t="n">
        <x:v>37</x:v>
      </x:c>
      <x:c r="J31" s="18" t="n">
        <x:v>36</x:v>
      </x:c>
      <x:c r="K31" s="18" t="n">
        <x:v>36</x:v>
      </x:c>
      <x:c r="L31" s="18"/>
      <x:c r="M31" s="18"/>
      <x:c r="N31" s="18" t="n">
        <x:v>30</x:v>
      </x:c>
      <x:c r="O31" s="18" t="n">
        <x:v>30</x:v>
      </x:c>
      <x:c r="P31" s="18" t="n">
        <x:v>47.5</x:v>
      </x:c>
      <x:c r="Q31" s="18"/>
      <x:c r="R31" s="18"/>
      <x:c r="S31" s="18"/>
      <x:c r="T31" s="18" t="n">
        <x:v>55</x:v>
      </x:c>
      <x:c r="U31" s="18" t="n">
        <x:v>40</x:v>
      </x:c>
      <x:c r="V31" s="18" t="n">
        <x:v>60</x:v>
      </x:c>
      <x:c r="W31" s="18"/>
      <x:c r="X31" s="18" t="str">
        <x:v>VAS 0-100 mm</x:v>
      </x:c>
      <x:c r="Y31" s="18" t="str">
        <x:v>0.001</x:v>
      </x:c>
      <x:c r="Z31" s="18"/>
      <x:c r="AA31" s="18"/>
      <x:c r="AB31" s="18" t="str">
        <x:v>CONDITIONAL — POD1</x:v>
      </x:c>
      <x:c r="AC31" s="18" t="str">
        <x:v>POD1/day-after-surgery is not necessarily a clock-defined 24-h measurement; pool only if protocol permits.</x:v>
      </x:c>
      <x:c r="AD31" s="18"/>
      <x:c r="AE31" s="18" t="str">
        <x:v>Use median/IQR-compatible meta-analysis method; do not relabel as mean/SD</x:v>
      </x:c>
      <x:c r="AF31" s="18" t="str">
        <x:v>Some concerns</x:v>
      </x:c>
      <x:c r="AG31" s="18" t="str">
        <x:v>Yes — selected RoB is for a different result/timepoint</x:v>
      </x:c>
      <x:c r="AH31" s="18" t="str">
        <x:v>Hou 2023</x:v>
      </x:c>
      <x:c r="AI31" s="18" t="str">
        <x:v>Primary eligible contrast</x:v>
      </x:c>
      <x:c r="AJ31" s="18" t="str">
        <x:v>Count this study once per synthesis unless a valid multi-arm method is used.</x:v>
      </x:c>
      <x:c r="AK31" s="18" t="str">
        <x:v>D2 is author-defined as one day after surgery; do not silently label it exact 24 h</x:v>
      </x:c>
      <x:c r="AL31" s="18" t="str">
        <x:v>https://drive.google.com/file/d/161WdTRehgwvDHvQ8OkRf8U9TbUmVQgaR/view?usp=drivesdk</x:v>
      </x:c>
    </x:row>
    <x:row r="32">
      <x:c r="A32" s="18" t="str">
        <x:v>He 2026 (breast/WJCO)</x:v>
      </x:c>
      <x:c r="B32" s="18" t="str">
        <x:v>HEBREAST26_EA_vs_SHAM_MODMOV24</x:v>
      </x:c>
      <x:c r="C32" s="18" t="str">
        <x:v>Perioperative EA + flurbiprofen</x:v>
      </x:c>
      <x:c r="D32" s="18" t="str">
        <x:v>Sham acupuncture + flurbiprofen</x:v>
      </x:c>
      <x:c r="E32" s="18" t="str">
        <x:v>Moderate-to-severe movement-evoked pain (VAS &gt;4)</x:v>
      </x:c>
      <x:c r="F32" s="18" t="str">
        <x:v>24 h</x:v>
      </x:c>
      <x:c r="G32" s="18" t="str">
        <x:v>Events/total</x:v>
      </x:c>
      <x:c r="H32" s="18" t="n">
        <x:v>65</x:v>
      </x:c>
      <x:c r="I32" s="18" t="n">
        <x:v>65</x:v>
      </x:c>
      <x:c r="J32" s="18" t="n">
        <x:v>65</x:v>
      </x:c>
      <x:c r="K32" s="18" t="n">
        <x:v>65</x:v>
      </x:c>
      <x:c r="L32" s="18"/>
      <x:c r="M32" s="18"/>
      <x:c r="N32" s="18"/>
      <x:c r="O32" s="18"/>
      <x:c r="P32" s="18"/>
      <x:c r="Q32" s="18" t="n">
        <x:v>32</x:v>
      </x:c>
      <x:c r="R32" s="18"/>
      <x:c r="S32" s="18"/>
      <x:c r="T32" s="18"/>
      <x:c r="U32" s="18"/>
      <x:c r="V32" s="18"/>
      <x:c r="W32" s="18" t="n">
        <x:v>42</x:v>
      </x:c>
      <x:c r="X32" s="18" t="str">
        <x:v>participants</x:v>
      </x:c>
      <x:c r="Y32" s="18" t="str">
        <x:v>&lt;0.05</x:v>
      </x:c>
      <x:c r="Z32" s="18" t="str">
        <x:v>RR</x:v>
      </x:c>
      <x:c r="AA32" s="18" t="n">
        <x:v>0.7619047619047619</x:v>
      </x:c>
      <x:c r="AB32" s="18" t="str">
        <x:v>INCLUDE</x:v>
      </x:c>
      <x:c r="AC32" s="18" t="str">
        <x:v>Explicit 24-h pain endpoint with quantitative source data.</x:v>
      </x:c>
      <x:c r="AD32" s="18"/>
      <x:c r="AE32" s="18" t="str">
        <x:v>Binary effect measure (RR preferred per protocol)</x:v>
      </x:c>
      <x:c r="AF32" s="18" t="str">
        <x:v>Some concerns</x:v>
      </x:c>
      <x:c r="AG32" s="18" t="str">
        <x:v>No — selected RoB matches this result</x:v>
      </x:c>
      <x:c r="AH32" s="18" t="str">
        <x:v>He 2026 (breast/WJCO)</x:v>
      </x:c>
      <x:c r="AI32" s="18" t="str">
        <x:v>Primary eligible contrast</x:v>
      </x:c>
      <x:c r="AJ32" s="18" t="str">
        <x:v>Count this study once per synthesis unless a valid multi-arm method is used.</x:v>
      </x:c>
      <x:c r="AK32" s="18" t="str">
        <x:v>All 130 analyzed; participant masking intended with shallow sham puncture, but sensory differences were possible</x:v>
      </x:c>
      <x:c r="AL32" s="18" t="str">
        <x:v>https://drive.google.com/file/d/1D6Js5nTN2AwL5-BB-NIJVoCKVtcbcczH/view?usp=drivesdk</x:v>
      </x:c>
    </x:row>
    <x:row r="33">
      <x:c r="A33" s="18" t="str">
        <x:v>He 2026 (breast/WJCO)</x:v>
      </x:c>
      <x:c r="B33" s="18" t="str">
        <x:v>HEBREAST26_EA_vs_SHAM_VASMOV24</x:v>
      </x:c>
      <x:c r="C33" s="18" t="str">
        <x:v>Perioperative EA + flurbiprofen</x:v>
      </x:c>
      <x:c r="D33" s="18" t="str">
        <x:v>Sham acupuncture + flurbiprofen</x:v>
      </x:c>
      <x:c r="E33" s="18" t="str">
        <x:v>Movement VAS</x:v>
      </x:c>
      <x:c r="F33" s="18" t="str">
        <x:v>24 h</x:v>
      </x:c>
      <x:c r="G33" s="18" t="str">
        <x:v>Mean/SD</x:v>
      </x:c>
      <x:c r="H33" s="18" t="n">
        <x:v>65</x:v>
      </x:c>
      <x:c r="I33" s="18" t="n">
        <x:v>65</x:v>
      </x:c>
      <x:c r="J33" s="18" t="n">
        <x:v>65</x:v>
      </x:c>
      <x:c r="K33" s="18" t="n">
        <x:v>65</x:v>
      </x:c>
      <x:c r="L33" s="18" t="n">
        <x:v>2.862</x:v>
      </x:c>
      <x:c r="M33" s="18" t="n">
        <x:v>0.233</x:v>
      </x:c>
      <x:c r="N33" s="18"/>
      <x:c r="O33" s="18"/>
      <x:c r="P33" s="18"/>
      <x:c r="Q33" s="18"/>
      <x:c r="R33" s="18" t="n">
        <x:v>3.954</x:v>
      </x:c>
      <x:c r="S33" s="18" t="n">
        <x:v>0.233</x:v>
      </x:c>
      <x:c r="T33" s="18"/>
      <x:c r="U33" s="18"/>
      <x:c r="V33" s="18"/>
      <x:c r="W33" s="18"/>
      <x:c r="X33" s="18" t="str">
        <x:v>VAS</x:v>
      </x:c>
      <x:c r="Y33" s="18" t="str">
        <x:v>&lt;0.01</x:v>
      </x:c>
      <x:c r="Z33" s="18" t="str">
        <x:v>MD</x:v>
      </x:c>
      <x:c r="AA33" s="18" t="n">
        <x:v>-1.092</x:v>
      </x:c>
      <x:c r="AB33" s="18" t="str">
        <x:v>INCLUDE</x:v>
      </x:c>
      <x:c r="AC33" s="18" t="str">
        <x:v>Explicit 24-h pain endpoint with quantitative source data.</x:v>
      </x:c>
      <x:c r="AD33" s="18"/>
      <x:c r="AE33" s="18" t="str">
        <x:v>None</x:v>
      </x:c>
      <x:c r="AF33" s="18" t="str">
        <x:v>Some concerns</x:v>
      </x:c>
      <x:c r="AG33" s="18" t="str">
        <x:v>Yes — selected RoB is for a different result/timepoint</x:v>
      </x:c>
      <x:c r="AH33" s="18" t="str">
        <x:v>He 2026 (breast/WJCO)</x:v>
      </x:c>
      <x:c r="AI33" s="18" t="str">
        <x:v>Primary eligible contrast</x:v>
      </x:c>
      <x:c r="AJ33" s="18" t="str">
        <x:v>Count this study once per synthesis unless a valid multi-arm method is used.</x:v>
      </x:c>
      <x:c r="AK33" s="18" t="str">
        <x:v>Article labels values mean±SD, but identical very small dispersions across arms/timepoints warrant source-verification caution</x:v>
      </x:c>
      <x:c r="AL33" s="18" t="str">
        <x:v>https://drive.google.com/file/d/1D6Js5nTN2AwL5-BB-NIJVoCKVtcbcczH/view?usp=drivesdk</x:v>
      </x:c>
    </x:row>
    <x:row r="34">
      <x:c r="A34" s="18" t="str">
        <x:v>He 2026 (breast/WJCO)</x:v>
      </x:c>
      <x:c r="B34" s="18" t="str">
        <x:v>HEBREAST26_EA_vs_SHAM_VASREST24</x:v>
      </x:c>
      <x:c r="C34" s="18" t="str">
        <x:v>Perioperative EA + flurbiprofen</x:v>
      </x:c>
      <x:c r="D34" s="18" t="str">
        <x:v>Sham acupuncture + flurbiprofen</x:v>
      </x:c>
      <x:c r="E34" s="18" t="str">
        <x:v>Resting VAS</x:v>
      </x:c>
      <x:c r="F34" s="18" t="str">
        <x:v>24 h</x:v>
      </x:c>
      <x:c r="G34" s="18" t="str">
        <x:v>Mean/SD</x:v>
      </x:c>
      <x:c r="H34" s="18" t="n">
        <x:v>65</x:v>
      </x:c>
      <x:c r="I34" s="18" t="n">
        <x:v>65</x:v>
      </x:c>
      <x:c r="J34" s="18" t="n">
        <x:v>65</x:v>
      </x:c>
      <x:c r="K34" s="18" t="n">
        <x:v>65</x:v>
      </x:c>
      <x:c r="L34" s="18" t="n">
        <x:v>1.789</x:v>
      </x:c>
      <x:c r="M34" s="18" t="n">
        <x:v>0.174</x:v>
      </x:c>
      <x:c r="N34" s="18"/>
      <x:c r="O34" s="18"/>
      <x:c r="P34" s="18"/>
      <x:c r="Q34" s="18"/>
      <x:c r="R34" s="18" t="n">
        <x:v>2.692</x:v>
      </x:c>
      <x:c r="S34" s="18" t="n">
        <x:v>0.174</x:v>
      </x:c>
      <x:c r="T34" s="18"/>
      <x:c r="U34" s="18"/>
      <x:c r="V34" s="18"/>
      <x:c r="W34" s="18"/>
      <x:c r="X34" s="18" t="str">
        <x:v>VAS</x:v>
      </x:c>
      <x:c r="Y34" s="18" t="str">
        <x:v>&lt;0.01</x:v>
      </x:c>
      <x:c r="Z34" s="18" t="str">
        <x:v>MD</x:v>
      </x:c>
      <x:c r="AA34" s="18" t="n">
        <x:v>-0.9030000000000002</x:v>
      </x:c>
      <x:c r="AB34" s="18" t="str">
        <x:v>INCLUDE</x:v>
      </x:c>
      <x:c r="AC34" s="18" t="str">
        <x:v>Explicit 24-h pain endpoint with quantitative source data.</x:v>
      </x:c>
      <x:c r="AD34" s="18"/>
      <x:c r="AE34" s="18" t="str">
        <x:v>None</x:v>
      </x:c>
      <x:c r="AF34" s="18" t="str">
        <x:v>Some concerns</x:v>
      </x:c>
      <x:c r="AG34" s="18" t="str">
        <x:v>Yes — selected RoB is for a different result/timepoint</x:v>
      </x:c>
      <x:c r="AH34" s="18" t="str">
        <x:v>He 2026 (breast/WJCO)</x:v>
      </x:c>
      <x:c r="AI34" s="18" t="str">
        <x:v>Primary eligible contrast</x:v>
      </x:c>
      <x:c r="AJ34" s="18" t="str">
        <x:v>Count this study once per synthesis unless a valid multi-arm method is used.</x:v>
      </x:c>
      <x:c r="AK34" s="18" t="str">
        <x:v>Same dispersion-format caution as movement VAS</x:v>
      </x:c>
      <x:c r="AL34" s="18" t="str">
        <x:v>https://drive.google.com/file/d/1D6Js5nTN2AwL5-BB-NIJVoCKVtcbcczH/view?usp=drivesdk</x:v>
      </x:c>
    </x:row>
    <x:row r="35">
      <x:c r="A35" s="18" t="str">
        <x:v>Gu 2019</x:v>
      </x:c>
      <x:c r="B35" s="18" t="str">
        <x:v>GU19_LTEAS_vs_CTEAS_VAS24</x:v>
      </x:c>
      <x:c r="C35" s="18" t="str">
        <x:v>Long-duration TEAS</x:v>
      </x:c>
      <x:c r="D35" s="18" t="str">
        <x:v>Sham/no-current TEAS</x:v>
      </x:c>
      <x:c r="E35" s="18" t="str">
        <x:v>VAS pain intensity</x:v>
      </x:c>
      <x:c r="F35" s="18" t="str">
        <x:v>24 h</x:v>
      </x:c>
      <x:c r="G35" s="18" t="str">
        <x:v>Mean/SD</x:v>
      </x:c>
      <x:c r="H35" s="18" t="n">
        <x:v>60</x:v>
      </x:c>
      <x:c r="I35" s="18" t="n">
        <x:v>60</x:v>
      </x:c>
      <x:c r="J35" s="18" t="n">
        <x:v>58</x:v>
      </x:c>
      <x:c r="K35" s="18" t="n">
        <x:v>59</x:v>
      </x:c>
      <x:c r="L35" s="18" t="n">
        <x:v>1.98</x:v>
      </x:c>
      <x:c r="M35" s="18" t="n">
        <x:v>0.39</x:v>
      </x:c>
      <x:c r="N35" s="18"/>
      <x:c r="O35" s="18"/>
      <x:c r="P35" s="18"/>
      <x:c r="Q35" s="18"/>
      <x:c r="R35" s="18" t="n">
        <x:v>2.72</x:v>
      </x:c>
      <x:c r="S35" s="18" t="n">
        <x:v>0.73</x:v>
      </x:c>
      <x:c r="T35" s="18"/>
      <x:c r="U35" s="18"/>
      <x:c r="V35" s="18"/>
      <x:c r="W35" s="18"/>
      <x:c r="X35" s="18" t="str">
        <x:v>VAS 0-10</x:v>
      </x:c>
      <x:c r="Y35" s="18" t="str">
        <x:v>&lt;0.05</x:v>
      </x:c>
      <x:c r="Z35" s="18" t="str">
        <x:v>MD</x:v>
      </x:c>
      <x:c r="AA35" s="18" t="n">
        <x:v>-0.7400000000000002</x:v>
      </x:c>
      <x:c r="AB35" s="18" t="str">
        <x:v>INCLUDE</x:v>
      </x:c>
      <x:c r="AC35" s="18" t="str">
        <x:v>Explicit 24-h pain endpoint with quantitative source data.</x:v>
      </x:c>
      <x:c r="AD35" s="18"/>
      <x:c r="AE35" s="18" t="str">
        <x:v>None</x:v>
      </x:c>
      <x:c r="AF35" s="18" t="str">
        <x:v>Some concerns</x:v>
      </x:c>
      <x:c r="AG35" s="18" t="str">
        <x:v>Yes — selected RoB is for a different result/timepoint</x:v>
      </x:c>
      <x:c r="AH35" s="18" t="str">
        <x:v>Gu 2019</x:v>
      </x:c>
      <x:c r="AI35" s="18" t="str">
        <x:v>Primary eligible contrast</x:v>
      </x:c>
      <x:c r="AJ35" s="18" t="str">
        <x:v>Count this study once per synthesis unless a valid multi-arm method is used.</x:v>
      </x:c>
      <x:c r="AK35" s="18" t="str">
        <x:v>Three randomized patients excluded; active 5-30 mA stimulation vs sham no current with no blinding-success assessment</x:v>
      </x:c>
      <x:c r="AL35" s="18" t="str">
        <x:v>https://drive.google.com/file/d/1ipQFXfERgAVmgNKMpLkvaaecYJVSTDiw/view?usp=drivesdk</x:v>
      </x:c>
    </x:row>
    <x:row r="36">
      <x:c r="A36" s="18" t="str">
        <x:v>Guo 2023</x:v>
      </x:c>
      <x:c r="B36" s="18" t="str">
        <x:v>GUO23_PAINPOD1</x:v>
      </x:c>
      <x:c r="C36" s="18" t="str">
        <x:v>Perioperative TEAS</x:v>
      </x:c>
      <x:c r="D36" s="18" t="str">
        <x:v>Sham/no-current TEAS</x:v>
      </x:c>
      <x:c r="E36" s="18" t="str">
        <x:v>NRS pain intensity</x:v>
      </x:c>
      <x:c r="F36" s="18" t="str">
        <x:v>POD1</x:v>
      </x:c>
      <x:c r="G36" s="18" t="str">
        <x:v>Graph-only continuous data</x:v>
      </x:c>
      <x:c r="H36" s="18" t="n">
        <x:v>64</x:v>
      </x:c>
      <x:c r="I36" s="18" t="n">
        <x:v>64</x:v>
      </x:c>
      <x:c r="J36" s="18" t="n">
        <x:v>55</x:v>
      </x:c>
      <x:c r="K36" s="18" t="n">
        <x:v>55</x:v>
      </x:c>
      <x:c r="L36" s="18"/>
      <x:c r="M36" s="18"/>
      <x:c r="N36" s="18"/>
      <x:c r="O36" s="18"/>
      <x:c r="P36" s="18"/>
      <x:c r="Q36" s="18"/>
      <x:c r="R36" s="18"/>
      <x:c r="S36" s="18"/>
      <x:c r="T36" s="18"/>
      <x:c r="U36" s="18"/>
      <x:c r="V36" s="18"/>
      <x:c r="W36" s="18"/>
      <x:c r="X36" s="18" t="str">
        <x:v>NRS</x:v>
      </x:c>
      <x:c r="Y36" s="18" t="str">
        <x:v>&lt;0.001</x:v>
      </x:c>
      <x:c r="Z36" s="18"/>
      <x:c r="AA36" s="18"/>
      <x:c r="AB36" s="18" t="str">
        <x:v>DIGITIZATION NEEDED</x:v>
      </x:c>
      <x:c r="AC36" s="18" t="str">
        <x:v>Exact numeric result is not tabulated; formal graph digitization or author data is required before quantitative pooling.</x:v>
      </x:c>
      <x:c r="AD36" s="18"/>
      <x:c r="AE36" s="18" t="str">
        <x:v>None</x:v>
      </x:c>
      <x:c r="AF36" s="18" t="str">
        <x:v>High</x:v>
      </x:c>
      <x:c r="AG36" s="18" t="str">
        <x:v>Yes — selected RoB is for a different result/timepoint</x:v>
      </x:c>
      <x:c r="AH36" s="18" t="str">
        <x:v>Guo 2023</x:v>
      </x:c>
      <x:c r="AI36" s="18" t="str">
        <x:v>Primary eligible contrast</x:v>
      </x:c>
      <x:c r="AJ36" s="18" t="str">
        <x:v>Count this study once per synthesis unless a valid multi-arm method is used.</x:v>
      </x:c>
      <x:c r="AK36" s="18" t="str">
        <x:v>Exact means/SDs are figure-only</x:v>
      </x:c>
      <x:c r="AL36" s="18" t="str">
        <x:v>https://drive.google.com/file/d/1Idfl7rfZhgAUJHDpsmgzp17ADiGvrU8C/view?usp=drivesdk</x:v>
      </x:c>
    </x:row>
    <x:row r="37">
      <x:c r="A37" s="18" t="str">
        <x:v>Grech 2016</x:v>
      </x:c>
      <x:c r="B37" s="18" t="str">
        <x:v>GRECH16_EA_vs_CTRL_PAIN</x:v>
      </x:c>
      <x:c r="C37" s="18" t="str">
        <x:v>Intraoperative low-frequency EA</x:v>
      </x:c>
      <x:c r="D37" s="18" t="str">
        <x:v>Sham/control</x:v>
      </x:c>
      <x:c r="E37" s="18" t="str">
        <x:v>Postoperative VAS pain</x:v>
      </x:c>
      <x:c r="F37" s="18" t="str">
        <x:v>PACU and POD1-3</x:v>
      </x:c>
      <x:c r="G37" s="18" t="str">
        <x:v>Graph-only continuous data</x:v>
      </x:c>
      <x:c r="H37" s="18" t="n">
        <x:v>11</x:v>
      </x:c>
      <x:c r="I37" s="18" t="n">
        <x:v>9</x:v>
      </x:c>
      <x:c r="J37" s="18"/>
      <x:c r="K37" s="18"/>
      <x:c r="L37" s="18"/>
      <x:c r="M37" s="18"/>
      <x:c r="N37" s="18"/>
      <x:c r="O37" s="18"/>
      <x:c r="P37" s="18"/>
      <x:c r="Q37" s="18"/>
      <x:c r="R37" s="18"/>
      <x:c r="S37" s="18"/>
      <x:c r="T37" s="18"/>
      <x:c r="U37" s="18"/>
      <x:c r="V37" s="18"/>
      <x:c r="W37" s="18"/>
      <x:c r="X37" s="18" t="str">
        <x:v>VAS 0-10</x:v>
      </x:c>
      <x:c r="Y37" s="18" t="str">
        <x:v>No significant overall difference</x:v>
      </x:c>
      <x:c r="Z37" s="18"/>
      <x:c r="AA37" s="18"/>
      <x:c r="AB37" s="18" t="str">
        <x:v>DIGITIZATION NEEDED</x:v>
      </x:c>
      <x:c r="AC37" s="18" t="str">
        <x:v>Exact numeric result is not tabulated; formal graph digitization or author data is required before quantitative pooling.</x:v>
      </x:c>
      <x:c r="AD37" s="18"/>
      <x:c r="AE37" s="18" t="str">
        <x:v>None</x:v>
      </x:c>
      <x:c r="AF37" s="18" t="str">
        <x:v>High</x:v>
      </x:c>
      <x:c r="AG37" s="18" t="str">
        <x:v>Yes — selected RoB is for a different result/timepoint</x:v>
      </x:c>
      <x:c r="AH37" s="18" t="str">
        <x:v>Grech 2016</x:v>
      </x:c>
      <x:c r="AI37" s="18" t="str">
        <x:v>Primary eligible contrast</x:v>
      </x:c>
      <x:c r="AJ37" s="18" t="str">
        <x:v>Count this study once per synthesis unless a valid multi-arm method is used.</x:v>
      </x:c>
      <x:c r="AK37" s="18" t="str">
        <x:v>Exact numeric pain means/SEM are not tabulated</x:v>
      </x:c>
      <x:c r="AL37" s="18" t="str">
        <x:v>https://drive.google.com/file/d/1U3KShiAZKL8n9hxSpBkhuhuQHW2EN-IY/view?usp=drivesdk</x:v>
      </x:c>
    </x:row>
  </x:sheetData>
  <x:conditionalFormatting sqref="AB2:AB37">
    <x:cfRule type="expression" dxfId="50" priority="1">
      <x:formula>LEFT(AB2,7)="INCLUDE"</x:formula>
    </x:cfRule>
    <x:cfRule type="expression" dxfId="51" priority="2">
      <x:formula>LEFT(AB2,11)="CONDITIONAL"</x:formula>
    </x:cfRule>
    <x:cfRule type="expression" dxfId="52" priority="3">
      <x:formula>LEFT(AB2,7)="EXCLUDE"</x:formula>
    </x:cfRule>
    <x:cfRule type="expression" dxfId="53" priority="4">
      <x:formula>AB2="DUPLICATE HOLD"</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Zhu 2022</x:v>
      </x:c>
      <x:c r="B2" s="18" t="str">
        <x:v>ZHU22_PRE_vs_USUAL_PON</x:v>
      </x:c>
      <x:c r="C2" s="18" t="str">
        <x:v>EA day before surgery</x:v>
      </x:c>
      <x:c r="D2" s="18" t="str">
        <x:v>Usual care alone</x:v>
      </x:c>
      <x:c r="E2" s="18" t="str">
        <x:v>Postoperative nausea</x:v>
      </x:c>
      <x:c r="F2" s="18" t="str">
        <x:v>6-24 h postoperatively</x:v>
      </x:c>
      <x:c r="G2" s="18" t="str">
        <x:v>Events/total</x:v>
      </x:c>
      <x:c r="H2" s="18" t="n">
        <x:v>103</x:v>
      </x:c>
      <x:c r="I2" s="18" t="n">
        <x:v>104</x:v>
      </x:c>
      <x:c r="J2" s="18" t="n">
        <x:v>101</x:v>
      </x:c>
      <x:c r="K2" s="18" t="n">
        <x:v>101</x:v>
      </x:c>
      <x:c r="L2" s="18"/>
      <x:c r="M2" s="18"/>
      <x:c r="N2" s="18"/>
      <x:c r="O2" s="18"/>
      <x:c r="P2" s="18"/>
      <x:c r="Q2" s="18" t="n">
        <x:v>11</x:v>
      </x:c>
      <x:c r="R2" s="18"/>
      <x:c r="S2" s="18"/>
      <x:c r="T2" s="18"/>
      <x:c r="U2" s="18"/>
      <x:c r="V2" s="18"/>
      <x:c r="W2" s="18" t="n">
        <x:v>27</x:v>
      </x:c>
      <x:c r="X2" s="18" t="str">
        <x:v>participants with nausea</x:v>
      </x:c>
      <x:c r="Y2" s="18" t="str">
        <x:v>0.024</x:v>
      </x:c>
      <x:c r="Z2" s="18" t="str">
        <x:v>RR</x:v>
      </x:c>
      <x:c r="AA2" s="18" t="n">
        <x:v>0.4074074074074074</x:v>
      </x:c>
      <x:c r="AB2" s="18" t="str">
        <x:v>CONDITIONAL</x:v>
      </x:c>
      <x:c r="AC2" s="18" t="str">
        <x:v>Valid PONV result, but the postoperative observation window should be matched to the intended synthesis.</x:v>
      </x:c>
      <x:c r="AD2" s="18"/>
      <x:c r="AE2" s="18" t="str">
        <x:v>Binary effect measure (RR preferred per protocol)</x:v>
      </x:c>
      <x:c r="AF2" s="18" t="str">
        <x:v>Some concerns</x:v>
      </x:c>
      <x:c r="AG2" s="18" t="str">
        <x:v>Yes — selected RoB is for a different result/timepoint</x:v>
      </x:c>
      <x:c r="AH2" s="18" t="str">
        <x:v>Zhu 2022</x:v>
      </x:c>
      <x:c r="AI2" s="18" t="str">
        <x:v>Shared-control / multi-arm contrast</x:v>
      </x:c>
      <x:c r="AJ2" s="18" t="str">
        <x:v>Shared comparator present; avoid double-counting controls.</x:v>
      </x:c>
      <x:c r="AK2" s="18" t="str">
        <x:v>Four-arm RCT; no sham; analysis denominators differ from randomized denominators</x:v>
      </x:c>
      <x:c r="AL2" s="18" t="str">
        <x:v>https://drive.google.com/file/d/1vux5IaubjInusplW6GJ2SsxhzibtSCe-/view?usp=drivesdk</x:v>
      </x:c>
    </x:row>
    <x:row r="3">
      <x:c r="A3" s="18" t="str">
        <x:v>Zhu 2022</x:v>
      </x:c>
      <x:c r="B3" s="18" t="str">
        <x:v>ZHU22_PRE_vs_USUAL_POV</x:v>
      </x:c>
      <x:c r="C3" s="18" t="str">
        <x:v>EA day before surgery</x:v>
      </x:c>
      <x:c r="D3" s="18" t="str">
        <x:v>Usual care alone</x:v>
      </x:c>
      <x:c r="E3" s="18" t="str">
        <x:v>Postoperative vomiting</x:v>
      </x:c>
      <x:c r="F3" s="18" t="str">
        <x:v>6-24 h postoperatively</x:v>
      </x:c>
      <x:c r="G3" s="18" t="str">
        <x:v>Events/total</x:v>
      </x:c>
      <x:c r="H3" s="18" t="n">
        <x:v>103</x:v>
      </x:c>
      <x:c r="I3" s="18" t="n">
        <x:v>104</x:v>
      </x:c>
      <x:c r="J3" s="18" t="n">
        <x:v>101</x:v>
      </x:c>
      <x:c r="K3" s="18" t="n">
        <x:v>101</x:v>
      </x:c>
      <x:c r="L3" s="18"/>
      <x:c r="M3" s="18"/>
      <x:c r="N3" s="18"/>
      <x:c r="O3" s="18"/>
      <x:c r="P3" s="18"/>
      <x:c r="Q3" s="18" t="n">
        <x:v>5</x:v>
      </x:c>
      <x:c r="R3" s="18"/>
      <x:c r="S3" s="18"/>
      <x:c r="T3" s="18"/>
      <x:c r="U3" s="18"/>
      <x:c r="V3" s="18"/>
      <x:c r="W3" s="18" t="n">
        <x:v>22</x:v>
      </x:c>
      <x:c r="X3" s="18" t="str">
        <x:v>participants with vomiting</x:v>
      </x:c>
      <x:c r="Y3" s="18" t="str">
        <x:v>0.002</x:v>
      </x:c>
      <x:c r="Z3" s="18" t="str">
        <x:v>RR</x:v>
      </x:c>
      <x:c r="AA3" s="18" t="n">
        <x:v>0.2272727272727273</x:v>
      </x:c>
      <x:c r="AB3" s="18" t="str">
        <x:v>CONDITIONAL</x:v>
      </x:c>
      <x:c r="AC3" s="18" t="str">
        <x:v>Valid PONV result, but the postoperative observation window should be matched to the intended synthesis.</x:v>
      </x:c>
      <x:c r="AD3" s="18"/>
      <x:c r="AE3" s="18" t="str">
        <x:v>Binary effect measure (RR preferred per protocol)</x:v>
      </x:c>
      <x:c r="AF3" s="18" t="str">
        <x:v>Some concerns</x:v>
      </x:c>
      <x:c r="AG3" s="18" t="str">
        <x:v>No — selected RoB matches this result</x:v>
      </x:c>
      <x:c r="AH3" s="18" t="str">
        <x:v>Zhu 2022</x:v>
      </x:c>
      <x:c r="AI3" s="18" t="str">
        <x:v>Shared-control / multi-arm contrast</x:v>
      </x:c>
      <x:c r="AJ3" s="18" t="str">
        <x:v>Shared comparator present; avoid double-counting controls.</x:v>
      </x:c>
      <x:c r="AK3" s="18" t="str">
        <x:v>Four-arm RCT; no sham; use exact arm-specific analyzed denominators</x:v>
      </x:c>
      <x:c r="AL3" s="18" t="str">
        <x:v>https://drive.google.com/file/d/1vux5IaubjInusplW6GJ2SsxhzibtSCe-/view?usp=drivesdk</x:v>
      </x:c>
    </x:row>
    <x:row r="4">
      <x:c r="A4" s="18" t="str">
        <x:v>Zhu 2022</x:v>
      </x:c>
      <x:c r="B4" s="18" t="str">
        <x:v>ZHU22_30_vs_USUAL_PON</x:v>
      </x:c>
      <x:c r="C4" s="18" t="str">
        <x:v>EA 30 min before surgery</x:v>
      </x:c>
      <x:c r="D4" s="18" t="str">
        <x:v>Usual care alone</x:v>
      </x:c>
      <x:c r="E4" s="18" t="str">
        <x:v>Postoperative nausea</x:v>
      </x:c>
      <x:c r="F4" s="18" t="str">
        <x:v>6-24 h postoperatively</x:v>
      </x:c>
      <x:c r="G4" s="18" t="str">
        <x:v>Events/total</x:v>
      </x:c>
      <x:c r="H4" s="18" t="n">
        <x:v>103</x:v>
      </x:c>
      <x:c r="I4" s="18" t="n">
        <x:v>104</x:v>
      </x:c>
      <x:c r="J4" s="18" t="n">
        <x:v>98</x:v>
      </x:c>
      <x:c r="K4" s="18" t="n">
        <x:v>101</x:v>
      </x:c>
      <x:c r="L4" s="18"/>
      <x:c r="M4" s="18"/>
      <x:c r="N4" s="18"/>
      <x:c r="O4" s="18"/>
      <x:c r="P4" s="18"/>
      <x:c r="Q4" s="18" t="n">
        <x:v>18</x:v>
      </x:c>
      <x:c r="R4" s="18"/>
      <x:c r="S4" s="18"/>
      <x:c r="T4" s="18"/>
      <x:c r="U4" s="18"/>
      <x:c r="V4" s="18"/>
      <x:c r="W4" s="18" t="n">
        <x:v>27</x:v>
      </x:c>
      <x:c r="X4" s="18" t="str">
        <x:v>participants with nausea</x:v>
      </x:c>
      <x:c r="Y4" s="18" t="str">
        <x:v>NR pairwise</x:v>
      </x:c>
      <x:c r="Z4" s="18" t="str">
        <x:v>RR</x:v>
      </x:c>
      <x:c r="AA4" s="18" t="n">
        <x:v>0.6870748299319728</x:v>
      </x:c>
      <x:c r="AB4" s="18" t="str">
        <x:v>CONDITIONAL</x:v>
      </x:c>
      <x:c r="AC4" s="18" t="str">
        <x:v>Valid PONV result, but the postoperative observation window should be matched to the intended synthesis.</x:v>
      </x:c>
      <x:c r="AD4" s="18"/>
      <x:c r="AE4" s="18" t="str">
        <x:v>Binary effect measure (RR preferred per protocol)</x:v>
      </x:c>
      <x:c r="AF4" s="18" t="str">
        <x:v>Some concerns</x:v>
      </x:c>
      <x:c r="AG4" s="18" t="str">
        <x:v>Yes — selected RoB is for a different result/timepoint</x:v>
      </x:c>
      <x:c r="AH4" s="18" t="str">
        <x:v>Zhu 2022</x:v>
      </x:c>
      <x:c r="AI4" s="18" t="str">
        <x:v>Shared-control / multi-arm contrast</x:v>
      </x:c>
      <x:c r="AJ4" s="18" t="str">
        <x:v>Shared comparator present; avoid double-counting controls.</x:v>
      </x:c>
      <x:c r="AK4" s="18" t="str">
        <x:v>Four-arm RCT; no sham; analysis denominators differ from randomized denominators</x:v>
      </x:c>
      <x:c r="AL4" s="18" t="str">
        <x:v>https://drive.google.com/file/d/1vux5IaubjInusplW6GJ2SsxhzibtSCe-/view?usp=drivesdk</x:v>
      </x:c>
    </x:row>
    <x:row r="5">
      <x:c r="A5" s="18" t="str">
        <x:v>Zhu 2022</x:v>
      </x:c>
      <x:c r="B5" s="18" t="str">
        <x:v>ZHU22_30_vs_USUAL_POV</x:v>
      </x:c>
      <x:c r="C5" s="18" t="str">
        <x:v>EA 30 min before surgery</x:v>
      </x:c>
      <x:c r="D5" s="18" t="str">
        <x:v>Usual care alone</x:v>
      </x:c>
      <x:c r="E5" s="18" t="str">
        <x:v>Postoperative vomiting</x:v>
      </x:c>
      <x:c r="F5" s="18" t="str">
        <x:v>6-24 h postoperatively</x:v>
      </x:c>
      <x:c r="G5" s="18" t="str">
        <x:v>Events/total</x:v>
      </x:c>
      <x:c r="H5" s="18" t="n">
        <x:v>103</x:v>
      </x:c>
      <x:c r="I5" s="18" t="n">
        <x:v>104</x:v>
      </x:c>
      <x:c r="J5" s="18" t="n">
        <x:v>98</x:v>
      </x:c>
      <x:c r="K5" s="18" t="n">
        <x:v>101</x:v>
      </x:c>
      <x:c r="L5" s="18"/>
      <x:c r="M5" s="18"/>
      <x:c r="N5" s="18"/>
      <x:c r="O5" s="18"/>
      <x:c r="P5" s="18"/>
      <x:c r="Q5" s="18" t="n">
        <x:v>8</x:v>
      </x:c>
      <x:c r="R5" s="18"/>
      <x:c r="S5" s="18"/>
      <x:c r="T5" s="18"/>
      <x:c r="U5" s="18"/>
      <x:c r="V5" s="18"/>
      <x:c r="W5" s="18" t="n">
        <x:v>22</x:v>
      </x:c>
      <x:c r="X5" s="18" t="str">
        <x:v>participants with vomiting</x:v>
      </x:c>
      <x:c r="Y5" s="18" t="str">
        <x:v>0.034</x:v>
      </x:c>
      <x:c r="Z5" s="18" t="str">
        <x:v>RR</x:v>
      </x:c>
      <x:c r="AA5" s="18" t="n">
        <x:v>0.3747680890538033</x:v>
      </x:c>
      <x:c r="AB5" s="18" t="str">
        <x:v>CONDITIONAL</x:v>
      </x:c>
      <x:c r="AC5" s="18" t="str">
        <x:v>Valid PONV result, but the postoperative observation window should be matched to the intended synthesis.</x:v>
      </x:c>
      <x:c r="AD5" s="18"/>
      <x:c r="AE5" s="18" t="str">
        <x:v>Binary effect measure (RR preferred per protocol)</x:v>
      </x:c>
      <x:c r="AF5" s="18" t="str">
        <x:v>Some concerns</x:v>
      </x:c>
      <x:c r="AG5" s="18" t="str">
        <x:v>No — selected RoB matches this result</x:v>
      </x:c>
      <x:c r="AH5" s="18" t="str">
        <x:v>Zhu 2022</x:v>
      </x:c>
      <x:c r="AI5" s="18" t="str">
        <x:v>Shared-control / multi-arm contrast</x:v>
      </x:c>
      <x:c r="AJ5" s="18" t="str">
        <x:v>Shared comparator present; avoid double-counting controls.</x:v>
      </x:c>
      <x:c r="AK5" s="18" t="str">
        <x:v>Four-arm RCT; no sham; use exact arm-specific analyzed denominators</x:v>
      </x:c>
      <x:c r="AL5" s="18" t="str">
        <x:v>https://drive.google.com/file/d/1vux5IaubjInusplW6GJ2SsxhzibtSCe-/view?usp=drivesdk</x:v>
      </x:c>
    </x:row>
    <x:row r="6">
      <x:c r="A6" s="18" t="str">
        <x:v>Zhu 2022</x:v>
      </x:c>
      <x:c r="B6" s="18" t="str">
        <x:v>ZHU22_COMB_vs_USUAL_PON</x:v>
      </x:c>
      <x:c r="C6" s="18" t="str">
        <x:v>EA day before + 30 min before</x:v>
      </x:c>
      <x:c r="D6" s="18" t="str">
        <x:v>Usual care alone</x:v>
      </x:c>
      <x:c r="E6" s="18" t="str">
        <x:v>Postoperative nausea</x:v>
      </x:c>
      <x:c r="F6" s="18" t="str">
        <x:v>6-24 h postoperatively</x:v>
      </x:c>
      <x:c r="G6" s="18" t="str">
        <x:v>Events/total</x:v>
      </x:c>
      <x:c r="H6" s="18" t="n">
        <x:v>103</x:v>
      </x:c>
      <x:c r="I6" s="18" t="n">
        <x:v>104</x:v>
      </x:c>
      <x:c r="J6" s="18" t="n">
        <x:v>100</x:v>
      </x:c>
      <x:c r="K6" s="18" t="n">
        <x:v>101</x:v>
      </x:c>
      <x:c r="L6" s="18"/>
      <x:c r="M6" s="18"/>
      <x:c r="N6" s="18"/>
      <x:c r="O6" s="18"/>
      <x:c r="P6" s="18"/>
      <x:c r="Q6" s="18" t="n">
        <x:v>11</x:v>
      </x:c>
      <x:c r="R6" s="18"/>
      <x:c r="S6" s="18"/>
      <x:c r="T6" s="18"/>
      <x:c r="U6" s="18"/>
      <x:c r="V6" s="18"/>
      <x:c r="W6" s="18" t="n">
        <x:v>27</x:v>
      </x:c>
      <x:c r="X6" s="18" t="str">
        <x:v>participants with nausea</x:v>
      </x:c>
      <x:c r="Y6" s="18" t="str">
        <x:v>0.024</x:v>
      </x:c>
      <x:c r="Z6" s="18" t="str">
        <x:v>RR</x:v>
      </x:c>
      <x:c r="AA6" s="18" t="n">
        <x:v>0.41148148148148145</x:v>
      </x:c>
      <x:c r="AB6" s="18" t="str">
        <x:v>CONDITIONAL</x:v>
      </x:c>
      <x:c r="AC6" s="18" t="str">
        <x:v>Valid PONV result, but the postoperative observation window should be matched to the intended synthesis.</x:v>
      </x:c>
      <x:c r="AD6" s="18"/>
      <x:c r="AE6" s="18" t="str">
        <x:v>Binary effect measure (RR preferred per protocol)</x:v>
      </x:c>
      <x:c r="AF6" s="18" t="str">
        <x:v>Some concerns</x:v>
      </x:c>
      <x:c r="AG6" s="18" t="str">
        <x:v>Yes — selected RoB is for a different result/timepoint</x:v>
      </x:c>
      <x:c r="AH6" s="18" t="str">
        <x:v>Zhu 2022</x:v>
      </x:c>
      <x:c r="AI6" s="18" t="str">
        <x:v>Shared-control / multi-arm contrast</x:v>
      </x:c>
      <x:c r="AJ6" s="18" t="str">
        <x:v>Shared comparator present; avoid double-counting controls.</x:v>
      </x:c>
      <x:c r="AK6" s="18" t="str">
        <x:v>Four-arm RCT; no sham; analysis denominators differ from randomized denominators</x:v>
      </x:c>
      <x:c r="AL6" s="18" t="str">
        <x:v>https://drive.google.com/file/d/1vux5IaubjInusplW6GJ2SsxhzibtSCe-/view?usp=drivesdk</x:v>
      </x:c>
    </x:row>
    <x:row r="7">
      <x:c r="A7" s="18" t="str">
        <x:v>Zhu 2022</x:v>
      </x:c>
      <x:c r="B7" s="18" t="str">
        <x:v>ZHU22_COMB_vs_USUAL_POV</x:v>
      </x:c>
      <x:c r="C7" s="18" t="str">
        <x:v>EA day before + 30 min before</x:v>
      </x:c>
      <x:c r="D7" s="18" t="str">
        <x:v>Usual care alone</x:v>
      </x:c>
      <x:c r="E7" s="18" t="str">
        <x:v>Postoperative vomiting</x:v>
      </x:c>
      <x:c r="F7" s="18" t="str">
        <x:v>6-24 h postoperatively</x:v>
      </x:c>
      <x:c r="G7" s="18" t="str">
        <x:v>Events/total</x:v>
      </x:c>
      <x:c r="H7" s="18" t="n">
        <x:v>103</x:v>
      </x:c>
      <x:c r="I7" s="18" t="n">
        <x:v>104</x:v>
      </x:c>
      <x:c r="J7" s="18" t="n">
        <x:v>100</x:v>
      </x:c>
      <x:c r="K7" s="18" t="n">
        <x:v>101</x:v>
      </x:c>
      <x:c r="L7" s="18"/>
      <x:c r="M7" s="18"/>
      <x:c r="N7" s="18"/>
      <x:c r="O7" s="18"/>
      <x:c r="P7" s="18"/>
      <x:c r="Q7" s="18" t="n">
        <x:v>9</x:v>
      </x:c>
      <x:c r="R7" s="18"/>
      <x:c r="S7" s="18"/>
      <x:c r="T7" s="18"/>
      <x:c r="U7" s="18"/>
      <x:c r="V7" s="18"/>
      <x:c r="W7" s="18" t="n">
        <x:v>22</x:v>
      </x:c>
      <x:c r="X7" s="18" t="str">
        <x:v>participants with vomiting</x:v>
      </x:c>
      <x:c r="Y7" s="18" t="str">
        <x:v>NR pairwise</x:v>
      </x:c>
      <x:c r="Z7" s="18" t="str">
        <x:v>RR</x:v>
      </x:c>
      <x:c r="AA7" s="18" t="n">
        <x:v>0.41318181818181815</x:v>
      </x:c>
      <x:c r="AB7" s="18" t="str">
        <x:v>CONDITIONAL</x:v>
      </x:c>
      <x:c r="AC7" s="18" t="str">
        <x:v>Valid PONV result, but the postoperative observation window should be matched to the intended synthesis.</x:v>
      </x:c>
      <x:c r="AD7" s="18"/>
      <x:c r="AE7" s="18" t="str">
        <x:v>Binary effect measure (RR preferred per protocol)</x:v>
      </x:c>
      <x:c r="AF7" s="18" t="str">
        <x:v>Some concerns</x:v>
      </x:c>
      <x:c r="AG7" s="18" t="str">
        <x:v>No — selected RoB matches this result</x:v>
      </x:c>
      <x:c r="AH7" s="18" t="str">
        <x:v>Zhu 2022</x:v>
      </x:c>
      <x:c r="AI7" s="18" t="str">
        <x:v>Shared-control / multi-arm contrast</x:v>
      </x:c>
      <x:c r="AJ7" s="18" t="str">
        <x:v>Shared comparator present; avoid double-counting controls.</x:v>
      </x:c>
      <x:c r="AK7" s="18" t="str">
        <x:v>Four-arm RCT; no sham; use exact arm-specific analyzed denominators</x:v>
      </x:c>
      <x:c r="AL7" s="18" t="str">
        <x:v>https://drive.google.com/file/d/1vux5IaubjInusplW6GJ2SsxhzibtSCe-/view?usp=drivesdk</x:v>
      </x:c>
    </x:row>
    <x:row r="8">
      <x:c r="A8" s="18" t="str">
        <x:v>Zhou 2025</x:v>
      </x:c>
      <x:c r="B8" s="18" t="str">
        <x:v>ZHOU25_TEAS_vs_SHAM_PONV</x:v>
      </x:c>
      <x:c r="C8" s="18" t="str">
        <x:v>PACU TEAS</x:v>
      </x:c>
      <x:c r="D8" s="18" t="str">
        <x:v>Sham/no current</x:v>
      </x:c>
      <x:c r="E8" s="18" t="str">
        <x:v>PONV incidence</x:v>
      </x:c>
      <x:c r="F8" s="18" t="str">
        <x:v>POD1</x:v>
      </x:c>
      <x:c r="G8" s="18" t="str">
        <x:v>Events/total</x:v>
      </x:c>
      <x:c r="H8" s="18" t="n">
        <x:v>50</x:v>
      </x:c>
      <x:c r="I8" s="18" t="n">
        <x:v>50</x:v>
      </x:c>
      <x:c r="J8" s="18" t="n">
        <x:v>48</x:v>
      </x:c>
      <x:c r="K8" s="18" t="n">
        <x:v>49</x:v>
      </x:c>
      <x:c r="L8" s="18"/>
      <x:c r="M8" s="18"/>
      <x:c r="N8" s="18"/>
      <x:c r="O8" s="18"/>
      <x:c r="P8" s="18"/>
      <x:c r="Q8" s="18" t="n">
        <x:v>10</x:v>
      </x:c>
      <x:c r="R8" s="18"/>
      <x:c r="S8" s="18"/>
      <x:c r="T8" s="18"/>
      <x:c r="U8" s="18"/>
      <x:c r="V8" s="18"/>
      <x:c r="W8" s="18" t="n">
        <x:v>19</x:v>
      </x:c>
      <x:c r="X8" s="18" t="str">
        <x:v>participants</x:v>
      </x:c>
      <x:c r="Y8" s="18" t="str">
        <x:v>0.047</x:v>
      </x:c>
      <x:c r="Z8" s="18" t="str">
        <x:v>RR</x:v>
      </x:c>
      <x:c r="AA8" s="18" t="n">
        <x:v>0.537280701754386</x:v>
      </x:c>
      <x:c r="AB8" s="18" t="str">
        <x:v>CONDITIONAL</x:v>
      </x:c>
      <x:c r="AC8" s="18" t="str">
        <x:v>Valid PONV result, but the postoperative observation window should be matched to the intended synthesis.</x:v>
      </x:c>
      <x:c r="AD8" s="18"/>
      <x:c r="AE8" s="18" t="str">
        <x:v>Binary effect measure (RR preferred per protocol)</x:v>
      </x:c>
      <x:c r="AF8" s="18" t="str">
        <x:v>High</x:v>
      </x:c>
      <x:c r="AG8" s="18" t="str">
        <x:v>Yes — selected RoB is for a different result/timepoint</x:v>
      </x:c>
      <x:c r="AH8" s="18" t="str">
        <x:v>Zhou 2025</x:v>
      </x:c>
      <x:c r="AI8" s="18" t="str">
        <x:v>Primary eligible contrast</x:v>
      </x:c>
      <x:c r="AJ8" s="18" t="str">
        <x:v>Count this study once per synthesis unless a valid multi-arm method is used.</x:v>
      </x:c>
      <x:c r="AK8" s="18" t="str">
        <x:v>Participant sensory blinding uncertain</x:v>
      </x:c>
      <x:c r="AL8" s="18" t="str">
        <x:v>https://drive.google.com/file/d/1gpNBuoukUttXKWiAAeZSqdIaaHSMOwDU/view?usp=drivesdk</x:v>
      </x:c>
    </x:row>
    <x:row r="9">
      <x:c r="A9" s="18" t="str">
        <x:v>Zheng 2025</x:v>
      </x:c>
      <x:c r="B9" s="18" t="str">
        <x:v>ZHENG25_TEAS_vs_SHAM_PONV</x:v>
      </x:c>
      <x:c r="C9" s="18" t="str">
        <x:v>Perioperative TEAS</x:v>
      </x:c>
      <x:c r="D9" s="18" t="str">
        <x:v>Sham/no current</x:v>
      </x:c>
      <x:c r="E9" s="18" t="str">
        <x:v>Any PONV</x:v>
      </x:c>
      <x:c r="F9" s="18" t="str">
        <x:v>Within 24 h postoperatively</x:v>
      </x:c>
      <x:c r="G9" s="18" t="str">
        <x:v>Events/total</x:v>
      </x:c>
      <x:c r="H9" s="18" t="n">
        <x:v>44</x:v>
      </x:c>
      <x:c r="I9" s="18" t="n">
        <x:v>44</x:v>
      </x:c>
      <x:c r="J9" s="18" t="n">
        <x:v>42</x:v>
      </x:c>
      <x:c r="K9" s="18" t="n">
        <x:v>43</x:v>
      </x:c>
      <x:c r="L9" s="18"/>
      <x:c r="M9" s="18"/>
      <x:c r="N9" s="18"/>
      <x:c r="O9" s="18"/>
      <x:c r="P9" s="18"/>
      <x:c r="Q9" s="18" t="n">
        <x:v>18</x:v>
      </x:c>
      <x:c r="R9" s="18"/>
      <x:c r="S9" s="18"/>
      <x:c r="T9" s="18"/>
      <x:c r="U9" s="18"/>
      <x:c r="V9" s="18"/>
      <x:c r="W9" s="18" t="n">
        <x:v>29</x:v>
      </x:c>
      <x:c r="X9" s="18" t="str">
        <x:v>participants</x:v>
      </x:c>
      <x:c r="Y9" s="18" t="str">
        <x:v>0.023</x:v>
      </x:c>
      <x:c r="Z9" s="18" t="str">
        <x:v>RR</x:v>
      </x:c>
      <x:c r="AA9" s="18" t="n">
        <x:v>0.6354679802955665</x:v>
      </x:c>
      <x:c r="AB9" s="18" t="str">
        <x:v>CONDITIONAL</x:v>
      </x:c>
      <x:c r="AC9" s="18" t="str">
        <x:v>Valid PONV result, but the postoperative observation window should be matched to the intended synthesis.</x:v>
      </x:c>
      <x:c r="AD9" s="18"/>
      <x:c r="AE9" s="18" t="str">
        <x:v>Binary effect measure (RR preferred per protocol)</x:v>
      </x:c>
      <x:c r="AF9" s="18" t="str">
        <x:v>Some concerns</x:v>
      </x:c>
      <x:c r="AG9" s="18" t="str">
        <x:v>No — selected RoB matches this result</x:v>
      </x:c>
      <x:c r="AH9" s="18" t="str">
        <x:v>Zheng 2025</x:v>
      </x:c>
      <x:c r="AI9" s="18" t="str">
        <x:v>Primary eligible contrast</x:v>
      </x:c>
      <x:c r="AJ9" s="18" t="str">
        <x:v>Count this study once per synthesis unless a valid multi-arm method is used.</x:v>
      </x:c>
      <x:c r="AK9" s="18" t="str">
        <x:v>Counts 18/42 and 29/43 are reconstructed from reported 42.9% and 67.4%; use percentages as source truth</x:v>
      </x:c>
      <x:c r="AL9" s="18" t="str">
        <x:v>https://drive.google.com/file/d/1-JWKZgQXaQQQBZgMSDqyIP-vG9aAxBqb/view?usp=drivesdk</x:v>
      </x:c>
    </x:row>
    <x:row r="10">
      <x:c r="A10" s="18" t="str">
        <x:v>Zhang 2014</x:v>
      </x:c>
      <x:c r="B10" s="18" t="str">
        <x:v>ZHANG14_TEAS_vs_SHAM_NAUSEA</x:v>
      </x:c>
      <x:c r="C10" s="18" t="str">
        <x:v>Preoperative TEAS</x:v>
      </x:c>
      <x:c r="D10" s="18" t="str">
        <x:v>Sham/no current</x:v>
      </x:c>
      <x:c r="E10" s="18" t="str">
        <x:v>Postoperative nausea</x:v>
      </x:c>
      <x:c r="F10" s="18" t="str">
        <x:v>Postoperative</x:v>
      </x:c>
      <x:c r="G10" s="18" t="str">
        <x:v>Events/total</x:v>
      </x:c>
      <x:c r="H10" s="18" t="n">
        <x:v>33</x:v>
      </x:c>
      <x:c r="I10" s="18" t="n">
        <x:v>32</x:v>
      </x:c>
      <x:c r="J10" s="18" t="n">
        <x:v>33</x:v>
      </x:c>
      <x:c r="K10" s="18" t="n">
        <x:v>32</x:v>
      </x:c>
      <x:c r="L10" s="18"/>
      <x:c r="M10" s="18"/>
      <x:c r="N10" s="18"/>
      <x:c r="O10" s="18"/>
      <x:c r="P10" s="18"/>
      <x:c r="Q10" s="18" t="n">
        <x:v>7</x:v>
      </x:c>
      <x:c r="R10" s="18"/>
      <x:c r="S10" s="18"/>
      <x:c r="T10" s="18"/>
      <x:c r="U10" s="18"/>
      <x:c r="V10" s="18"/>
      <x:c r="W10" s="18" t="n">
        <x:v>15</x:v>
      </x:c>
      <x:c r="X10" s="18" t="str">
        <x:v>participants</x:v>
      </x:c>
      <x:c r="Y10" s="18" t="str">
        <x:v>0.03</x:v>
      </x:c>
      <x:c r="Z10" s="18" t="str">
        <x:v>RR</x:v>
      </x:c>
      <x:c r="AA10" s="18" t="n">
        <x:v>0.45252525252525255</x:v>
      </x:c>
      <x:c r="AB10" s="18" t="str">
        <x:v>CONDITIONAL</x:v>
      </x:c>
      <x:c r="AC10" s="18" t="str">
        <x:v>Valid PONV result, but the postoperative observation window should be matched to the intended synthesis.</x:v>
      </x:c>
      <x:c r="AD10" s="18"/>
      <x:c r="AE10" s="18" t="str">
        <x:v>Binary effect measure (RR preferred per protocol)</x:v>
      </x:c>
      <x:c r="AF10" s="18" t="str">
        <x:v>Some concerns</x:v>
      </x:c>
      <x:c r="AG10" s="18" t="str">
        <x:v>Yes — selected RoB is for a different result/timepoint</x:v>
      </x:c>
      <x:c r="AH10" s="18" t="str">
        <x:v>Zhang 2014</x:v>
      </x:c>
      <x:c r="AI10" s="18" t="str">
        <x:v>Primary eligible contrast</x:v>
      </x:c>
      <x:c r="AJ10" s="18" t="str">
        <x:v>Count this study once per synthesis unless a valid multi-arm method is used.</x:v>
      </x:c>
      <x:c r="AK10" s="18" t="str">
        <x:v>No exact narrower time window reported in the extraction</x:v>
      </x:c>
      <x:c r="AL10" s="18" t="str">
        <x:v>https://drive.google.com/file/d/1lws1zFpIE-wbLY8X9ewYyTuIP-WySa-c/view?usp=drivesdk</x:v>
      </x:c>
    </x:row>
    <x:row r="11">
      <x:c r="A11" s="18" t="str">
        <x:v>Zhang 2014</x:v>
      </x:c>
      <x:c r="B11" s="18" t="str">
        <x:v>ZHANG14_TEAS_vs_SHAM_VOMIT</x:v>
      </x:c>
      <x:c r="C11" s="18" t="str">
        <x:v>Preoperative TEAS</x:v>
      </x:c>
      <x:c r="D11" s="18" t="str">
        <x:v>Sham/no current</x:v>
      </x:c>
      <x:c r="E11" s="18" t="str">
        <x:v>Postoperative vomiting</x:v>
      </x:c>
      <x:c r="F11" s="18" t="str">
        <x:v>Postoperative</x:v>
      </x:c>
      <x:c r="G11" s="18" t="str">
        <x:v>Events/total</x:v>
      </x:c>
      <x:c r="H11" s="18" t="n">
        <x:v>33</x:v>
      </x:c>
      <x:c r="I11" s="18" t="n">
        <x:v>32</x:v>
      </x:c>
      <x:c r="J11" s="18" t="n">
        <x:v>33</x:v>
      </x:c>
      <x:c r="K11" s="18" t="n">
        <x:v>32</x:v>
      </x:c>
      <x:c r="L11" s="18"/>
      <x:c r="M11" s="18"/>
      <x:c r="N11" s="18"/>
      <x:c r="O11" s="18"/>
      <x:c r="P11" s="18"/>
      <x:c r="Q11" s="18" t="n">
        <x:v>4</x:v>
      </x:c>
      <x:c r="R11" s="18"/>
      <x:c r="S11" s="18"/>
      <x:c r="T11" s="18"/>
      <x:c r="U11" s="18"/>
      <x:c r="V11" s="18"/>
      <x:c r="W11" s="18" t="n">
        <x:v>11</x:v>
      </x:c>
      <x:c r="X11" s="18" t="str">
        <x:v>participants</x:v>
      </x:c>
      <x:c r="Y11" s="18" t="str">
        <x:v>0.03</x:v>
      </x:c>
      <x:c r="Z11" s="18" t="str">
        <x:v>RR</x:v>
      </x:c>
      <x:c r="AA11" s="18" t="n">
        <x:v>0.3526170798898072</x:v>
      </x:c>
      <x:c r="AB11" s="18" t="str">
        <x:v>CONDITIONAL</x:v>
      </x:c>
      <x:c r="AC11" s="18" t="str">
        <x:v>Valid PONV result, but the postoperative observation window should be matched to the intended synthesis.</x:v>
      </x:c>
      <x:c r="AD11" s="18"/>
      <x:c r="AE11" s="18" t="str">
        <x:v>Binary effect measure (RR preferred per protocol)</x:v>
      </x:c>
      <x:c r="AF11" s="18" t="str">
        <x:v>Some concerns</x:v>
      </x:c>
      <x:c r="AG11" s="18" t="str">
        <x:v>Yes — selected RoB is for a different result/timepoint</x:v>
      </x:c>
      <x:c r="AH11" s="18" t="str">
        <x:v>Zhang 2014</x:v>
      </x:c>
      <x:c r="AI11" s="18" t="str">
        <x:v>Primary eligible contrast</x:v>
      </x:c>
      <x:c r="AJ11" s="18" t="str">
        <x:v>Count this study once per synthesis unless a valid multi-arm method is used.</x:v>
      </x:c>
      <x:c r="AK11" s="18" t="str">
        <x:v>No exact narrower time window reported in the extraction</x:v>
      </x:c>
      <x:c r="AL11" s="18" t="str">
        <x:v>https://drive.google.com/file/d/1lws1zFpIE-wbLY8X9ewYyTuIP-WySa-c/view?usp=drivesdk</x:v>
      </x:c>
    </x:row>
    <x:row r="12">
      <x:c r="A12" s="18" t="str">
        <x:v>Yang 2024</x:v>
      </x:c>
      <x:c r="B12" s="18" t="str">
        <x:v>YANG24_EA_vs_UC_VOMIT</x:v>
      </x:c>
      <x:c r="C12" s="18" t="str">
        <x:v>Perioperative EA + usual care</x:v>
      </x:c>
      <x:c r="D12" s="18" t="str">
        <x:v>Usual care</x:v>
      </x:c>
      <x:c r="E12" s="18" t="str">
        <x:v>Postoperative vomiting</x:v>
      </x:c>
      <x:c r="F12" s="18" t="str">
        <x:v>Within 72 h</x:v>
      </x:c>
      <x:c r="G12" s="18" t="str">
        <x:v>Events/total</x:v>
      </x:c>
      <x:c r="H12" s="18" t="n">
        <x:v>90</x:v>
      </x:c>
      <x:c r="I12" s="18" t="n">
        <x:v>90</x:v>
      </x:c>
      <x:c r="J12" s="18" t="n">
        <x:v>90</x:v>
      </x:c>
      <x:c r="K12" s="18" t="n">
        <x:v>90</x:v>
      </x:c>
      <x:c r="L12" s="18"/>
      <x:c r="M12" s="18"/>
      <x:c r="N12" s="18"/>
      <x:c r="O12" s="18"/>
      <x:c r="P12" s="18"/>
      <x:c r="Q12" s="18" t="n">
        <x:v>12</x:v>
      </x:c>
      <x:c r="R12" s="18"/>
      <x:c r="S12" s="18"/>
      <x:c r="T12" s="18"/>
      <x:c r="U12" s="18"/>
      <x:c r="V12" s="18"/>
      <x:c r="W12" s="18" t="n">
        <x:v>25</x:v>
      </x:c>
      <x:c r="X12" s="18" t="str">
        <x:v>participants</x:v>
      </x:c>
      <x:c r="Y12" s="18" t="str">
        <x:v>0.016</x:v>
      </x:c>
      <x:c r="Z12" s="18" t="str">
        <x:v>RR</x:v>
      </x:c>
      <x:c r="AA12" s="18" t="n">
        <x:v>0.48</x:v>
      </x:c>
      <x:c r="AB12" s="18" t="str">
        <x:v>INCLUDE — SEPARATE TIME WINDOW</x:v>
      </x:c>
      <x:c r="AC12" s="18" t="str">
        <x:v>Valid 72 h PONV endpoint; analyze separately from 24-h PONV.</x:v>
      </x:c>
      <x:c r="AD12" s="18"/>
      <x:c r="AE12" s="18" t="str">
        <x:v>Binary effect measure (RR preferred per protocol)</x:v>
      </x:c>
      <x:c r="AF12" s="18" t="str">
        <x:v>Some concerns</x:v>
      </x:c>
      <x:c r="AG12" s="18" t="str">
        <x:v>Yes — selected RoB is for a different result/timepoint</x:v>
      </x:c>
      <x:c r="AH12" s="18" t="str">
        <x:v>Yang 2024</x:v>
      </x:c>
      <x:c r="AI12" s="18" t="str">
        <x:v>Primary eligible contrast</x:v>
      </x:c>
      <x:c r="AJ12" s="18" t="str">
        <x:v>Count this study once per synthesis unless a valid multi-arm method is used.</x:v>
      </x:c>
      <x:c r="AK12" s="18" t="str">
        <x:v>No sham acupuncture; patient knowledge could affect subjective nausea but vomiting is more objective</x:v>
      </x:c>
      <x:c r="AL12" s="18" t="str">
        <x:v>https://drive.google.com/file/d/160N3psd5tLEphwXHJzUEZ3uJfaIXcs5V/view?usp=drivesdk</x:v>
      </x:c>
    </x:row>
    <x:row r="13">
      <x:c r="A13" s="18" t="str">
        <x:v>Xiong 2021</x:v>
      </x:c>
      <x:c r="B13" s="18" t="str">
        <x:v>XIONG21_TEAS_vs_CTRL_PONV48</x:v>
      </x:c>
      <x:c r="C13" s="18" t="str">
        <x:v>TEAS + dexamethasone + tropisetron</x:v>
      </x:c>
      <x:c r="D13" s="18" t="str">
        <x:v>Dexamethasone + tropisetron</x:v>
      </x:c>
      <x:c r="E13" s="18" t="str">
        <x:v>Any PONV</x:v>
      </x:c>
      <x:c r="F13" s="18" t="str">
        <x:v>Within 48 h</x:v>
      </x:c>
      <x:c r="G13" s="18" t="str">
        <x:v>Events/total</x:v>
      </x:c>
      <x:c r="H13" s="18" t="n">
        <x:v>31</x:v>
      </x:c>
      <x:c r="I13" s="18" t="n">
        <x:v>31</x:v>
      </x:c>
      <x:c r="J13" s="18" t="n">
        <x:v>31</x:v>
      </x:c>
      <x:c r="K13" s="18" t="n">
        <x:v>31</x:v>
      </x:c>
      <x:c r="L13" s="18"/>
      <x:c r="M13" s="18"/>
      <x:c r="N13" s="18"/>
      <x:c r="O13" s="18"/>
      <x:c r="P13" s="18"/>
      <x:c r="Q13" s="18" t="n">
        <x:v>13</x:v>
      </x:c>
      <x:c r="R13" s="18"/>
      <x:c r="S13" s="18"/>
      <x:c r="T13" s="18"/>
      <x:c r="U13" s="18"/>
      <x:c r="V13" s="18"/>
      <x:c r="W13" s="18" t="n">
        <x:v>24</x:v>
      </x:c>
      <x:c r="X13" s="18" t="str">
        <x:v>participants</x:v>
      </x:c>
      <x:c r="Y13" s="18" t="str">
        <x:v>0.004</x:v>
      </x:c>
      <x:c r="Z13" s="18" t="str">
        <x:v>RR</x:v>
      </x:c>
      <x:c r="AA13" s="18" t="n">
        <x:v>0.5416666666666667</x:v>
      </x:c>
      <x:c r="AB13" s="18" t="str">
        <x:v>INCLUDE — SEPARATE TIME WINDOW</x:v>
      </x:c>
      <x:c r="AC13" s="18" t="str">
        <x:v>Valid 48 h PONV endpoint; analyze separately from 24-h PONV.</x:v>
      </x:c>
      <x:c r="AD13" s="18"/>
      <x:c r="AE13" s="18" t="str">
        <x:v>Binary effect measure (RR preferred per protocol)</x:v>
      </x:c>
      <x:c r="AF13" s="18" t="str">
        <x:v>Some concerns</x:v>
      </x:c>
      <x:c r="AG13" s="18" t="str">
        <x:v>No — selected RoB matches this result</x:v>
      </x:c>
      <x:c r="AH13" s="18" t="str">
        <x:v>Xiong 2021</x:v>
      </x:c>
      <x:c r="AI13" s="18" t="str">
        <x:v>Primary eligible contrast</x:v>
      </x:c>
      <x:c r="AJ13" s="18" t="str">
        <x:v>Count this study once per synthesis unless a valid multi-arm method is used.</x:v>
      </x:c>
      <x:c r="AK13" s="18" t="str">
        <x:v>Participant blinding intended but active postoperative tingling may have revealed allocation</x:v>
      </x:c>
      <x:c r="AL13" s="18" t="str">
        <x:v>https://drive.google.com/file/d/1sNaquYeWpsts7_e3XYP9c0CwM-tbQS6T/view?usp=drivesdk</x:v>
      </x:c>
    </x:row>
    <x:row r="14">
      <x:c r="A14" s="18" t="str">
        <x:v>Xiong 2021</x:v>
      </x:c>
      <x:c r="B14" s="18" t="str">
        <x:v>XIONG21_TEAS_vs_CTRL_CIPONV</x:v>
      </x:c>
      <x:c r="C14" s="18" t="str">
        <x:v>TEAS + dexamethasone + tropisetron</x:v>
      </x:c>
      <x:c r="D14" s="18" t="str">
        <x:v>Dexamethasone + tropisetron</x:v>
      </x:c>
      <x:c r="E14" s="18" t="str">
        <x:v>Clinically important PONV</x:v>
      </x:c>
      <x:c r="F14" s="18" t="str">
        <x:v>Within 48 h</x:v>
      </x:c>
      <x:c r="G14" s="18" t="str">
        <x:v>Events/total</x:v>
      </x:c>
      <x:c r="H14" s="18" t="n">
        <x:v>31</x:v>
      </x:c>
      <x:c r="I14" s="18" t="n">
        <x:v>31</x:v>
      </x:c>
      <x:c r="J14" s="18" t="n">
        <x:v>31</x:v>
      </x:c>
      <x:c r="K14" s="18" t="n">
        <x:v>31</x:v>
      </x:c>
      <x:c r="L14" s="18"/>
      <x:c r="M14" s="18"/>
      <x:c r="N14" s="18"/>
      <x:c r="O14" s="18"/>
      <x:c r="P14" s="18"/>
      <x:c r="Q14" s="18" t="n">
        <x:v>5</x:v>
      </x:c>
      <x:c r="R14" s="18"/>
      <x:c r="S14" s="18"/>
      <x:c r="T14" s="18"/>
      <x:c r="U14" s="18"/>
      <x:c r="V14" s="18"/>
      <x:c r="W14" s="18" t="n">
        <x:v>15</x:v>
      </x:c>
      <x:c r="X14" s="18" t="str">
        <x:v>participants</x:v>
      </x:c>
      <x:c r="Y14" s="18" t="str">
        <x:v>0.007</x:v>
      </x:c>
      <x:c r="Z14" s="18" t="str">
        <x:v>RR</x:v>
      </x:c>
      <x:c r="AA14" s="18" t="n">
        <x:v>0.3333333333333333</x:v>
      </x:c>
      <x:c r="AB14" s="18" t="str">
        <x:v>INCLUDE — SEPARATE TIME WINDOW</x:v>
      </x:c>
      <x:c r="AC14" s="18" t="str">
        <x:v>Valid 48 h PONV endpoint; analyze separately from 24-h PONV.</x:v>
      </x:c>
      <x:c r="AD14" s="18"/>
      <x:c r="AE14" s="18" t="str">
        <x:v>Binary effect measure (RR preferred per protocol)</x:v>
      </x:c>
      <x:c r="AF14" s="18" t="str">
        <x:v>Some concerns</x:v>
      </x:c>
      <x:c r="AG14" s="18" t="str">
        <x:v>Yes — selected RoB is for a different result/timepoint</x:v>
      </x:c>
      <x:c r="AH14" s="18" t="str">
        <x:v>Xiong 2021</x:v>
      </x:c>
      <x:c r="AI14" s="18" t="str">
        <x:v>Primary eligible contrast</x:v>
      </x:c>
      <x:c r="AJ14" s="18" t="str">
        <x:v>Count this study once per synthesis unless a valid multi-arm method is used.</x:v>
      </x:c>
      <x:c r="AK14" s="18" t="str">
        <x:v>Patient-reported symptom severity; sensory blinding may be imperfect</x:v>
      </x:c>
      <x:c r="AL14" s="18" t="str">
        <x:v>https://drive.google.com/file/d/1sNaquYeWpsts7_e3XYP9c0CwM-tbQS6T/view?usp=drivesdk</x:v>
      </x:c>
    </x:row>
    <x:row r="15">
      <x:c r="A15" s="18" t="str">
        <x:v>Xing 2022</x:v>
      </x:c>
      <x:c r="B15" s="18" t="str">
        <x:v>XING22_NTG_vs_NG_PONV</x:v>
      </x:c>
      <x:c r="C15" s="18" t="str">
        <x:v>TEAS + active TAPB</x:v>
      </x:c>
      <x:c r="D15" s="18" t="str">
        <x:v>Sham TEAS + active TAPB</x:v>
      </x:c>
      <x:c r="E15" s="18" t="str">
        <x:v>PONV incidence</x:v>
      </x:c>
      <x:c r="F15" s="18" t="str">
        <x:v>Postoperative</x:v>
      </x:c>
      <x:c r="G15" s="18" t="str">
        <x:v>Events/total</x:v>
      </x:c>
      <x:c r="H15" s="18" t="n">
        <x:v>30</x:v>
      </x:c>
      <x:c r="I15" s="18" t="n">
        <x:v>30</x:v>
      </x:c>
      <x:c r="J15" s="18" t="n">
        <x:v>29</x:v>
      </x:c>
      <x:c r="K15" s="18" t="n">
        <x:v>29</x:v>
      </x:c>
      <x:c r="L15" s="18"/>
      <x:c r="M15" s="18"/>
      <x:c r="N15" s="18"/>
      <x:c r="O15" s="18"/>
      <x:c r="P15" s="18"/>
      <x:c r="Q15" s="18" t="n">
        <x:v>5</x:v>
      </x:c>
      <x:c r="R15" s="18"/>
      <x:c r="S15" s="18"/>
      <x:c r="T15" s="18"/>
      <x:c r="U15" s="18"/>
      <x:c r="V15" s="18"/>
      <x:c r="W15" s="18" t="n">
        <x:v>11</x:v>
      </x:c>
      <x:c r="X15" s="18" t="str">
        <x:v>participants</x:v>
      </x:c>
      <x:c r="Y15" s="18" t="str">
        <x:v>&lt;0.05 pairwise</x:v>
      </x:c>
      <x:c r="Z15" s="18" t="str">
        <x:v>RR</x:v>
      </x:c>
      <x:c r="AA15" s="18" t="n">
        <x:v>0.4545454545454546</x:v>
      </x:c>
      <x:c r="AB15" s="18" t="str">
        <x:v>CONDITIONAL</x:v>
      </x:c>
      <x:c r="AC15" s="18" t="str">
        <x:v>Valid PONV result, but the postoperative observation window should be matched to the intended synthesis.</x:v>
      </x:c>
      <x:c r="AD15" s="18"/>
      <x:c r="AE15" s="18" t="str">
        <x:v>Binary effect measure (RR preferred per protocol)</x:v>
      </x:c>
      <x:c r="AF15" s="18" t="str">
        <x:v>Some concerns</x:v>
      </x:c>
      <x:c r="AG15" s="18" t="str">
        <x:v>Yes — selected RoB is for a different result/timepoint</x:v>
      </x:c>
      <x:c r="AH15" s="18" t="str">
        <x:v>Xing 2022</x:v>
      </x:c>
      <x:c r="AI15" s="18" t="str">
        <x:v>Shared-control / multi-arm contrast</x:v>
      </x:c>
      <x:c r="AJ15" s="18" t="str">
        <x:v>Shared comparator present; avoid double-counting controls.</x:v>
      </x:c>
      <x:c r="AK15" s="18" t="str">
        <x:v>Counts reconstructed from n=29 analyzed per arm</x:v>
      </x:c>
      <x:c r="AL15" s="18" t="str">
        <x:v>https://drive.google.com/file/d/1h3IGpQ56nSh7H16xBEVyTzCBkWOXRSxK/view?usp=drivesdk</x:v>
      </x:c>
    </x:row>
    <x:row r="16">
      <x:c r="A16" s="18" t="str">
        <x:v>Wang 2024</x:v>
      </x:c>
      <x:c r="B16" s="18" t="str">
        <x:v>WANG24_SNVP_ODT_vs_OD_PONV6_12</x:v>
      </x:c>
      <x:c r="C16" s="18" t="str">
        <x:v>SNVP: ondansetron+dexamethasone+TEAS</x:v>
      </x:c>
      <x:c r="D16" s="18" t="str">
        <x:v>SNVP: ondansetron+dexamethasone</x:v>
      </x:c>
      <x:c r="E16" s="18" t="str">
        <x:v>PONV incidence</x:v>
      </x:c>
      <x:c r="F16" s="18" t="str">
        <x:v>6-12 h</x:v>
      </x:c>
      <x:c r="G16" s="18" t="str">
        <x:v>Events/total</x:v>
      </x:c>
      <x:c r="H16" s="18" t="n">
        <x:v>35</x:v>
      </x:c>
      <x:c r="I16" s="18" t="n">
        <x:v>35</x:v>
      </x:c>
      <x:c r="J16" s="18" t="n">
        <x:v>33</x:v>
      </x:c>
      <x:c r="K16" s="18" t="n">
        <x:v>35</x:v>
      </x:c>
      <x:c r="L16" s="18"/>
      <x:c r="M16" s="18"/>
      <x:c r="N16" s="18"/>
      <x:c r="O16" s="18"/>
      <x:c r="P16" s="18"/>
      <x:c r="Q16" s="18" t="n">
        <x:v>7</x:v>
      </x:c>
      <x:c r="R16" s="18"/>
      <x:c r="S16" s="18"/>
      <x:c r="T16" s="18"/>
      <x:c r="U16" s="18"/>
      <x:c r="V16" s="18"/>
      <x:c r="W16" s="18" t="n">
        <x:v>16</x:v>
      </x:c>
      <x:c r="X16" s="18" t="str">
        <x:v>participants</x:v>
      </x:c>
      <x:c r="Y16" s="18" t="str">
        <x:v>0.033</x:v>
      </x:c>
      <x:c r="Z16" s="18" t="str">
        <x:v>RR</x:v>
      </x:c>
      <x:c r="AA16" s="18" t="n">
        <x:v>0.46401515151515155</x:v>
      </x:c>
      <x:c r="AB16" s="18" t="str">
        <x:v>CONDITIONAL</x:v>
      </x:c>
      <x:c r="AC16" s="18" t="str">
        <x:v>Valid PONV result, but the postoperative observation window should be matched to the intended synthesis.</x:v>
      </x:c>
      <x:c r="AD16" s="18"/>
      <x:c r="AE16" s="18" t="str">
        <x:v>Binary effect measure (RR preferred per protocol)</x:v>
      </x:c>
      <x:c r="AF16" s="18" t="str">
        <x:v>High</x:v>
      </x:c>
      <x:c r="AG16" s="18" t="str">
        <x:v>No — selected RoB matches this result</x:v>
      </x:c>
      <x:c r="AH16" s="18" t="str">
        <x:v>Wang 2024</x:v>
      </x:c>
      <x:c r="AI16" s="18" t="str">
        <x:v>Risk-stratum randomized contrast</x:v>
      </x:c>
      <x:c r="AJ16" s="18" t="str">
        <x:v>SNVP and MNVP are separate randomized strata; do not pool across strata as one undifferentiated treatment contrast without a stratum-aware method.</x:v>
      </x:c>
      <x:c r="AK16" s="18" t="str">
        <x:v>Do not pool across SNVP/MNVP as if strata were randomized; 2 ODT patients excluded after randomization due postoperative fever</x:v>
      </x:c>
      <x:c r="AL16" s="18" t="str">
        <x:v>https://drive.google.com/file/d/1U8tkq6mKFO0IkA2glfgLjN4Krwku3FZn/view?usp=drivesdk</x:v>
      </x:c>
    </x:row>
    <x:row r="17">
      <x:c r="A17" s="18" t="str">
        <x:v>Wang 2024</x:v>
      </x:c>
      <x:c r="B17" s="18" t="str">
        <x:v>WANG24_SNVP_ODT_vs_OD_PONV12_24</x:v>
      </x:c>
      <x:c r="C17" s="18" t="str">
        <x:v>SNVP: ondansetron+dexamethasone+TEAS</x:v>
      </x:c>
      <x:c r="D17" s="18" t="str">
        <x:v>SNVP: ondansetron+dexamethasone</x:v>
      </x:c>
      <x:c r="E17" s="18" t="str">
        <x:v>PONV incidence</x:v>
      </x:c>
      <x:c r="F17" s="18" t="str">
        <x:v>12-24 h</x:v>
      </x:c>
      <x:c r="G17" s="18" t="str">
        <x:v>Events/total</x:v>
      </x:c>
      <x:c r="H17" s="18" t="n">
        <x:v>35</x:v>
      </x:c>
      <x:c r="I17" s="18" t="n">
        <x:v>35</x:v>
      </x:c>
      <x:c r="J17" s="18" t="n">
        <x:v>33</x:v>
      </x:c>
      <x:c r="K17" s="18" t="n">
        <x:v>35</x:v>
      </x:c>
      <x:c r="L17" s="18"/>
      <x:c r="M17" s="18"/>
      <x:c r="N17" s="18"/>
      <x:c r="O17" s="18"/>
      <x:c r="P17" s="18"/>
      <x:c r="Q17" s="18" t="n">
        <x:v>2</x:v>
      </x:c>
      <x:c r="R17" s="18"/>
      <x:c r="S17" s="18"/>
      <x:c r="T17" s="18"/>
      <x:c r="U17" s="18"/>
      <x:c r="V17" s="18"/>
      <x:c r="W17" s="18" t="n">
        <x:v>11</x:v>
      </x:c>
      <x:c r="X17" s="18" t="str">
        <x:v>participants</x:v>
      </x:c>
      <x:c r="Y17" s="18" t="str">
        <x:v>0.008</x:v>
      </x:c>
      <x:c r="Z17" s="18" t="str">
        <x:v>RR</x:v>
      </x:c>
      <x:c r="AA17" s="18" t="n">
        <x:v>0.1928374655647383</x:v>
      </x:c>
      <x:c r="AB17" s="18" t="str">
        <x:v>CONDITIONAL</x:v>
      </x:c>
      <x:c r="AC17" s="18" t="str">
        <x:v>Valid PONV result, but the postoperative observation window should be matched to the intended synthesis.</x:v>
      </x:c>
      <x:c r="AD17" s="18"/>
      <x:c r="AE17" s="18" t="str">
        <x:v>Binary effect measure (RR preferred per protocol)</x:v>
      </x:c>
      <x:c r="AF17" s="18" t="str">
        <x:v>High</x:v>
      </x:c>
      <x:c r="AG17" s="18" t="str">
        <x:v>No — selected RoB matches this result</x:v>
      </x:c>
      <x:c r="AH17" s="18" t="str">
        <x:v>Wang 2024</x:v>
      </x:c>
      <x:c r="AI17" s="18" t="str">
        <x:v>Risk-stratum randomized contrast</x:v>
      </x:c>
      <x:c r="AJ17" s="18" t="str">
        <x:v>SNVP and MNVP are separate randomized strata; do not pool across strata as one undifferentiated treatment contrast without a stratum-aware method.</x:v>
      </x:c>
      <x:c r="AK17" s="18" t="str">
        <x:v>Two post-randomization ODT exclusions; marked surgical-procedure imbalance (radical mastectomy + axillary dissection 36.4% vs 71.4%)</x:v>
      </x:c>
      <x:c r="AL17" s="18" t="str">
        <x:v>https://drive.google.com/file/d/1U8tkq6mKFO0IkA2glfgLjN4Krwku3FZn/view?usp=drivesdk</x:v>
      </x:c>
    </x:row>
    <x:row r="18">
      <x:c r="A18" s="18" t="str">
        <x:v>Wang 2024</x:v>
      </x:c>
      <x:c r="B18" s="18" t="str">
        <x:v>WANG24_SNVP_ODT_vs_OD_TOTALPONV</x:v>
      </x:c>
      <x:c r="C18" s="18" t="str">
        <x:v>SNVP: ondansetron+dexamethasone+TEAS</x:v>
      </x:c>
      <x:c r="D18" s="18" t="str">
        <x:v>SNVP: ondansetron+dexamethasone</x:v>
      </x:c>
      <x:c r="E18" s="18" t="str">
        <x:v>Any PONV over reported follow-up</x:v>
      </x:c>
      <x:c r="F18" s="18" t="str">
        <x:v>0-36 h</x:v>
      </x:c>
      <x:c r="G18" s="18" t="str">
        <x:v>Events/total</x:v>
      </x:c>
      <x:c r="H18" s="18" t="n">
        <x:v>35</x:v>
      </x:c>
      <x:c r="I18" s="18" t="n">
        <x:v>35</x:v>
      </x:c>
      <x:c r="J18" s="18" t="n">
        <x:v>33</x:v>
      </x:c>
      <x:c r="K18" s="18" t="n">
        <x:v>35</x:v>
      </x:c>
      <x:c r="L18" s="18"/>
      <x:c r="M18" s="18"/>
      <x:c r="N18" s="18"/>
      <x:c r="O18" s="18"/>
      <x:c r="P18" s="18"/>
      <x:c r="Q18" s="18" t="n">
        <x:v>14</x:v>
      </x:c>
      <x:c r="R18" s="18"/>
      <x:c r="S18" s="18"/>
      <x:c r="T18" s="18"/>
      <x:c r="U18" s="18"/>
      <x:c r="V18" s="18"/>
      <x:c r="W18" s="18" t="n">
        <x:v>20</x:v>
      </x:c>
      <x:c r="X18" s="18" t="str">
        <x:v>participants</x:v>
      </x:c>
      <x:c r="Y18" s="18" t="str">
        <x:v>0.225</x:v>
      </x:c>
      <x:c r="Z18" s="18" t="str">
        <x:v>RR</x:v>
      </x:c>
      <x:c r="AA18" s="18" t="n">
        <x:v>0.7424242424242424</x:v>
      </x:c>
      <x:c r="AB18" s="18" t="str">
        <x:v>CONDITIONAL</x:v>
      </x:c>
      <x:c r="AC18" s="18" t="str">
        <x:v>Valid PONV result, but the postoperative observation window should be matched to the intended synthesis.</x:v>
      </x:c>
      <x:c r="AD18" s="18"/>
      <x:c r="AE18" s="18" t="str">
        <x:v>Binary effect measure (RR preferred per protocol)</x:v>
      </x:c>
      <x:c r="AF18" s="18" t="str">
        <x:v>High</x:v>
      </x:c>
      <x:c r="AG18" s="18" t="str">
        <x:v>Yes — selected RoB is for a different result/timepoint</x:v>
      </x:c>
      <x:c r="AH18" s="18" t="str">
        <x:v>Wang 2024</x:v>
      </x:c>
      <x:c r="AI18" s="18" t="str">
        <x:v>Risk-stratum randomized contrast</x:v>
      </x:c>
      <x:c r="AJ18" s="18" t="str">
        <x:v>SNVP and MNVP are separate randomized strata; do not pool across strata as one undifferentiated treatment contrast without a stratum-aware method.</x:v>
      </x:c>
      <x:c r="AK18" s="18" t="str">
        <x:v>No significant overall treatment effect despite time-specific benefits</x:v>
      </x:c>
      <x:c r="AL18" s="18" t="str">
        <x:v>https://drive.google.com/file/d/1U8tkq6mKFO0IkA2glfgLjN4Krwku3FZn/view?usp=drivesdk</x:v>
      </x:c>
    </x:row>
    <x:row r="19">
      <x:c r="A19" s="18" t="str">
        <x:v>Wang 2024</x:v>
      </x:c>
      <x:c r="B19" s="18" t="str">
        <x:v>WANG24_MNVP_ODT_vs_OD_PONV0_2</x:v>
      </x:c>
      <x:c r="C19" s="18" t="str">
        <x:v>MNVP: ondansetron+dexamethasone+TEAS</x:v>
      </x:c>
      <x:c r="D19" s="18" t="str">
        <x:v>MNVP: ondansetron+dexamethasone</x:v>
      </x:c>
      <x:c r="E19" s="18" t="str">
        <x:v>PONV incidence</x:v>
      </x:c>
      <x:c r="F19" s="18" t="str">
        <x:v>0-2 h</x:v>
      </x:c>
      <x:c r="G19" s="18" t="str">
        <x:v>Events/total</x:v>
      </x:c>
      <x:c r="H19" s="18" t="n">
        <x:v>35</x:v>
      </x:c>
      <x:c r="I19" s="18" t="n">
        <x:v>35</x:v>
      </x:c>
      <x:c r="J19" s="18" t="n">
        <x:v>35</x:v>
      </x:c>
      <x:c r="K19" s="18" t="n">
        <x:v>35</x:v>
      </x:c>
      <x:c r="L19" s="18"/>
      <x:c r="M19" s="18"/>
      <x:c r="N19" s="18"/>
      <x:c r="O19" s="18"/>
      <x:c r="P19" s="18"/>
      <x:c r="Q19" s="18" t="n">
        <x:v>2</x:v>
      </x:c>
      <x:c r="R19" s="18"/>
      <x:c r="S19" s="18"/>
      <x:c r="T19" s="18"/>
      <x:c r="U19" s="18"/>
      <x:c r="V19" s="18"/>
      <x:c r="W19" s="18" t="n">
        <x:v>9</x:v>
      </x:c>
      <x:c r="X19" s="18" t="str">
        <x:v>participants</x:v>
      </x:c>
      <x:c r="Y19" s="18" t="str">
        <x:v>0.022</x:v>
      </x:c>
      <x:c r="Z19" s="18" t="str">
        <x:v>RR</x:v>
      </x:c>
      <x:c r="AA19" s="18" t="n">
        <x:v>0.22222222222222224</x:v>
      </x:c>
      <x:c r="AB19" s="18" t="str">
        <x:v>CONDITIONAL</x:v>
      </x:c>
      <x:c r="AC19" s="18" t="str">
        <x:v>Valid PONV result, but the postoperative observation window should be matched to the intended synthesis.</x:v>
      </x:c>
      <x:c r="AD19" s="18"/>
      <x:c r="AE19" s="18" t="str">
        <x:v>Binary effect measure (RR preferred per protocol)</x:v>
      </x:c>
      <x:c r="AF19" s="18" t="str">
        <x:v>High</x:v>
      </x:c>
      <x:c r="AG19" s="18" t="str">
        <x:v>No — selected RoB matches this result</x:v>
      </x:c>
      <x:c r="AH19" s="18" t="str">
        <x:v>Wang 2024</x:v>
      </x:c>
      <x:c r="AI19" s="18" t="str">
        <x:v>Risk-stratum randomized contrast</x:v>
      </x:c>
      <x:c r="AJ19" s="18" t="str">
        <x:v>SNVP and MNVP are separate randomized strata; do not pool across strata as one undifferentiated treatment contrast without a stratum-aware method.</x:v>
      </x:c>
      <x:c r="AK19" s="18" t="str">
        <x:v>Keep separate from SNVP; MNVP-ODT had more segmental mastectomy + axillary dissection (20.0% vs 2.9%)</x:v>
      </x:c>
      <x:c r="AL19" s="18" t="str">
        <x:v>https://drive.google.com/file/d/1U8tkq6mKFO0IkA2glfgLjN4Krwku3FZn/view?usp=drivesdk</x:v>
      </x:c>
    </x:row>
    <x:row r="20">
      <x:c r="A20" s="18" t="str">
        <x:v>Wang 2024</x:v>
      </x:c>
      <x:c r="B20" s="18" t="str">
        <x:v>WANG24_MNVP_ODT_vs_OD_PONV2_6</x:v>
      </x:c>
      <x:c r="C20" s="18" t="str">
        <x:v>MNVP: ondansetron+dexamethasone+TEAS</x:v>
      </x:c>
      <x:c r="D20" s="18" t="str">
        <x:v>MNVP: ondansetron+dexamethasone</x:v>
      </x:c>
      <x:c r="E20" s="18" t="str">
        <x:v>PONV incidence</x:v>
      </x:c>
      <x:c r="F20" s="18" t="str">
        <x:v>2-6 h</x:v>
      </x:c>
      <x:c r="G20" s="18" t="str">
        <x:v>Events/total</x:v>
      </x:c>
      <x:c r="H20" s="18" t="n">
        <x:v>35</x:v>
      </x:c>
      <x:c r="I20" s="18" t="n">
        <x:v>35</x:v>
      </x:c>
      <x:c r="J20" s="18" t="n">
        <x:v>35</x:v>
      </x:c>
      <x:c r="K20" s="18" t="n">
        <x:v>35</x:v>
      </x:c>
      <x:c r="L20" s="18"/>
      <x:c r="M20" s="18"/>
      <x:c r="N20" s="18"/>
      <x:c r="O20" s="18"/>
      <x:c r="P20" s="18"/>
      <x:c r="Q20" s="18" t="n">
        <x:v>2</x:v>
      </x:c>
      <x:c r="R20" s="18"/>
      <x:c r="S20" s="18"/>
      <x:c r="T20" s="18"/>
      <x:c r="U20" s="18"/>
      <x:c r="V20" s="18"/>
      <x:c r="W20" s="18" t="n">
        <x:v>8</x:v>
      </x:c>
      <x:c r="X20" s="18" t="str">
        <x:v>participants</x:v>
      </x:c>
      <x:c r="Y20" s="18" t="str">
        <x:v>0.040</x:v>
      </x:c>
      <x:c r="Z20" s="18" t="str">
        <x:v>RR</x:v>
      </x:c>
      <x:c r="AA20" s="18" t="n">
        <x:v>0.25</x:v>
      </x:c>
      <x:c r="AB20" s="18" t="str">
        <x:v>CONDITIONAL</x:v>
      </x:c>
      <x:c r="AC20" s="18" t="str">
        <x:v>Valid PONV result, but the postoperative observation window should be matched to the intended synthesis.</x:v>
      </x:c>
      <x:c r="AD20" s="18"/>
      <x:c r="AE20" s="18" t="str">
        <x:v>Binary effect measure (RR preferred per protocol)</x:v>
      </x:c>
      <x:c r="AF20" s="18" t="str">
        <x:v>High</x:v>
      </x:c>
      <x:c r="AG20" s="18" t="str">
        <x:v>No — selected RoB matches this result</x:v>
      </x:c>
      <x:c r="AH20" s="18" t="str">
        <x:v>Wang 2024</x:v>
      </x:c>
      <x:c r="AI20" s="18" t="str">
        <x:v>Risk-stratum randomized contrast</x:v>
      </x:c>
      <x:c r="AJ20" s="18" t="str">
        <x:v>SNVP and MNVP are separate randomized strata; do not pool across strata as one undifferentiated treatment contrast without a stratum-aware method.</x:v>
      </x:c>
      <x:c r="AK20" s="18" t="str">
        <x:v>Keep separate from SNVP risk stratum</x:v>
      </x:c>
      <x:c r="AL20" s="18" t="str">
        <x:v>https://drive.google.com/file/d/1U8tkq6mKFO0IkA2glfgLjN4Krwku3FZn/view?usp=drivesdk</x:v>
      </x:c>
    </x:row>
    <x:row r="21">
      <x:c r="A21" s="18" t="str">
        <x:v>Wang 2024</x:v>
      </x:c>
      <x:c r="B21" s="18" t="str">
        <x:v>WANG24_MNVP_ODT_vs_OD_TOTALPONV</x:v>
      </x:c>
      <x:c r="C21" s="18" t="str">
        <x:v>MNVP: ondansetron+dexamethasone+TEAS</x:v>
      </x:c>
      <x:c r="D21" s="18" t="str">
        <x:v>MNVP: ondansetron+dexamethasone</x:v>
      </x:c>
      <x:c r="E21" s="18" t="str">
        <x:v>Any PONV over reported follow-up</x:v>
      </x:c>
      <x:c r="F21" s="18" t="str">
        <x:v>0-36 h</x:v>
      </x:c>
      <x:c r="G21" s="18" t="str">
        <x:v>Events/total</x:v>
      </x:c>
      <x:c r="H21" s="18" t="n">
        <x:v>35</x:v>
      </x:c>
      <x:c r="I21" s="18" t="n">
        <x:v>35</x:v>
      </x:c>
      <x:c r="J21" s="18" t="n">
        <x:v>35</x:v>
      </x:c>
      <x:c r="K21" s="18" t="n">
        <x:v>35</x:v>
      </x:c>
      <x:c r="L21" s="18"/>
      <x:c r="M21" s="18"/>
      <x:c r="N21" s="18"/>
      <x:c r="O21" s="18"/>
      <x:c r="P21" s="18"/>
      <x:c r="Q21" s="18" t="n">
        <x:v>5</x:v>
      </x:c>
      <x:c r="R21" s="18"/>
      <x:c r="S21" s="18"/>
      <x:c r="T21" s="18"/>
      <x:c r="U21" s="18"/>
      <x:c r="V21" s="18"/>
      <x:c r="W21" s="18" t="n">
        <x:v>10</x:v>
      </x:c>
      <x:c r="X21" s="18" t="str">
        <x:v>participants</x:v>
      </x:c>
      <x:c r="Y21" s="18" t="str">
        <x:v>0.145</x:v>
      </x:c>
      <x:c r="Z21" s="18" t="str">
        <x:v>RR</x:v>
      </x:c>
      <x:c r="AA21" s="18" t="n">
        <x:v>0.5</x:v>
      </x:c>
      <x:c r="AB21" s="18" t="str">
        <x:v>CONDITIONAL</x:v>
      </x:c>
      <x:c r="AC21" s="18" t="str">
        <x:v>Valid PONV result, but the postoperative observation window should be matched to the intended synthesis.</x:v>
      </x:c>
      <x:c r="AD21" s="18"/>
      <x:c r="AE21" s="18" t="str">
        <x:v>Binary effect measure (RR preferred per protocol)</x:v>
      </x:c>
      <x:c r="AF21" s="18" t="str">
        <x:v>High</x:v>
      </x:c>
      <x:c r="AG21" s="18" t="str">
        <x:v>Yes — selected RoB is for a different result/timepoint</x:v>
      </x:c>
      <x:c r="AH21" s="18" t="str">
        <x:v>Wang 2024</x:v>
      </x:c>
      <x:c r="AI21" s="18" t="str">
        <x:v>Risk-stratum randomized contrast</x:v>
      </x:c>
      <x:c r="AJ21" s="18" t="str">
        <x:v>SNVP and MNVP are separate randomized strata; do not pool across strata as one undifferentiated treatment contrast without a stratum-aware method.</x:v>
      </x:c>
      <x:c r="AK21" s="18" t="str">
        <x:v>No significant overall treatment effect despite early time-specific benefit</x:v>
      </x:c>
      <x:c r="AL21" s="18" t="str">
        <x:v>https://drive.google.com/file/d/1U8tkq6mKFO0IkA2glfgLjN4Krwku3FZn/view?usp=drivesdk</x:v>
      </x:c>
    </x:row>
    <x:row r="22">
      <x:c r="A22" s="18" t="str">
        <x:v>Ma 2026</x:v>
      </x:c>
      <x:c r="B22" s="18" t="str">
        <x:v>MA26_T_vs_S_NAUSEA24</x:v>
      </x:c>
      <x:c r="C22" s="18" t="str">
        <x:v>Group T: sleep disturbance + preop TEAS</x:v>
      </x:c>
      <x:c r="D22" s="18" t="str">
        <x:v>Group S: sleep disturbance, no TEAS</x:v>
      </x:c>
      <x:c r="E22" s="18" t="str">
        <x:v>Nausea</x:v>
      </x:c>
      <x:c r="F22" s="18" t="str">
        <x:v>24 h</x:v>
      </x:c>
      <x:c r="G22" s="18" t="str">
        <x:v>Events/total</x:v>
      </x:c>
      <x:c r="H22" s="18" t="n">
        <x:v>18</x:v>
      </x:c>
      <x:c r="I22" s="18" t="n">
        <x:v>17</x:v>
      </x:c>
      <x:c r="J22" s="18" t="n">
        <x:v>17</x:v>
      </x:c>
      <x:c r="K22" s="18" t="n">
        <x:v>16</x:v>
      </x:c>
      <x:c r="L22" s="18"/>
      <x:c r="M22" s="18"/>
      <x:c r="N22" s="18"/>
      <x:c r="O22" s="18"/>
      <x:c r="P22" s="18"/>
      <x:c r="Q22" s="18" t="n">
        <x:v>6</x:v>
      </x:c>
      <x:c r="R22" s="18"/>
      <x:c r="S22" s="18"/>
      <x:c r="T22" s="18"/>
      <x:c r="U22" s="18"/>
      <x:c r="V22" s="18"/>
      <x:c r="W22" s="18" t="n">
        <x:v>8</x:v>
      </x:c>
      <x:c r="X22" s="18" t="str">
        <x:v>participants</x:v>
      </x:c>
      <x:c r="Y22" s="18" t="str">
        <x:v>Overall 3-group P=0.590; randomized T-vs-S pairwise NR</x:v>
      </x:c>
      <x:c r="Z22" s="18" t="str">
        <x:v>RR</x:v>
      </x:c>
      <x:c r="AA22" s="18" t="n">
        <x:v>0.7058823529411765</x:v>
      </x:c>
      <x:c r="AB22" s="18" t="str">
        <x:v>INCLUDE</x:v>
      </x:c>
      <x:c r="AC22" s="18" t="str">
        <x:v>Explicit 24-h PONV endpoint.</x:v>
      </x:c>
      <x:c r="AD22" s="18"/>
      <x:c r="AE22" s="18" t="str">
        <x:v>Binary effect measure (RR preferred per protocol)</x:v>
      </x:c>
      <x:c r="AF22" s="18" t="str">
        <x:v>High</x:v>
      </x:c>
      <x:c r="AG22" s="18" t="str">
        <x:v>Yes — selected RoB is for a different result/timepoint</x:v>
      </x:c>
      <x:c r="AH22" s="18" t="str">
        <x:v>Ma 2026</x:v>
      </x:c>
      <x:c r="AI22" s="18" t="str">
        <x:v>Primary eligible contrast</x:v>
      </x:c>
      <x:c r="AJ22" s="18" t="str">
        <x:v>Count this study once per synthesis unless a valid multi-arm method is used.</x:v>
      </x:c>
      <x:c r="AK22" s="18" t="str">
        <x:v>Overall P-value includes non-randomized Group C; do not treat it as the randomized pairwise P-value</x:v>
      </x:c>
      <x:c r="AL22" s="18" t="str">
        <x:v>https://drive.google.com/file/d/1tMEOwvRWIMeEmBmKfeHEt7YF10yxslUe/view?usp=drivesdk</x:v>
      </x:c>
    </x:row>
    <x:row r="23">
      <x:c r="A23" s="18" t="str">
        <x:v>Ma 2026</x:v>
      </x:c>
      <x:c r="B23" s="18" t="str">
        <x:v>MA26_T_vs_S_VOMIT24</x:v>
      </x:c>
      <x:c r="C23" s="18" t="str">
        <x:v>Group T: sleep disturbance + preop TEAS</x:v>
      </x:c>
      <x:c r="D23" s="18" t="str">
        <x:v>Group S: sleep disturbance, no TEAS</x:v>
      </x:c>
      <x:c r="E23" s="18" t="str">
        <x:v>Vomiting</x:v>
      </x:c>
      <x:c r="F23" s="18" t="str">
        <x:v>24 h</x:v>
      </x:c>
      <x:c r="G23" s="18" t="str">
        <x:v>Events/total</x:v>
      </x:c>
      <x:c r="H23" s="18" t="n">
        <x:v>18</x:v>
      </x:c>
      <x:c r="I23" s="18" t="n">
        <x:v>17</x:v>
      </x:c>
      <x:c r="J23" s="18" t="n">
        <x:v>17</x:v>
      </x:c>
      <x:c r="K23" s="18" t="n">
        <x:v>16</x:v>
      </x:c>
      <x:c r="L23" s="18"/>
      <x:c r="M23" s="18"/>
      <x:c r="N23" s="18"/>
      <x:c r="O23" s="18"/>
      <x:c r="P23" s="18"/>
      <x:c r="Q23" s="18" t="n">
        <x:v>6</x:v>
      </x:c>
      <x:c r="R23" s="18"/>
      <x:c r="S23" s="18"/>
      <x:c r="T23" s="18"/>
      <x:c r="U23" s="18"/>
      <x:c r="V23" s="18"/>
      <x:c r="W23" s="18" t="n">
        <x:v>7</x:v>
      </x:c>
      <x:c r="X23" s="18" t="str">
        <x:v>participants</x:v>
      </x:c>
      <x:c r="Y23" s="18" t="str">
        <x:v>Overall 3-group P=0.863; randomized T-vs-S pairwise NR</x:v>
      </x:c>
      <x:c r="Z23" s="18" t="str">
        <x:v>RR</x:v>
      </x:c>
      <x:c r="AA23" s="18" t="n">
        <x:v>0.8067226890756303</x:v>
      </x:c>
      <x:c r="AB23" s="18" t="str">
        <x:v>INCLUDE</x:v>
      </x:c>
      <x:c r="AC23" s="18" t="str">
        <x:v>Explicit 24-h PONV endpoint.</x:v>
      </x:c>
      <x:c r="AD23" s="18"/>
      <x:c r="AE23" s="18" t="str">
        <x:v>Binary effect measure (RR preferred per protocol)</x:v>
      </x:c>
      <x:c r="AF23" s="18" t="str">
        <x:v>High</x:v>
      </x:c>
      <x:c r="AG23" s="18" t="str">
        <x:v>Yes — selected RoB is for a different result/timepoint</x:v>
      </x:c>
      <x:c r="AH23" s="18" t="str">
        <x:v>Ma 2026</x:v>
      </x:c>
      <x:c r="AI23" s="18" t="str">
        <x:v>Primary eligible contrast</x:v>
      </x:c>
      <x:c r="AJ23" s="18" t="str">
        <x:v>Count this study once per synthesis unless a valid multi-arm method is used.</x:v>
      </x:c>
      <x:c r="AK23" s="18" t="str">
        <x:v>Overall P-value includes non-randomized Group C</x:v>
      </x:c>
      <x:c r="AL23" s="18" t="str">
        <x:v>https://drive.google.com/file/d/1tMEOwvRWIMeEmBmKfeHEt7YF10yxslUe/view?usp=drivesdk</x:v>
      </x:c>
    </x:row>
    <x:row r="24">
      <x:c r="A24" s="18" t="str">
        <x:v>Lu 2021</x:v>
      </x:c>
      <x:c r="B24" s="18" t="str">
        <x:v>LU21_COMB_vs_SHAM_PONV24</x:v>
      </x:c>
      <x:c r="C24" s="18" t="str">
        <x:v>Combined PC6+CV17 TEAS</x:v>
      </x:c>
      <x:c r="D24" s="18" t="str">
        <x:v>Sham/no current</x:v>
      </x:c>
      <x:c r="E24" s="18" t="str">
        <x:v>Any PONV</x:v>
      </x:c>
      <x:c r="F24" s="18" t="str">
        <x:v>24 h</x:v>
      </x:c>
      <x:c r="G24" s="18" t="str">
        <x:v>Events/total</x:v>
      </x:c>
      <x:c r="H24" s="18" t="n">
        <x:v>190</x:v>
      </x:c>
      <x:c r="I24" s="18" t="n">
        <x:v>188</x:v>
      </x:c>
      <x:c r="J24" s="18" t="n">
        <x:v>190</x:v>
      </x:c>
      <x:c r="K24" s="18" t="n">
        <x:v>188</x:v>
      </x:c>
      <x:c r="L24" s="18"/>
      <x:c r="M24" s="18"/>
      <x:c r="N24" s="18"/>
      <x:c r="O24" s="18"/>
      <x:c r="P24" s="18"/>
      <x:c r="Q24" s="18" t="n">
        <x:v>35</x:v>
      </x:c>
      <x:c r="R24" s="18"/>
      <x:c r="S24" s="18"/>
      <x:c r="T24" s="18"/>
      <x:c r="U24" s="18"/>
      <x:c r="V24" s="18"/>
      <x:c r="W24" s="18" t="n">
        <x:v>68</x:v>
      </x:c>
      <x:c r="X24" s="18" t="str">
        <x:v>participants</x:v>
      </x:c>
      <x:c r="Y24" s="18" t="str">
        <x:v>Overall P=0.0001</x:v>
      </x:c>
      <x:c r="Z24" s="18" t="str">
        <x:v>RR</x:v>
      </x:c>
      <x:c r="AA24" s="18" t="n">
        <x:v>0.5092879256965943</x:v>
      </x:c>
      <x:c r="AB24" s="18" t="str">
        <x:v>INCLUDE</x:v>
      </x:c>
      <x:c r="AC24" s="18" t="str">
        <x:v>Explicit 24-h PONV endpoint.</x:v>
      </x:c>
      <x:c r="AD24" s="18"/>
      <x:c r="AE24" s="18" t="str">
        <x:v>Binary effect measure (RR preferred per protocol)</x:v>
      </x:c>
      <x:c r="AF24" s="18" t="str">
        <x:v>High</x:v>
      </x:c>
      <x:c r="AG24" s="18" t="str">
        <x:v>Yes — selected RoB is for a different result/timepoint</x:v>
      </x:c>
      <x:c r="AH24" s="18" t="str">
        <x:v>Lu 2021</x:v>
      </x:c>
      <x:c r="AI24" s="18" t="str">
        <x:v>Acupoint-combination arm contrast</x:v>
      </x:c>
      <x:c r="AJ24" s="18" t="str">
        <x:v>Three-arm trial with shared sham; combined and single-point arms are not independent studies.</x:v>
      </x:c>
      <x:c r="AK24" s="18" t="str">
        <x:v>Use raw event counts; three-arm shared sham comparator</x:v>
      </x:c>
      <x:c r="AL24" s="18" t="str">
        <x:v>https://drive.google.com/file/d/1MgD_OucfiyNEDdDe3osh8W01U1yYZs08/view?usp=drivesdk</x:v>
      </x:c>
    </x:row>
    <x:row r="25">
      <x:c r="A25" s="18" t="str">
        <x:v>Lu 2021</x:v>
      </x:c>
      <x:c r="B25" s="18" t="str">
        <x:v>LU21_SINGLE_vs_SHAM_PONV24</x:v>
      </x:c>
      <x:c r="C25" s="18" t="str">
        <x:v>Single PC6 TEAS</x:v>
      </x:c>
      <x:c r="D25" s="18" t="str">
        <x:v>Sham/no current</x:v>
      </x:c>
      <x:c r="E25" s="18" t="str">
        <x:v>Any PONV</x:v>
      </x:c>
      <x:c r="F25" s="18" t="str">
        <x:v>24 h</x:v>
      </x:c>
      <x:c r="G25" s="18" t="str">
        <x:v>Events/total</x:v>
      </x:c>
      <x:c r="H25" s="18" t="n">
        <x:v>198</x:v>
      </x:c>
      <x:c r="I25" s="18" t="n">
        <x:v>188</x:v>
      </x:c>
      <x:c r="J25" s="18" t="n">
        <x:v>198</x:v>
      </x:c>
      <x:c r="K25" s="18" t="n">
        <x:v>188</x:v>
      </x:c>
      <x:c r="L25" s="18"/>
      <x:c r="M25" s="18"/>
      <x:c r="N25" s="18"/>
      <x:c r="O25" s="18"/>
      <x:c r="P25" s="18"/>
      <x:c r="Q25" s="18" t="n">
        <x:v>59</x:v>
      </x:c>
      <x:c r="R25" s="18"/>
      <x:c r="S25" s="18"/>
      <x:c r="T25" s="18"/>
      <x:c r="U25" s="18"/>
      <x:c r="V25" s="18"/>
      <x:c r="W25" s="18" t="n">
        <x:v>68</x:v>
      </x:c>
      <x:c r="X25" s="18" t="str">
        <x:v>participants</x:v>
      </x:c>
      <x:c r="Y25" s="18" t="str">
        <x:v>Overall P=0.0001</x:v>
      </x:c>
      <x:c r="Z25" s="18" t="str">
        <x:v>RR</x:v>
      </x:c>
      <x:c r="AA25" s="18" t="n">
        <x:v>0.8238265002970884</x:v>
      </x:c>
      <x:c r="AB25" s="18" t="str">
        <x:v>INCLUDE</x:v>
      </x:c>
      <x:c r="AC25" s="18" t="str">
        <x:v>Explicit 24-h PONV endpoint.</x:v>
      </x:c>
      <x:c r="AD25" s="18"/>
      <x:c r="AE25" s="18" t="str">
        <x:v>Binary effect measure (RR preferred per protocol)</x:v>
      </x:c>
      <x:c r="AF25" s="18" t="str">
        <x:v>High</x:v>
      </x:c>
      <x:c r="AG25" s="18" t="str">
        <x:v>Yes — selected RoB is for a different result/timepoint</x:v>
      </x:c>
      <x:c r="AH25" s="18" t="str">
        <x:v>Lu 2021</x:v>
      </x:c>
      <x:c r="AI25" s="18" t="str">
        <x:v>Acupoint-combination arm contrast</x:v>
      </x:c>
      <x:c r="AJ25" s="18" t="str">
        <x:v>Three-arm trial with shared sham; combined and single-point arms are not independent studies.</x:v>
      </x:c>
      <x:c r="AK25" s="18" t="str">
        <x:v>Overall P is three-group; pairwise significance should not be inferred unless directly reported</x:v>
      </x:c>
      <x:c r="AL25" s="18" t="str">
        <x:v>https://drive.google.com/file/d/1MgD_OucfiyNEDdDe3osh8W01U1yYZs08/view?usp=drivesdk</x:v>
      </x:c>
    </x:row>
    <x:row r="26">
      <x:c r="A26" s="18" t="str">
        <x:v>Luo 2026</x:v>
      </x:c>
      <x:c r="B26" s="18" t="str">
        <x:v>LUO26_TEAS_vs_SHAM_NAUSEA48</x:v>
      </x:c>
      <x:c r="C26" s="18" t="str">
        <x:v>Intraoperative PC6 TEAS + standard antiemetics</x:v>
      </x:c>
      <x:c r="D26" s="18" t="str">
        <x:v>Sham/no current + standard antiemetics</x:v>
      </x:c>
      <x:c r="E26" s="18" t="str">
        <x:v>Cumulative postoperative nausea</x:v>
      </x:c>
      <x:c r="F26" s="18" t="str">
        <x:v>0-48 h</x:v>
      </x:c>
      <x:c r="G26" s="18" t="str">
        <x:v>Events/total</x:v>
      </x:c>
      <x:c r="H26" s="18" t="n">
        <x:v>138</x:v>
      </x:c>
      <x:c r="I26" s="18" t="n">
        <x:v>139</x:v>
      </x:c>
      <x:c r="J26" s="18" t="n">
        <x:v>138</x:v>
      </x:c>
      <x:c r="K26" s="18" t="n">
        <x:v>139</x:v>
      </x:c>
      <x:c r="L26" s="18"/>
      <x:c r="M26" s="18"/>
      <x:c r="N26" s="18"/>
      <x:c r="O26" s="18"/>
      <x:c r="P26" s="18"/>
      <x:c r="Q26" s="18" t="n">
        <x:v>24</x:v>
      </x:c>
      <x:c r="R26" s="18"/>
      <x:c r="S26" s="18"/>
      <x:c r="T26" s="18"/>
      <x:c r="U26" s="18"/>
      <x:c r="V26" s="18"/>
      <x:c r="W26" s="18" t="n">
        <x:v>53</x:v>
      </x:c>
      <x:c r="X26" s="18" t="str">
        <x:v>participants</x:v>
      </x:c>
      <x:c r="Y26" s="18" t="str">
        <x:v>&lt;0.01</x:v>
      </x:c>
      <x:c r="Z26" s="18" t="str">
        <x:v>RR</x:v>
      </x:c>
      <x:c r="AA26" s="18" t="n">
        <x:v>0.45611156685808035</x:v>
      </x:c>
      <x:c r="AB26" s="18" t="str">
        <x:v>INCLUDE — SEPARATE TIME WINDOW</x:v>
      </x:c>
      <x:c r="AC26" s="18" t="str">
        <x:v>Valid 48 h PONV endpoint; analyze separately from 24-h PONV.</x:v>
      </x:c>
      <x:c r="AD26" s="18"/>
      <x:c r="AE26" s="18" t="str">
        <x:v>Binary effect measure (RR preferred per protocol)</x:v>
      </x:c>
      <x:c r="AF26" s="18" t="str">
        <x:v>Some concerns</x:v>
      </x:c>
      <x:c r="AG26" s="18" t="str">
        <x:v>No — selected RoB matches this result</x:v>
      </x:c>
      <x:c r="AH26" s="18" t="str">
        <x:v>Luo 2026</x:v>
      </x:c>
      <x:c r="AI26" s="18" t="str">
        <x:v>Primary eligible contrast</x:v>
      </x:c>
      <x:c r="AJ26" s="18" t="str">
        <x:v>Count this study once per synthesis unless a valid multi-arm method is used.</x:v>
      </x:c>
      <x:c r="AK26" s="18" t="str">
        <x:v>Participant blinding was empirically poor: 77.5% of TEAS and 66.2% of sham participants correctly guessed allocation</x:v>
      </x:c>
      <x:c r="AL26" s="18" t="str">
        <x:v>https://drive.google.com/file/d/1xxZle6mPpcnmHLblJbsy1kA4CyQHpvm2/view?usp=drivesdk</x:v>
      </x:c>
    </x:row>
    <x:row r="27">
      <x:c r="A27" s="18" t="str">
        <x:v>Luo 2026</x:v>
      </x:c>
      <x:c r="B27" s="18" t="str">
        <x:v>LUO26_TEAS_vs_SHAM_VOMIT48</x:v>
      </x:c>
      <x:c r="C27" s="18" t="str">
        <x:v>Intraoperative PC6 TEAS + standard antiemetics</x:v>
      </x:c>
      <x:c r="D27" s="18" t="str">
        <x:v>Sham/no current + standard antiemetics</x:v>
      </x:c>
      <x:c r="E27" s="18" t="str">
        <x:v>Cumulative postoperative vomiting</x:v>
      </x:c>
      <x:c r="F27" s="18" t="str">
        <x:v>0-48 h</x:v>
      </x:c>
      <x:c r="G27" s="18" t="str">
        <x:v>Events/total</x:v>
      </x:c>
      <x:c r="H27" s="18" t="n">
        <x:v>138</x:v>
      </x:c>
      <x:c r="I27" s="18" t="n">
        <x:v>139</x:v>
      </x:c>
      <x:c r="J27" s="18" t="n">
        <x:v>138</x:v>
      </x:c>
      <x:c r="K27" s="18" t="n">
        <x:v>139</x:v>
      </x:c>
      <x:c r="L27" s="18"/>
      <x:c r="M27" s="18"/>
      <x:c r="N27" s="18"/>
      <x:c r="O27" s="18"/>
      <x:c r="P27" s="18"/>
      <x:c r="Q27" s="18" t="n">
        <x:v>9</x:v>
      </x:c>
      <x:c r="R27" s="18"/>
      <x:c r="S27" s="18"/>
      <x:c r="T27" s="18"/>
      <x:c r="U27" s="18"/>
      <x:c r="V27" s="18"/>
      <x:c r="W27" s="18" t="n">
        <x:v>27</x:v>
      </x:c>
      <x:c r="X27" s="18" t="str">
        <x:v>participants</x:v>
      </x:c>
      <x:c r="Y27" s="18" t="str">
        <x:v>&lt;0.01</x:v>
      </x:c>
      <x:c r="Z27" s="18" t="str">
        <x:v>RR</x:v>
      </x:c>
      <x:c r="AA27" s="18" t="n">
        <x:v>0.3357487922705314</x:v>
      </x:c>
      <x:c r="AB27" s="18" t="str">
        <x:v>INCLUDE — SEPARATE TIME WINDOW</x:v>
      </x:c>
      <x:c r="AC27" s="18" t="str">
        <x:v>Valid 48 h PONV endpoint; analyze separately from 24-h PONV.</x:v>
      </x:c>
      <x:c r="AD27" s="18"/>
      <x:c r="AE27" s="18" t="str">
        <x:v>Binary effect measure (RR preferred per protocol)</x:v>
      </x:c>
      <x:c r="AF27" s="18" t="str">
        <x:v>Some concerns</x:v>
      </x:c>
      <x:c r="AG27" s="18" t="str">
        <x:v>Yes — selected RoB is for a different result/timepoint</x:v>
      </x:c>
      <x:c r="AH27" s="18" t="str">
        <x:v>Luo 2026</x:v>
      </x:c>
      <x:c r="AI27" s="18" t="str">
        <x:v>Primary eligible contrast</x:v>
      </x:c>
      <x:c r="AJ27" s="18" t="str">
        <x:v>Count this study once per synthesis unless a valid multi-arm method is used.</x:v>
      </x:c>
      <x:c r="AK27" s="18" t="str">
        <x:v>Vomiting is more objective than nausea, but participant masking was incomplete</x:v>
      </x:c>
      <x:c r="AL27" s="18" t="str">
        <x:v>https://drive.google.com/file/d/1xxZle6mPpcnmHLblJbsy1kA4CyQHpvm2/view?usp=drivesdk</x:v>
      </x:c>
    </x:row>
    <x:row r="28">
      <x:c r="A28" s="18" t="str">
        <x:v>Luo 2026</x:v>
      </x:c>
      <x:c r="B28" s="18" t="str">
        <x:v>LUO26_TEAS_vs_SHAM_COMPLETE48</x:v>
      </x:c>
      <x:c r="C28" s="18" t="str">
        <x:v>Intraoperative PC6 TEAS + standard antiemetics</x:v>
      </x:c>
      <x:c r="D28" s="18" t="str">
        <x:v>Sham/no current + standard antiemetics</x:v>
      </x:c>
      <x:c r="E28" s="18" t="str">
        <x:v>Complete response: no vomiting and no rescue antiemetic</x:v>
      </x:c>
      <x:c r="F28" s="18" t="str">
        <x:v>0-48 h</x:v>
      </x:c>
      <x:c r="G28" s="18" t="str">
        <x:v>Events/total</x:v>
      </x:c>
      <x:c r="H28" s="18" t="n">
        <x:v>138</x:v>
      </x:c>
      <x:c r="I28" s="18" t="n">
        <x:v>139</x:v>
      </x:c>
      <x:c r="J28" s="18" t="n">
        <x:v>138</x:v>
      </x:c>
      <x:c r="K28" s="18" t="n">
        <x:v>139</x:v>
      </x:c>
      <x:c r="L28" s="18"/>
      <x:c r="M28" s="18"/>
      <x:c r="N28" s="18"/>
      <x:c r="O28" s="18"/>
      <x:c r="P28" s="18"/>
      <x:c r="Q28" s="18" t="n">
        <x:v>112</x:v>
      </x:c>
      <x:c r="R28" s="18"/>
      <x:c r="S28" s="18"/>
      <x:c r="T28" s="18"/>
      <x:c r="U28" s="18"/>
      <x:c r="V28" s="18"/>
      <x:c r="W28" s="18" t="n">
        <x:v>83</x:v>
      </x:c>
      <x:c r="X28" s="18" t="str">
        <x:v>participants</x:v>
      </x:c>
      <x:c r="Y28" s="18" t="str">
        <x:v>&lt;0.01</x:v>
      </x:c>
      <x:c r="Z28" s="18" t="str">
        <x:v>RR</x:v>
      </x:c>
      <x:c r="AA28" s="18" t="n">
        <x:v>1.3591758337698623</x:v>
      </x:c>
      <x:c r="AB28" s="18" t="str">
        <x:v>INCLUDE — SEPARATE TIME WINDOW</x:v>
      </x:c>
      <x:c r="AC28" s="18" t="str">
        <x:v>Valid 48 h PONV endpoint; analyze separately from 24-h PONV.</x:v>
      </x:c>
      <x:c r="AD28" s="18"/>
      <x:c r="AE28" s="18" t="str">
        <x:v>Binary effect measure (RR preferred per protocol)</x:v>
      </x:c>
      <x:c r="AF28" s="18" t="str">
        <x:v>Some concerns</x:v>
      </x:c>
      <x:c r="AG28" s="18" t="str">
        <x:v>Yes — selected RoB is for a different result/timepoint</x:v>
      </x:c>
      <x:c r="AH28" s="18" t="str">
        <x:v>Luo 2026</x:v>
      </x:c>
      <x:c r="AI28" s="18" t="str">
        <x:v>Primary eligible contrast</x:v>
      </x:c>
      <x:c r="AJ28" s="18" t="str">
        <x:v>Count this study once per synthesis unless a valid multi-arm method is used.</x:v>
      </x:c>
      <x:c r="AK28" s="18" t="str">
        <x:v>Abstract percentage differs slightly from table-derived 112/138; use raw counts</x:v>
      </x:c>
      <x:c r="AL28" s="18" t="str">
        <x:v>https://drive.google.com/file/d/1xxZle6mPpcnmHLblJbsy1kA4CyQHpvm2/view?usp=drivesdk</x:v>
      </x:c>
    </x:row>
    <x:row r="29">
      <x:c r="A29" s="18" t="str">
        <x:v>Long 2025</x:v>
      </x:c>
      <x:c r="B29" s="18" t="str">
        <x:v>LONG25_TEAS_vs_CTRL_PONV</x:v>
      </x:c>
      <x:c r="C29" s="18" t="str">
        <x:v>Perioperative electrical acupoint stimulation</x:v>
      </x:c>
      <x:c r="D29" s="18" t="str">
        <x:v>Electrodes/no current</x:v>
      </x:c>
      <x:c r="E29" s="18" t="str">
        <x:v>PONV incidence</x:v>
      </x:c>
      <x:c r="F29" s="18" t="str">
        <x:v>Postoperative</x:v>
      </x:c>
      <x:c r="G29" s="18" t="str">
        <x:v>Events/total</x:v>
      </x:c>
      <x:c r="H29" s="18" t="n">
        <x:v>30</x:v>
      </x:c>
      <x:c r="I29" s="18" t="n">
        <x:v>30</x:v>
      </x:c>
      <x:c r="J29" s="18" t="n">
        <x:v>27</x:v>
      </x:c>
      <x:c r="K29" s="18" t="n">
        <x:v>26</x:v>
      </x:c>
      <x:c r="L29" s="18"/>
      <x:c r="M29" s="18"/>
      <x:c r="N29" s="18"/>
      <x:c r="O29" s="18"/>
      <x:c r="P29" s="18"/>
      <x:c r="Q29" s="18" t="n">
        <x:v>1</x:v>
      </x:c>
      <x:c r="R29" s="18"/>
      <x:c r="S29" s="18"/>
      <x:c r="T29" s="18"/>
      <x:c r="U29" s="18"/>
      <x:c r="V29" s="18"/>
      <x:c r="W29" s="18" t="n">
        <x:v>8</x:v>
      </x:c>
      <x:c r="X29" s="18" t="str">
        <x:v>participants</x:v>
      </x:c>
      <x:c r="Y29" s="18" t="str">
        <x:v>NR</x:v>
      </x:c>
      <x:c r="Z29" s="18" t="str">
        <x:v>RR</x:v>
      </x:c>
      <x:c r="AA29" s="18" t="n">
        <x:v>0.12037037037037036</x:v>
      </x:c>
      <x:c r="AB29" s="18" t="str">
        <x:v>CONDITIONAL</x:v>
      </x:c>
      <x:c r="AC29" s="18" t="str">
        <x:v>Valid PONV result, but the postoperative observation window should be matched to the intended synthesis.</x:v>
      </x:c>
      <x:c r="AD29" s="18"/>
      <x:c r="AE29" s="18" t="str">
        <x:v>Binary effect measure (RR preferred per protocol)</x:v>
      </x:c>
      <x:c r="AF29" s="18" t="str">
        <x:v>High</x:v>
      </x:c>
      <x:c r="AG29" s="18" t="str">
        <x:v>Yes — selected RoB is for a different result/timepoint</x:v>
      </x:c>
      <x:c r="AH29" s="18" t="str">
        <x:v>Long 2025</x:v>
      </x:c>
      <x:c r="AI29" s="18" t="str">
        <x:v>Primary eligible contrast</x:v>
      </x:c>
      <x:c r="AJ29" s="18" t="str">
        <x:v>Count this study once per synthesis unless a valid multi-arm method is used.</x:v>
      </x:c>
      <x:c r="AK29" s="18" t="str">
        <x:v>Adverse-event percentages elsewhere are internally inconsistent; raw 1/27 vs 8/26 is retained</x:v>
      </x:c>
      <x:c r="AL29" s="18" t="str">
        <x:v>https://drive.google.com/file/d/1LDqtQLq9-kZLP0Vv_G3iiK8QKjy4pRXP/view?usp=drivesdk</x:v>
      </x:c>
    </x:row>
    <x:row r="30">
      <x:c r="A30" s="18" t="str">
        <x:v>Liu 2026 (ESD)</x:v>
      </x:c>
      <x:c r="B30" s="18" t="str">
        <x:v>LIU26ESD_TEAS_vs_SHAM_PONV</x:v>
      </x:c>
      <x:c r="C30" s="18" t="str">
        <x:v>Perioperative TEAS</x:v>
      </x:c>
      <x:c r="D30" s="18" t="str">
        <x:v>Sham-point/no current</x:v>
      </x:c>
      <x:c r="E30" s="18" t="str">
        <x:v>PONV incidence</x:v>
      </x:c>
      <x:c r="F30" s="18" t="str">
        <x:v>Postoperative follow-up</x:v>
      </x:c>
      <x:c r="G30" s="18" t="str">
        <x:v>Events/total</x:v>
      </x:c>
      <x:c r="H30" s="18" t="n">
        <x:v>64</x:v>
      </x:c>
      <x:c r="I30" s="18" t="n">
        <x:v>65</x:v>
      </x:c>
      <x:c r="J30" s="18" t="n">
        <x:v>58</x:v>
      </x:c>
      <x:c r="K30" s="18" t="n">
        <x:v>62</x:v>
      </x:c>
      <x:c r="L30" s="18"/>
      <x:c r="M30" s="18"/>
      <x:c r="N30" s="18"/>
      <x:c r="O30" s="18"/>
      <x:c r="P30" s="18"/>
      <x:c r="Q30" s="18" t="n">
        <x:v>4</x:v>
      </x:c>
      <x:c r="R30" s="18"/>
      <x:c r="S30" s="18"/>
      <x:c r="T30" s="18"/>
      <x:c r="U30" s="18"/>
      <x:c r="V30" s="18"/>
      <x:c r="W30" s="18" t="n">
        <x:v>14</x:v>
      </x:c>
      <x:c r="X30" s="18" t="str">
        <x:v>participants</x:v>
      </x:c>
      <x:c r="Y30" s="18" t="str">
        <x:v>Published P/RR internally inconsistent</x:v>
      </x:c>
      <x:c r="Z30" s="18" t="str">
        <x:v>RR</x:v>
      </x:c>
      <x:c r="AA30" s="18" t="n">
        <x:v>0.3054187192118227</x:v>
      </x:c>
      <x:c r="AB30" s="18" t="str">
        <x:v>CONDITIONAL</x:v>
      </x:c>
      <x:c r="AC30" s="18" t="str">
        <x:v>Valid PONV result, but the postoperative observation window should be matched to the intended synthesis.</x:v>
      </x:c>
      <x:c r="AD30" s="18"/>
      <x:c r="AE30" s="18" t="str">
        <x:v>Binary effect measure (RR preferred per protocol)</x:v>
      </x:c>
      <x:c r="AF30" s="18" t="str">
        <x:v>High</x:v>
      </x:c>
      <x:c r="AG30" s="18" t="str">
        <x:v>Yes — selected RoB is for a different result/timepoint</x:v>
      </x:c>
      <x:c r="AH30" s="18" t="str">
        <x:v>Liu 2026 (ESD)</x:v>
      </x:c>
      <x:c r="AI30" s="18" t="str">
        <x:v>Primary eligible contrast</x:v>
      </x:c>
      <x:c r="AJ30" s="18" t="str">
        <x:v>Count this study once per synthesis unless a valid multi-arm method is used.</x:v>
      </x:c>
      <x:c r="AK30" s="18" t="str">
        <x:v>Published RR/P-value for PONV are internally inconsistent; use raw 4/58 vs 14/62</x:v>
      </x:c>
      <x:c r="AL30" s="18" t="str">
        <x:v>https://drive.google.com/file/d/1Hp7pCBP8iXkGGYVhlFY0BHTeaaM7bhdY/view?usp=drivesdk</x:v>
      </x:c>
    </x:row>
    <x:row r="31">
      <x:c r="A31" s="18" t="str">
        <x:v>Liu 2026 (burn)</x:v>
      </x:c>
      <x:c r="B31" s="18" t="str">
        <x:v>LIU26BURN_TEAS_vs_SHAM_PONV24</x:v>
      </x:c>
      <x:c r="C31" s="18" t="str">
        <x:v>Pre-induction TEAS</x:v>
      </x:c>
      <x:c r="D31" s="18" t="str">
        <x:v>Placebo/sham TEAS</x:v>
      </x:c>
      <x:c r="E31" s="18" t="str">
        <x:v>Nausea-vomiting</x:v>
      </x:c>
      <x:c r="F31" s="18" t="str">
        <x:v>Through POD1 / approximately 24 h</x:v>
      </x:c>
      <x:c r="G31" s="18" t="str">
        <x:v>Events/total</x:v>
      </x:c>
      <x:c r="H31" s="18" t="n">
        <x:v>44</x:v>
      </x:c>
      <x:c r="I31" s="18" t="n">
        <x:v>44</x:v>
      </x:c>
      <x:c r="J31" s="18" t="n">
        <x:v>43</x:v>
      </x:c>
      <x:c r="K31" s="18" t="n">
        <x:v>43</x:v>
      </x:c>
      <x:c r="L31" s="18"/>
      <x:c r="M31" s="18"/>
      <x:c r="N31" s="18"/>
      <x:c r="O31" s="18"/>
      <x:c r="P31" s="18"/>
      <x:c r="Q31" s="18" t="n">
        <x:v>7</x:v>
      </x:c>
      <x:c r="R31" s="18"/>
      <x:c r="S31" s="18"/>
      <x:c r="T31" s="18"/>
      <x:c r="U31" s="18"/>
      <x:c r="V31" s="18"/>
      <x:c r="W31" s="18" t="n">
        <x:v>16</x:v>
      </x:c>
      <x:c r="X31" s="18" t="str">
        <x:v>participants</x:v>
      </x:c>
      <x:c r="Y31" s="18" t="str">
        <x:v>Published P=0.011 vs 0.028 conflict</x:v>
      </x:c>
      <x:c r="Z31" s="18" t="str">
        <x:v>RR</x:v>
      </x:c>
      <x:c r="AA31" s="18" t="n">
        <x:v>0.43750000000000006</x:v>
      </x:c>
      <x:c r="AB31" s="18" t="str">
        <x:v>CONDITIONAL</x:v>
      </x:c>
      <x:c r="AC31" s="18" t="str">
        <x:v>Valid PONV result, but the postoperative observation window should be matched to the intended synthesis.</x:v>
      </x:c>
      <x:c r="AD31" s="18"/>
      <x:c r="AE31" s="18" t="str">
        <x:v>Binary effect measure (RR preferred per protocol)</x:v>
      </x:c>
      <x:c r="AF31" s="18" t="str">
        <x:v>Some concerns</x:v>
      </x:c>
      <x:c r="AG31" s="18" t="str">
        <x:v>Yes — selected RoB is for a different result/timepoint</x:v>
      </x:c>
      <x:c r="AH31" s="18" t="str">
        <x:v>Liu 2026 (burn)</x:v>
      </x:c>
      <x:c r="AI31" s="18" t="str">
        <x:v>Primary eligible contrast</x:v>
      </x:c>
      <x:c r="AJ31" s="18" t="str">
        <x:v>Count this study once per synthesis unless a valid multi-arm method is used.</x:v>
      </x:c>
      <x:c r="AK31" s="18" t="str">
        <x:v>Two different P-values are printed for the same result</x:v>
      </x:c>
      <x:c r="AL31" s="18" t="str">
        <x:v>https://drive.google.com/file/d/1mvekGtHD2JAKCRbIXrvLw1Nz7hbQ1dZ3/view?usp=drivesdk</x:v>
      </x:c>
    </x:row>
    <x:row r="32">
      <x:c r="A32" s="18" t="str">
        <x:v>Jiang 2026</x:v>
      </x:c>
      <x:c r="B32" s="18" t="str">
        <x:v>JIANG26_TEAS_vs_SHAM_PONV24</x:v>
      </x:c>
      <x:c r="C32" s="18" t="str">
        <x:v>Perioperative TEAS</x:v>
      </x:c>
      <x:c r="D32" s="18" t="str">
        <x:v>Sham/no current</x:v>
      </x:c>
      <x:c r="E32" s="18" t="str">
        <x:v>PONV incidence</x:v>
      </x:c>
      <x:c r="F32" s="18" t="str">
        <x:v>Within 24 h</x:v>
      </x:c>
      <x:c r="G32" s="18" t="str">
        <x:v>Events/total</x:v>
      </x:c>
      <x:c r="H32" s="18" t="n">
        <x:v>308</x:v>
      </x:c>
      <x:c r="I32" s="18" t="n">
        <x:v>306</x:v>
      </x:c>
      <x:c r="J32" s="18" t="n">
        <x:v>294</x:v>
      </x:c>
      <x:c r="K32" s="18" t="n">
        <x:v>293</x:v>
      </x:c>
      <x:c r="L32" s="18"/>
      <x:c r="M32" s="18"/>
      <x:c r="N32" s="18"/>
      <x:c r="O32" s="18"/>
      <x:c r="P32" s="18"/>
      <x:c r="Q32" s="18" t="n">
        <x:v>44</x:v>
      </x:c>
      <x:c r="R32" s="18"/>
      <x:c r="S32" s="18"/>
      <x:c r="T32" s="18"/>
      <x:c r="U32" s="18"/>
      <x:c r="V32" s="18"/>
      <x:c r="W32" s="18" t="n">
        <x:v>67</x:v>
      </x:c>
      <x:c r="X32" s="18" t="str">
        <x:v>participants</x:v>
      </x:c>
      <x:c r="Y32" s="18" t="str">
        <x:v>0.015</x:v>
      </x:c>
      <x:c r="Z32" s="18" t="str">
        <x:v>RR</x:v>
      </x:c>
      <x:c r="AA32" s="18" t="n">
        <x:v>0.6544826885978272</x:v>
      </x:c>
      <x:c r="AB32" s="18" t="str">
        <x:v>CONDITIONAL</x:v>
      </x:c>
      <x:c r="AC32" s="18" t="str">
        <x:v>Valid PONV result, but the postoperative observation window should be matched to the intended synthesis.</x:v>
      </x:c>
      <x:c r="AD32" s="18"/>
      <x:c r="AE32" s="18" t="str">
        <x:v>Binary effect measure (RR preferred per protocol)</x:v>
      </x:c>
      <x:c r="AF32" s="18" t="str">
        <x:v>Some concerns</x:v>
      </x:c>
      <x:c r="AG32" s="18" t="str">
        <x:v>Yes — selected RoB is for a different result/timepoint</x:v>
      </x:c>
      <x:c r="AH32" s="18" t="str">
        <x:v>Jiang 2026</x:v>
      </x:c>
      <x:c r="AI32" s="18" t="str">
        <x:v>Primary eligible contrast</x:v>
      </x:c>
      <x:c r="AJ32" s="18" t="str">
        <x:v>Count this study once per synthesis unless a valid multi-arm method is used.</x:v>
      </x:c>
      <x:c r="AK32" s="18" t="str">
        <x:v>Use 44/294 vs 67/293; do not relabel 587 as randomized/ITT</x:v>
      </x:c>
      <x:c r="AL32" s="18" t="str">
        <x:v>https://drive.google.com/file/d/1nujlP9A_IMWUfd3HdCD2rOxTc9-I8v92/view?usp=drivesdk</x:v>
      </x:c>
    </x:row>
    <x:row r="33">
      <x:c r="A33" s="18" t="str">
        <x:v>Hou 2023</x:v>
      </x:c>
      <x:c r="B33" s="18" t="str">
        <x:v>HOU23_TEAS_vs_SHAM_PONV</x:v>
      </x:c>
      <x:c r="C33" s="18" t="str">
        <x:v>Perioperative TEAS</x:v>
      </x:c>
      <x:c r="D33" s="18" t="str">
        <x:v>Sham/no-current TEAS</x:v>
      </x:c>
      <x:c r="E33" s="18" t="str">
        <x:v>PONV incidence</x:v>
      </x:c>
      <x:c r="F33" s="18" t="str">
        <x:v>Postoperative / reported review window</x:v>
      </x:c>
      <x:c r="G33" s="18" t="str">
        <x:v>Events/total</x:v>
      </x:c>
      <x:c r="H33" s="18" t="n">
        <x:v>37</x:v>
      </x:c>
      <x:c r="I33" s="18" t="n">
        <x:v>37</x:v>
      </x:c>
      <x:c r="J33" s="18" t="n">
        <x:v>36</x:v>
      </x:c>
      <x:c r="K33" s="18" t="n">
        <x:v>36</x:v>
      </x:c>
      <x:c r="L33" s="18"/>
      <x:c r="M33" s="18"/>
      <x:c r="N33" s="18"/>
      <x:c r="O33" s="18"/>
      <x:c r="P33" s="18"/>
      <x:c r="Q33" s="18" t="n">
        <x:v>4</x:v>
      </x:c>
      <x:c r="R33" s="18"/>
      <x:c r="S33" s="18"/>
      <x:c r="T33" s="18"/>
      <x:c r="U33" s="18"/>
      <x:c r="V33" s="18"/>
      <x:c r="W33" s="18" t="n">
        <x:v>12</x:v>
      </x:c>
      <x:c r="X33" s="18" t="str">
        <x:v>participants</x:v>
      </x:c>
      <x:c r="Y33" s="18" t="str">
        <x:v>0.023</x:v>
      </x:c>
      <x:c r="Z33" s="18" t="str">
        <x:v>RR</x:v>
      </x:c>
      <x:c r="AA33" s="18" t="n">
        <x:v>0.3333333333333333</x:v>
      </x:c>
      <x:c r="AB33" s="18" t="str">
        <x:v>CONDITIONAL</x:v>
      </x:c>
      <x:c r="AC33" s="18" t="str">
        <x:v>Valid PONV result, but the postoperative observation window should be matched to the intended synthesis.</x:v>
      </x:c>
      <x:c r="AD33" s="18"/>
      <x:c r="AE33" s="18" t="str">
        <x:v>Binary effect measure (RR preferred per protocol)</x:v>
      </x:c>
      <x:c r="AF33" s="18" t="str">
        <x:v>Some concerns</x:v>
      </x:c>
      <x:c r="AG33" s="18" t="str">
        <x:v>No — selected RoB matches this result</x:v>
      </x:c>
      <x:c r="AH33" s="18" t="str">
        <x:v>Hou 2023</x:v>
      </x:c>
      <x:c r="AI33" s="18" t="str">
        <x:v>Primary eligible contrast</x:v>
      </x:c>
      <x:c r="AJ33" s="18" t="str">
        <x:v>Count this study once per synthesis unless a valid multi-arm method is used.</x:v>
      </x:c>
      <x:c r="AK33" s="18" t="str">
        <x:v>Two withdrawals (one/group) for personal reasons; no blinding-success test despite active 6-15 mA vibration vs no current</x:v>
      </x:c>
      <x:c r="AL33" s="18" t="str">
        <x:v>https://drive.google.com/file/d/161WdTRehgwvDHvQ8OkRf8U9TbUmVQgaR/view?usp=drivesdk</x:v>
      </x:c>
    </x:row>
    <x:row r="34">
      <x:c r="A34" s="18" t="str">
        <x:v>He 2026 (hepatectomy/JIS)</x:v>
      </x:c>
      <x:c r="B34" s="18" t="str">
        <x:v>HEJIS26_TEAS_vs_CTRL_PONV24</x:v>
      </x:c>
      <x:c r="C34" s="18" t="str">
        <x:v>Intraoperative PC6 TEAS</x:v>
      </x:c>
      <x:c r="D34" s="18" t="str">
        <x:v>No-current PC6 control</x:v>
      </x:c>
      <x:c r="E34" s="18" t="str">
        <x:v>PONV incidence</x:v>
      </x:c>
      <x:c r="F34" s="18" t="str">
        <x:v>0-24 h</x:v>
      </x:c>
      <x:c r="G34" s="18" t="str">
        <x:v>Events/total</x:v>
      </x:c>
      <x:c r="H34" s="18" t="n">
        <x:v>81</x:v>
      </x:c>
      <x:c r="I34" s="18" t="n">
        <x:v>80</x:v>
      </x:c>
      <x:c r="J34" s="18" t="n">
        <x:v>80</x:v>
      </x:c>
      <x:c r="K34" s="18" t="n">
        <x:v>79</x:v>
      </x:c>
      <x:c r="L34" s="18"/>
      <x:c r="M34" s="18"/>
      <x:c r="N34" s="18"/>
      <x:c r="O34" s="18"/>
      <x:c r="P34" s="18"/>
      <x:c r="Q34" s="18" t="n">
        <x:v>19</x:v>
      </x:c>
      <x:c r="R34" s="18"/>
      <x:c r="S34" s="18"/>
      <x:c r="T34" s="18"/>
      <x:c r="U34" s="18"/>
      <x:c r="V34" s="18"/>
      <x:c r="W34" s="18" t="n">
        <x:v>21</x:v>
      </x:c>
      <x:c r="X34" s="18" t="str">
        <x:v>participants</x:v>
      </x:c>
      <x:c r="Y34" s="18" t="str">
        <x:v>0.68</x:v>
      </x:c>
      <x:c r="Z34" s="18" t="str">
        <x:v>RR</x:v>
      </x:c>
      <x:c r="AA34" s="18" t="n">
        <x:v>0.893452380952381</x:v>
      </x:c>
      <x:c r="AB34" s="18" t="str">
        <x:v>INCLUDE</x:v>
      </x:c>
      <x:c r="AC34" s="18" t="str">
        <x:v>Explicit 24-h PONV endpoint.</x:v>
      </x:c>
      <x:c r="AD34" s="18"/>
      <x:c r="AE34" s="18" t="str">
        <x:v>Binary effect measure (RR preferred per protocol)</x:v>
      </x:c>
      <x:c r="AF34" s="18" t="str">
        <x:v>Some concerns</x:v>
      </x:c>
      <x:c r="AG34" s="18" t="str">
        <x:v>Yes — selected RoB is for a different result/timepoint</x:v>
      </x:c>
      <x:c r="AH34" s="18" t="str">
        <x:v>He 2026 (hepatectomy/JIS)</x:v>
      </x:c>
      <x:c r="AI34" s="18" t="str">
        <x:v>Primary eligible contrast</x:v>
      </x:c>
      <x:c r="AJ34" s="18" t="str">
        <x:v>Count this study once per synthesis unless a valid multi-arm method is used.</x:v>
      </x:c>
      <x:c r="AK34" s="18" t="str">
        <x:v>Primary trial outcome; no meaningful between-group difference</x:v>
      </x:c>
      <x:c r="AL34" s="18" t="str">
        <x:v>https://drive.google.com/file/d/1VgOxIOrGe7ZVevkKEVP7G-0V1DXPU0Gf/view?usp=drivesdk</x:v>
      </x:c>
    </x:row>
    <x:row r="35">
      <x:c r="A35" s="18" t="str">
        <x:v>Chen 2015</x:v>
      </x:c>
      <x:c r="B35" s="18" t="str">
        <x:v>CHEN15Q_TEAS_vs_CTRL_PONV24</x:v>
      </x:c>
      <x:c r="C35" s="18" t="str">
        <x:v>Preoperative TEAS</x:v>
      </x:c>
      <x:c r="D35" s="18" t="str">
        <x:v>Electrodes/device with no stimulation</x:v>
      </x:c>
      <x:c r="E35" s="18" t="str">
        <x:v>PONV incidence</x:v>
      </x:c>
      <x:c r="F35" s="18" t="str">
        <x:v>0-24 h</x:v>
      </x:c>
      <x:c r="G35" s="18" t="str">
        <x:v>Events/total</x:v>
      </x:c>
      <x:c r="H35" s="18" t="n">
        <x:v>42</x:v>
      </x:c>
      <x:c r="I35" s="18" t="n">
        <x:v>42</x:v>
      </x:c>
      <x:c r="J35" s="18" t="n">
        <x:v>41</x:v>
      </x:c>
      <x:c r="K35" s="18" t="n">
        <x:v>42</x:v>
      </x:c>
      <x:c r="L35" s="18"/>
      <x:c r="M35" s="18"/>
      <x:c r="N35" s="18"/>
      <x:c r="O35" s="18"/>
      <x:c r="P35" s="18"/>
      <x:c r="Q35" s="18" t="n">
        <x:v>10</x:v>
      </x:c>
      <x:c r="R35" s="18"/>
      <x:c r="S35" s="18"/>
      <x:c r="T35" s="18"/>
      <x:c r="U35" s="18"/>
      <x:c r="V35" s="18"/>
      <x:c r="W35" s="18" t="n">
        <x:v>26</x:v>
      </x:c>
      <x:c r="X35" s="18" t="str">
        <x:v>participants</x:v>
      </x:c>
      <x:c r="Y35" s="18" t="str">
        <x:v>0.001</x:v>
      </x:c>
      <x:c r="Z35" s="18" t="str">
        <x:v>RR</x:v>
      </x:c>
      <x:c r="AA35" s="18" t="n">
        <x:v>0.3939962476547842</x:v>
      </x:c>
      <x:c r="AB35" s="18" t="str">
        <x:v>INCLUDE</x:v>
      </x:c>
      <x:c r="AC35" s="18" t="str">
        <x:v>Explicit 24-h PONV endpoint.</x:v>
      </x:c>
      <x:c r="AD35" s="18"/>
      <x:c r="AE35" s="18" t="str">
        <x:v>Binary effect measure (RR preferred per protocol)</x:v>
      </x:c>
      <x:c r="AF35" s="18" t="str">
        <x:v>High</x:v>
      </x:c>
      <x:c r="AG35" s="18" t="str">
        <x:v>Yes — selected RoB is for a different result/timepoint</x:v>
      </x:c>
      <x:c r="AH35" s="18" t="str">
        <x:v>Chen 2015</x:v>
      </x:c>
      <x:c r="AI35" s="18" t="str">
        <x:v>Primary eligible contrast</x:v>
      </x:c>
      <x:c r="AJ35" s="18" t="str">
        <x:v>Count this study once per synthesis unless a valid multi-arm method is used.</x:v>
      </x:c>
      <x:c r="AK35" s="18" t="str">
        <x:v>Use analyzed denominators 41 and 42.</x:v>
      </x:c>
      <x:c r="AL35" s="18" t="str">
        <x:v>https://drive.google.com/file/d/1ZtE8GImDcpDJH1tOvzqazoh_S4Gd67oH/view?usp=drivesdk</x:v>
      </x:c>
    </x:row>
    <x:row r="36">
      <x:c r="A36" s="18" t="str">
        <x:v>Chen 2015 (Hyperalgesia)</x:v>
      </x:c>
      <x:c r="B36" s="18" t="str">
        <x:v>CHEN15H_TEAS_vs_SHAM_PONV24</x:v>
      </x:c>
      <x:c r="C36" s="18" t="str">
        <x:v>Preoperative TEAS</x:v>
      </x:c>
      <x:c r="D36" s="18" t="str">
        <x:v>Electrodes/no-current sham</x:v>
      </x:c>
      <x:c r="E36" s="18" t="str">
        <x:v>PONV incidence</x:v>
      </x:c>
      <x:c r="F36" s="18" t="str">
        <x:v>0-24 h</x:v>
      </x:c>
      <x:c r="G36" s="18" t="str">
        <x:v>Events/total</x:v>
      </x:c>
      <x:c r="H36" s="18" t="n">
        <x:v>30</x:v>
      </x:c>
      <x:c r="I36" s="18" t="n">
        <x:v>30</x:v>
      </x:c>
      <x:c r="J36" s="18" t="n">
        <x:v>29</x:v>
      </x:c>
      <x:c r="K36" s="18" t="n">
        <x:v>30</x:v>
      </x:c>
      <x:c r="L36" s="18"/>
      <x:c r="M36" s="18"/>
      <x:c r="N36" s="18"/>
      <x:c r="O36" s="18"/>
      <x:c r="P36" s="18"/>
      <x:c r="Q36" s="18" t="n">
        <x:v>5</x:v>
      </x:c>
      <x:c r="R36" s="18"/>
      <x:c r="S36" s="18"/>
      <x:c r="T36" s="18"/>
      <x:c r="U36" s="18"/>
      <x:c r="V36" s="18"/>
      <x:c r="W36" s="18" t="n">
        <x:v>13</x:v>
      </x:c>
      <x:c r="X36" s="18" t="str">
        <x:v>participants</x:v>
      </x:c>
      <x:c r="Y36" s="18" t="str">
        <x:v>0.03</x:v>
      </x:c>
      <x:c r="Z36" s="18" t="str">
        <x:v>RR</x:v>
      </x:c>
      <x:c r="AA36" s="18" t="n">
        <x:v>0.3978779840848807</x:v>
      </x:c>
      <x:c r="AB36" s="18" t="str">
        <x:v>INCLUDE</x:v>
      </x:c>
      <x:c r="AC36" s="18" t="str">
        <x:v>Explicit 24-h PONV endpoint.</x:v>
      </x:c>
      <x:c r="AD36" s="18"/>
      <x:c r="AE36" s="18" t="str">
        <x:v>Binary effect measure (RR preferred per protocol)</x:v>
      </x:c>
      <x:c r="AF36" s="18" t="str">
        <x:v>Some concerns</x:v>
      </x:c>
      <x:c r="AG36" s="18" t="str">
        <x:v>Yes — selected RoB is for a different result/timepoint</x:v>
      </x:c>
      <x:c r="AH36" s="18" t="str">
        <x:v>Chen 2015 (Hyperalgesia)</x:v>
      </x:c>
      <x:c r="AI36" s="18" t="str">
        <x:v>Primary eligible contrast</x:v>
      </x:c>
      <x:c r="AJ36" s="18" t="str">
        <x:v>Count this study once per synthesis unless a valid multi-arm method is used.</x:v>
      </x:c>
      <x:c r="AK36" s="18" t="str">
        <x:v>Use 29 analyzed TEAS and 30 control; one TEAS protocol-breach exclusion.</x:v>
      </x:c>
      <x:c r="AL36" s="18" t="str">
        <x:v>https://drive.google.com/file/d/13YKAZZsc2VQEPqkw1Ye40BYDZSRpI6N3/view?usp=drivesdk</x:v>
      </x:c>
    </x:row>
  </x:sheetData>
  <x:conditionalFormatting sqref="AB2:AB36">
    <x:cfRule type="expression" dxfId="54" priority="1">
      <x:formula>LEFT(AB2,7)="INCLUDE"</x:formula>
    </x:cfRule>
    <x:cfRule type="expression" dxfId="55" priority="2">
      <x:formula>LEFT(AB2,11)="CONDITIONAL"</x:formula>
    </x:cfRule>
    <x:cfRule type="expression" dxfId="56" priority="3">
      <x:formula>LEFT(AB2,7)="EXCLUDE"</x:formula>
    </x:cfRule>
    <x:cfRule type="expression" dxfId="57" priority="4">
      <x:formula>AB2="DUPLICATE HOLD"</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Yao 2015</x:v>
      </x:c>
      <x:c r="B2" s="18" t="str">
        <x:v>YAO15_TEAS_vs_CONTROL</x:v>
      </x:c>
      <x:c r="C2" s="18" t="str">
        <x:v>Preoperative TEAS</x:v>
      </x:c>
      <x:c r="D2" s="18" t="str">
        <x:v>Control/no current</x:v>
      </x:c>
      <x:c r="E2" s="18" t="str">
        <x:v>Global QoR-40</x:v>
      </x:c>
      <x:c r="F2" s="18" t="str">
        <x:v>24 h postoperatively</x:v>
      </x:c>
      <x:c r="G2" s="18" t="str">
        <x:v>Mean/SD</x:v>
      </x:c>
      <x:c r="H2" s="18" t="n">
        <x:v>37</x:v>
      </x:c>
      <x:c r="I2" s="18" t="n">
        <x:v>37</x:v>
      </x:c>
      <x:c r="J2" s="18" t="n">
        <x:v>35</x:v>
      </x:c>
      <x:c r="K2" s="18" t="n">
        <x:v>36</x:v>
      </x:c>
      <x:c r="L2" s="18" t="n">
        <x:v>176.5</x:v>
      </x:c>
      <x:c r="M2" s="18" t="n">
        <x:v>10.2</x:v>
      </x:c>
      <x:c r="N2" s="18"/>
      <x:c r="O2" s="18"/>
      <x:c r="P2" s="18"/>
      <x:c r="Q2" s="18"/>
      <x:c r="R2" s="18" t="n">
        <x:v>164.8</x:v>
      </x:c>
      <x:c r="S2" s="18" t="n">
        <x:v>14.7</x:v>
      </x:c>
      <x:c r="T2" s="18"/>
      <x:c r="U2" s="18"/>
      <x:c r="V2" s="18"/>
      <x:c r="W2" s="18"/>
      <x:c r="X2" s="18" t="str">
        <x:v>QoR-40 points</x:v>
      </x:c>
      <x:c r="Y2" s="18" t="str">
        <x:v>&lt;0.001</x:v>
      </x:c>
      <x:c r="Z2" s="18" t="str">
        <x:v>MD</x:v>
      </x:c>
      <x:c r="AA2" s="18" t="n">
        <x:v>11.699999999999989</x:v>
      </x:c>
      <x:c r="AB2" s="18" t="str">
        <x:v>INCLUDE — OTHER TIMEPOINT</x:v>
      </x:c>
      <x:c r="AC2" s="18" t="str">
        <x:v>Source-valid QoR endpoint outside the primary 24-h timepoint.</x:v>
      </x:c>
      <x:c r="AD2" s="18"/>
      <x:c r="AE2" s="18" t="str">
        <x:v>None</x:v>
      </x:c>
      <x:c r="AF2" s="18" t="str">
        <x:v>High</x:v>
      </x:c>
      <x:c r="AG2" s="18" t="str">
        <x:v>No — selected RoB matches this result</x:v>
      </x:c>
      <x:c r="AH2" s="18" t="str">
        <x:v>Yao 2015</x:v>
      </x:c>
      <x:c r="AI2" s="18" t="str">
        <x:v>Primary eligible contrast</x:v>
      </x:c>
      <x:c r="AJ2" s="18" t="str">
        <x:v>Count this study once per synthesis unless a valid multi-arm method is used.</x:v>
      </x:c>
      <x:c r="AK2" s="18" t="str">
        <x:v>3 post-randomization exclusions; active sensory stimulation vs zero-current control</x:v>
      </x:c>
      <x:c r="AL2" s="18" t="str">
        <x:v>https://drive.google.com/file/d/1OhcqPgP7chnaiBaZBPBAy4PQlSFMelfh/view?usp=drivesdk</x:v>
      </x:c>
    </x:row>
    <x:row r="3">
      <x:c r="A3" s="18" t="str">
        <x:v>Yu 2020</x:v>
      </x:c>
      <x:c r="B3" s="18" t="str">
        <x:v>YU20_TEAS_vs_CONTROL</x:v>
      </x:c>
      <x:c r="C3" s="18" t="str">
        <x:v>Preoperative TEAS</x:v>
      </x:c>
      <x:c r="D3" s="18" t="str">
        <x:v>Control/no current</x:v>
      </x:c>
      <x:c r="E3" s="18" t="str">
        <x:v>Global QoR-40</x:v>
      </x:c>
      <x:c r="F3" s="18" t="str">
        <x:v>Postoperative day 1 (~24 h)</x:v>
      </x:c>
      <x:c r="G3" s="18" t="str">
        <x:v>Mean/SD</x:v>
      </x:c>
      <x:c r="H3" s="18" t="n">
        <x:v>30</x:v>
      </x:c>
      <x:c r="I3" s="18" t="n">
        <x:v>30</x:v>
      </x:c>
      <x:c r="J3" s="18" t="n">
        <x:v>30</x:v>
      </x:c>
      <x:c r="K3" s="18" t="n">
        <x:v>30</x:v>
      </x:c>
      <x:c r="L3" s="18" t="n">
        <x:v>175.33</x:v>
      </x:c>
      <x:c r="M3" s="18" t="n">
        <x:v>9.66</x:v>
      </x:c>
      <x:c r="N3" s="18"/>
      <x:c r="O3" s="18"/>
      <x:c r="P3" s="18"/>
      <x:c r="Q3" s="18"/>
      <x:c r="R3" s="18" t="n">
        <x:v>166.07</x:v>
      </x:c>
      <x:c r="S3" s="18" t="n">
        <x:v>8.44</x:v>
      </x:c>
      <x:c r="T3" s="18"/>
      <x:c r="U3" s="18"/>
      <x:c r="V3" s="18"/>
      <x:c r="W3" s="18"/>
      <x:c r="X3" s="18" t="str">
        <x:v>QoR-40 points</x:v>
      </x:c>
      <x:c r="Y3" s="18" t="str">
        <x:v>0.040</x:v>
      </x:c>
      <x:c r="Z3" s="18" t="str">
        <x:v>MD</x:v>
      </x:c>
      <x:c r="AA3" s="18" t="n">
        <x:v>9.26000000000002</x:v>
      </x:c>
      <x:c r="AB3" s="18" t="str">
        <x:v>CONDITIONAL — POD1</x:v>
      </x:c>
      <x:c r="AC3" s="18" t="str">
        <x:v>POD1 is approximately 24 h; pool only if allowed by protocol.</x:v>
      </x:c>
      <x:c r="AD3" s="18"/>
      <x:c r="AE3" s="18" t="str">
        <x:v>None</x:v>
      </x:c>
      <x:c r="AF3" s="18" t="str">
        <x:v>High</x:v>
      </x:c>
      <x:c r="AG3" s="18" t="str">
        <x:v>No — selected RoB matches this result</x:v>
      </x:c>
      <x:c r="AH3" s="18" t="str">
        <x:v>Yu 2020</x:v>
      </x:c>
      <x:c r="AI3" s="18" t="str">
        <x:v>Primary eligible contrast</x:v>
      </x:c>
      <x:c r="AJ3" s="18" t="str">
        <x:v>Count this study once per synthesis unless a valid multi-arm method is used.</x:v>
      </x:c>
      <x:c r="AK3" s="18" t="str">
        <x:v>Retrospective registration; article has internal intervention-parameter discrepancy</x:v>
      </x:c>
      <x:c r="AL3" s="18" t="str">
        <x:v>https://drive.google.com/file/d/1fXpHc9FzhpPCkXto8c5lfcLoA3ROdOEz/view?usp=drivesdk</x:v>
      </x:c>
    </x:row>
    <x:row r="4">
      <x:c r="A4" s="18" t="str">
        <x:v>Zhou 2025</x:v>
      </x:c>
      <x:c r="B4" s="18" t="str">
        <x:v>ZHOU25_TEAS_vs_SHAM_QOR15</x:v>
      </x:c>
      <x:c r="C4" s="18" t="str">
        <x:v>PACU TEAS</x:v>
      </x:c>
      <x:c r="D4" s="18" t="str">
        <x:v>Sham/no current</x:v>
      </x:c>
      <x:c r="E4" s="18" t="str">
        <x:v>Global QoR-15</x:v>
      </x:c>
      <x:c r="F4" s="18" t="str">
        <x:v>POD1</x:v>
      </x:c>
      <x:c r="G4" s="18" t="str">
        <x:v>Mean/SD</x:v>
      </x:c>
      <x:c r="H4" s="18" t="n">
        <x:v>50</x:v>
      </x:c>
      <x:c r="I4" s="18" t="n">
        <x:v>50</x:v>
      </x:c>
      <x:c r="J4" s="18" t="n">
        <x:v>48</x:v>
      </x:c>
      <x:c r="K4" s="18" t="n">
        <x:v>49</x:v>
      </x:c>
      <x:c r="L4" s="18" t="n">
        <x:v>112</x:v>
      </x:c>
      <x:c r="M4" s="18" t="n">
        <x:v>10.67</x:v>
      </x:c>
      <x:c r="N4" s="18"/>
      <x:c r="O4" s="18"/>
      <x:c r="P4" s="18"/>
      <x:c r="Q4" s="18"/>
      <x:c r="R4" s="18" t="n">
        <x:v>107.62</x:v>
      </x:c>
      <x:c r="S4" s="18" t="n">
        <x:v>10.27</x:v>
      </x:c>
      <x:c r="T4" s="18"/>
      <x:c r="U4" s="18"/>
      <x:c r="V4" s="18"/>
      <x:c r="W4" s="18"/>
      <x:c r="X4" s="18" t="str">
        <x:v>QoR-15 points</x:v>
      </x:c>
      <x:c r="Y4" s="18" t="str">
        <x:v>0.042</x:v>
      </x:c>
      <x:c r="Z4" s="18" t="str">
        <x:v>MD</x:v>
      </x:c>
      <x:c r="AA4" s="18" t="n">
        <x:v>4.3799999999999955</x:v>
      </x:c>
      <x:c r="AB4" s="18" t="str">
        <x:v>CONDITIONAL — POD1</x:v>
      </x:c>
      <x:c r="AC4" s="18" t="str">
        <x:v>POD1 is approximately 24 h; pool only if allowed by protocol.</x:v>
      </x:c>
      <x:c r="AD4" s="18"/>
      <x:c r="AE4" s="18" t="str">
        <x:v>None</x:v>
      </x:c>
      <x:c r="AF4" s="18" t="str">
        <x:v>High</x:v>
      </x:c>
      <x:c r="AG4" s="18" t="str">
        <x:v>No — selected RoB matches this result</x:v>
      </x:c>
      <x:c r="AH4" s="18" t="str">
        <x:v>Zhou 2025</x:v>
      </x:c>
      <x:c r="AI4" s="18" t="str">
        <x:v>Primary eligible contrast</x:v>
      </x:c>
      <x:c r="AJ4" s="18" t="str">
        <x:v>Count this study once per synthesis unless a valid multi-arm method is used.</x:v>
      </x:c>
      <x:c r="AK4" s="18" t="str">
        <x:v>3 post-randomization withdrawals; sensory blinding uncertain because active 10-15 mA/De Qi vs no current</x:v>
      </x:c>
      <x:c r="AL4" s="18" t="str">
        <x:v>https://drive.google.com/file/d/1gpNBuoukUttXKWiAAeZSqdIaaHSMOwDU/view?usp=drivesdk</x:v>
      </x:c>
    </x:row>
    <x:row r="5">
      <x:c r="A5" s="18" t="str">
        <x:v>Chen 2015</x:v>
      </x:c>
      <x:c r="B5" s="18" t="str">
        <x:v>CHEN15Q_TEAS_vs_CTRL_QOR40</x:v>
      </x:c>
      <x:c r="C5" s="18" t="str">
        <x:v>Preoperative TEAS</x:v>
      </x:c>
      <x:c r="D5" s="18" t="str">
        <x:v>Electrodes/device with no stimulation</x:v>
      </x:c>
      <x:c r="E5" s="18" t="str">
        <x:v>Global QoR-40</x:v>
      </x:c>
      <x:c r="F5" s="18" t="str">
        <x:v>24 h</x:v>
      </x:c>
      <x:c r="G5" s="18" t="str">
        <x:v>Median/IQR</x:v>
      </x:c>
      <x:c r="H5" s="18" t="n">
        <x:v>42</x:v>
      </x:c>
      <x:c r="I5" s="18" t="n">
        <x:v>42</x:v>
      </x:c>
      <x:c r="J5" s="18" t="n">
        <x:v>41</x:v>
      </x:c>
      <x:c r="K5" s="18" t="n">
        <x:v>42</x:v>
      </x:c>
      <x:c r="L5" s="18"/>
      <x:c r="M5" s="18"/>
      <x:c r="N5" s="18" t="n">
        <x:v>183</x:v>
      </x:c>
      <x:c r="O5" s="18" t="n">
        <x:v>172</x:v>
      </x:c>
      <x:c r="P5" s="18" t="n">
        <x:v>190</x:v>
      </x:c>
      <x:c r="Q5" s="18"/>
      <x:c r="R5" s="18"/>
      <x:c r="S5" s="18"/>
      <x:c r="T5" s="18" t="n">
        <x:v>168</x:v>
      </x:c>
      <x:c r="U5" s="18" t="n">
        <x:v>154</x:v>
      </x:c>
      <x:c r="V5" s="18" t="n">
        <x:v>183</x:v>
      </x:c>
      <x:c r="W5" s="18"/>
      <x:c r="X5" s="18" t="str">
        <x:v>QoR-40 points</x:v>
      </x:c>
      <x:c r="Y5" s="18" t="str">
        <x:v>&lt;0.001</x:v>
      </x:c>
      <x:c r="Z5" s="18"/>
      <x:c r="AA5" s="18"/>
      <x:c r="AB5" s="18" t="str">
        <x:v>INCLUDE</x:v>
      </x:c>
      <x:c r="AC5" s="18" t="str">
        <x:v>Valid QoR endpoint at the target recovery time.</x:v>
      </x:c>
      <x:c r="AD5" s="18"/>
      <x:c r="AE5" s="18" t="str">
        <x:v>Use median/IQR-compatible meta-analysis method; do not relabel as mean/SD</x:v>
      </x:c>
      <x:c r="AF5" s="18" t="str">
        <x:v>High</x:v>
      </x:c>
      <x:c r="AG5" s="18" t="str">
        <x:v>No — selected RoB matches this result</x:v>
      </x:c>
      <x:c r="AH5" s="18" t="str">
        <x:v>Chen 2015</x:v>
      </x:c>
      <x:c r="AI5" s="18" t="str">
        <x:v>Primary eligible contrast</x:v>
      </x:c>
      <x:c r="AJ5" s="18" t="str">
        <x:v>Count this study once per synthesis unless a valid multi-arm method is used.</x:v>
      </x:c>
      <x:c r="AK5" s="18" t="str">
        <x:v>One TEAS participant excluded for protocol breach; active 6-9 mA stimulation vs no-current control may compromise patient blinding for a patient-reported primary outcome.</x:v>
      </x:c>
      <x:c r="AL5" s="18" t="str">
        <x:v>https://drive.google.com/file/d/1ZtE8GImDcpDJH1tOvzqazoh_S4Gd67oH/view?usp=drivesdk</x:v>
      </x:c>
    </x:row>
  </x:sheetData>
  <x:conditionalFormatting sqref="AB2:AB5">
    <x:cfRule type="expression" dxfId="58" priority="1">
      <x:formula>LEFT(AB2,7)="INCLUDE"</x:formula>
    </x:cfRule>
    <x:cfRule type="expression" dxfId="59" priority="2">
      <x:formula>LEFT(AB2,11)="CONDITIONAL"</x:formula>
    </x:cfRule>
    <x:cfRule type="expression" dxfId="60" priority="3">
      <x:formula>LEFT(AB2,7)="EXCLUDE"</x:formula>
    </x:cfRule>
    <x:cfRule type="expression" dxfId="61" priority="4">
      <x:formula>AB2="DUPLICATE HOLD"</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Yang 2020</x:v>
      </x:c>
      <x:c r="B2" s="18" t="str">
        <x:v>YANG20_EA_vs_UC</x:v>
      </x:c>
      <x:c r="C2" s="18" t="str">
        <x:v>EA + usual care</x:v>
      </x:c>
      <x:c r="D2" s="18" t="str">
        <x:v>Usual care</x:v>
      </x:c>
      <x:c r="E2" s="18" t="str">
        <x:v>Time to first postoperative flatus</x:v>
      </x:c>
      <x:c r="F2" s="18" t="str">
        <x:v>From surgery to first flatus</x:v>
      </x:c>
      <x:c r="G2" s="18" t="str">
        <x:v>Mean/SD</x:v>
      </x:c>
      <x:c r="H2" s="18" t="n">
        <x:v>30</x:v>
      </x:c>
      <x:c r="I2" s="18" t="n">
        <x:v>29</x:v>
      </x:c>
      <x:c r="J2" s="18" t="n">
        <x:v>29</x:v>
      </x:c>
      <x:c r="K2" s="18" t="n">
        <x:v>28</x:v>
      </x:c>
      <x:c r="L2" s="18" t="n">
        <x:v>20.8</x:v>
      </x:c>
      <x:c r="M2" s="18" t="n">
        <x:v>4.6</x:v>
      </x:c>
      <x:c r="N2" s="18"/>
      <x:c r="O2" s="18"/>
      <x:c r="P2" s="18"/>
      <x:c r="Q2" s="18"/>
      <x:c r="R2" s="18" t="n">
        <x:v>24.1</x:v>
      </x:c>
      <x:c r="S2" s="18" t="n">
        <x:v>6.2</x:v>
      </x:c>
      <x:c r="T2" s="18"/>
      <x:c r="U2" s="18"/>
      <x:c r="V2" s="18"/>
      <x:c r="W2" s="18"/>
      <x:c r="X2" s="18" t="str">
        <x:v>hours</x:v>
      </x:c>
      <x:c r="Y2" s="18" t="str">
        <x:v>0.026</x:v>
      </x:c>
      <x:c r="Z2" s="18" t="str">
        <x:v>MD</x:v>
      </x:c>
      <x:c r="AA2" s="18" t="n">
        <x:v>-3.3000000000000007</x:v>
      </x:c>
      <x:c r="AB2" s="18" t="str">
        <x:v>INCLUDE</x:v>
      </x:c>
      <x:c r="AC2" s="18" t="str">
        <x:v>Source-valid first-flatus/ileus endpoint; retain reported distribution (mean/SD, median/IQR, or events).</x:v>
      </x:c>
      <x:c r="AD2" s="18"/>
      <x:c r="AE2" s="18" t="str">
        <x:v>None</x:v>
      </x:c>
      <x:c r="AF2" s="18" t="str">
        <x:v>Some concerns</x:v>
      </x:c>
      <x:c r="AG2" s="18" t="str">
        <x:v>No — selected RoB matches this result</x:v>
      </x:c>
      <x:c r="AH2" s="18" t="str">
        <x:v>Yang 2020</x:v>
      </x:c>
      <x:c r="AI2" s="18" t="str">
        <x:v>Primary eligible contrast</x:v>
      </x:c>
      <x:c r="AJ2" s="18" t="str">
        <x:v>Count this study once per synthesis unless a valid multi-arm method is used.</x:v>
      </x:c>
      <x:c r="AK2" s="18" t="str">
        <x:v>Open-label; 2/59 excluded after randomization; participant-report contribution unclear</x:v>
      </x:c>
      <x:c r="AL2" s="18" t="str">
        <x:v>https://drive.google.com/file/d/1hsQR_K6W-5QNP4rqkVxHQaopRp4f1XF0/view?usp=drivesdk</x:v>
      </x:c>
    </x:row>
    <x:row r="3">
      <x:c r="A3" s="18" t="str">
        <x:v>Pan 2023</x:v>
      </x:c>
      <x:c r="B3" s="18" t="str">
        <x:v>PAN23_TEAS_vs_CONTROL</x:v>
      </x:c>
      <x:c r="C3" s="18" t="str">
        <x:v>TEAS</x:v>
      </x:c>
      <x:c r="D3" s="18" t="str">
        <x:v>Control/usual care</x:v>
      </x:c>
      <x:c r="E3" s="18" t="str">
        <x:v>Time to first postoperative flatus</x:v>
      </x:c>
      <x:c r="F3" s="18" t="str">
        <x:v>Postoperative recovery endpoint</x:v>
      </x:c>
      <x:c r="G3" s="18" t="str">
        <x:v>Median/IQR</x:v>
      </x:c>
      <x:c r="H3" s="18" t="n">
        <x:v>60</x:v>
      </x:c>
      <x:c r="I3" s="18" t="n">
        <x:v>60</x:v>
      </x:c>
      <x:c r="J3" s="18" t="n">
        <x:v>52</x:v>
      </x:c>
      <x:c r="K3" s="18" t="n">
        <x:v>53</x:v>
      </x:c>
      <x:c r="L3" s="18"/>
      <x:c r="M3" s="18"/>
      <x:c r="N3" s="18" t="n">
        <x:v>1020</x:v>
      </x:c>
      <x:c r="O3" s="18" t="n">
        <x:v>675.8</x:v>
      </x:c>
      <x:c r="P3" s="18" t="n">
        <x:v>1278</x:v>
      </x:c>
      <x:c r="Q3" s="18"/>
      <x:c r="R3" s="18"/>
      <x:c r="S3" s="18"/>
      <x:c r="T3" s="18" t="n">
        <x:v>1210</x:v>
      </x:c>
      <x:c r="U3" s="18" t="n">
        <x:v>896.5</x:v>
      </x:c>
      <x:c r="V3" s="18" t="n">
        <x:v>1427</x:v>
      </x:c>
      <x:c r="W3" s="18"/>
      <x:c r="X3" s="18" t="str">
        <x:v>minutes</x:v>
      </x:c>
      <x:c r="Y3" s="18" t="str">
        <x:v>0.01</x:v>
      </x:c>
      <x:c r="Z3" s="18"/>
      <x:c r="AA3" s="18"/>
      <x:c r="AB3" s="18" t="str">
        <x:v>INCLUDE</x:v>
      </x:c>
      <x:c r="AC3" s="18" t="str">
        <x:v>Source-valid first-flatus/ileus endpoint; retain reported distribution (mean/SD, median/IQR, or events).</x:v>
      </x:c>
      <x:c r="AD3" s="18"/>
      <x:c r="AE3" s="18" t="str">
        <x:v>Use median/IQR-compatible meta-analysis method; do not relabel as mean/SD</x:v>
      </x:c>
      <x:c r="AF3" s="18" t="str">
        <x:v>High</x:v>
      </x:c>
      <x:c r="AG3" s="18" t="str">
        <x:v>No — selected RoB matches this result</x:v>
      </x:c>
      <x:c r="AH3" s="18" t="str">
        <x:v>Pan 2023</x:v>
      </x:c>
      <x:c r="AI3" s="18" t="str">
        <x:v>Primary eligible contrast</x:v>
      </x:c>
      <x:c r="AJ3" s="18" t="str">
        <x:v>Count this study once per synthesis unless a valid multi-arm method is used.</x:v>
      </x:c>
      <x:c r="AK3" s="18" t="str">
        <x:v>15/120 excluded after randomization; do not relabel median/IQR as mean/SD</x:v>
      </x:c>
      <x:c r="AL3" s="18" t="str">
        <x:v>https://drive.google.com/file/d/19IZpaoI-iTQOr_XOTw-a17WTw_haz8q6/view?usp=drivesdk</x:v>
      </x:c>
    </x:row>
    <x:row r="4">
      <x:c r="A4" s="18" t="str">
        <x:v>Zhou 2025</x:v>
      </x:c>
      <x:c r="B4" s="18" t="str">
        <x:v>ZHOU25_TEAS_vs_SHAM_FLATUS</x:v>
      </x:c>
      <x:c r="C4" s="18" t="str">
        <x:v>PACU TEAS</x:v>
      </x:c>
      <x:c r="D4" s="18" t="str">
        <x:v>Sham/no current</x:v>
      </x:c>
      <x:c r="E4" s="18" t="str">
        <x:v>Time to first flatus</x:v>
      </x:c>
      <x:c r="F4" s="18" t="str">
        <x:v>Postoperative</x:v>
      </x:c>
      <x:c r="G4" s="18" t="str">
        <x:v>Mean/SD</x:v>
      </x:c>
      <x:c r="H4" s="18" t="n">
        <x:v>50</x:v>
      </x:c>
      <x:c r="I4" s="18" t="n">
        <x:v>50</x:v>
      </x:c>
      <x:c r="J4" s="18" t="n">
        <x:v>48</x:v>
      </x:c>
      <x:c r="K4" s="18" t="n">
        <x:v>49</x:v>
      </x:c>
      <x:c r="L4" s="18" t="n">
        <x:v>14.1</x:v>
      </x:c>
      <x:c r="M4" s="18" t="n">
        <x:v>3.19</x:v>
      </x:c>
      <x:c r="N4" s="18"/>
      <x:c r="O4" s="18"/>
      <x:c r="P4" s="18"/>
      <x:c r="Q4" s="18"/>
      <x:c r="R4" s="18" t="n">
        <x:v>15.88</x:v>
      </x:c>
      <x:c r="S4" s="18" t="n">
        <x:v>3.78</x:v>
      </x:c>
      <x:c r="T4" s="18"/>
      <x:c r="U4" s="18"/>
      <x:c r="V4" s="18"/>
      <x:c r="W4" s="18"/>
      <x:c r="X4" s="18" t="str">
        <x:v>hours</x:v>
      </x:c>
      <x:c r="Y4" s="18" t="str">
        <x:v>0.014</x:v>
      </x:c>
      <x:c r="Z4" s="18" t="str">
        <x:v>MD</x:v>
      </x:c>
      <x:c r="AA4" s="18" t="n">
        <x:v>-1.7800000000000011</x:v>
      </x:c>
      <x:c r="AB4" s="18" t="str">
        <x:v>INCLUDE</x:v>
      </x:c>
      <x:c r="AC4" s="18" t="str">
        <x:v>Source-valid first-flatus/ileus endpoint; retain reported distribution (mean/SD, median/IQR, or events).</x:v>
      </x:c>
      <x:c r="AD4" s="18"/>
      <x:c r="AE4" s="18" t="str">
        <x:v>None</x:v>
      </x:c>
      <x:c r="AF4" s="18" t="str">
        <x:v>High</x:v>
      </x:c>
      <x:c r="AG4" s="18" t="str">
        <x:v>Yes — selected RoB is for a different result/timepoint</x:v>
      </x:c>
      <x:c r="AH4" s="18" t="str">
        <x:v>Zhou 2025</x:v>
      </x:c>
      <x:c r="AI4" s="18" t="str">
        <x:v>Primary eligible contrast</x:v>
      </x:c>
      <x:c r="AJ4" s="18" t="str">
        <x:v>Count this study once per synthesis unless a valid multi-arm method is used.</x:v>
      </x:c>
      <x:c r="AK4" s="18" t="str">
        <x:v>Ascertainment mechanism should be considered in RoB because participant sensory blinding may be imperfect</x:v>
      </x:c>
      <x:c r="AL4" s="18" t="str">
        <x:v>https://drive.google.com/file/d/1gpNBuoukUttXKWiAAeZSqdIaaHSMOwDU/view?usp=drivesdk</x:v>
      </x:c>
    </x:row>
    <x:row r="5">
      <x:c r="A5" s="18" t="str">
        <x:v>Yang 2024</x:v>
      </x:c>
      <x:c r="B5" s="18" t="str">
        <x:v>YANG24_EA_vs_UC_FLATUS</x:v>
      </x:c>
      <x:c r="C5" s="18" t="str">
        <x:v>Perioperative EA + usual care</x:v>
      </x:c>
      <x:c r="D5" s="18" t="str">
        <x:v>Usual care</x:v>
      </x:c>
      <x:c r="E5" s="18" t="str">
        <x:v>Time to first flatus</x:v>
      </x:c>
      <x:c r="F5" s="18" t="str">
        <x:v>Postoperative</x:v>
      </x:c>
      <x:c r="G5" s="18" t="str">
        <x:v>Mean/SD</x:v>
      </x:c>
      <x:c r="H5" s="18" t="n">
        <x:v>90</x:v>
      </x:c>
      <x:c r="I5" s="18" t="n">
        <x:v>90</x:v>
      </x:c>
      <x:c r="J5" s="18" t="n">
        <x:v>90</x:v>
      </x:c>
      <x:c r="K5" s="18" t="n">
        <x:v>90</x:v>
      </x:c>
      <x:c r="L5" s="18" t="n">
        <x:v>15.4</x:v>
      </x:c>
      <x:c r="M5" s="18" t="n">
        <x:v>3.2</x:v>
      </x:c>
      <x:c r="N5" s="18"/>
      <x:c r="O5" s="18"/>
      <x:c r="P5" s="18"/>
      <x:c r="Q5" s="18"/>
      <x:c r="R5" s="18" t="n">
        <x:v>17</x:v>
      </x:c>
      <x:c r="S5" s="18" t="n">
        <x:v>3.7</x:v>
      </x:c>
      <x:c r="T5" s="18"/>
      <x:c r="U5" s="18"/>
      <x:c r="V5" s="18"/>
      <x:c r="W5" s="18"/>
      <x:c r="X5" s="18" t="str">
        <x:v>hours</x:v>
      </x:c>
      <x:c r="Y5" s="18" t="str">
        <x:v>0.004</x:v>
      </x:c>
      <x:c r="Z5" s="18" t="str">
        <x:v>MD</x:v>
      </x:c>
      <x:c r="AA5" s="18" t="n">
        <x:v>-1.5999999999999996</x:v>
      </x:c>
      <x:c r="AB5" s="18" t="str">
        <x:v>INCLUDE</x:v>
      </x:c>
      <x:c r="AC5" s="18" t="str">
        <x:v>Source-valid first-flatus/ileus endpoint; retain reported distribution (mean/SD, median/IQR, or events).</x:v>
      </x:c>
      <x:c r="AD5" s="18"/>
      <x:c r="AE5" s="18" t="str">
        <x:v>None</x:v>
      </x:c>
      <x:c r="AF5" s="18" t="str">
        <x:v>Some concerns</x:v>
      </x:c>
      <x:c r="AG5" s="18" t="str">
        <x:v>Yes — selected RoB is for a different result/timepoint</x:v>
      </x:c>
      <x:c r="AH5" s="18" t="str">
        <x:v>Yang 2024</x:v>
      </x:c>
      <x:c r="AI5" s="18" t="str">
        <x:v>Primary eligible contrast</x:v>
      </x:c>
      <x:c r="AJ5" s="18" t="str">
        <x:v>Count this study once per synthesis unless a valid multi-arm method is used.</x:v>
      </x:c>
      <x:c r="AK5" s="18" t="str">
        <x:v>Open-label participants; outcome assessor blinded</x:v>
      </x:c>
      <x:c r="AL5" s="18" t="str">
        <x:v>https://drive.google.com/file/d/160N3psd5tLEphwXHJzUEZ3uJfaIXcs5V/view?usp=drivesdk</x:v>
      </x:c>
    </x:row>
    <x:row r="6">
      <x:c r="A6" s="18" t="str">
        <x:v>Yang 2024</x:v>
      </x:c>
      <x:c r="B6" s="18" t="str">
        <x:v>YANG24_EA_vs_UC_DEFEC</x:v>
      </x:c>
      <x:c r="C6" s="18" t="str">
        <x:v>Perioperative EA + usual care</x:v>
      </x:c>
      <x:c r="D6" s="18" t="str">
        <x:v>Usual care</x:v>
      </x:c>
      <x:c r="E6" s="18" t="str">
        <x:v>Time to first defecation</x:v>
      </x:c>
      <x:c r="F6" s="18" t="str">
        <x:v>Postoperative</x:v>
      </x:c>
      <x:c r="G6" s="18" t="str">
        <x:v>Mean/SD</x:v>
      </x:c>
      <x:c r="H6" s="18" t="n">
        <x:v>90</x:v>
      </x:c>
      <x:c r="I6" s="18" t="n">
        <x:v>90</x:v>
      </x:c>
      <x:c r="J6" s="18" t="n">
        <x:v>90</x:v>
      </x:c>
      <x:c r="K6" s="18" t="n">
        <x:v>90</x:v>
      </x:c>
      <x:c r="L6" s="18" t="n">
        <x:v>75.9</x:v>
      </x:c>
      <x:c r="M6" s="18" t="n">
        <x:v>7.9</x:v>
      </x:c>
      <x:c r="N6" s="18"/>
      <x:c r="O6" s="18"/>
      <x:c r="P6" s="18"/>
      <x:c r="Q6" s="18"/>
      <x:c r="R6" s="18" t="n">
        <x:v>79.7</x:v>
      </x:c>
      <x:c r="S6" s="18" t="n">
        <x:v>8.1</x:v>
      </x:c>
      <x:c r="T6" s="18"/>
      <x:c r="U6" s="18"/>
      <x:c r="V6" s="18"/>
      <x:c r="W6" s="18"/>
      <x:c r="X6" s="18" t="str">
        <x:v>hours</x:v>
      </x:c>
      <x:c r="Y6" s="18" t="str">
        <x:v>0.002</x:v>
      </x:c>
      <x:c r="Z6" s="18" t="str">
        <x:v>MD</x:v>
      </x:c>
      <x:c r="AA6" s="18" t="n">
        <x:v>-3.799999999999997</x:v>
      </x:c>
      <x:c r="AB6" s="18" t="str">
        <x:v>INCLUDE — SECONDARY GI</x:v>
      </x:c>
      <x:c r="AC6" s="18" t="str">
        <x:v>Source-valid GI recovery outcome; analyze separately by outcome definition.</x:v>
      </x:c>
      <x:c r="AD6" s="18"/>
      <x:c r="AE6" s="18" t="str">
        <x:v>None</x:v>
      </x:c>
      <x:c r="AF6" s="18" t="str">
        <x:v>Some concerns</x:v>
      </x:c>
      <x:c r="AG6" s="18" t="str">
        <x:v>Yes — selected RoB is for a different result/timepoint</x:v>
      </x:c>
      <x:c r="AH6" s="18" t="str">
        <x:v>Yang 2024</x:v>
      </x:c>
      <x:c r="AI6" s="18" t="str">
        <x:v>Primary eligible contrast</x:v>
      </x:c>
      <x:c r="AJ6" s="18" t="str">
        <x:v>Count this study once per synthesis unless a valid multi-arm method is used.</x:v>
      </x:c>
      <x:c r="AK6" s="18" t="str">
        <x:v>Open-label participants; outcome assessor blinded</x:v>
      </x:c>
      <x:c r="AL6" s="18" t="str">
        <x:v>https://drive.google.com/file/d/160N3psd5tLEphwXHJzUEZ3uJfaIXcs5V/view?usp=drivesdk</x:v>
      </x:c>
    </x:row>
    <x:row r="7">
      <x:c r="A7" s="18" t="str">
        <x:v>Xing 2022</x:v>
      </x:c>
      <x:c r="B7" s="18" t="str">
        <x:v>XING22_NTG_vs_NG_FLATUS</x:v>
      </x:c>
      <x:c r="C7" s="18" t="str">
        <x:v>TEAS + active TAPB</x:v>
      </x:c>
      <x:c r="D7" s="18" t="str">
        <x:v>Sham TEAS + active TAPB</x:v>
      </x:c>
      <x:c r="E7" s="18" t="str">
        <x:v>Time to first flatus</x:v>
      </x:c>
      <x:c r="F7" s="18" t="str">
        <x:v>Postoperative</x:v>
      </x:c>
      <x:c r="G7" s="18" t="str">
        <x:v>Mean/SD</x:v>
      </x:c>
      <x:c r="H7" s="18" t="n">
        <x:v>30</x:v>
      </x:c>
      <x:c r="I7" s="18" t="n">
        <x:v>30</x:v>
      </x:c>
      <x:c r="J7" s="18" t="n">
        <x:v>29</x:v>
      </x:c>
      <x:c r="K7" s="18" t="n">
        <x:v>29</x:v>
      </x:c>
      <x:c r="L7" s="18" t="n">
        <x:v>32.57</x:v>
      </x:c>
      <x:c r="M7" s="18" t="n">
        <x:v>6.94</x:v>
      </x:c>
      <x:c r="N7" s="18"/>
      <x:c r="O7" s="18"/>
      <x:c r="P7" s="18"/>
      <x:c r="Q7" s="18"/>
      <x:c r="R7" s="18" t="n">
        <x:v>36.83</x:v>
      </x:c>
      <x:c r="S7" s="18" t="n">
        <x:v>6.19</x:v>
      </x:c>
      <x:c r="T7" s="18"/>
      <x:c r="U7" s="18"/>
      <x:c r="V7" s="18"/>
      <x:c r="W7" s="18"/>
      <x:c r="X7" s="18" t="str">
        <x:v>hours</x:v>
      </x:c>
      <x:c r="Y7" s="18" t="str">
        <x:v>&lt;0.05 pairwise</x:v>
      </x:c>
      <x:c r="Z7" s="18" t="str">
        <x:v>MD</x:v>
      </x:c>
      <x:c r="AA7" s="18" t="n">
        <x:v>-4.259999999999998</x:v>
      </x:c>
      <x:c r="AB7" s="18" t="str">
        <x:v>INCLUDE</x:v>
      </x:c>
      <x:c r="AC7" s="18" t="str">
        <x:v>Source-valid first-flatus/ileus endpoint; retain reported distribution (mean/SD, median/IQR, or events).</x:v>
      </x:c>
      <x:c r="AD7" s="18"/>
      <x:c r="AE7" s="18" t="str">
        <x:v>None</x:v>
      </x:c>
      <x:c r="AF7" s="18" t="str">
        <x:v>Some concerns</x:v>
      </x:c>
      <x:c r="AG7" s="18" t="str">
        <x:v>Yes — selected RoB is for a different result/timepoint</x:v>
      </x:c>
      <x:c r="AH7" s="18" t="str">
        <x:v>Xing 2022</x:v>
      </x:c>
      <x:c r="AI7" s="18" t="str">
        <x:v>Shared-control / multi-arm contrast</x:v>
      </x:c>
      <x:c r="AJ7" s="18" t="str">
        <x:v>Shared comparator present; avoid double-counting controls.</x:v>
      </x:c>
      <x:c r="AK7" s="18" t="str">
        <x:v>Three-arm study; use NTG vs NG for incremental TEAS effect</x:v>
      </x:c>
      <x:c r="AL7" s="18" t="str">
        <x:v>https://drive.google.com/file/d/1h3IGpQ56nSh7H16xBEVyTzCBkWOXRSxK/view?usp=drivesdk</x:v>
      </x:c>
    </x:row>
    <x:row r="8">
      <x:c r="A8" s="18" t="str">
        <x:v>Wang 2023</x:v>
      </x:c>
      <x:c r="B8" s="18" t="str">
        <x:v>WANG23_TEAS_vs_SHAM_FLATUS</x:v>
      </x:c>
      <x:c r="C8" s="18" t="str">
        <x:v>Nighttime TEAS</x:v>
      </x:c>
      <x:c r="D8" s="18" t="str">
        <x:v>Sham/no current</x:v>
      </x:c>
      <x:c r="E8" s="18" t="str">
        <x:v>Time to first flatus</x:v>
      </x:c>
      <x:c r="F8" s="18" t="str">
        <x:v>Postoperative</x:v>
      </x:c>
      <x:c r="G8" s="18" t="str">
        <x:v>Mean/SD</x:v>
      </x:c>
      <x:c r="H8" s="18" t="n">
        <x:v>43</x:v>
      </x:c>
      <x:c r="I8" s="18" t="n">
        <x:v>45</x:v>
      </x:c>
      <x:c r="J8" s="18" t="n">
        <x:v>40</x:v>
      </x:c>
      <x:c r="K8" s="18" t="n">
        <x:v>43</x:v>
      </x:c>
      <x:c r="L8" s="18" t="n">
        <x:v>54.57</x:v>
      </x:c>
      <x:c r="M8" s="18" t="n">
        <x:v>16.62</x:v>
      </x:c>
      <x:c r="N8" s="18"/>
      <x:c r="O8" s="18"/>
      <x:c r="P8" s="18"/>
      <x:c r="Q8" s="18"/>
      <x:c r="R8" s="18" t="n">
        <x:v>60.7</x:v>
      </x:c>
      <x:c r="S8" s="18" t="n">
        <x:v>19.1</x:v>
      </x:c>
      <x:c r="T8" s="18"/>
      <x:c r="U8" s="18"/>
      <x:c r="V8" s="18"/>
      <x:c r="W8" s="18"/>
      <x:c r="X8" s="18" t="str">
        <x:v>hours</x:v>
      </x:c>
      <x:c r="Y8" s="18" t="str">
        <x:v>0.124</x:v>
      </x:c>
      <x:c r="Z8" s="18" t="str">
        <x:v>MD</x:v>
      </x:c>
      <x:c r="AA8" s="18" t="n">
        <x:v>-6.130000000000003</x:v>
      </x:c>
      <x:c r="AB8" s="18" t="str">
        <x:v>INCLUDE</x:v>
      </x:c>
      <x:c r="AC8" s="18" t="str">
        <x:v>Source-valid first-flatus/ileus endpoint; retain reported distribution (mean/SD, median/IQR, or events).</x:v>
      </x:c>
      <x:c r="AD8" s="18"/>
      <x:c r="AE8" s="18" t="str">
        <x:v>None</x:v>
      </x:c>
      <x:c r="AF8" s="18" t="str">
        <x:v>High</x:v>
      </x:c>
      <x:c r="AG8" s="18" t="str">
        <x:v>Yes — selected RoB is for a different result/timepoint</x:v>
      </x:c>
      <x:c r="AH8" s="18" t="str">
        <x:v>Wang 2023</x:v>
      </x:c>
      <x:c r="AI8" s="18" t="str">
        <x:v>Primary eligible contrast</x:v>
      </x:c>
      <x:c r="AJ8" s="18" t="str">
        <x:v>Count this study once per synthesis unless a valid multi-arm method is used.</x:v>
      </x:c>
      <x:c r="AK8" s="18" t="str">
        <x:v>5/88 randomized participants excluded for protocol breaches; no full ITT</x:v>
      </x:c>
      <x:c r="AL8" s="18" t="str">
        <x:v>https://drive.google.com/file/d/177A4aH42GD90DhsvvtD-VOBSChBBpIWL/view?usp=drivesdk</x:v>
      </x:c>
    </x:row>
    <x:row r="9">
      <x:c r="A9" s="18" t="str">
        <x:v>Ng 2013</x:v>
      </x:c>
      <x:c r="B9" s="18" t="str">
        <x:v>NG13_EA_vs_SHAM_BOWEL</x:v>
      </x:c>
      <x:c r="C9" s="18" t="str">
        <x:v>Electroacupuncture</x:v>
      </x:c>
      <x:c r="D9" s="18" t="str">
        <x:v>Sham acupuncture</x:v>
      </x:c>
      <x:c r="E9" s="18" t="str">
        <x:v>Time to first bowel motion / defecation</x:v>
      </x:c>
      <x:c r="F9" s="18" t="str">
        <x:v>Postoperative</x:v>
      </x:c>
      <x:c r="G9" s="18" t="str">
        <x:v>Mean/SD</x:v>
      </x:c>
      <x:c r="H9" s="18" t="n">
        <x:v>55</x:v>
      </x:c>
      <x:c r="I9" s="18" t="n">
        <x:v>55</x:v>
      </x:c>
      <x:c r="J9" s="18" t="n">
        <x:v>55</x:v>
      </x:c>
      <x:c r="K9" s="18" t="n">
        <x:v>55</x:v>
      </x:c>
      <x:c r="L9" s="18" t="n">
        <x:v>85.9</x:v>
      </x:c>
      <x:c r="M9" s="18" t="n">
        <x:v>36.1</x:v>
      </x:c>
      <x:c r="N9" s="18"/>
      <x:c r="O9" s="18"/>
      <x:c r="P9" s="18"/>
      <x:c r="Q9" s="18"/>
      <x:c r="R9" s="18" t="n">
        <x:v>107.5</x:v>
      </x:c>
      <x:c r="S9" s="18" t="n">
        <x:v>46.2</x:v>
      </x:c>
      <x:c r="T9" s="18"/>
      <x:c r="U9" s="18"/>
      <x:c r="V9" s="18"/>
      <x:c r="W9" s="18"/>
      <x:c r="X9" s="18" t="str">
        <x:v>hours</x:v>
      </x:c>
      <x:c r="Y9" s="18" t="str">
        <x:v>0.007</x:v>
      </x:c>
      <x:c r="Z9" s="18" t="str">
        <x:v>MD</x:v>
      </x:c>
      <x:c r="AA9" s="18" t="n">
        <x:v>-21.599999999999994</x:v>
      </x:c>
      <x:c r="AB9" s="18" t="str">
        <x:v>INCLUDE — SECONDARY GI</x:v>
      </x:c>
      <x:c r="AC9" s="18" t="str">
        <x:v>Source-valid GI recovery outcome; analyze separately by outcome definition.</x:v>
      </x:c>
      <x:c r="AD9" s="18"/>
      <x:c r="AE9" s="18" t="str">
        <x:v>None</x:v>
      </x:c>
      <x:c r="AF9" s="18" t="str">
        <x:v>Some concerns</x:v>
      </x:c>
      <x:c r="AG9" s="18" t="str">
        <x:v>Yes — selected RoB is for a different result/timepoint</x:v>
      </x:c>
      <x:c r="AH9" s="18" t="str">
        <x:v>Ng 2013</x:v>
      </x:c>
      <x:c r="AI9" s="18" t="str">
        <x:v>Shared-control / multi-arm contrast</x:v>
      </x:c>
      <x:c r="AJ9" s="18" t="str">
        <x:v>Shared comparator present; avoid double-counting controls.</x:v>
      </x:c>
      <x:c r="AK9" s="18" t="str">
        <x:v>Allocation used sealed nonopaque envelopes; EA-vs-sham participants and outcome assessors were blinded</x:v>
      </x:c>
      <x:c r="AL9" s="18" t="str">
        <x:v>https://drive.google.com/file/d/1R1zCiyfWvuSp99Hi2U_K1__8kgdi90gd/view?usp=drivesdk</x:v>
      </x:c>
    </x:row>
    <x:row r="10">
      <x:c r="A10" s="18" t="str">
        <x:v>Ng 2013</x:v>
      </x:c>
      <x:c r="B10" s="18" t="str">
        <x:v>NG13_EA_vs_NOACU_BOWEL</x:v>
      </x:c>
      <x:c r="C10" s="18" t="str">
        <x:v>Electroacupuncture</x:v>
      </x:c>
      <x:c r="D10" s="18" t="str">
        <x:v>No acupuncture</x:v>
      </x:c>
      <x:c r="E10" s="18" t="str">
        <x:v>Time to first bowel motion / defecation</x:v>
      </x:c>
      <x:c r="F10" s="18" t="str">
        <x:v>Postoperative</x:v>
      </x:c>
      <x:c r="G10" s="18" t="str">
        <x:v>Mean/SD</x:v>
      </x:c>
      <x:c r="H10" s="18" t="n">
        <x:v>55</x:v>
      </x:c>
      <x:c r="I10" s="18" t="n">
        <x:v>55</x:v>
      </x:c>
      <x:c r="J10" s="18" t="n">
        <x:v>55</x:v>
      </x:c>
      <x:c r="K10" s="18" t="n">
        <x:v>55</x:v>
      </x:c>
      <x:c r="L10" s="18" t="n">
        <x:v>85.9</x:v>
      </x:c>
      <x:c r="M10" s="18" t="n">
        <x:v>36.1</x:v>
      </x:c>
      <x:c r="N10" s="18"/>
      <x:c r="O10" s="18"/>
      <x:c r="P10" s="18"/>
      <x:c r="Q10" s="18"/>
      <x:c r="R10" s="18" t="n">
        <x:v>122.1</x:v>
      </x:c>
      <x:c r="S10" s="18" t="n">
        <x:v>53.5</x:v>
      </x:c>
      <x:c r="T10" s="18"/>
      <x:c r="U10" s="18"/>
      <x:c r="V10" s="18"/>
      <x:c r="W10" s="18"/>
      <x:c r="X10" s="18" t="str">
        <x:v>hours</x:v>
      </x:c>
      <x:c r="Y10" s="18" t="str">
        <x:v>&lt;0.001</x:v>
      </x:c>
      <x:c r="Z10" s="18" t="str">
        <x:v>MD</x:v>
      </x:c>
      <x:c r="AA10" s="18" t="n">
        <x:v>-36.19999999999999</x:v>
      </x:c>
      <x:c r="AB10" s="18" t="str">
        <x:v>INCLUDE — SECONDARY GI</x:v>
      </x:c>
      <x:c r="AC10" s="18" t="str">
        <x:v>Source-valid GI recovery outcome; analyze separately by outcome definition.</x:v>
      </x:c>
      <x:c r="AD10" s="18"/>
      <x:c r="AE10" s="18" t="str">
        <x:v>None</x:v>
      </x:c>
      <x:c r="AF10" s="18" t="str">
        <x:v>Some concerns</x:v>
      </x:c>
      <x:c r="AG10" s="18" t="str">
        <x:v>Yes — selected RoB is for a different result/timepoint</x:v>
      </x:c>
      <x:c r="AH10" s="18" t="str">
        <x:v>Ng 2013</x:v>
      </x:c>
      <x:c r="AI10" s="18" t="str">
        <x:v>Shared-control / multi-arm contrast</x:v>
      </x:c>
      <x:c r="AJ10" s="18" t="str">
        <x:v>Shared comparator present; avoid double-counting controls.</x:v>
      </x:c>
      <x:c r="AK10" s="18" t="str">
        <x:v>No-acupuncture group could not be participant blinded</x:v>
      </x:c>
      <x:c r="AL10" s="18" t="str">
        <x:v>https://drive.google.com/file/d/1R1zCiyfWvuSp99Hi2U_K1__8kgdi90gd/view?usp=drivesdk</x:v>
      </x:c>
    </x:row>
    <x:row r="11">
      <x:c r="A11" s="18" t="str">
        <x:v>Ng 2013</x:v>
      </x:c>
      <x:c r="B11" s="18" t="str">
        <x:v>NG13_EA_vs_SHAM_FLATUS</x:v>
      </x:c>
      <x:c r="C11" s="18" t="str">
        <x:v>Electroacupuncture</x:v>
      </x:c>
      <x:c r="D11" s="18" t="str">
        <x:v>Sham acupuncture</x:v>
      </x:c>
      <x:c r="E11" s="18" t="str">
        <x:v>Time to first flatus</x:v>
      </x:c>
      <x:c r="F11" s="18" t="str">
        <x:v>Postoperative</x:v>
      </x:c>
      <x:c r="G11" s="18" t="str">
        <x:v>Mean/SD</x:v>
      </x:c>
      <x:c r="H11" s="18" t="n">
        <x:v>55</x:v>
      </x:c>
      <x:c r="I11" s="18" t="n">
        <x:v>55</x:v>
      </x:c>
      <x:c r="J11" s="18" t="n">
        <x:v>55</x:v>
      </x:c>
      <x:c r="K11" s="18" t="n">
        <x:v>55</x:v>
      </x:c>
      <x:c r="L11" s="18" t="n">
        <x:v>2</x:v>
      </x:c>
      <x:c r="M11" s="18" t="n">
        <x:v>0.9</x:v>
      </x:c>
      <x:c r="N11" s="18"/>
      <x:c r="O11" s="18"/>
      <x:c r="P11" s="18"/>
      <x:c r="Q11" s="18"/>
      <x:c r="R11" s="18" t="n">
        <x:v>2.3</x:v>
      </x:c>
      <x:c r="S11" s="18" t="n">
        <x:v>1.1</x:v>
      </x:c>
      <x:c r="T11" s="18"/>
      <x:c r="U11" s="18"/>
      <x:c r="V11" s="18"/>
      <x:c r="W11" s="18"/>
      <x:c r="X11" s="18" t="str">
        <x:v>days</x:v>
      </x:c>
      <x:c r="Y11" s="18" t="str">
        <x:v>0.095</x:v>
      </x:c>
      <x:c r="Z11" s="18" t="str">
        <x:v>MD</x:v>
      </x:c>
      <x:c r="AA11" s="18" t="n">
        <x:v>-0.2999999999999998</x:v>
      </x:c>
      <x:c r="AB11" s="18" t="str">
        <x:v>INCLUDE</x:v>
      </x:c>
      <x:c r="AC11" s="18" t="str">
        <x:v>Source-valid first-flatus/ileus endpoint; retain reported distribution (mean/SD, median/IQR, or events).</x:v>
      </x:c>
      <x:c r="AD11" s="18"/>
      <x:c r="AE11" s="18" t="str">
        <x:v>None</x:v>
      </x:c>
      <x:c r="AF11" s="18" t="str">
        <x:v>Some concerns</x:v>
      </x:c>
      <x:c r="AG11" s="18" t="str">
        <x:v>Yes — selected RoB is for a different result/timepoint</x:v>
      </x:c>
      <x:c r="AH11" s="18" t="str">
        <x:v>Ng 2013</x:v>
      </x:c>
      <x:c r="AI11" s="18" t="str">
        <x:v>Shared-control / multi-arm contrast</x:v>
      </x:c>
      <x:c r="AJ11" s="18" t="str">
        <x:v>Shared comparator present; avoid double-counting controls.</x:v>
      </x:c>
      <x:c r="AK11" s="18" t="str">
        <x:v>No statistically significant EA-vs-sham difference</x:v>
      </x:c>
      <x:c r="AL11" s="18" t="str">
        <x:v>https://drive.google.com/file/d/1R1zCiyfWvuSp99Hi2U_K1__8kgdi90gd/view?usp=drivesdk</x:v>
      </x:c>
    </x:row>
    <x:row r="12">
      <x:c r="A12" s="18" t="str">
        <x:v>Lu 2022</x:v>
      </x:c>
      <x:c r="B12" s="18" t="str">
        <x:v>LU22_TEAS_vs_CTRL_FLATUS</x:v>
      </x:c>
      <x:c r="C12" s="18" t="str">
        <x:v>TEAS + ERAS</x:v>
      </x:c>
      <x:c r="D12" s="18" t="str">
        <x:v>No-current control + ERAS</x:v>
      </x:c>
      <x:c r="E12" s="18" t="str">
        <x:v>Time to first flatus</x:v>
      </x:c>
      <x:c r="F12" s="18" t="str">
        <x:v>Postoperative</x:v>
      </x:c>
      <x:c r="G12" s="18" t="str">
        <x:v>Mean/SD</x:v>
      </x:c>
      <x:c r="H12" s="18" t="n">
        <x:v>50</x:v>
      </x:c>
      <x:c r="I12" s="18" t="n">
        <x:v>50</x:v>
      </x:c>
      <x:c r="J12" s="18" t="n">
        <x:v>47</x:v>
      </x:c>
      <x:c r="K12" s="18" t="n">
        <x:v>47</x:v>
      </x:c>
      <x:c r="L12" s="18" t="n">
        <x:v>34.5</x:v>
      </x:c>
      <x:c r="M12" s="18" t="n">
        <x:v>16.7</x:v>
      </x:c>
      <x:c r="N12" s="18"/>
      <x:c r="O12" s="18"/>
      <x:c r="P12" s="18"/>
      <x:c r="Q12" s="18"/>
      <x:c r="R12" s="18" t="n">
        <x:v>42.4</x:v>
      </x:c>
      <x:c r="S12" s="18" t="n">
        <x:v>22.9</x:v>
      </x:c>
      <x:c r="T12" s="18"/>
      <x:c r="U12" s="18"/>
      <x:c r="V12" s="18"/>
      <x:c r="W12" s="18"/>
      <x:c r="X12" s="18" t="str">
        <x:v>hours</x:v>
      </x:c>
      <x:c r="Y12" s="18" t="str">
        <x:v>0.03</x:v>
      </x:c>
      <x:c r="Z12" s="18" t="str">
        <x:v>MD</x:v>
      </x:c>
      <x:c r="AA12" s="18" t="n">
        <x:v>-7.899999999999999</x:v>
      </x:c>
      <x:c r="AB12" s="18" t="str">
        <x:v>INCLUDE</x:v>
      </x:c>
      <x:c r="AC12" s="18" t="str">
        <x:v>Source-valid first-flatus/ileus endpoint; retain reported distribution (mean/SD, median/IQR, or events).</x:v>
      </x:c>
      <x:c r="AD12" s="18"/>
      <x:c r="AE12" s="18" t="str">
        <x:v>None</x:v>
      </x:c>
      <x:c r="AF12" s="18" t="str">
        <x:v>High</x:v>
      </x:c>
      <x:c r="AG12" s="18" t="str">
        <x:v>Yes — selected RoB is for a different result/timepoint</x:v>
      </x:c>
      <x:c r="AH12" s="18" t="str">
        <x:v>Lu 2022</x:v>
      </x:c>
      <x:c r="AI12" s="18" t="str">
        <x:v>Primary eligible contrast</x:v>
      </x:c>
      <x:c r="AJ12" s="18" t="str">
        <x:v>Count this study once per synthesis unless a valid multi-arm method is used.</x:v>
      </x:c>
      <x:c r="AK12" s="18" t="str">
        <x:v>Same 6 post-randomization exclusions apply</x:v>
      </x:c>
      <x:c r="AL12" s="18" t="str">
        <x:v>https://drive.google.com/file/d/12Y86huNMuLC8cPH-L2vwlEd7r1X1Qela/view?usp=drivesdk</x:v>
      </x:c>
    </x:row>
    <x:row r="13">
      <x:c r="A13" s="18" t="str">
        <x:v>Lu 2022</x:v>
      </x:c>
      <x:c r="B13" s="18" t="str">
        <x:v>LU22_TEAS_vs_CTRL_DEFEC</x:v>
      </x:c>
      <x:c r="C13" s="18" t="str">
        <x:v>TEAS + ERAS</x:v>
      </x:c>
      <x:c r="D13" s="18" t="str">
        <x:v>No-current control + ERAS</x:v>
      </x:c>
      <x:c r="E13" s="18" t="str">
        <x:v>Time to first defecation</x:v>
      </x:c>
      <x:c r="F13" s="18" t="str">
        <x:v>Postoperative</x:v>
      </x:c>
      <x:c r="G13" s="18" t="str">
        <x:v>Mean/SD</x:v>
      </x:c>
      <x:c r="H13" s="18" t="n">
        <x:v>50</x:v>
      </x:c>
      <x:c r="I13" s="18" t="n">
        <x:v>50</x:v>
      </x:c>
      <x:c r="J13" s="18" t="n">
        <x:v>47</x:v>
      </x:c>
      <x:c r="K13" s="18" t="n">
        <x:v>47</x:v>
      </x:c>
      <x:c r="L13" s="18" t="n">
        <x:v>42</x:v>
      </x:c>
      <x:c r="M13" s="18" t="n">
        <x:v>25</x:v>
      </x:c>
      <x:c r="N13" s="18"/>
      <x:c r="O13" s="18"/>
      <x:c r="P13" s="18"/>
      <x:c r="Q13" s="18"/>
      <x:c r="R13" s="18" t="n">
        <x:v>55.4</x:v>
      </x:c>
      <x:c r="S13" s="18" t="n">
        <x:v>29.7</x:v>
      </x:c>
      <x:c r="T13" s="18"/>
      <x:c r="U13" s="18"/>
      <x:c r="V13" s="18"/>
      <x:c r="W13" s="18"/>
      <x:c r="X13" s="18" t="str">
        <x:v>hours</x:v>
      </x:c>
      <x:c r="Y13" s="18" t="str">
        <x:v>0.03</x:v>
      </x:c>
      <x:c r="Z13" s="18" t="str">
        <x:v>MD</x:v>
      </x:c>
      <x:c r="AA13" s="18" t="n">
        <x:v>-13.399999999999999</x:v>
      </x:c>
      <x:c r="AB13" s="18" t="str">
        <x:v>INCLUDE — SECONDARY GI</x:v>
      </x:c>
      <x:c r="AC13" s="18" t="str">
        <x:v>Source-valid GI recovery outcome; analyze separately by outcome definition.</x:v>
      </x:c>
      <x:c r="AD13" s="18"/>
      <x:c r="AE13" s="18" t="str">
        <x:v>None</x:v>
      </x:c>
      <x:c r="AF13" s="18" t="str">
        <x:v>High</x:v>
      </x:c>
      <x:c r="AG13" s="18" t="str">
        <x:v>Yes — selected RoB is for a different result/timepoint</x:v>
      </x:c>
      <x:c r="AH13" s="18" t="str">
        <x:v>Lu 2022</x:v>
      </x:c>
      <x:c r="AI13" s="18" t="str">
        <x:v>Primary eligible contrast</x:v>
      </x:c>
      <x:c r="AJ13" s="18" t="str">
        <x:v>Count this study once per synthesis unless a valid multi-arm method is used.</x:v>
      </x:c>
      <x:c r="AK13" s="18" t="str">
        <x:v>Same 6 post-randomization exclusions apply</x:v>
      </x:c>
      <x:c r="AL13" s="18" t="str">
        <x:v>https://drive.google.com/file/d/12Y86huNMuLC8cPH-L2vwlEd7r1X1Qela/view?usp=drivesdk</x:v>
      </x:c>
    </x:row>
    <x:row r="14">
      <x:c r="A14" s="18" t="str">
        <x:v>Li 2021</x:v>
      </x:c>
      <x:c r="B14" s="18" t="str">
        <x:v>LI21_TEAS_vs_SHAM_BOWEL</x:v>
      </x:c>
      <x:c r="C14" s="18" t="str">
        <x:v>Perioperative TEAS</x:v>
      </x:c>
      <x:c r="D14" s="18" t="str">
        <x:v>Sham-point/no current</x:v>
      </x:c>
      <x:c r="E14" s="18" t="str">
        <x:v>Time to first bowel motion by auscultation</x:v>
      </x:c>
      <x:c r="F14" s="18" t="str">
        <x:v>Postoperative</x:v>
      </x:c>
      <x:c r="G14" s="18" t="str">
        <x:v>Median/IQR</x:v>
      </x:c>
      <x:c r="H14" s="18" t="n">
        <x:v>154</x:v>
      </x:c>
      <x:c r="I14" s="18" t="n">
        <x:v>152</x:v>
      </x:c>
      <x:c r="J14" s="18" t="n">
        <x:v>140</x:v>
      </x:c>
      <x:c r="K14" s="18" t="n">
        <x:v>140</x:v>
      </x:c>
      <x:c r="L14" s="18"/>
      <x:c r="M14" s="18"/>
      <x:c r="N14" s="18" t="n">
        <x:v>31</x:v>
      </x:c>
      <x:c r="O14" s="18" t="n">
        <x:v>18.8</x:v>
      </x:c>
      <x:c r="P14" s="18" t="n">
        <x:v>45.3</x:v>
      </x:c>
      <x:c r="Q14" s="18"/>
      <x:c r="R14" s="18"/>
      <x:c r="S14" s="18"/>
      <x:c r="T14" s="18" t="n">
        <x:v>42</x:v>
      </x:c>
      <x:c r="U14" s="18" t="n">
        <x:v>22.1</x:v>
      </x:c>
      <x:c r="V14" s="18" t="n">
        <x:v>52.4</x:v>
      </x:c>
      <x:c r="W14" s="18"/>
      <x:c r="X14" s="18" t="str">
        <x:v>hours</x:v>
      </x:c>
      <x:c r="Y14" s="18" t="str">
        <x:v>&lt;0.01</x:v>
      </x:c>
      <x:c r="Z14" s="18"/>
      <x:c r="AA14" s="18"/>
      <x:c r="AB14" s="18" t="str">
        <x:v>INCLUDE — SECONDARY GI</x:v>
      </x:c>
      <x:c r="AC14" s="18" t="str">
        <x:v>Source-valid GI recovery outcome; analyze separately by outcome definition.</x:v>
      </x:c>
      <x:c r="AD14" s="18"/>
      <x:c r="AE14" s="18" t="str">
        <x:v>Use median/IQR-compatible meta-analysis method; do not relabel as mean/SD</x:v>
      </x:c>
      <x:c r="AF14" s="18" t="str">
        <x:v>High</x:v>
      </x:c>
      <x:c r="AG14" s="18" t="str">
        <x:v>No — selected RoB matches this result</x:v>
      </x:c>
      <x:c r="AH14" s="18" t="str">
        <x:v>Li 2021</x:v>
      </x:c>
      <x:c r="AI14" s="18" t="str">
        <x:v>Primary eligible contrast</x:v>
      </x:c>
      <x:c r="AJ14" s="18" t="str">
        <x:v>Count this study once per synthesis unless a valid multi-arm method is used.</x:v>
      </x:c>
      <x:c r="AK14" s="18" t="str">
        <x:v>26/306 randomized patients excluded in per-protocol analysis; exclusions include ICU transfer and operation cancellation</x:v>
      </x:c>
      <x:c r="AL14" s="18" t="str">
        <x:v>https://drive.google.com/file/d/1NvcLlsb17N6EMhtHs_L_WBnf40wsrtRz/view?usp=drivesdk</x:v>
      </x:c>
    </x:row>
    <x:row r="15">
      <x:c r="A15" s="18" t="str">
        <x:v>Li 2021</x:v>
      </x:c>
      <x:c r="B15" s="18" t="str">
        <x:v>LI21_TEAS_vs_SHAM_FLATUS</x:v>
      </x:c>
      <x:c r="C15" s="18" t="str">
        <x:v>Perioperative TEAS</x:v>
      </x:c>
      <x:c r="D15" s="18" t="str">
        <x:v>Sham-point/no current</x:v>
      </x:c>
      <x:c r="E15" s="18" t="str">
        <x:v>Time to first flatus</x:v>
      </x:c>
      <x:c r="F15" s="18" t="str">
        <x:v>Postoperative</x:v>
      </x:c>
      <x:c r="G15" s="18" t="str">
        <x:v>Median/IQR</x:v>
      </x:c>
      <x:c r="H15" s="18" t="n">
        <x:v>154</x:v>
      </x:c>
      <x:c r="I15" s="18" t="n">
        <x:v>152</x:v>
      </x:c>
      <x:c r="J15" s="18" t="n">
        <x:v>140</x:v>
      </x:c>
      <x:c r="K15" s="18" t="n">
        <x:v>140</x:v>
      </x:c>
      <x:c r="L15" s="18"/>
      <x:c r="M15" s="18"/>
      <x:c r="N15" s="18" t="n">
        <x:v>44</x:v>
      </x:c>
      <x:c r="O15" s="18" t="n">
        <x:v>26.5</x:v>
      </x:c>
      <x:c r="P15" s="18" t="n">
        <x:v>63.9</x:v>
      </x:c>
      <x:c r="Q15" s="18"/>
      <x:c r="R15" s="18"/>
      <x:c r="S15" s="18"/>
      <x:c r="T15" s="18" t="n">
        <x:v>64</x:v>
      </x:c>
      <x:c r="U15" s="18" t="n">
        <x:v>30</x:v>
      </x:c>
      <x:c r="V15" s="18" t="n">
        <x:v>70.6</x:v>
      </x:c>
      <x:c r="W15" s="18"/>
      <x:c r="X15" s="18" t="str">
        <x:v>hours</x:v>
      </x:c>
      <x:c r="Y15" s="18" t="str">
        <x:v>&lt;0.01</x:v>
      </x:c>
      <x:c r="Z15" s="18"/>
      <x:c r="AA15" s="18"/>
      <x:c r="AB15" s="18" t="str">
        <x:v>INCLUDE</x:v>
      </x:c>
      <x:c r="AC15" s="18" t="str">
        <x:v>Source-valid first-flatus/ileus endpoint; retain reported distribution (mean/SD, median/IQR, or events).</x:v>
      </x:c>
      <x:c r="AD15" s="18"/>
      <x:c r="AE15" s="18" t="str">
        <x:v>Use median/IQR-compatible meta-analysis method; do not relabel as mean/SD</x:v>
      </x:c>
      <x:c r="AF15" s="18" t="str">
        <x:v>High</x:v>
      </x:c>
      <x:c r="AG15" s="18" t="str">
        <x:v>Yes — selected RoB is for a different result/timepoint</x:v>
      </x:c>
      <x:c r="AH15" s="18" t="str">
        <x:v>Li 2021</x:v>
      </x:c>
      <x:c r="AI15" s="18" t="str">
        <x:v>Primary eligible contrast</x:v>
      </x:c>
      <x:c r="AJ15" s="18" t="str">
        <x:v>Count this study once per synthesis unless a valid multi-arm method is used.</x:v>
      </x:c>
      <x:c r="AK15" s="18" t="str">
        <x:v>Use PP analyzed denominators explicitly; do not fabricate mean/SD</x:v>
      </x:c>
      <x:c r="AL15" s="18" t="str">
        <x:v>https://drive.google.com/file/d/1NvcLlsb17N6EMhtHs_L_WBnf40wsrtRz/view?usp=drivesdk</x:v>
      </x:c>
    </x:row>
    <x:row r="16">
      <x:c r="A16" s="18" t="str">
        <x:v>Li 2021</x:v>
      </x:c>
      <x:c r="B16" s="18" t="str">
        <x:v>LI21_TEAS_vs_SHAM_PGD</x:v>
      </x:c>
      <x:c r="C16" s="18" t="str">
        <x:v>Perioperative TEAS</x:v>
      </x:c>
      <x:c r="D16" s="18" t="str">
        <x:v>Sham-point/no current</x:v>
      </x:c>
      <x:c r="E16" s="18" t="str">
        <x:v>Postoperative gastrointestinal dysfunction: no bowel sounds &gt;48 h</x:v>
      </x:c>
      <x:c r="F16" s="18" t="str">
        <x:v>Postoperative</x:v>
      </x:c>
      <x:c r="G16" s="18" t="str">
        <x:v>Events/total</x:v>
      </x:c>
      <x:c r="H16" s="18" t="n">
        <x:v>154</x:v>
      </x:c>
      <x:c r="I16" s="18" t="n">
        <x:v>152</x:v>
      </x:c>
      <x:c r="J16" s="18" t="n">
        <x:v>140</x:v>
      </x:c>
      <x:c r="K16" s="18" t="n">
        <x:v>140</x:v>
      </x:c>
      <x:c r="L16" s="18"/>
      <x:c r="M16" s="18"/>
      <x:c r="N16" s="18"/>
      <x:c r="O16" s="18"/>
      <x:c r="P16" s="18"/>
      <x:c r="Q16" s="18" t="n">
        <x:v>26</x:v>
      </x:c>
      <x:c r="R16" s="18"/>
      <x:c r="S16" s="18"/>
      <x:c r="T16" s="18"/>
      <x:c r="U16" s="18"/>
      <x:c r="V16" s="18"/>
      <x:c r="W16" s="18" t="n">
        <x:v>44</x:v>
      </x:c>
      <x:c r="X16" s="18" t="str">
        <x:v>participants</x:v>
      </x:c>
      <x:c r="Y16" s="18" t="str">
        <x:v>NR</x:v>
      </x:c>
      <x:c r="Z16" s="18" t="str">
        <x:v>RR</x:v>
      </x:c>
      <x:c r="AA16" s="18" t="n">
        <x:v>0.5909090909090909</x:v>
      </x:c>
      <x:c r="AB16" s="18" t="str">
        <x:v>INCLUDE — SECONDARY GI</x:v>
      </x:c>
      <x:c r="AC16" s="18" t="str">
        <x:v>Source-valid GI recovery outcome; analyze separately by outcome definition.</x:v>
      </x:c>
      <x:c r="AD16" s="18"/>
      <x:c r="AE16" s="18" t="str">
        <x:v>Binary effect measure (RR preferred per protocol)</x:v>
      </x:c>
      <x:c r="AF16" s="18" t="str">
        <x:v>High</x:v>
      </x:c>
      <x:c r="AG16" s="18" t="str">
        <x:v>Yes — selected RoB is for a different result/timepoint</x:v>
      </x:c>
      <x:c r="AH16" s="18" t="str">
        <x:v>Li 2021</x:v>
      </x:c>
      <x:c r="AI16" s="18" t="str">
        <x:v>Primary eligible contrast</x:v>
      </x:c>
      <x:c r="AJ16" s="18" t="str">
        <x:v>Count this study once per synthesis unless a valid multi-arm method is used.</x:v>
      </x:c>
      <x:c r="AK16" s="18" t="str">
        <x:v>Study-specific PGD definition; majority of events were in colorectal stratum</x:v>
      </x:c>
      <x:c r="AL16" s="18" t="str">
        <x:v>https://drive.google.com/file/d/1NvcLlsb17N6EMhtHs_L_WBnf40wsrtRz/view?usp=drivesdk</x:v>
      </x:c>
    </x:row>
    <x:row r="17">
      <x:c r="A17" s="18" t="str">
        <x:v>Jiang 2026</x:v>
      </x:c>
      <x:c r="B17" s="18" t="str">
        <x:v>JIANG26_TEAS_vs_SHAM_FLATUS_PP</x:v>
      </x:c>
      <x:c r="C17" s="18" t="str">
        <x:v>Perioperative TEAS</x:v>
      </x:c>
      <x:c r="D17" s="18" t="str">
        <x:v>Sham/no current</x:v>
      </x:c>
      <x:c r="E17" s="18" t="str">
        <x:v>Time to first flatus</x:v>
      </x:c>
      <x:c r="F17" s="18" t="str">
        <x:v>Postoperative</x:v>
      </x:c>
      <x:c r="G17" s="18" t="str">
        <x:v>Median/IQR</x:v>
      </x:c>
      <x:c r="H17" s="18" t="n">
        <x:v>308</x:v>
      </x:c>
      <x:c r="I17" s="18" t="n">
        <x:v>306</x:v>
      </x:c>
      <x:c r="J17" s="18" t="n">
        <x:v>294</x:v>
      </x:c>
      <x:c r="K17" s="18" t="n">
        <x:v>293</x:v>
      </x:c>
      <x:c r="L17" s="18"/>
      <x:c r="M17" s="18"/>
      <x:c r="N17" s="18" t="n">
        <x:v>21.5</x:v>
      </x:c>
      <x:c r="O17" s="18" t="n">
        <x:v>19</x:v>
      </x:c>
      <x:c r="P17" s="18" t="n">
        <x:v>23.5</x:v>
      </x:c>
      <x:c r="Q17" s="18"/>
      <x:c r="R17" s="18"/>
      <x:c r="S17" s="18"/>
      <x:c r="T17" s="18" t="n">
        <x:v>23.5</x:v>
      </x:c>
      <x:c r="U17" s="18" t="n">
        <x:v>21</x:v>
      </x:c>
      <x:c r="V17" s="18" t="n">
        <x:v>26</x:v>
      </x:c>
      <x:c r="W17" s="18"/>
      <x:c r="X17" s="18" t="str">
        <x:v>hours</x:v>
      </x:c>
      <x:c r="Y17" s="18" t="str">
        <x:v>&lt;0.001</x:v>
      </x:c>
      <x:c r="Z17" s="18"/>
      <x:c r="AA17" s="18"/>
      <x:c r="AB17" s="18" t="str">
        <x:v>INCLUDE</x:v>
      </x:c>
      <x:c r="AC17" s="18" t="str">
        <x:v>Source-valid first-flatus/ileus endpoint; retain reported distribution (mean/SD, median/IQR, or events).</x:v>
      </x:c>
      <x:c r="AD17" s="18"/>
      <x:c r="AE17" s="18" t="str">
        <x:v>Use median/IQR-compatible meta-analysis method; do not relabel as mean/SD</x:v>
      </x:c>
      <x:c r="AF17" s="18" t="str">
        <x:v>Some concerns</x:v>
      </x:c>
      <x:c r="AG17" s="18" t="str">
        <x:v>No — selected RoB matches this result</x:v>
      </x:c>
      <x:c r="AH17" s="18" t="str">
        <x:v>Jiang 2026</x:v>
      </x:c>
      <x:c r="AI17" s="18" t="str">
        <x:v>Primary eligible contrast</x:v>
      </x:c>
      <x:c r="AJ17" s="18" t="str">
        <x:v>Count this study once per synthesis unless a valid multi-arm method is used.</x:v>
      </x:c>
      <x:c r="AK17" s="18" t="str">
        <x:v>614 randomized but only 587 in PP. Sex/ASA baseline counts contain internal denominator errors</x:v>
      </x:c>
      <x:c r="AL17" s="18" t="str">
        <x:v>https://drive.google.com/file/d/1nujlP9A_IMWUfd3HdCD2rOxTc9-I8v92/view?usp=drivesdk</x:v>
      </x:c>
    </x:row>
    <x:row r="18">
      <x:c r="A18" s="18" t="str">
        <x:v>Jiang 2026</x:v>
      </x:c>
      <x:c r="B18" s="18" t="str">
        <x:v>JIANG26_TEAS_vs_SHAM_FLATUS_MITT</x:v>
      </x:c>
      <x:c r="C18" s="18" t="str">
        <x:v>Perioperative TEAS</x:v>
      </x:c>
      <x:c r="D18" s="18" t="str">
        <x:v>Sham/no current</x:v>
      </x:c>
      <x:c r="E18" s="18" t="str">
        <x:v>Time to first flatus</x:v>
      </x:c>
      <x:c r="F18" s="18" t="str">
        <x:v>Modified-ITT-type analysis among intervention recipients</x:v>
      </x:c>
      <x:c r="G18" s="18" t="str">
        <x:v>Median/IQR</x:v>
      </x:c>
      <x:c r="H18" s="18" t="n">
        <x:v>308</x:v>
      </x:c>
      <x:c r="I18" s="18" t="n">
        <x:v>306</x:v>
      </x:c>
      <x:c r="J18" s="18" t="n">
        <x:v>296</x:v>
      </x:c>
      <x:c r="K18" s="18" t="n">
        <x:v>297</x:v>
      </x:c>
      <x:c r="L18" s="18"/>
      <x:c r="M18" s="18"/>
      <x:c r="N18" s="18" t="n">
        <x:v>21.3</x:v>
      </x:c>
      <x:c r="O18" s="18" t="n">
        <x:v>19</x:v>
      </x:c>
      <x:c r="P18" s="18" t="n">
        <x:v>23.5</x:v>
      </x:c>
      <x:c r="Q18" s="18"/>
      <x:c r="R18" s="18"/>
      <x:c r="S18" s="18"/>
      <x:c r="T18" s="18" t="n">
        <x:v>23.4</x:v>
      </x:c>
      <x:c r="U18" s="18" t="n">
        <x:v>21</x:v>
      </x:c>
      <x:c r="V18" s="18" t="n">
        <x:v>26</x:v>
      </x:c>
      <x:c r="W18" s="18"/>
      <x:c r="X18" s="18" t="str">
        <x:v>hours</x:v>
      </x:c>
      <x:c r="Y18" s="18" t="str">
        <x:v>&lt;0.001</x:v>
      </x:c>
      <x:c r="Z18" s="18"/>
      <x:c r="AA18" s="18"/>
      <x:c r="AB18" s="18" t="str">
        <x:v>INCLUDE</x:v>
      </x:c>
      <x:c r="AC18" s="18" t="str">
        <x:v>Source-valid first-flatus/ileus endpoint; retain reported distribution (mean/SD, median/IQR, or events).</x:v>
      </x:c>
      <x:c r="AD18" s="18"/>
      <x:c r="AE18" s="18" t="str">
        <x:v>Use median/IQR-compatible meta-analysis method; do not relabel as mean/SD</x:v>
      </x:c>
      <x:c r="AF18" s="18" t="str">
        <x:v>Some concerns</x:v>
      </x:c>
      <x:c r="AG18" s="18" t="str">
        <x:v>No — selected RoB matches this result</x:v>
      </x:c>
      <x:c r="AH18" s="18" t="str">
        <x:v>Jiang 2026</x:v>
      </x:c>
      <x:c r="AI18" s="18" t="str">
        <x:v>Primary eligible contrast</x:v>
      </x:c>
      <x:c r="AJ18" s="18" t="str">
        <x:v>Count this study once per synthesis unless a valid multi-arm method is used.</x:v>
      </x:c>
      <x:c r="AK18" s="18" t="str">
        <x:v>Authors call this ITT, but it includes 593 who received allocated intervention, not all 614 randomized; 6 post-treatment missing values were conservatively imputed</x:v>
      </x:c>
      <x:c r="AL18" s="18" t="str">
        <x:v>https://drive.google.com/file/d/1nujlP9A_IMWUfd3HdCD2rOxTc9-I8v92/view?usp=drivesdk</x:v>
      </x:c>
    </x:row>
    <x:row r="19">
      <x:c r="A19" s="18" t="str">
        <x:v>Huang 2025</x:v>
      </x:c>
      <x:c r="B19" s="18" t="str">
        <x:v>HUANG25_EA_vs_UC_FLATUS</x:v>
      </x:c>
      <x:c r="C19" s="18" t="str">
        <x:v>Postoperative EA + ERAS</x:v>
      </x:c>
      <x:c r="D19" s="18" t="str">
        <x:v>ERAS/standard care</x:v>
      </x:c>
      <x:c r="E19" s="18" t="str">
        <x:v>Time to first flatus</x:v>
      </x:c>
      <x:c r="F19" s="18" t="str">
        <x:v>Postoperative</x:v>
      </x:c>
      <x:c r="G19" s="18" t="str">
        <x:v>Mean/SD</x:v>
      </x:c>
      <x:c r="H19" s="18" t="n">
        <x:v>51</x:v>
      </x:c>
      <x:c r="I19" s="18" t="n">
        <x:v>50</x:v>
      </x:c>
      <x:c r="J19" s="18" t="n">
        <x:v>43</x:v>
      </x:c>
      <x:c r="K19" s="18" t="n">
        <x:v>45</x:v>
      </x:c>
      <x:c r="L19" s="18" t="n">
        <x:v>36.4</x:v>
      </x:c>
      <x:c r="M19" s="18" t="n">
        <x:v>8</x:v>
      </x:c>
      <x:c r="N19" s="18"/>
      <x:c r="O19" s="18"/>
      <x:c r="P19" s="18"/>
      <x:c r="Q19" s="18"/>
      <x:c r="R19" s="18" t="n">
        <x:v>42.2</x:v>
      </x:c>
      <x:c r="S19" s="18" t="n">
        <x:v>8.5</x:v>
      </x:c>
      <x:c r="T19" s="18"/>
      <x:c r="U19" s="18"/>
      <x:c r="V19" s="18"/>
      <x:c r="W19" s="18"/>
      <x:c r="X19" s="18" t="str">
        <x:v>hours</x:v>
      </x:c>
      <x:c r="Y19" s="18" t="str">
        <x:v>&lt;0.001</x:v>
      </x:c>
      <x:c r="Z19" s="18" t="str">
        <x:v>MD</x:v>
      </x:c>
      <x:c r="AA19" s="18" t="n">
        <x:v>-5.800000000000004</x:v>
      </x:c>
      <x:c r="AB19" s="18" t="str">
        <x:v>INCLUDE</x:v>
      </x:c>
      <x:c r="AC19" s="18" t="str">
        <x:v>Source-valid first-flatus/ileus endpoint; retain reported distribution (mean/SD, median/IQR, or events).</x:v>
      </x:c>
      <x:c r="AD19" s="18"/>
      <x:c r="AE19" s="18" t="str">
        <x:v>None</x:v>
      </x:c>
      <x:c r="AF19" s="18" t="str">
        <x:v>High</x:v>
      </x:c>
      <x:c r="AG19" s="18" t="str">
        <x:v>No — selected RoB matches this result</x:v>
      </x:c>
      <x:c r="AH19" s="18" t="str">
        <x:v>Huang 2025</x:v>
      </x:c>
      <x:c r="AI19" s="18" t="str">
        <x:v>Primary eligible contrast</x:v>
      </x:c>
      <x:c r="AJ19" s="18" t="str">
        <x:v>Count this study once per synthesis unless a valid multi-arm method is used.</x:v>
      </x:c>
      <x:c r="AK19" s="18" t="str">
        <x:v>13/101 randomized participants excluded after randomization; no sham procedure and patient blinding is not credible for penetrating postoperative EA</x:v>
      </x:c>
      <x:c r="AL19" s="18" t="str">
        <x:v>https://drive.google.com/file/d/1VnJCbIPz8Uy1kXYCTKk7l9Zqj-rTECrY/view?usp=drivesdk</x:v>
      </x:c>
    </x:row>
    <x:row r="20">
      <x:c r="A20" s="18" t="str">
        <x:v>Huang 2025</x:v>
      </x:c>
      <x:c r="B20" s="18" t="str">
        <x:v>HUANG25_EA_vs_UC_DEFEC</x:v>
      </x:c>
      <x:c r="C20" s="18" t="str">
        <x:v>Postoperative EA + ERAS</x:v>
      </x:c>
      <x:c r="D20" s="18" t="str">
        <x:v>ERAS/standard care</x:v>
      </x:c>
      <x:c r="E20" s="18" t="str">
        <x:v>Time to first defecation</x:v>
      </x:c>
      <x:c r="F20" s="18" t="str">
        <x:v>Postoperative</x:v>
      </x:c>
      <x:c r="G20" s="18" t="str">
        <x:v>Mean/SD</x:v>
      </x:c>
      <x:c r="H20" s="18" t="n">
        <x:v>51</x:v>
      </x:c>
      <x:c r="I20" s="18" t="n">
        <x:v>50</x:v>
      </x:c>
      <x:c r="J20" s="18" t="n">
        <x:v>43</x:v>
      </x:c>
      <x:c r="K20" s="18" t="n">
        <x:v>45</x:v>
      </x:c>
      <x:c r="L20" s="18" t="n">
        <x:v>46</x:v>
      </x:c>
      <x:c r="M20" s="18" t="n">
        <x:v>8</x:v>
      </x:c>
      <x:c r="N20" s="18"/>
      <x:c r="O20" s="18"/>
      <x:c r="P20" s="18"/>
      <x:c r="Q20" s="18"/>
      <x:c r="R20" s="18" t="n">
        <x:v>51.3</x:v>
      </x:c>
      <x:c r="S20" s="18" t="n">
        <x:v>9.4</x:v>
      </x:c>
      <x:c r="T20" s="18"/>
      <x:c r="U20" s="18"/>
      <x:c r="V20" s="18"/>
      <x:c r="W20" s="18"/>
      <x:c r="X20" s="18" t="str">
        <x:v>hours</x:v>
      </x:c>
      <x:c r="Y20" s="18" t="str">
        <x:v>0.010</x:v>
      </x:c>
      <x:c r="Z20" s="18" t="str">
        <x:v>MD</x:v>
      </x:c>
      <x:c r="AA20" s="18" t="n">
        <x:v>-5.299999999999997</x:v>
      </x:c>
      <x:c r="AB20" s="18" t="str">
        <x:v>INCLUDE — SECONDARY GI</x:v>
      </x:c>
      <x:c r="AC20" s="18" t="str">
        <x:v>Source-valid GI recovery outcome; analyze separately by outcome definition.</x:v>
      </x:c>
      <x:c r="AD20" s="18"/>
      <x:c r="AE20" s="18" t="str">
        <x:v>None</x:v>
      </x:c>
      <x:c r="AF20" s="18" t="str">
        <x:v>High</x:v>
      </x:c>
      <x:c r="AG20" s="18" t="str">
        <x:v>Yes — selected RoB is for a different result/timepoint</x:v>
      </x:c>
      <x:c r="AH20" s="18" t="str">
        <x:v>Huang 2025</x:v>
      </x:c>
      <x:c r="AI20" s="18" t="str">
        <x:v>Primary eligible contrast</x:v>
      </x:c>
      <x:c r="AJ20" s="18" t="str">
        <x:v>Count this study once per synthesis unless a valid multi-arm method is used.</x:v>
      </x:c>
      <x:c r="AK20" s="18" t="str">
        <x:v>Same post-randomization exclusion and no-sham concerns apply</x:v>
      </x:c>
      <x:c r="AL20" s="18" t="str">
        <x:v>https://drive.google.com/file/d/1VnJCbIPz8Uy1kXYCTKk7l9Zqj-rTECrY/view?usp=drivesdk</x:v>
      </x:c>
    </x:row>
    <x:row r="21">
      <x:c r="A21" s="18" t="str">
        <x:v>Gu 2019</x:v>
      </x:c>
      <x:c r="B21" s="18" t="str">
        <x:v>GU19_LTEAS_vs_CTEAS_BOWEL</x:v>
      </x:c>
      <x:c r="C21" s="18" t="str">
        <x:v>Long-duration TEAS</x:v>
      </x:c>
      <x:c r="D21" s="18" t="str">
        <x:v>Sham/no-current TEAS</x:v>
      </x:c>
      <x:c r="E21" s="18" t="str">
        <x:v>Time to first bowel sounds</x:v>
      </x:c>
      <x:c r="F21" s="18" t="str">
        <x:v>Postoperative</x:v>
      </x:c>
      <x:c r="G21" s="18" t="str">
        <x:v>Mean/SD</x:v>
      </x:c>
      <x:c r="H21" s="18" t="n">
        <x:v>60</x:v>
      </x:c>
      <x:c r="I21" s="18" t="n">
        <x:v>60</x:v>
      </x:c>
      <x:c r="J21" s="18" t="n">
        <x:v>58</x:v>
      </x:c>
      <x:c r="K21" s="18" t="n">
        <x:v>59</x:v>
      </x:c>
      <x:c r="L21" s="18" t="n">
        <x:v>19.69</x:v>
      </x:c>
      <x:c r="M21" s="18" t="n">
        <x:v>7.61</x:v>
      </x:c>
      <x:c r="N21" s="18"/>
      <x:c r="O21" s="18"/>
      <x:c r="P21" s="18"/>
      <x:c r="Q21" s="18"/>
      <x:c r="R21" s="18" t="n">
        <x:v>26.58</x:v>
      </x:c>
      <x:c r="S21" s="18" t="n">
        <x:v>7.43</x:v>
      </x:c>
      <x:c r="T21" s="18"/>
      <x:c r="U21" s="18"/>
      <x:c r="V21" s="18"/>
      <x:c r="W21" s="18"/>
      <x:c r="X21" s="18" t="str">
        <x:v>hours</x:v>
      </x:c>
      <x:c r="Y21" s="18" t="str">
        <x:v>0.01</x:v>
      </x:c>
      <x:c r="Z21" s="18" t="str">
        <x:v>MD</x:v>
      </x:c>
      <x:c r="AA21" s="18" t="n">
        <x:v>-6.889999999999997</x:v>
      </x:c>
      <x:c r="AB21" s="18" t="str">
        <x:v>INCLUDE — SECONDARY GI</x:v>
      </x:c>
      <x:c r="AC21" s="18" t="str">
        <x:v>Source-valid GI recovery outcome; analyze separately by outcome definition.</x:v>
      </x:c>
      <x:c r="AD21" s="18"/>
      <x:c r="AE21" s="18" t="str">
        <x:v>None</x:v>
      </x:c>
      <x:c r="AF21" s="18" t="str">
        <x:v>Some concerns</x:v>
      </x:c>
      <x:c r="AG21" s="18" t="str">
        <x:v>Yes — selected RoB is for a different result/timepoint</x:v>
      </x:c>
      <x:c r="AH21" s="18" t="str">
        <x:v>Gu 2019</x:v>
      </x:c>
      <x:c r="AI21" s="18" t="str">
        <x:v>Primary eligible contrast</x:v>
      </x:c>
      <x:c r="AJ21" s="18" t="str">
        <x:v>Count this study once per synthesis unless a valid multi-arm method is used.</x:v>
      </x:c>
      <x:c r="AK21" s="18" t="str">
        <x:v>First flatus/defecation were patient self-recorded; bowel sounds were nurse-assessed</x:v>
      </x:c>
      <x:c r="AL21" s="18" t="str">
        <x:v>https://drive.google.com/file/d/1ipQFXfERgAVmgNKMpLkvaaecYJVSTDiw/view?usp=drivesdk</x:v>
      </x:c>
    </x:row>
    <x:row r="22">
      <x:c r="A22" s="18" t="str">
        <x:v>Gu 2019</x:v>
      </x:c>
      <x:c r="B22" s="18" t="str">
        <x:v>GU19_LTEAS_vs_CTEAS_FLATUS</x:v>
      </x:c>
      <x:c r="C22" s="18" t="str">
        <x:v>Long-duration TEAS</x:v>
      </x:c>
      <x:c r="D22" s="18" t="str">
        <x:v>Sham/no-current TEAS</x:v>
      </x:c>
      <x:c r="E22" s="18" t="str">
        <x:v>Time to first flatus</x:v>
      </x:c>
      <x:c r="F22" s="18" t="str">
        <x:v>Postoperative</x:v>
      </x:c>
      <x:c r="G22" s="18" t="str">
        <x:v>Mean/SD</x:v>
      </x:c>
      <x:c r="H22" s="18" t="n">
        <x:v>60</x:v>
      </x:c>
      <x:c r="I22" s="18" t="n">
        <x:v>60</x:v>
      </x:c>
      <x:c r="J22" s="18" t="n">
        <x:v>58</x:v>
      </x:c>
      <x:c r="K22" s="18" t="n">
        <x:v>59</x:v>
      </x:c>
      <x:c r="L22" s="18" t="n">
        <x:v>36.58</x:v>
      </x:c>
      <x:c r="M22" s="18" t="n">
        <x:v>10.75</x:v>
      </x:c>
      <x:c r="N22" s="18"/>
      <x:c r="O22" s="18"/>
      <x:c r="P22" s="18"/>
      <x:c r="Q22" s="18"/>
      <x:c r="R22" s="18" t="n">
        <x:v>43.56</x:v>
      </x:c>
      <x:c r="S22" s="18" t="n">
        <x:v>9.57</x:v>
      </x:c>
      <x:c r="T22" s="18"/>
      <x:c r="U22" s="18"/>
      <x:c r="V22" s="18"/>
      <x:c r="W22" s="18"/>
      <x:c r="X22" s="18" t="str">
        <x:v>hours</x:v>
      </x:c>
      <x:c r="Y22" s="18" t="str">
        <x:v>0.03</x:v>
      </x:c>
      <x:c r="Z22" s="18" t="str">
        <x:v>MD</x:v>
      </x:c>
      <x:c r="AA22" s="18" t="n">
        <x:v>-6.980000000000004</x:v>
      </x:c>
      <x:c r="AB22" s="18" t="str">
        <x:v>INCLUDE</x:v>
      </x:c>
      <x:c r="AC22" s="18" t="str">
        <x:v>Source-valid first-flatus/ileus endpoint; retain reported distribution (mean/SD, median/IQR, or events).</x:v>
      </x:c>
      <x:c r="AD22" s="18"/>
      <x:c r="AE22" s="18" t="str">
        <x:v>None</x:v>
      </x:c>
      <x:c r="AF22" s="18" t="str">
        <x:v>Some concerns</x:v>
      </x:c>
      <x:c r="AG22" s="18" t="str">
        <x:v>No — selected RoB matches this result</x:v>
      </x:c>
      <x:c r="AH22" s="18" t="str">
        <x:v>Gu 2019</x:v>
      </x:c>
      <x:c r="AI22" s="18" t="str">
        <x:v>Primary eligible contrast</x:v>
      </x:c>
      <x:c r="AJ22" s="18" t="str">
        <x:v>Count this study once per synthesis unless a valid multi-arm method is used.</x:v>
      </x:c>
      <x:c r="AK22" s="18" t="str">
        <x:v>First flatus/defecation were patient self-recorded; bowel sounds were nurse-assessed</x:v>
      </x:c>
      <x:c r="AL22" s="18" t="str">
        <x:v>https://drive.google.com/file/d/1ipQFXfERgAVmgNKMpLkvaaecYJVSTDiw/view?usp=drivesdk</x:v>
      </x:c>
    </x:row>
    <x:row r="23">
      <x:c r="A23" s="18" t="str">
        <x:v>Gu 2019</x:v>
      </x:c>
      <x:c r="B23" s="18" t="str">
        <x:v>GU19_LTEAS_vs_CTEAS_DEFEC</x:v>
      </x:c>
      <x:c r="C23" s="18" t="str">
        <x:v>Long-duration TEAS</x:v>
      </x:c>
      <x:c r="D23" s="18" t="str">
        <x:v>Sham/no-current TEAS</x:v>
      </x:c>
      <x:c r="E23" s="18" t="str">
        <x:v>Time to first defecation</x:v>
      </x:c>
      <x:c r="F23" s="18" t="str">
        <x:v>Postoperative</x:v>
      </x:c>
      <x:c r="G23" s="18" t="str">
        <x:v>Mean/SD</x:v>
      </x:c>
      <x:c r="H23" s="18" t="n">
        <x:v>60</x:v>
      </x:c>
      <x:c r="I23" s="18" t="n">
        <x:v>60</x:v>
      </x:c>
      <x:c r="J23" s="18" t="n">
        <x:v>58</x:v>
      </x:c>
      <x:c r="K23" s="18" t="n">
        <x:v>59</x:v>
      </x:c>
      <x:c r="L23" s="18" t="n">
        <x:v>71.48</x:v>
      </x:c>
      <x:c r="M23" s="18" t="n">
        <x:v>20.62</x:v>
      </x:c>
      <x:c r="N23" s="18"/>
      <x:c r="O23" s="18"/>
      <x:c r="P23" s="18"/>
      <x:c r="Q23" s="18"/>
      <x:c r="R23" s="18" t="n">
        <x:v>77.27</x:v>
      </x:c>
      <x:c r="S23" s="18" t="n">
        <x:v>22.67</x:v>
      </x:c>
      <x:c r="T23" s="18"/>
      <x:c r="U23" s="18"/>
      <x:c r="V23" s="18"/>
      <x:c r="W23" s="18"/>
      <x:c r="X23" s="18" t="str">
        <x:v>hours</x:v>
      </x:c>
      <x:c r="Y23" s="18" t="str">
        <x:v>0.04</x:v>
      </x:c>
      <x:c r="Z23" s="18" t="str">
        <x:v>MD</x:v>
      </x:c>
      <x:c r="AA23" s="18" t="n">
        <x:v>-5.789999999999992</x:v>
      </x:c>
      <x:c r="AB23" s="18" t="str">
        <x:v>INCLUDE — SECONDARY GI</x:v>
      </x:c>
      <x:c r="AC23" s="18" t="str">
        <x:v>Source-valid GI recovery outcome; analyze separately by outcome definition.</x:v>
      </x:c>
      <x:c r="AD23" s="18"/>
      <x:c r="AE23" s="18" t="str">
        <x:v>None</x:v>
      </x:c>
      <x:c r="AF23" s="18" t="str">
        <x:v>Some concerns</x:v>
      </x:c>
      <x:c r="AG23" s="18" t="str">
        <x:v>Yes — selected RoB is for a different result/timepoint</x:v>
      </x:c>
      <x:c r="AH23" s="18" t="str">
        <x:v>Gu 2019</x:v>
      </x:c>
      <x:c r="AI23" s="18" t="str">
        <x:v>Primary eligible contrast</x:v>
      </x:c>
      <x:c r="AJ23" s="18" t="str">
        <x:v>Count this study once per synthesis unless a valid multi-arm method is used.</x:v>
      </x:c>
      <x:c r="AK23" s="18" t="str">
        <x:v>First flatus/defecation were patient self-recorded; bowel sounds were nurse-assessed</x:v>
      </x:c>
      <x:c r="AL23" s="18" t="str">
        <x:v>https://drive.google.com/file/d/1ipQFXfERgAVmgNKMpLkvaaecYJVSTDiw/view?usp=drivesdk</x:v>
      </x:c>
    </x:row>
    <x:row r="24">
      <x:c r="A24" s="18" t="str">
        <x:v>Gao 2021</x:v>
      </x:c>
      <x:c r="B24" s="18" t="str">
        <x:v>GAO21_TEAS_vs_SHAM_POI</x:v>
      </x:c>
      <x:c r="C24" s="18" t="str">
        <x:v>Postoperative TEAS</x:v>
      </x:c>
      <x:c r="D24" s="18" t="str">
        <x:v>Sham/no-current TEAS</x:v>
      </x:c>
      <x:c r="E24" s="18" t="str">
        <x:v>Postoperative paralytic ileus: no flatus &gt;72 h</x:v>
      </x:c>
      <x:c r="F24" s="18" t="str">
        <x:v>Postoperative</x:v>
      </x:c>
      <x:c r="G24" s="18" t="str">
        <x:v>Events/total</x:v>
      </x:c>
      <x:c r="H24" s="18" t="n">
        <x:v>303</x:v>
      </x:c>
      <x:c r="I24" s="18" t="n">
        <x:v>307</x:v>
      </x:c>
      <x:c r="J24" s="18" t="n">
        <x:v>303</x:v>
      </x:c>
      <x:c r="K24" s="18" t="n">
        <x:v>307</x:v>
      </x:c>
      <x:c r="L24" s="18"/>
      <x:c r="M24" s="18"/>
      <x:c r="N24" s="18"/>
      <x:c r="O24" s="18"/>
      <x:c r="P24" s="18"/>
      <x:c r="Q24" s="18" t="n">
        <x:v>98</x:v>
      </x:c>
      <x:c r="R24" s="18"/>
      <x:c r="S24" s="18"/>
      <x:c r="T24" s="18"/>
      <x:c r="U24" s="18"/>
      <x:c r="V24" s="18"/>
      <x:c r="W24" s="18" t="n">
        <x:v>126</x:v>
      </x:c>
      <x:c r="X24" s="18" t="str">
        <x:v>participants</x:v>
      </x:c>
      <x:c r="Y24" s="18" t="str">
        <x:v>0.026</x:v>
      </x:c>
      <x:c r="Z24" s="18" t="str">
        <x:v>RR</x:v>
      </x:c>
      <x:c r="AA24" s="18" t="n">
        <x:v>0.788045471213788</x:v>
      </x:c>
      <x:c r="AB24" s="18" t="str">
        <x:v>INCLUDE</x:v>
      </x:c>
      <x:c r="AC24" s="18" t="str">
        <x:v>Source-valid first-flatus/ileus endpoint; retain reported distribution (mean/SD, median/IQR, or events).</x:v>
      </x:c>
      <x:c r="AD24" s="18"/>
      <x:c r="AE24" s="18" t="str">
        <x:v>Binary effect measure (RR preferred per protocol)</x:v>
      </x:c>
      <x:c r="AF24" s="18" t="str">
        <x:v>Some concerns</x:v>
      </x:c>
      <x:c r="AG24" s="18" t="str">
        <x:v>Yes — selected RoB is for a different result/timepoint</x:v>
      </x:c>
      <x:c r="AH24" s="18" t="str">
        <x:v>Gao 2021</x:v>
      </x:c>
      <x:c r="AI24" s="18" t="str">
        <x:v>Primary eligible contrast</x:v>
      </x:c>
      <x:c r="AJ24" s="18" t="str">
        <x:v>Count this study once per synthesis unless a valid multi-arm method is used.</x:v>
      </x:c>
      <x:c r="AK24" s="18" t="str">
        <x:v>Full ITT of all 610 randomized; participant sensory masking limited because active TEAS was perceptible</x:v>
      </x:c>
      <x:c r="AL24" s="18" t="str">
        <x:v>https://drive.google.com/file/d/1QbM6CNi8KfBXmMTqG1ASm3hK05cz_hKQ/view?usp=drivesdk</x:v>
      </x:c>
    </x:row>
    <x:row r="25">
      <x:c r="A25" s="18" t="str">
        <x:v>Gao 2021</x:v>
      </x:c>
      <x:c r="B25" s="18" t="str">
        <x:v>GAO21_TEAS_vs_SHAM_FLATUS</x:v>
      </x:c>
      <x:c r="C25" s="18" t="str">
        <x:v>Postoperative TEAS</x:v>
      </x:c>
      <x:c r="D25" s="18" t="str">
        <x:v>Sham/no-current TEAS</x:v>
      </x:c>
      <x:c r="E25" s="18" t="str">
        <x:v>Time to first flatus</x:v>
      </x:c>
      <x:c r="F25" s="18" t="str">
        <x:v>Postoperative</x:v>
      </x:c>
      <x:c r="G25" s="18" t="str">
        <x:v>Mean/SD</x:v>
      </x:c>
      <x:c r="H25" s="18" t="n">
        <x:v>303</x:v>
      </x:c>
      <x:c r="I25" s="18" t="n">
        <x:v>307</x:v>
      </x:c>
      <x:c r="J25" s="18" t="n">
        <x:v>303</x:v>
      </x:c>
      <x:c r="K25" s="18" t="n">
        <x:v>307</x:v>
      </x:c>
      <x:c r="L25" s="18" t="n">
        <x:v>63.4</x:v>
      </x:c>
      <x:c r="M25" s="18" t="n">
        <x:v>29</x:v>
      </x:c>
      <x:c r="N25" s="18"/>
      <x:c r="O25" s="18"/>
      <x:c r="P25" s="18"/>
      <x:c r="Q25" s="18"/>
      <x:c r="R25" s="18" t="n">
        <x:v>76.3</x:v>
      </x:c>
      <x:c r="S25" s="18" t="n">
        <x:v>37.9</x:v>
      </x:c>
      <x:c r="T25" s="18"/>
      <x:c r="U25" s="18"/>
      <x:c r="V25" s="18"/>
      <x:c r="W25" s="18"/>
      <x:c r="X25" s="18" t="str">
        <x:v>hours</x:v>
      </x:c>
      <x:c r="Y25" s="18" t="str">
        <x:v>0.001</x:v>
      </x:c>
      <x:c r="Z25" s="18" t="str">
        <x:v>MD</x:v>
      </x:c>
      <x:c r="AA25" s="18" t="n">
        <x:v>-12.899999999999999</x:v>
      </x:c>
      <x:c r="AB25" s="18" t="str">
        <x:v>INCLUDE</x:v>
      </x:c>
      <x:c r="AC25" s="18" t="str">
        <x:v>Source-valid first-flatus/ileus endpoint; retain reported distribution (mean/SD, median/IQR, or events).</x:v>
      </x:c>
      <x:c r="AD25" s="18"/>
      <x:c r="AE25" s="18" t="str">
        <x:v>None</x:v>
      </x:c>
      <x:c r="AF25" s="18" t="str">
        <x:v>Some concerns</x:v>
      </x:c>
      <x:c r="AG25" s="18" t="str">
        <x:v>Yes — selected RoB is for a different result/timepoint</x:v>
      </x:c>
      <x:c r="AH25" s="18" t="str">
        <x:v>Gao 2021</x:v>
      </x:c>
      <x:c r="AI25" s="18" t="str">
        <x:v>Primary eligible contrast</x:v>
      </x:c>
      <x:c r="AJ25" s="18" t="str">
        <x:v>Count this study once per synthesis unless a valid multi-arm method is used.</x:v>
      </x:c>
      <x:c r="AK25" s="18" t="str">
        <x:v>Full randomized sample retained; participant awareness may influence self-reported GI milestones</x:v>
      </x:c>
      <x:c r="AL25" s="18" t="str">
        <x:v>https://drive.google.com/file/d/1QbM6CNi8KfBXmMTqG1ASm3hK05cz_hKQ/view?usp=drivesdk</x:v>
      </x:c>
    </x:row>
    <x:row r="26">
      <x:c r="A26" s="18" t="str">
        <x:v>Gao 2021</x:v>
      </x:c>
      <x:c r="B26" s="18" t="str">
        <x:v>GAO21_TEAS_vs_SHAM_DEFEC</x:v>
      </x:c>
      <x:c r="C26" s="18" t="str">
        <x:v>Postoperative TEAS</x:v>
      </x:c>
      <x:c r="D26" s="18" t="str">
        <x:v>Sham/no-current TEAS</x:v>
      </x:c>
      <x:c r="E26" s="18" t="str">
        <x:v>Time to first defecation</x:v>
      </x:c>
      <x:c r="F26" s="18" t="str">
        <x:v>Postoperative</x:v>
      </x:c>
      <x:c r="G26" s="18" t="str">
        <x:v>Mean/SD</x:v>
      </x:c>
      <x:c r="H26" s="18" t="n">
        <x:v>303</x:v>
      </x:c>
      <x:c r="I26" s="18" t="n">
        <x:v>307</x:v>
      </x:c>
      <x:c r="J26" s="18" t="n">
        <x:v>303</x:v>
      </x:c>
      <x:c r="K26" s="18" t="n">
        <x:v>307</x:v>
      </x:c>
      <x:c r="L26" s="18" t="n">
        <x:v>106.7</x:v>
      </x:c>
      <x:c r="M26" s="18" t="n">
        <x:v>65.6</x:v>
      </x:c>
      <x:c r="N26" s="18"/>
      <x:c r="O26" s="18"/>
      <x:c r="P26" s="18"/>
      <x:c r="Q26" s="18"/>
      <x:c r="R26" s="18" t="n">
        <x:v>121.5</x:v>
      </x:c>
      <x:c r="S26" s="18" t="n">
        <x:v>65.6</x:v>
      </x:c>
      <x:c r="T26" s="18"/>
      <x:c r="U26" s="18"/>
      <x:c r="V26" s="18"/>
      <x:c r="W26" s="18"/>
      <x:c r="X26" s="18" t="str">
        <x:v>hours</x:v>
      </x:c>
      <x:c r="Y26" s="18" t="str">
        <x:v>0.005</x:v>
      </x:c>
      <x:c r="Z26" s="18" t="str">
        <x:v>MD</x:v>
      </x:c>
      <x:c r="AA26" s="18" t="n">
        <x:v>-14.799999999999997</x:v>
      </x:c>
      <x:c r="AB26" s="18" t="str">
        <x:v>INCLUDE — SECONDARY GI</x:v>
      </x:c>
      <x:c r="AC26" s="18" t="str">
        <x:v>Source-valid GI recovery outcome; analyze separately by outcome definition.</x:v>
      </x:c>
      <x:c r="AD26" s="18"/>
      <x:c r="AE26" s="18" t="str">
        <x:v>None</x:v>
      </x:c>
      <x:c r="AF26" s="18" t="str">
        <x:v>Some concerns</x:v>
      </x:c>
      <x:c r="AG26" s="18" t="str">
        <x:v>Yes — selected RoB is for a different result/timepoint</x:v>
      </x:c>
      <x:c r="AH26" s="18" t="str">
        <x:v>Gao 2021</x:v>
      </x:c>
      <x:c r="AI26" s="18" t="str">
        <x:v>Primary eligible contrast</x:v>
      </x:c>
      <x:c r="AJ26" s="18" t="str">
        <x:v>Count this study once per synthesis unless a valid multi-arm method is used.</x:v>
      </x:c>
      <x:c r="AK26" s="18" t="str">
        <x:v>Full randomized sample retained; participant awareness may influence self-reported GI milestones</x:v>
      </x:c>
      <x:c r="AL26" s="18" t="str">
        <x:v>https://drive.google.com/file/d/1QbM6CNi8KfBXmMTqG1ASm3hK05cz_hKQ/view?usp=drivesdk</x:v>
      </x:c>
    </x:row>
    <x:row r="27">
      <x:c r="A27" s="18" t="str">
        <x:v>Gao 2021</x:v>
      </x:c>
      <x:c r="B27" s="18" t="str">
        <x:v>GAO21_TEAS_vs_SHAM_DIET</x:v>
      </x:c>
      <x:c r="C27" s="18" t="str">
        <x:v>Postoperative TEAS</x:v>
      </x:c>
      <x:c r="D27" s="18" t="str">
        <x:v>Sham/no-current TEAS</x:v>
      </x:c>
      <x:c r="E27" s="18" t="str">
        <x:v>Time to resume normal diet</x:v>
      </x:c>
      <x:c r="F27" s="18" t="str">
        <x:v>Postoperative</x:v>
      </x:c>
      <x:c r="G27" s="18" t="str">
        <x:v>Mean/SD</x:v>
      </x:c>
      <x:c r="H27" s="18" t="n">
        <x:v>303</x:v>
      </x:c>
      <x:c r="I27" s="18" t="n">
        <x:v>307</x:v>
      </x:c>
      <x:c r="J27" s="18" t="n">
        <x:v>303</x:v>
      </x:c>
      <x:c r="K27" s="18" t="n">
        <x:v>307</x:v>
      </x:c>
      <x:c r="L27" s="18" t="n">
        <x:v>373.9</x:v>
      </x:c>
      <x:c r="M27" s="18" t="n">
        <x:v>224.9</x:v>
      </x:c>
      <x:c r="N27" s="18"/>
      <x:c r="O27" s="18"/>
      <x:c r="P27" s="18"/>
      <x:c r="Q27" s="18"/>
      <x:c r="R27" s="18" t="n">
        <x:v>425.5</x:v>
      </x:c>
      <x:c r="S27" s="18" t="n">
        <x:v>235.6</x:v>
      </x:c>
      <x:c r="T27" s="18"/>
      <x:c r="U27" s="18"/>
      <x:c r="V27" s="18"/>
      <x:c r="W27" s="18"/>
      <x:c r="X27" s="18" t="str">
        <x:v>hours</x:v>
      </x:c>
      <x:c r="Y27" s="18" t="str">
        <x:v>0.006</x:v>
      </x:c>
      <x:c r="Z27" s="18" t="str">
        <x:v>MD</x:v>
      </x:c>
      <x:c r="AA27" s="18" t="n">
        <x:v>-51.60000000000002</x:v>
      </x:c>
      <x:c r="AB27" s="18" t="str">
        <x:v>CONDITIONAL</x:v>
      </x:c>
      <x:c r="AC27" s="18" t="str">
        <x:v>GI recovery result is source-valid but requires outcome-definition matching.</x:v>
      </x:c>
      <x:c r="AD27" s="18"/>
      <x:c r="AE27" s="18" t="str">
        <x:v>None</x:v>
      </x:c>
      <x:c r="AF27" s="18" t="str">
        <x:v>Some concerns</x:v>
      </x:c>
      <x:c r="AG27" s="18" t="str">
        <x:v>Yes — selected RoB is for a different result/timepoint</x:v>
      </x:c>
      <x:c r="AH27" s="18" t="str">
        <x:v>Gao 2021</x:v>
      </x:c>
      <x:c r="AI27" s="18" t="str">
        <x:v>Primary eligible contrast</x:v>
      </x:c>
      <x:c r="AJ27" s="18" t="str">
        <x:v>Count this study once per synthesis unless a valid multi-arm method is used.</x:v>
      </x:c>
      <x:c r="AK27" s="18" t="str">
        <x:v>Full randomized sample retained; participant awareness may influence self-reported GI milestones</x:v>
      </x:c>
      <x:c r="AL27" s="18" t="str">
        <x:v>https://drive.google.com/file/d/1QbM6CNi8KfBXmMTqG1ASm3hK05cz_hKQ/view?usp=drivesdk</x:v>
      </x:c>
    </x:row>
  </x:sheetData>
  <x:conditionalFormatting sqref="AB2:AB27">
    <x:cfRule type="expression" dxfId="62" priority="1">
      <x:formula>LEFT(AB2,7)="INCLUDE"</x:formula>
    </x:cfRule>
    <x:cfRule type="expression" dxfId="63" priority="2">
      <x:formula>LEFT(AB2,11)="CONDITIONAL"</x:formula>
    </x:cfRule>
    <x:cfRule type="expression" dxfId="64" priority="3">
      <x:formula>LEFT(AB2,7)="EXCLUDE"</x:formula>
    </x:cfRule>
    <x:cfRule type="expression" dxfId="65" priority="4">
      <x:formula>AB2="DUPLICATE HOLD"</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8" hidden="0" customWidth="1"/>
    <x:col min="7" max="7" width="70" hidden="0" customWidth="1"/>
  </x:cols>
  <x:sheetData>
    <x:row r="1">
      <x:c r="A1" s="66" t="str">
        <x:v>Synthesis family</x:v>
      </x:c>
      <x:c r="B1" s="66" t="str">
        <x:v>Candidate rows</x:v>
      </x:c>
      <x:c r="C1" s="66" t="str">
        <x:v>Unique study units</x:v>
      </x:c>
      <x:c r="D1" s="66" t="str">
        <x:v>Include-ready rows</x:v>
      </x:c>
      <x:c r="E1" s="66" t="str">
        <x:v>Conditional/QC rows</x:v>
      </x:c>
      <x:c r="F1" s="66" t="str">
        <x:v>Duplicate-hold rows</x:v>
      </x:c>
      <x:c r="G1" s="66" t="str">
        <x:v>Interpretation</x:v>
      </x:c>
    </x:row>
    <x:row r="2">
      <x:c r="A2" s="18" t="str">
        <x:v>Postoperative opioid consumption</x:v>
      </x:c>
      <x:c r="B2" s="18" t="n">
        <x:v>81</x:v>
      </x:c>
      <x:c r="C2" s="18" t="n">
        <x:v>55</x:v>
      </x:c>
      <x:c r="D2" s="18" t="n">
        <x:v>8</x:v>
      </x:c>
      <x:c r="E2" s="18" t="n">
        <x:v>16</x:v>
      </x:c>
      <x:c r="F2" s="18" t="n">
        <x:v>4</x:v>
      </x:c>
      <x:c r="G2" s="18" t="str">
        <x:v>Rows exceed independent studies because of multi-arm trials and alternate time/unit formulations; count study units, not rows.</x:v>
      </x:c>
    </x:row>
    <x:row r="3">
      <x:c r="A3" s="18" t="str">
        <x:v>Pain</x:v>
      </x:c>
      <x:c r="B3" s="18" t="n">
        <x:v>40</x:v>
      </x:c>
      <x:c r="C3" s="18" t="n">
        <x:v>30</x:v>
      </x:c>
      <x:c r="D3" s="18" t="n">
        <x:v>20</x:v>
      </x:c>
      <x:c r="E3" s="18" t="n">
        <x:v>19</x:v>
      </x:c>
      <x:c r="F3" s="18" t="n">
        <x:v>0</x:v>
      </x:c>
      <x:c r="G3" s="18" t="str">
        <x:v>Separate rest vs movement pain and exact 24 h vs POD1 before pooling.</x:v>
      </x:c>
    </x:row>
    <x:row r="4">
      <x:c r="A4" s="18" t="str">
        <x:v>PONV</x:v>
      </x:c>
      <x:c r="B4" s="18" t="n">
        <x:v>37</x:v>
      </x:c>
      <x:c r="C4" s="18" t="n">
        <x:v>20</x:v>
      </x:c>
      <x:c r="D4" s="18" t="n">
        <x:v>13</x:v>
      </x:c>
      <x:c r="E4" s="18" t="n">
        <x:v>22</x:v>
      </x:c>
      <x:c r="F4" s="18" t="n">
        <x:v>0</x:v>
      </x:c>
      <x:c r="G4" s="18" t="str">
        <x:v>Separate nausea, vomiting, composite PONV, and complete response; match time windows.</x:v>
      </x:c>
    </x:row>
    <x:row r="5">
      <x:c r="A5" s="18" t="str">
        <x:v>Quality of recovery</x:v>
      </x:c>
      <x:c r="B5" s="18" t="n">
        <x:v>4</x:v>
      </x:c>
      <x:c r="C5" s="18" t="n">
        <x:v>4</x:v>
      </x:c>
      <x:c r="D5" s="18" t="n">
        <x:v>2</x:v>
      </x:c>
      <x:c r="E5" s="18" t="n">
        <x:v>2</x:v>
      </x:c>
      <x:c r="F5" s="18" t="n">
        <x:v>0</x:v>
      </x:c>
      <x:c r="G5" s="18" t="str">
        <x:v>QoR-15 and QoR-40 require SMD or separate scale-specific synthesis.</x:v>
      </x:c>
    </x:row>
    <x:row r="6">
      <x:c r="A6" s="18" t="str">
        <x:v>GI recovery</x:v>
      </x:c>
      <x:c r="B6" s="18" t="n">
        <x:v>26</x:v>
      </x:c>
      <x:c r="C6" s="18" t="n">
        <x:v>13</x:v>
      </x:c>
      <x:c r="D6" s="18" t="n">
        <x:v>25</x:v>
      </x:c>
      <x:c r="E6" s="18" t="n">
        <x:v>1</x:v>
      </x:c>
      <x:c r="F6" s="18" t="n">
        <x:v>0</x:v>
      </x:c>
      <x:c r="G6" s="18" t="str">
        <x:v>First flatus should be primary common endpoint; defecation/bowel motion/POI are different constructs.</x:v>
      </x:c>
    </x:row>
    <x:row r="7">
      <x:c r="A7" s="18" t="str">
        <x:v>Intraoperative opioid</x:v>
      </x:c>
      <x:c r="B7" s="18" t="n">
        <x:v>20</x:v>
      </x:c>
      <x:c r="C7" s="18" t="n">
        <x:v>14</x:v>
      </x:c>
      <x:c r="D7" s="18" t="n">
        <x:v>20</x:v>
      </x:c>
      <x:c r="E7" s="18" t="n">
        <x:v>0</x:v>
      </x:c>
      <x:c r="F7" s="18" t="n">
        <x:v>0</x:v>
      </x:c>
      <x:c r="G7" s="18" t="str"/>
    </x:row>
    <x:row r="8">
      <x:c r="A8" s="18" t="str">
        <x:v>Rescue opioid use</x:v>
      </x:c>
      <x:c r="B8" s="18" t="n">
        <x:v>4</x:v>
      </x:c>
      <x:c r="C8" s="18" t="n">
        <x:v>4</x:v>
      </x:c>
      <x:c r="D8" s="18" t="n">
        <x:v>2</x:v>
      </x:c>
      <x:c r="E8" s="18" t="n">
        <x:v>0</x:v>
      </x:c>
      <x:c r="F8" s="18" t="n">
        <x:v>0</x:v>
      </x:c>
      <x:c r="G8" s="18" t="str"/>
    </x:row>
    <x:row r="9">
      <x:c r="A9" s="18" t="str">
        <x:v>PCA demand/proxy</x:v>
      </x:c>
      <x:c r="B9" s="18" t="n">
        <x:v>22</x:v>
      </x:c>
      <x:c r="C9" s="18" t="n">
        <x:v>14</x:v>
      </x:c>
      <x:c r="D9" s="18" t="n">
        <x:v>0</x:v>
      </x:c>
      <x:c r="E9" s="18" t="n">
        <x:v>22</x:v>
      </x:c>
      <x:c r="F9" s="18" t="n">
        <x:v>0</x:v>
      </x:c>
      <x:c r="G9" s="18" t="str"/>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s>
  <x:sheetData>
    <x:row r="1">
      <x:c r="A1" s="76" t="str">
        <x:v>Study unit</x:v>
      </x:c>
      <x:c r="B1" s="76" t="str">
        <x:v>Selected comparison ID</x:v>
      </x:c>
      <x:c r="C1" s="76" t="str">
        <x:v>Intervention</x:v>
      </x:c>
      <x:c r="D1" s="76" t="str">
        <x:v>Comparator</x:v>
      </x:c>
      <x:c r="E1" s="76" t="str">
        <x:v>Outcome</x:v>
      </x:c>
      <x:c r="F1" s="76" t="str">
        <x:v>Timepoint</x:v>
      </x:c>
      <x:c r="G1" s="76" t="str">
        <x:v>Data type</x:v>
      </x:c>
      <x:c r="H1" s="76" t="str">
        <x:v>Analyzed n I</x:v>
      </x:c>
      <x:c r="I1" s="76" t="str">
        <x:v>Analyzed n C</x:v>
      </x:c>
      <x:c r="J1" s="76" t="str">
        <x:v>Intervention value</x:v>
      </x:c>
      <x:c r="K1" s="76" t="str">
        <x:v>Comparator value</x:v>
      </x:c>
      <x:c r="L1" s="76" t="str">
        <x:v>Unit</x:v>
      </x:c>
      <x:c r="M1" s="76" t="str">
        <x:v>Study-level role</x:v>
      </x:c>
      <x:c r="N1" s="76" t="str">
        <x:v>Primary continuous 24-h opioid decision</x:v>
      </x:c>
      <x:c r="O1" s="76" t="str">
        <x:v>Reason</x:v>
      </x:c>
      <x:c r="P1" s="76" t="str">
        <x:v>Conversion/standardization needed</x:v>
      </x:c>
      <x:c r="Q1" s="76" t="str">
        <x:v>RoB 2 overall</x:v>
      </x:c>
      <x:c r="R1" s="76" t="str">
        <x:v>Sensitivity flag</x:v>
      </x:c>
      <x:c r="S1" s="76" t="str">
        <x:v>Duplicate/multi-arm handling</x:v>
      </x:c>
      <x:c r="T1" s="76" t="str">
        <x:v>Source-QC issue</x:v>
      </x:c>
      <x:c r="U1" s="76" t="str">
        <x:v>Source 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str">
        <x:v>21.38 ± 14.38</x:v>
      </x:c>
      <x:c r="K2" s="18" t="str">
        <x:v>33.94 ± 20.24</x:v>
      </x:c>
      <x:c r="L2" s="18" t="str">
        <x:v>mg morphine</x:v>
      </x:c>
      <x:c r="M2" s="18" t="str">
        <x:v>Main direct</x:v>
      </x:c>
      <x:c r="N2" s="18" t="str">
        <x:v>INCLUDE IN PRIMARY</x:v>
      </x:c>
      <x:c r="O2" s="18" t="str">
        <x:v>Direct mean/SD first-24-h IV morphine endpoint.</x:v>
      </x:c>
      <x:c r="P2" s="18" t="str">
        <x:v>None</x:v>
      </x:c>
      <x:c r="Q2" s="18" t="str">
        <x:v>Some concerns</x:v>
      </x:c>
      <x:c r="R2" s="18" t="str"/>
      <x:c r="S2" s="18" t="str">
        <x:v>Count this study once per synthesis unless a valid multi-arm method is used.</x:v>
      </x:c>
      <x:c r="T2" s="18" t="str">
        <x:v>No allocation-concealment method reported</x:v>
      </x:c>
      <x:c r="U2" s="18" t="str">
        <x:v>https://drive.google.com/file/d/1OhuqhDUCEmOij7fZFhHHCJNwfQ9xpMzd/view?usp=drivesdk</x:v>
      </x:c>
    </x:row>
    <x:row r="3">
      <x:c r="A3" s="18" t="str">
        <x:v>Chen 1998</x:v>
      </x:c>
      <x:c r="B3" s="18" t="str">
        <x:v>CHEN98_ACU_vs_SHAM</x:v>
      </x:c>
      <x:c r="C3" s="18" t="str">
        <x:v>Active ST36 acupoint TENS</x:v>
      </x:c>
      <x:c r="D3" s="18" t="str">
        <x:v>Sham ST36 TENS (0 mA)</x:v>
      </x:c>
      <x:c r="E3" s="18" t="str">
        <x:v>Cumulative IV PCA hydromorphone</x:v>
      </x:c>
      <x:c r="F3" s="18" t="str">
        <x:v>First 24 h postoperatively</x:v>
      </x:c>
      <x:c r="G3" s="18" t="str">
        <x:v>Mean/SD</x:v>
      </x:c>
      <x:c r="H3" s="18" t="n">
        <x:v>25</x:v>
      </x:c>
      <x:c r="I3" s="18" t="n">
        <x:v>25</x:v>
      </x:c>
      <x:c r="J3" s="18" t="str">
        <x:v>6.5 ± 3.5</x:v>
      </x:c>
      <x:c r="K3" s="18" t="str">
        <x:v>10.7 ± 5</x:v>
      </x:c>
      <x:c r="L3" s="18" t="str">
        <x:v>mg hydromorphone</x:v>
      </x:c>
      <x:c r="M3" s="18" t="str">
        <x:v>Main direct</x:v>
      </x:c>
      <x:c r="N3" s="18" t="str">
        <x:v>INCLUDE IN PRIMARY</x:v>
      </x:c>
      <x:c r="O3" s="18" t="str">
        <x:v>Use the true-acupoint ST36 vs sham ST36 contrast as the study's primary acupoint-specific estimate.</x:v>
      </x:c>
      <x:c r="P3" s="18" t="str">
        <x:v>Opioid/MME conversion required using prespecified review conversion</x:v>
      </x:c>
      <x:c r="Q3" s="18" t="str">
        <x:v>Some concerns</x:v>
      </x:c>
      <x:c r="R3" s="18" t="str">
        <x:v>Four-arm study; alternative active-site contrasts belong in sensitivity/mechanistic analyses.</x:v>
      </x:c>
      <x:c r="S3" s="18" t="str">
        <x:v>Use one Chen 1998 contrast in a simple pairwise meta-analysis, or use a valid multi-arm method.</x:v>
      </x:c>
      <x:c r="T3" s="18" t="str">
        <x:v>Four-arm RCT; shared sham control must be handled correctly</x:v>
      </x:c>
      <x:c r="U3" s="18" t="str">
        <x:v>https://drive.google.com/file/d/1lUyYj9aN1CL9RpY86ZY0970To83Kb17s/view?usp=drivesdk</x:v>
      </x:c>
    </x:row>
    <x:row r="4">
      <x:c r="A4" s="18" t="str">
        <x:v>Chen 2020</x:v>
      </x:c>
      <x:c r="B4" s="18" t="str">
        <x:v>CHEN20_TEAS_vs_SHAM</x:v>
      </x:c>
      <x:c r="C4" s="18" t="str">
        <x:v>Perioperative TEAS</x:v>
      </x:c>
      <x:c r="D4" s="18" t="str">
        <x:v>Sham low/zero-current protocol</x:v>
      </x:c>
      <x:c r="E4" s="18" t="str">
        <x:v>Cumulative sufentanil</x:v>
      </x:c>
      <x:c r="F4" s="18" t="str">
        <x:v>24 h postoperatively</x:v>
      </x:c>
      <x:c r="G4" s="18" t="str">
        <x:v>Mean/SD</x:v>
      </x:c>
      <x:c r="H4" s="18" t="n">
        <x:v>40</x:v>
      </x:c>
      <x:c r="I4" s="18" t="n">
        <x:v>40</x:v>
      </x:c>
      <x:c r="J4" s="18" t="str">
        <x:v>72.43 ± 4.78</x:v>
      </x:c>
      <x:c r="K4" s="18" t="str">
        <x:v>100.62 ± 10.2</x:v>
      </x:c>
      <x:c r="L4" s="18" t="str">
        <x:v>µg sufentanil</x:v>
      </x:c>
      <x:c r="M4" s="18" t="str">
        <x:v>Main direct</x:v>
      </x:c>
      <x:c r="N4" s="18" t="str">
        <x:v>INCLUDE IN PRIMARY</x:v>
      </x:c>
      <x:c r="O4" s="18" t="str">
        <x:v>Direct 24-h sufentanil mean/SD endpoint.</x:v>
      </x:c>
      <x:c r="P4" s="18" t="str">
        <x:v>Opioid/MME conversion required using prespecified review conversion</x:v>
      </x:c>
      <x:c r="Q4" s="18" t="str">
        <x:v>Some concerns</x:v>
      </x:c>
      <x:c r="R4" s="18" t="str"/>
      <x:c r="S4" s="18" t="str">
        <x:v>Count this study once per synthesis unless a valid multi-arm method is used.</x:v>
      </x:c>
      <x:c r="T4" s="18" t="str">
        <x:v>Sham was 4 mA pre/postoperatively but 0 mA intraoperatively; preserve this nuance</x:v>
      </x:c>
      <x:c r="U4" s="18" t="str">
        <x:v>https://drive.google.com/file/d/1y0_cC1NCl5g2vYxDMOtYmxVA_YEE-rsR/view?usp=drivesdk</x:v>
      </x:c>
    </x:row>
    <x:row r="5">
      <x:c r="A5" s="18" t="str">
        <x:v>Yang 2024</x:v>
      </x:c>
      <x:c r="B5" s="18" t="str">
        <x:v>YANG24_EA_vs_UC_MORPH24</x:v>
      </x:c>
      <x:c r="C5" s="18" t="str">
        <x:v>Perioperative EA + usual care</x:v>
      </x:c>
      <x:c r="D5" s="18" t="str">
        <x:v>Usual care</x:v>
      </x:c>
      <x:c r="E5" s="18" t="str">
        <x:v>Morphine use via IV PCA</x:v>
      </x:c>
      <x:c r="F5" s="18" t="str">
        <x:v>First 24 h / POD1</x:v>
      </x:c>
      <x:c r="G5" s="18" t="str">
        <x:v>Mean/SD</x:v>
      </x:c>
      <x:c r="H5" s="18" t="n">
        <x:v>90</x:v>
      </x:c>
      <x:c r="I5" s="18" t="n">
        <x:v>90</x:v>
      </x:c>
      <x:c r="J5" s="18" t="str">
        <x:v>43.7 ± 4.7</x:v>
      </x:c>
      <x:c r="K5" s="18" t="str">
        <x:v>44 ± 4.9</x:v>
      </x:c>
      <x:c r="L5" s="18" t="str">
        <x:v>mg morphine</x:v>
      </x:c>
      <x:c r="M5" s="18" t="str">
        <x:v>Main direct</x:v>
      </x:c>
      <x:c r="N5" s="18" t="str">
        <x:v>INCLUDE IN PRIMARY</x:v>
      </x:c>
      <x:c r="O5" s="18" t="str">
        <x:v>Direct first-24-h IV PCA morphine mean/SD endpoint.</x:v>
      </x:c>
      <x:c r="P5" s="18" t="str">
        <x:v>None</x:v>
      </x:c>
      <x:c r="Q5" s="18" t="str">
        <x:v>Some concerns</x:v>
      </x:c>
      <x:c r="R5" s="18" t="str"/>
      <x:c r="S5" s="18" t="str">
        <x:v>Count this study once per synthesis unless a valid multi-arm method is used.</x:v>
      </x:c>
      <x:c r="T5" s="18" t="str">
        <x:v>All 180 randomized participants retained in ITT; open-label patients but objective PCA drug-use record</x:v>
      </x:c>
      <x:c r="U5" s="18" t="str">
        <x:v>https://drive.google.com/file/d/160N3psd5tLEphwXHJzUEZ3uJfaIXcs5V/view?usp=drivesdk</x:v>
      </x:c>
    </x:row>
    <x:row r="6">
      <x:c r="A6" s="18" t="str">
        <x:v>He 2026 (hepatectomy/JIS)</x:v>
      </x:c>
      <x:c r="B6" s="18" t="str">
        <x:v>HEJIS26_TEAS_vs_CTRL_MME24</x:v>
      </x:c>
      <x:c r="C6" s="18" t="str">
        <x:v>Intraoperative PC6 TEAS</x:v>
      </x:c>
      <x:c r="D6" s="18" t="str">
        <x:v>No-current PC6 control</x:v>
      </x:c>
      <x:c r="E6" s="18" t="str">
        <x:v>Total postoperative opioid consumption in morphine equivalents</x:v>
      </x:c>
      <x:c r="F6" s="18" t="str">
        <x:v>0-24 h</x:v>
      </x:c>
      <x:c r="G6" s="18" t="str">
        <x:v>Mean/SD</x:v>
      </x:c>
      <x:c r="H6" s="18" t="n">
        <x:v>80</x:v>
      </x:c>
      <x:c r="I6" s="18" t="n">
        <x:v>79</x:v>
      </x:c>
      <x:c r="J6" s="18" t="str">
        <x:v>20 ± 2.5</x:v>
      </x:c>
      <x:c r="K6" s="18" t="str">
        <x:v>20.6 ± 4.5</x:v>
      </x:c>
      <x:c r="L6" s="18" t="str">
        <x:v>mg MME</x:v>
      </x:c>
      <x:c r="M6" s="18" t="str">
        <x:v>Main direct</x:v>
      </x:c>
      <x:c r="N6" s="18" t="str">
        <x:v>INCLUDE IN PRIMARY</x:v>
      </x:c>
      <x:c r="O6" s="18" t="str">
        <x:v>Direct supplemental 0-24-h postoperative MME endpoint.</x:v>
      </x:c>
      <x:c r="P6" s="18" t="str">
        <x:v>None</x:v>
      </x:c>
      <x:c r="Q6" s="18" t="str">
        <x:v>Some concerns</x:v>
      </x:c>
      <x:c r="R6" s="18" t="str"/>
      <x:c r="S6" s="18" t="str">
        <x:v>Count this study once per synthesis unless a valid multi-arm method is used.</x:v>
      </x:c>
      <x:c r="T6" s="18" t="str">
        <x:v>Supplemental eTable 1 directly reports MME; mITT excludes one canceled surgery and one consent withdrawal after randomization</x:v>
      </x:c>
      <x:c r="U6" s="18" t="str">
        <x:v>https://drive.google.com/file/d/1VgOxIOrGe7ZVevkKEVP7G-0V1DXPU0Gf/view?usp=drivesdk</x:v>
      </x:c>
    </x:row>
    <x:row r="7">
      <x:c r="A7" s="18" t="str">
        <x:v>El-Rakshy 2009</x:v>
      </x:c>
      <x:c r="B7" s="18" t="str">
        <x:v>ELR09_EA_vs_CTRL_MORPH24</x:v>
      </x:c>
      <x:c r="C7" s="18" t="str">
        <x:v>Intraoperative EA + PCA</x:v>
      </x:c>
      <x:c r="D7" s="18" t="str">
        <x:v>PCA alone/no acupuncture</x:v>
      </x:c>
      <x:c r="E7" s="18" t="str">
        <x:v>Total IV morphine analgesia</x:v>
      </x:c>
      <x:c r="F7" s="18" t="str">
        <x:v>First 24 h</x:v>
      </x:c>
      <x:c r="G7" s="18" t="str">
        <x:v>Mean/SD</x:v>
      </x:c>
      <x:c r="H7" s="18" t="n">
        <x:v>42</x:v>
      </x:c>
      <x:c r="I7" s="18" t="n">
        <x:v>53</x:v>
      </x:c>
      <x:c r="J7" s="18" t="str">
        <x:v>35.3 ± 18</x:v>
      </x:c>
      <x:c r="K7" s="18" t="str">
        <x:v>36.9 ± 18</x:v>
      </x:c>
      <x:c r="L7" s="18" t="str">
        <x:v>mg IV morphine</x:v>
      </x:c>
      <x:c r="M7" s="18" t="str">
        <x:v>Main direct — high RoB</x:v>
      </x:c>
      <x:c r="N7" s="18" t="str">
        <x:v>INCLUDE IN PRIMARY WITH SENSITIVITY EXCLUSION</x:v>
      </x:c>
      <x:c r="O7" s="18" t="str">
        <x:v>Direct first-24-h IV morphine endpoint is extractable using outcome-specific denominators, despite severe publication-level denominator inconsistencies.</x:v>
      </x:c>
      <x:c r="P7" s="18" t="str">
        <x:v>Use native IV morphine; convert to review-standard MME only per prespecified rule</x:v>
      </x:c>
      <x:c r="Q7" s="18" t="str">
        <x:v>High</x:v>
      </x:c>
      <x:c r="R7" s="18" t="str">
        <x:v>High RoB / denominator inconsistency: rerun meta-analysis excluding this study.</x:v>
      </x:c>
      <x:c r="S7" s="18" t="str">
        <x:v>Count this study once per synthesis unless a valid multi-arm method is used.</x:v>
      </x:c>
      <x:c r="T7" s="18" t="str">
        <x:v>Publication has irreconcilable allocation/analyzed group labels. Use Table 2 n=42 EA and n=53 control for this result; do not substitute overall study denominators.</x:v>
      </x:c>
      <x:c r="U7" s="18" t="str">
        <x:v>https://drive.google.com/file/d/12AfIox-MgnMU15U-mdvZgaTKnukXKvAR/view?usp=drivesdk</x:v>
      </x:c>
    </x:row>
    <x:row r="8">
      <x:c r="A8" s="18" t="str">
        <x:v>Coura 2011</x:v>
      </x:c>
      <x:c r="B8" s="18" t="str">
        <x:v>COURA11_EA_vs_SHAM</x:v>
      </x:c>
      <x:c r="C8" s="18" t="str">
        <x:v>Preoperative EA</x:v>
      </x:c>
      <x:c r="D8" s="18" t="str">
        <x:v>Sham stimulation</x:v>
      </x:c>
      <x:c r="E8" s="18" t="str">
        <x:v>Cumulative fentanyl</x:v>
      </x:c>
      <x:c r="F8" s="18" t="str">
        <x:v>First 24 h postoperatively</x:v>
      </x:c>
      <x:c r="G8" s="18" t="str">
        <x:v>Mean/SD</x:v>
      </x:c>
      <x:c r="H8" s="18" t="n">
        <x:v>13</x:v>
      </x:c>
      <x:c r="I8" s="18" t="n">
        <x:v>9</x:v>
      </x:c>
      <x:c r="J8" s="18" t="str">
        <x:v>13.1 ± 2.2</x:v>
      </x:c>
      <x:c r="K8" s="18" t="str">
        <x:v>16.3 ± 1.6</x:v>
      </x:c>
      <x:c r="L8" s="18" t="str">
        <x:v>µg/kg fentanyl</x:v>
      </x:c>
      <x:c r="M8" s="18" t="str">
        <x:v>Conditional</x:v>
      </x:c>
      <x:c r="N8" s="18" t="str">
        <x:v>CONDITIONAL — CONVERSION/ATTRITION</x:v>
      </x:c>
      <x:c r="O8" s="18" t="str">
        <x:v>Direct 24-h fentanyl endpoint is weight-normalized (µg/kg) and has major post-randomization exclusions.</x:v>
      </x:c>
      <x:c r="P8" s="18" t="str">
        <x:v>Opioid/MME conversion required using prespecified review conversion</x:v>
      </x:c>
      <x:c r="Q8" s="18" t="str">
        <x:v>High</x:v>
      </x:c>
      <x:c r="R8" s="18" t="str">
        <x:v>High RoB; include only if the protocol prespecifies handling of weight-normalized opioid doses.</x:v>
      </x:c>
      <x:c r="S8" s="18" t="str">
        <x:v>Count this study once per synthesis unless a valid multi-arm method is used.</x:v>
      </x:c>
      <x:c r="T8" s="18" t="str">
        <x:v>10/32 post-randomization exclusions; supplemental morphine/fentanyl inclusion unclear</x:v>
      </x:c>
      <x:c r="U8" s="18" t="str">
        <x:v>https://drive.google.com/file/d/120NJxCmxsdiyqWTXzjmaUWAaVa1i8iZz/view?usp=drivesdk</x:v>
      </x:c>
    </x:row>
    <x:row r="9">
      <x:c r="A9" s="18" t="str">
        <x:v>Zhang 2025</x:v>
      </x:c>
      <x:c r="B9" s="18" t="str">
        <x:v>ZHANG25_TEAS_vs_SHAM_SUFPOD1</x:v>
      </x:c>
      <x:c r="C9" s="18" t="str">
        <x:v>Perioperative TEAS</x:v>
      </x:c>
      <x:c r="D9" s="18" t="str">
        <x:v>Sub-sensory sham</x:v>
      </x:c>
      <x:c r="E9" s="18" t="str">
        <x:v>Total sufentanil consumption</x:v>
      </x:c>
      <x:c r="F9" s="18" t="str">
        <x:v>POD1; approximately 24 h but exact clock window not explicit</x:v>
      </x:c>
      <x:c r="G9" s="18" t="str">
        <x:v>Mean/SD</x:v>
      </x:c>
      <x:c r="H9" s="18" t="n">
        <x:v>45</x:v>
      </x:c>
      <x:c r="I9" s="18" t="n">
        <x:v>48</x:v>
      </x:c>
      <x:c r="J9" s="18" t="str">
        <x:v>50.53 ± 4.46</x:v>
      </x:c>
      <x:c r="K9" s="18" t="str">
        <x:v>53.79 ± 5.14</x:v>
      </x:c>
      <x:c r="L9" s="18" t="str">
        <x:v>µg sufentanil</x:v>
      </x:c>
      <x:c r="M9" s="18" t="str">
        <x:v>Conditional</x:v>
      </x:c>
      <x:c r="N9" s="18" t="str">
        <x:v>CONDITIONAL — POD1 ≠ STRICT CLOCK 24H</x:v>
      </x:c>
      <x:c r="O9" s="18" t="str">
        <x:v>Direct sufentanil result is POD1 rather than explicitly defined 0-24 h.</x:v>
      </x:c>
      <x:c r="P9" s="18" t="str">
        <x:v>Opioid/MME conversion required using prespecified review conversion</x:v>
      </x:c>
      <x:c r="Q9" s="18" t="str">
        <x:v>High</x:v>
      </x:c>
      <x:c r="R9" s="18" t="str">
        <x:v>High RoB from post-randomization exclusions; use only if POD1 is accepted as the 24-h window.</x:v>
      </x:c>
      <x:c r="S9" s="18" t="str">
        <x:v>Count this study once per synthesis unless a valid multi-arm method is used.</x:v>
      </x:c>
      <x:c r="T9" s="18" t="str">
        <x:v>Endpoint is directly reported as POD1, not explicitly clock-defined 0-24 h; 15/108 excluded after randomization</x:v>
      </x:c>
      <x:c r="U9" s="18" t="str">
        <x:v>https://drive.google.com/file/d/1eHx6Hk16vmIfMgoiZ5eNae4zmCR5ktwJ/view?usp=drivesdk</x:v>
      </x:c>
    </x:row>
    <x:row r="10">
      <x:c r="A10" s="18" t="str">
        <x:v>Sim 2002</x:v>
      </x:c>
      <x:c r="B10" s="18" t="str">
        <x:v>SIM02_PREOP_vs_PLACEBO_MORPH24</x:v>
      </x:c>
      <x:c r="C10" s="18" t="str">
        <x:v>Preoperative EA</x:v>
      </x:c>
      <x:c r="D10" s="18" t="str">
        <x:v>Placebo EA</x:v>
      </x:c>
      <x:c r="E10" s="18" t="str">
        <x:v>Cumulative postoperative IV PCA morphine</x:v>
      </x:c>
      <x:c r="F10" s="18" t="str">
        <x:v>0-24 h</x:v>
      </x:c>
      <x:c r="G10" s="18" t="str">
        <x:v>Mean/SD</x:v>
      </x:c>
      <x:c r="H10" s="18" t="n">
        <x:v>30</x:v>
      </x:c>
      <x:c r="I10" s="18" t="n">
        <x:v>30</x:v>
      </x:c>
      <x:c r="J10" s="18" t="str">
        <x:v>0.52 ± 0.19</x:v>
      </x:c>
      <x:c r="K10" s="18" t="str">
        <x:v>0.68 ± 0.38</x:v>
      </x:c>
      <x:c r="L10" s="18" t="str">
        <x:v>mg/kg morphine</x:v>
      </x:c>
      <x:c r="M10" s="18" t="str">
        <x:v>Conditional multi-arm</x:v>
      </x:c>
      <x:c r="N10" s="18" t="str">
        <x:v>CONDITIONAL — WEIGHT-NORMALIZED + MULTI-ARM</x:v>
      </x:c>
      <x:c r="O10" s="18" t="str">
        <x:v>Direct 0-24-h morphine is reported as mg/kg. The study also contains a postoperative-EA arm sharing the placebo comparator.</x:v>
      </x:c>
      <x:c r="P10" s="18" t="str">
        <x:v>Weight-normalized endpoint; do not reconstruct absolute dose from group mean weight</x:v>
      </x:c>
      <x:c r="Q10" s="18" t="str">
        <x:v>Some concerns</x:v>
      </x:c>
      <x:c r="R10" s="18" t="str">
        <x:v>Do not reconstruct absolute mg from mean body weight.</x:v>
      </x:c>
      <x:c r="S10" s="18" t="str">
        <x:v>Choose a prespecified timing arm or apply a multi-arm model; do not count both active timing arms as separate studies.</x:v>
      </x:c>
      <x:c r="T10" s="18" t="str">
        <x:v>Do not convert mg/kg to absolute mg using group mean body weight; aggregate means cannot reconstruct individual absolute dose</x:v>
      </x:c>
      <x:c r="U10" s="18" t="str">
        <x:v>https://drive.google.com/file/d/1YsNHL-J3Kgfu8mCanRrNu_bHk_roj0w6/view?usp=drivesdk</x:v>
      </x:c>
    </x:row>
    <x:row r="11">
      <x:c r="A11" s="18" t="str">
        <x:v>Chen 2015</x:v>
      </x:c>
      <x:c r="B11" s="18" t="str">
        <x:v>CHEN15Q_TEAS_vs_CTRL_RESCUEMORPH24</x:v>
      </x:c>
      <x:c r="C11" s="18" t="str">
        <x:v>Preoperative TEAS</x:v>
      </x:c>
      <x:c r="D11" s="18" t="str">
        <x:v>Electrodes/device with no stimulation</x:v>
      </x:c>
      <x:c r="E11" s="18" t="str">
        <x:v>Cumulative rescue IV morphine dose derived from fixed 2-mg rescue administrations</x:v>
      </x:c>
      <x:c r="F11" s="18" t="str">
        <x:v>0-24 h</x:v>
      </x:c>
      <x:c r="G11" s="18" t="str">
        <x:v>Median/IQR</x:v>
      </x:c>
      <x:c r="H11" s="18" t="n">
        <x:v>41</x:v>
      </x:c>
      <x:c r="I11" s="18" t="n">
        <x:v>42</x:v>
      </x:c>
      <x:c r="J11" s="18" t="str">
        <x:v>2 (2–6)</x:v>
      </x:c>
      <x:c r="K11" s="18" t="str">
        <x:v>7 (4–14)</x:v>
      </x:c>
      <x:c r="L11" s="18" t="str">
        <x:v>mg IV morphine</x:v>
      </x:c>
      <x:c r="M11" s="18" t="str">
        <x:v>Conditional derived</x:v>
      </x:c>
      <x:c r="N11" s="18" t="str">
        <x:v>CONDITIONAL — DERIVED MEDIAN/IQR</x:v>
      </x:c>
      <x:c r="O11" s="18" t="str">
        <x:v>24-h morphine dose is exactly derived from fixed 2-mg rescue administrations; the article reports rescue counts rather than dose.</x:v>
      </x:c>
      <x:c r="P11" s="18" t="str">
        <x:v>Use native IV morphine; convert to review-standard MME only per prespecified rule</x:v>
      </x:c>
      <x:c r="Q11" s="18" t="str">
        <x:v>High</x:v>
      </x:c>
      <x:c r="R11" s="18" t="str">
        <x:v>Use only if derived dose endpoints are permitted and median/IQR synthesis is prespecified.</x:v>
      </x:c>
      <x:c r="S11" s="18" t="str">
        <x:v>Count this study once per synthesis unless a valid multi-arm method is used.</x:v>
      </x:c>
      <x:c r="T11" s="18" t="str">
        <x:v>Source reports rescue-administration count 1 (1-3) vs 3.5 (2-7); each rescue administration was fixed at morphine 2 mg. Linear conversion to mg is exact, but the source itself reports counts rather than dose.</x:v>
      </x:c>
      <x:c r="U11" s="18" t="str">
        <x:v>https://drive.google.com/file/d/1ZtE8GImDcpDJH1tOvzqazoh_S4Gd67oH/view?usp=drivesdk</x:v>
      </x:c>
    </x:row>
    <x:row r="12">
      <x:c r="A12" s="18" t="str">
        <x:v>Chen 2015 (Hyperalgesia)</x:v>
      </x:c>
      <x:c r="B12" s="18" t="str">
        <x:v>CHEN15H_TEAS_vs_SHAM_SUFKG24</x:v>
      </x:c>
      <x:c r="C12" s="18" t="str">
        <x:v>Preoperative TEAS</x:v>
      </x:c>
      <x:c r="D12" s="18" t="str">
        <x:v>Electrodes/no-current sham</x:v>
      </x:c>
      <x:c r="E12" s="18" t="str">
        <x:v>Derived cumulative sufentanil dose from fixed 0.05 µg/kg bolus</x:v>
      </x:c>
      <x:c r="F12" s="18" t="str">
        <x:v>0-24 h</x:v>
      </x:c>
      <x:c r="G12" s="18" t="str">
        <x:v>Median/IQR</x:v>
      </x:c>
      <x:c r="H12" s="18" t="n">
        <x:v>29</x:v>
      </x:c>
      <x:c r="I12" s="18" t="n">
        <x:v>30</x:v>
      </x:c>
      <x:c r="J12" s="18" t="str">
        <x:v>0.15 (0.1–0.2)</x:v>
      </x:c>
      <x:c r="K12" s="18" t="str">
        <x:v>0.35 (0.3–0.4)</x:v>
      </x:c>
      <x:c r="L12" s="18" t="str">
        <x:v>µg/kg sufentanil</x:v>
      </x:c>
      <x:c r="M12" s="18" t="str">
        <x:v>Conditional derived</x:v>
      </x:c>
      <x:c r="N12" s="18" t="str">
        <x:v>CONDITIONAL — WEIGHT-NORMALIZED DERIVED</x:v>
      </x:c>
      <x:c r="O12" s="18" t="str">
        <x:v>Exact linear conversion from fixed 0.05 µg/kg sufentanil bolus × reported bolus count.</x:v>
      </x:c>
      <x:c r="P12" s="18" t="str">
        <x:v>Opioid/MME conversion required using prespecified review conversion</x:v>
      </x:c>
      <x:c r="Q12" s="18" t="str">
        <x:v>Some concerns</x:v>
      </x:c>
      <x:c r="R12" s="18" t="str">
        <x:v>Do not convert to absolute µg/MME using group-average weight.</x:v>
      </x:c>
      <x:c r="S12" s="18" t="str">
        <x:v>Count this study once per synthesis unless a valid multi-arm method is used.</x:v>
      </x:c>
      <x:c r="T12" s="18" t="str">
        <x:v>Exact linear conversion from 0.05 µg/kg per bolus × reported bolus count. Do not convert to absolute µg or MME without individual body weights.</x:v>
      </x:c>
      <x:c r="U12" s="18" t="str">
        <x:v>https://drive.google.com/file/d/13YKAZZsc2VQEPqkw1Ye40BYDZSRpI6N3/view?usp=drivesdk</x:v>
      </x:c>
    </x:row>
    <x:row r="13">
      <x:c r="A13" s="18" t="str">
        <x:v>Zhou 2021</x:v>
      </x:c>
      <x:c r="B13" s="18" t="str">
        <x:v>ZHOU21_TEAS_vs_UC_OPIOIDUSE</x:v>
      </x:c>
      <x:c r="C13" s="18" t="str">
        <x:v>Postoperative TEAS + ERAS</x:v>
      </x:c>
      <x:c r="D13" s="18" t="str">
        <x:v>ERAS/usual care</x:v>
      </x:c>
      <x:c r="E13" s="18" t="str">
        <x:v>Any postoperative opioid use</x:v>
      </x:c>
      <x:c r="F13" s="18" t="str">
        <x:v>Postoperative window not clearly defined as 0-24 h</x:v>
      </x:c>
      <x:c r="G13" s="18" t="str">
        <x:v>Events/total</x:v>
      </x:c>
      <x:c r="H13" s="18" t="n">
        <x:v>41</x:v>
      </x:c>
      <x:c r="I13" s="18" t="n">
        <x:v>40</x:v>
      </x:c>
      <x:c r="J13" s="18" t="str">
        <x:v>18/41</x:v>
      </x:c>
      <x:c r="K13" s="18" t="str">
        <x:v>30/40</x:v>
      </x:c>
      <x:c r="L13" s="18" t="str">
        <x:v>participants</x:v>
      </x:c>
      <x:c r="M13" s="18" t="str">
        <x:v>Secondary binary</x:v>
      </x:c>
      <x:c r="N13" s="18" t="str">
        <x:v>EXCLUDE FROM CONTINUOUS DOSE; USE SEPARATE BINARY ANALYSIS</x:v>
      </x:c>
      <x:c r="O13" s="18" t="str">
        <x:v>Outcome is any postoperative opioid use and its time window is not clearly 0-24 h.</x:v>
      </x:c>
      <x:c r="P13" s="18" t="str">
        <x:v>None</x:v>
      </x:c>
      <x:c r="Q13" s="18" t="str">
        <x:v>High</x:v>
      </x:c>
      <x:c r="R13" s="18" t="str">
        <x:v>Can be analyzed separately as binary opioid-use incidence.</x:v>
      </x:c>
      <x:c r="S13" s="18" t="str">
        <x:v>Count this study once per synthesis unless a valid multi-arm method is used.</x:v>
      </x:c>
      <x:c r="T13" s="18" t="str">
        <x:v>Exact postoperative time window is not clearly stated</x:v>
      </x:c>
      <x:c r="U13" s="18" t="str">
        <x:v>https://drive.google.com/file/d/1PxYyULBv_ZjWeqAm_bNYkDn_j2_lNYLq/view?usp=drivesdk</x:v>
      </x:c>
    </x:row>
    <x:row r="14">
      <x:c r="A14" s="18" t="str">
        <x:v>Luo 2026</x:v>
      </x:c>
      <x:c r="B14" s="18" t="str">
        <x:v>LUO26_TEAS_vs_SHAM_OPIOIDEQUIV</x:v>
      </x:c>
      <x:c r="C14" s="18" t="str">
        <x:v>Intraoperative PC6 TEAS + standard antiemetics</x:v>
      </x:c>
      <x:c r="D14" s="18" t="str">
        <x:v>Sham/no current + standard antiemetics</x:v>
      </x:c>
      <x:c r="E14" s="18" t="str">
        <x:v>Published 'sufentanil equivalents' metric</x:v>
      </x:c>
      <x:c r="F14" s="18" t="str">
        <x:v>Perioperative</x:v>
      </x:c>
      <x:c r="G14" s="18" t="str">
        <x:v>Mean/SD</x:v>
      </x:c>
      <x:c r="H14" s="18" t="n">
        <x:v>138</x:v>
      </x:c>
      <x:c r="I14" s="18" t="n">
        <x:v>139</x:v>
      </x:c>
      <x:c r="J14" s="18" t="str">
        <x:v>15.86 ± 5.11</x:v>
      </x:c>
      <x:c r="K14" s="18" t="str">
        <x:v>15.18 ± 4.95</x:v>
      </x:c>
      <x:c r="L14" s="18" t="str">
        <x:v>published as mg; definition/unit unresolved</x:v>
      </x:c>
      <x:c r="M14" s="18" t="str">
        <x:v>QC hold</x:v>
      </x:c>
      <x:c r="N14" s="18" t="str">
        <x:v>EXCLUDE UNTIL UNIT/DEFINITION RESOLVED</x:v>
      </x:c>
      <x:c r="O14" s="18" t="str">
        <x:v>Published 'sufentanil equivalents' unit/definition is unresolved and the window is perioperative rather than 0-24 h.</x:v>
      </x:c>
      <x:c r="P14" s="18" t="str">
        <x:v>None</x:v>
      </x:c>
      <x:c r="Q14" s="18" t="str">
        <x:v>Some concerns</x:v>
      </x:c>
      <x:c r="R14" s="18" t="str"/>
      <x:c r="S14" s="18" t="str">
        <x:v>Count this study once per synthesis unless a valid multi-arm method is used.</x:v>
      </x:c>
      <x:c r="T14" s="18" t="str">
        <x:v>Source labels approximately 15-16 as 'sufentanil equivalents (mg)' without explaining conversion; preserve verbatim</x:v>
      </x:c>
      <x:c r="U14" s="18" t="str">
        <x:v>https://drive.google.com/file/d/1xxZle6mPpcnmHLblJbsy1kA4CyQHpvm2/view?usp=drivesdk</x:v>
      </x:c>
    </x:row>
    <x:row r="15">
      <x:c r="A15" s="18" t="str">
        <x:v>Jin 2023</x:v>
      </x:c>
      <x:c r="B15" s="18" t="str">
        <x:v>JIN23_2HZ_vs_SHAM_VOL24</x:v>
      </x:c>
      <x:c r="C15" s="18" t="str">
        <x:v>2-Hz postoperative EA</x:v>
      </x:c>
      <x:c r="D15" s="18" t="str">
        <x:v>Sham nonpenetrating EA/no current</x:v>
      </x:c>
      <x:c r="E15" s="18" t="str">
        <x:v>Published 'fentanyl consumption' / PCIA solution volume</x:v>
      </x:c>
      <x:c r="F15" s="18" t="str">
        <x:v>24 h</x:v>
      </x:c>
      <x:c r="G15" s="18" t="str">
        <x:v>Mean/SD</x:v>
      </x:c>
      <x:c r="H15" s="18" t="n">
        <x:v>53</x:v>
      </x:c>
      <x:c r="I15" s="18" t="n">
        <x:v>52</x:v>
      </x:c>
      <x:c r="J15" s="18" t="str">
        <x:v>39.31 ± 15.58</x:v>
      </x:c>
      <x:c r="K15" s="18" t="str">
        <x:v>56.54 ± 12.5</x:v>
      </x:c>
      <x:c r="L15" s="18" t="str">
        <x:v>mL PCIA solution</x:v>
      </x:c>
      <x:c r="M15" s="18" t="str">
        <x:v>Proxy/multi-arm</x:v>
      </x:c>
      <x:c r="N15" s="18" t="str">
        <x:v>EXCLUDE FROM DOSE; PCA VOLUME PROXY ONLY</x:v>
      </x:c>
      <x:c r="O15" s="18" t="str">
        <x:v>24-h result is mL PCIA solution, not fentanyl mass; concentration is unavailable.</x:v>
      </x:c>
      <x:c r="P15" s="18" t="str">
        <x:v>Do not convert unless concentration and delivered dose are fully known</x:v>
      </x:c>
      <x:c r="Q15" s="18" t="str">
        <x:v>High</x:v>
      </x:c>
      <x:c r="R15" s="18" t="str"/>
      <x:c r="S15" s="18" t="str">
        <x:v>Three-arm frequency trial with shared sham; if used as a proxy, apply multi-arm handling.</x:v>
      </x:c>
      <x:c r="T15" s="18" t="str">
        <x:v>Main article does not report fentanyl concentration. Do not convert mL to µg/mg/MME. 2-Hz vs 20/100-Hz inferential statistics conflict between table and prose</x:v>
      </x:c>
      <x:c r="U15" s="18" t="str">
        <x:v>https://drive.google.com/file/d/1fkNAFra0gZ9jkWkzp_S0TWy-5zVrXCtj/view?usp=drivesdk</x:v>
      </x:c>
    </x:row>
    <x:row r="16">
      <x:c r="A16" s="18" t="str">
        <x:v>Yeh lumbar-spine publication family — ONE study unit pending overlap adjudication</x:v>
      </x:c>
      <x:c r="B16" s="18" t="str">
        <x:v>YEH11_AES_vs_SHAM_MORPH24</x:v>
      </x:c>
      <x:c r="C16" s="18" t="str">
        <x:v>True-acupoint AES</x:v>
      </x:c>
      <x:c r="D16" s="18" t="str">
        <x:v>Electrical sham/nonacupoint AES</x:v>
      </x:c>
      <x:c r="E16" s="18" t="str">
        <x:v>24-h IV morphine PCA dose</x:v>
      </x:c>
      <x:c r="F16" s="18" t="str">
        <x:v>First 24 postoperative hours</x:v>
      </x:c>
      <x:c r="G16" s="18" t="str">
        <x:v>Mean/SD</x:v>
      </x:c>
      <x:c r="H16" s="18" t="n">
        <x:v>30</x:v>
      </x:c>
      <x:c r="I16" s="18" t="n">
        <x:v>30</x:v>
      </x:c>
      <x:c r="J16" s="18" t="str">
        <x:v>19.3 ± 9.7</x:v>
      </x:c>
      <x:c r="K16" s="18" t="str">
        <x:v>21.6 ± 13.1</x:v>
      </x:c>
      <x:c r="L16" s="18" t="str">
        <x:v>mg IV morphine</x:v>
      </x:c>
      <x:c r="M16" s="18" t="str">
        <x:v>Duplicate family</x:v>
      </x:c>
      <x:c r="N16" s="18" t="str">
        <x:v>HOLD — OVERLAPPING PUBLICATIONS</x:v>
      </x:c>
      <x:c r="O16" s="18" t="str">
        <x:v>Yeh 2010 and Yeh 2011 appear to describe overlapping lumbar-spine cohorts with near-identical 24-h opioid data.</x:v>
      </x:c>
      <x:c r="P16" s="18" t="str">
        <x:v>Use native IV morphine; convert to review-standard MME only per prespecified rule</x:v>
      </x:c>
      <x:c r="Q16" s="18" t="str">
        <x:v>Some concerns</x:v>
      </x:c>
      <x:c r="R16" s="18" t="str">
        <x:v>Do not include either report until the publication/cohort linkage is adjudicated.</x:v>
      </x:c>
      <x:c r="S16" s="18" t="str">
        <x:v>Treat Yeh 2010 + Yeh 2011 as one unresolved study unit, not two independent RCTs.</x:v>
      </x:c>
      <x:c r="T16" s="18" t="str">
        <x:v>Highly similar to Yeh 2010 in population, acupoints, comparator and 24-h opioid values; do not count independently until cohort/publication linkage is adjudicated.</x:v>
      </x:c>
      <x:c r="U16" s="18" t="str">
        <x:v>https://drive.google.com/file/d/1ZJ60ZvJ5Q7sRu1iptK_tLLfBXxZZ_Hwl/view?usp=drivesdk</x:v>
      </x:c>
    </x:row>
  </x:sheetData>
  <x:conditionalFormatting sqref="N2:N16">
    <x:cfRule type="expression" dxfId="66" priority="1">
      <x:formula>LEFT(N2,18)="INCLUDE IN PRIMARY"</x:formula>
    </x:cfRule>
    <x:cfRule type="expression" dxfId="67" priority="2">
      <x:formula>LEFT(N2,11)="CONDITIONAL"</x:formula>
    </x:cfRule>
    <x:cfRule type="expression" dxfId="68" priority="3">
      <x:formula>LEFT(N2,7)="EXCLUDE"</x:formula>
    </x:cfRule>
    <x:cfRule type="expression" dxfId="69" priority="4">
      <x:formula>LEFT(N2,4)="HOLD"</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60" hidden="0" customWidth="1"/>
    <x:col min="2" max="2" width="15" hidden="0" customWidth="1"/>
  </x:cols>
  <x:sheetData>
    <x:row r="1">
      <x:c r="A1" s="74" t="str">
        <x:v>24-h continuous opioid study-level set</x:v>
      </x:c>
      <x:c r="B1" s="74" t="str">
        <x:v>Count</x:v>
      </x:c>
    </x:row>
    <x:row r="2">
      <x:c r="A2" s="18" t="str">
        <x:v>Primary study units</x:v>
      </x:c>
      <x:c r="B2" s="18" t="n">
        <x:v>6</x:v>
      </x:c>
    </x:row>
    <x:row r="3">
      <x:c r="A3" s="18" t="str">
        <x:v>Conditional study units</x:v>
      </x:c>
      <x:c r="B3" s="18" t="n">
        <x:v>5</x:v>
      </x:c>
    </x:row>
    <x:row r="4">
      <x:c r="A4" s="18" t="str">
        <x:v>Excluded/separate-endpoint study units</x:v>
      </x:c>
      <x:c r="B4" s="18" t="n">
        <x:v>3</x:v>
      </x:c>
    </x:row>
    <x:row r="5">
      <x:c r="A5" s="18" t="str">
        <x:v>Duplicate/overlap study units on hold</x:v>
      </x:c>
      <x:c r="B5" s="18" t="n">
        <x:v>1</x:v>
      </x:c>
    </x:row>
    <x:row r="6">
      <x:c r="A6" s="18" t="str">
        <x:v>Primary direct set before sensitivity exclusions</x:v>
      </x:c>
      <x:c r="B6" s="18" t="n">
        <x:v>6</x:v>
      </x:c>
    </x:row>
    <x:row r="7">
      <x:c r="A7" s="18" t="str">
        <x:v>Primary direct set excluding El-Rakshy high-RoB sensitivity case</x:v>
      </x:c>
      <x:c r="B7" s="18" t="n">
        <x:v>5</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3" hidden="0" customWidth="1"/>
    <x:col min="2" max="2" width="16" hidden="0" customWidth="1"/>
    <x:col min="3" max="3" width="24" hidden="0" customWidth="1"/>
    <x:col min="4" max="4" width="24" hidden="0" customWidth="1"/>
    <x:col min="5" max="5" width="34" hidden="0" customWidth="1"/>
    <x:col min="6" max="6" width="22" hidden="0" customWidth="1"/>
    <x:col min="7" max="7" width="38" hidden="0" customWidth="1"/>
    <x:col min="8" max="8" width="13" hidden="0" customWidth="1"/>
    <x:col min="9" max="9" width="13" hidden="0" customWidth="1"/>
    <x:col min="10" max="10" width="13" hidden="0" customWidth="1"/>
    <x:col min="11" max="11" width="13" hidden="0" customWidth="1"/>
    <x:col min="12" max="12" width="13" hidden="0" customWidth="1"/>
    <x:col min="13" max="13" width="15" hidden="0" customWidth="1"/>
    <x:col min="14" max="14" width="30" hidden="0" customWidth="1"/>
    <x:col min="15" max="15" width="27" hidden="0" customWidth="1"/>
    <x:col min="16" max="16" width="13" hidden="0" customWidth="1"/>
    <x:col min="17" max="17" width="14" hidden="0" customWidth="1"/>
    <x:col min="18" max="18" width="16" hidden="0" customWidth="1"/>
    <x:col min="19" max="19" width="32" hidden="0" customWidth="1"/>
    <x:col min="20" max="20" width="14" hidden="0" customWidth="1"/>
    <x:col min="21" max="21" width="29" hidden="0" customWidth="1"/>
    <x:col min="22" max="22" width="38" hidden="0" customWidth="1"/>
    <x:col min="23" max="23" width="12" hidden="0" customWidth="1"/>
    <x:col min="24" max="24" width="30" hidden="0" customWidth="1"/>
    <x:col min="25" max="25" width="45" hidden="0" customWidth="1"/>
    <x:col min="26" max="26" width="42" hidden="0" customWidth="1"/>
    <x:col min="27" max="27" width="38" hidden="0" customWidth="1"/>
    <x:col min="28" max="28" width="34" hidden="0" customWidth="1"/>
  </x:cols>
  <x:sheetData>
    <x:row r="1">
      <x:c r="A1" s="81" t="str">
        <x:v>Lock ID</x:v>
      </x:c>
      <x:c r="B1" s="81" t="str">
        <x:v>Target</x:v>
      </x:c>
      <x:c r="C1" s="81" t="str">
        <x:v>Canonical master study</x:v>
      </x:c>
      <x:c r="D1" s="81" t="str">
        <x:v>Source study label</x:v>
      </x:c>
      <x:c r="E1" s="81" t="str">
        <x:v>Outcome / estimand</x:v>
      </x:c>
      <x:c r="F1" s="81" t="str">
        <x:v>Window</x:v>
      </x:c>
      <x:c r="G1" s="81" t="str">
        <x:v>Source-verified result</x:v>
      </x:c>
      <x:c r="H1" s="81" t="str">
        <x:v>D1</x:v>
      </x:c>
      <x:c r="I1" s="81" t="str">
        <x:v>D2</x:v>
      </x:c>
      <x:c r="J1" s="81" t="str">
        <x:v>D3</x:v>
      </x:c>
      <x:c r="K1" s="81" t="str">
        <x:v>D4</x:v>
      </x:c>
      <x:c r="L1" s="81" t="str">
        <x:v>D5</x:v>
      </x:c>
      <x:c r="M1" s="81" t="str">
        <x:v>Overall RoB</x:v>
      </x:c>
      <x:c r="N1" s="81" t="str">
        <x:v>Endpoint stratum</x:v>
      </x:c>
      <x:c r="O1" s="81" t="str">
        <x:v>Synthesis status</x:v>
      </x:c>
      <x:c r="P1" s="81" t="str">
        <x:v>Include strict model</x:v>
      </x:c>
      <x:c r="Q1" s="81" t="str">
        <x:v>Include sensitivity model</x:v>
      </x:c>
      <x:c r="R1" s="81" t="str">
        <x:v>Narrative/evidence map</x:v>
      </x:c>
      <x:c r="S1" s="81" t="str">
        <x:v>Exclude / hold reason</x:v>
      </x:c>
      <x:c r="T1" s="81" t="str">
        <x:v>Author-contact priority</x:v>
      </x:c>
      <x:c r="U1" s="81" t="str">
        <x:v>Overlap family</x:v>
      </x:c>
      <x:c r="V1" s="81" t="str">
        <x:v>v20 comparison IDs</x:v>
      </x:c>
      <x:c r="W1" s="81" t="str">
        <x:v>v20 match count</x:v>
      </x:c>
      <x:c r="X1" s="81" t="str">
        <x:v>Reconciliation action</x:v>
      </x:c>
      <x:c r="Y1" s="81" t="str">
        <x:v>Reconciliation note</x:v>
      </x:c>
      <x:c r="Z1" s="81" t="str">
        <x:v>Key QC note</x:v>
      </x:c>
      <x:c r="AA1" s="81" t="str">
        <x:v>Source RoB file</x:v>
      </x:c>
      <x:c r="AB1" s="81" t="str">
        <x:v>v20 source URL(s)</x:v>
      </x:c>
    </x:row>
    <x:row r="2">
      <x:c r="A2" s="18" t="str">
        <x:v>A-001</x:v>
      </x:c>
      <x:c r="B2" s="18" t="str">
        <x:v>A</x:v>
      </x:c>
      <x:c r="C2" s="18" t="str">
        <x:v>Chen 2020</x:v>
      </x:c>
      <x:c r="D2" s="18" t="str">
        <x:v>Chen 2020</x:v>
      </x:c>
      <x:c r="E2" s="18" t="str">
        <x:v>Cumulative postoperative sufentanil</x:v>
      </x:c>
      <x:c r="F2" s="18" t="str">
        <x:v>0–48 h</x:v>
      </x:c>
      <x:c r="G2" s="18" t="str">
        <x:v>118.52±9.77 vs 140.15±7.87 μg</x:v>
      </x:c>
      <x:c r="H2" s="18" t="str">
        <x:v>Low</x:v>
      </x:c>
      <x:c r="I2" s="18" t="str">
        <x:v>Low</x:v>
      </x:c>
      <x:c r="J2" s="18" t="str">
        <x:v>Low</x:v>
      </x:c>
      <x:c r="K2" s="18" t="str">
        <x:v>Low</x:v>
      </x:c>
      <x:c r="L2" s="18" t="str">
        <x:v>Some concerns</x:v>
      </x:c>
      <x:c r="M2" s="18" t="str">
        <x:v>Some concerns</x:v>
      </x:c>
      <x:c r="N2" s="18" t="str">
        <x:v>A_0-48h_cumulative_opioid</x:v>
      </x:c>
      <x:c r="O2" s="18" t="str">
        <x:v>PRIMARY strict</x:v>
      </x:c>
      <x:c r="P2" s="18" t="n">
        <x:v>1</x:v>
      </x:c>
      <x:c r="Q2" s="18" t="n">
        <x:v>0</x:v>
      </x:c>
      <x:c r="R2" s="18" t="n">
        <x:v>0</x:v>
      </x:c>
      <x:c r="S2" s="18"/>
      <x:c r="T2" s="18"/>
      <x:c r="U2" s="18"/>
      <x:c r="V2" s="18" t="str">
        <x:v>CHEN20_TEAS_vs_SHAM_SUF48</x:v>
      </x:c>
      <x:c r="W2" s="18" t="n">
        <x:v>1</x:v>
      </x:c>
      <x:c r="X2" s="18" t="str">
        <x:v>NORMALIZED_V22</x:v>
      </x:c>
      <x:c r="Y2" s="18" t="str">
        <x:v>Normalized into Outcome_Data_AF_LOCK in v22 (1 new source-scale row(s)); original v20 Outcome_Data remains unchanged.</x:v>
      </x:c>
      <x:c r="Z2" s="18" t="str">
        <x:v>Clean 48-h cumulative result; preserve μg; registration retrospective.</x:v>
      </x:c>
      <x:c r="AA2" s="18" t="str">
        <x:v>Chen_2020_RoB2_0-48h_cumulative_opioid.md</x:v>
      </x:c>
      <x:c r="AB2" s="18"/>
    </x:row>
    <x:row r="3">
      <x:c r="A3" s="18" t="str">
        <x:v>A-002</x:v>
      </x:c>
      <x:c r="B3" s="18" t="str">
        <x:v>A</x:v>
      </x:c>
      <x:c r="C3" s="18" t="str">
        <x:v>Zhang 2023</x:v>
      </x:c>
      <x:c r="D3" s="18" t="str">
        <x:v>Zhang 2023</x:v>
      </x:c>
      <x:c r="E3" s="18" t="str">
        <x:v>Post-surgery opioid dose, IV MME</x:v>
      </x:c>
      <x:c r="F3" s="18" t="str">
        <x:v>within first 48 h</x:v>
      </x:c>
      <x:c r="G3" s="18" t="str">
        <x:v>110 (80–110) vs 110 (90–110) mg IV MME</x:v>
      </x:c>
      <x:c r="H3" s="18" t="str">
        <x:v>Low</x:v>
      </x:c>
      <x:c r="I3" s="18" t="str">
        <x:v>Some concerns</x:v>
      </x:c>
      <x:c r="J3" s="18" t="str">
        <x:v>Some concerns</x:v>
      </x:c>
      <x:c r="K3" s="18" t="str">
        <x:v>Low</x:v>
      </x:c>
      <x:c r="L3" s="18" t="str">
        <x:v>Some concerns</x:v>
      </x:c>
      <x:c r="M3" s="18" t="str">
        <x:v>Some concerns</x:v>
      </x:c>
      <x:c r="N3" s="18" t="str">
        <x:v>A_0-48h_cumulative_opioid</x:v>
      </x:c>
      <x:c r="O3" s="18" t="str">
        <x:v>PRIMARY strict</x:v>
      </x:c>
      <x:c r="P3" s="18" t="n">
        <x:v>1</x:v>
      </x:c>
      <x:c r="Q3" s="18" t="n">
        <x:v>0</x:v>
      </x:c>
      <x:c r="R3" s="18" t="n">
        <x:v>0</x:v>
      </x:c>
      <x:c r="S3" s="18"/>
      <x:c r="T3" s="18" t="str">
        <x:v>P2</x:v>
      </x:c>
      <x:c r="U3" s="18"/>
      <x:c r="V3" s="18" t="str">
        <x:v>ZHANG23_TEAS_vs_SHAM_MME48</x:v>
      </x:c>
      <x:c r="W3" s="18" t="n">
        <x:v>1</x:v>
      </x:c>
      <x:c r="X3" s="18" t="str">
        <x:v>MATCHED</x:v>
      </x:c>
      <x:c r="Y3" s="18" t="str">
        <x:v>Existing v20 row(s) represent this source-verified estimand.</x:v>
      </x:c>
      <x:c r="Z3" s="18" t="str">
        <x:v>Exact data capture source not reported; substantial post-randomization exclusions.</x:v>
      </x:c>
      <x:c r="AA3" s="18" t="str">
        <x:v>Zhang_2023_RoB2_0-48h_cumulative_opioid.md</x:v>
      </x:c>
      <x:c r="AB3" s="18" t="str">
        <x:v>https://drive.google.com/file/d/1LXNXNhVJaOcYXBODulFUuMD4FQXC5dph/view?usp=drivesdk</x:v>
      </x:c>
    </x:row>
    <x:row r="4">
      <x:c r="A4" s="18" t="str">
        <x:v>A-003</x:v>
      </x:c>
      <x:c r="B4" s="18" t="str">
        <x:v>A</x:v>
      </x:c>
      <x:c r="C4" s="18" t="str">
        <x:v>An 2014</x:v>
      </x:c>
      <x:c r="D4" s="18" t="str">
        <x:v>An 2014</x:v>
      </x:c>
      <x:c r="E4" s="18" t="str">
        <x:v>Total fentanyl PCIA dose</x:v>
      </x:c>
      <x:c r="F4" s="18" t="str">
        <x:v>0–48 h</x:v>
      </x:c>
      <x:c r="G4" s="18" t="str">
        <x:v>0.67±0.09 vs 0.73±0.12 mg</x:v>
      </x:c>
      <x:c r="H4" s="18" t="str">
        <x:v>Some concerns</x:v>
      </x:c>
      <x:c r="I4" s="18" t="str">
        <x:v>Some concerns</x:v>
      </x:c>
      <x:c r="J4" s="18" t="str">
        <x:v>Some concerns</x:v>
      </x:c>
      <x:c r="K4" s="18" t="str">
        <x:v>Low</x:v>
      </x:c>
      <x:c r="L4" s="18" t="str">
        <x:v>Some concerns</x:v>
      </x:c>
      <x:c r="M4" s="18" t="str">
        <x:v>Some concerns</x:v>
      </x:c>
      <x:c r="N4" s="18" t="str">
        <x:v>A_0-48h_cumulative_opioid</x:v>
      </x:c>
      <x:c r="O4" s="18" t="str">
        <x:v>PRIMARY strict</x:v>
      </x:c>
      <x:c r="P4" s="18" t="n">
        <x:v>1</x:v>
      </x:c>
      <x:c r="Q4" s="18" t="n">
        <x:v>0</x:v>
      </x:c>
      <x:c r="R4" s="18" t="n">
        <x:v>0</x:v>
      </x:c>
      <x:c r="S4" s="18"/>
      <x:c r="T4" s="18" t="str">
        <x:v>P1</x:v>
      </x:c>
      <x:c r="U4" s="18"/>
      <x:c r="V4" s="18" t="str">
        <x:v>AN14_EA_vs_CTRL_FENT48</x:v>
      </x:c>
      <x:c r="W4" s="18" t="n">
        <x:v>1</x:v>
      </x:c>
      <x:c r="X4" s="18" t="str">
        <x:v>MATCHED</x:v>
      </x:c>
      <x:c r="Y4" s="18" t="str">
        <x:v>Existing v20 row(s) represent this source-verified estimand. v25 result-specific P1 disposition: RESOLVED_BY_MANDATORY_SENSITIVITY.</x:v>
      </x:c>
      <x:c r="Z4" s="18" t="str">
        <x:v>Author clarification needed for reservoir/plausibility issue.</x:v>
      </x:c>
      <x:c r="AA4" s="18" t="str">
        <x:v>An_2014_RoB2_0-48h_cumulative_opioid.md</x:v>
      </x:c>
      <x:c r="AB4" s="18" t="str">
        <x:v>https://drive.google.com/file/d/1Ygu3g28udKuPe0OS95oge2ryIGNeJ0te/view?usp=drivesdk</x:v>
      </x:c>
    </x:row>
    <x:row r="5">
      <x:c r="A5" s="18" t="str">
        <x:v>A-004</x:v>
      </x:c>
      <x:c r="B5" s="18" t="str">
        <x:v>A</x:v>
      </x:c>
      <x:c r="C5" s="18" t="str">
        <x:v>Xie 2014</x:v>
      </x:c>
      <x:c r="D5" s="18" t="str">
        <x:v>Xie 2014</x:v>
      </x:c>
      <x:c r="E5" s="18" t="str">
        <x:v>Total sufentanil</x:v>
      </x:c>
      <x:c r="F5" s="18" t="str">
        <x:v>through postoperative 48 h</x:v>
      </x:c>
      <x:c r="G5" s="18" t="str">
        <x:v>115.0±6.0 vs 133.5±7.0 μg (EAS vs sham)</x:v>
      </x:c>
      <x:c r="H5" s="18" t="str">
        <x:v>Some concerns</x:v>
      </x:c>
      <x:c r="I5" s="18" t="str">
        <x:v>Some concerns</x:v>
      </x:c>
      <x:c r="J5" s="18" t="str">
        <x:v>Low</x:v>
      </x:c>
      <x:c r="K5" s="18" t="str">
        <x:v>Some concerns</x:v>
      </x:c>
      <x:c r="L5" s="18" t="str">
        <x:v>Some concerns</x:v>
      </x:c>
      <x:c r="M5" s="18" t="str">
        <x:v>Some concerns</x:v>
      </x:c>
      <x:c r="N5" s="18" t="str">
        <x:v>A_0-48h_cumulative_opioid</x:v>
      </x:c>
      <x:c r="O5" s="18" t="str">
        <x:v>SENSITIVITY / broader 48-h</x:v>
      </x:c>
      <x:c r="P5" s="18" t="n">
        <x:v>0</x:v>
      </x:c>
      <x:c r="Q5" s="18" t="n">
        <x:v>1</x:v>
      </x:c>
      <x:c r="R5" s="18" t="n">
        <x:v>0</x:v>
      </x:c>
      <x:c r="S5" s="18"/>
      <x:c r="T5" s="18" t="str">
        <x:v>P1</x:v>
      </x:c>
      <x:c r="U5" s="18"/>
      <x:c r="V5" s="18" t="str">
        <x:v>XIE14_EAS_vs_SHAM_TOTALSUF; XIE14_EAS_vs_CONTROL_TOTALSUF</x:v>
      </x:c>
      <x:c r="W5" s="18" t="n">
        <x:v>2</x:v>
      </x:c>
      <x:c r="X5" s="18" t="str">
        <x:v>CORRECTED_V22</x:v>
      </x:c>
      <x:c r="Y5" s="18" t="str">
        <x:v>Existing v20 row retained in original Outcome_Data; source-level value/window correction applied only in Outcome_Data_AF_LOCK v22. v25 result-specific P1 disposition: RESOLVED_BY_SENSITIVITY.</x:v>
      </x:c>
      <x:c r="Z5" s="18" t="str">
        <x:v>Sufentanil began 30 min before surgery ended; infusion rate 2.25 vs 2.5 μg/h conflict.</x:v>
      </x:c>
      <x:c r="AA5" s="18" t="str">
        <x:v>Xie_2014_RoB2_total_sufentanil_through_48h.md</x:v>
      </x:c>
      <x:c r="AB5" s="18" t="str">
        <x:v>https://drive.google.com/file/d/17faY_h0rMJTuhjPOC5PL_S59jYmHDPee/view?usp=drivesdk</x:v>
      </x:c>
    </x:row>
    <x:row r="6">
      <x:c r="A6" s="18" t="str">
        <x:v>A-005</x:v>
      </x:c>
      <x:c r="B6" s="18" t="str">
        <x:v>A</x:v>
      </x:c>
      <x:c r="C6" s="18" t="str">
        <x:v>He 2026 (breast/WJCO)</x:v>
      </x:c>
      <x:c r="D6" s="18" t="str">
        <x:v>He 2026 (WJCO)</x:v>
      </x:c>
      <x:c r="E6" s="18" t="str">
        <x:v>Eligibility audit</x:v>
      </x:c>
      <x:c r="F6" s="18" t="str">
        <x:v>—</x:v>
      </x:c>
      <x:c r="G6" s="18" t="str">
        <x:v>—</x:v>
      </x:c>
      <x:c r="H6" s="18" t="str">
        <x:v>—</x:v>
      </x:c>
      <x:c r="I6" s="18" t="str">
        <x:v>—</x:v>
      </x:c>
      <x:c r="J6" s="18" t="str">
        <x:v>—</x:v>
      </x:c>
      <x:c r="K6" s="18" t="str">
        <x:v>—</x:v>
      </x:c>
      <x:c r="L6" s="18" t="str">
        <x:v>—</x:v>
      </x:c>
      <x:c r="M6" s="18" t="str">
        <x:v>—</x:v>
      </x:c>
      <x:c r="N6" s="18" t="str">
        <x:v>A_0-48h_cumulative_opioid</x:v>
      </x:c>
      <x:c r="O6" s="18" t="str">
        <x:v>EXCLUDE</x:v>
      </x:c>
      <x:c r="P6" s="18" t="n">
        <x:v>0</x:v>
      </x:c>
      <x:c r="Q6" s="18" t="n">
        <x:v>0</x:v>
      </x:c>
      <x:c r="R6" s="18" t="n">
        <x:v>1</x:v>
      </x:c>
      <x:c r="S6" s="18" t="str">
        <x:v>EXCLUDE</x:v>
      </x:c>
      <x:c r="T6" s="18"/>
      <x:c r="U6" s="18"/>
      <x:c r="V6" s="18"/>
      <x:c r="W6" s="18" t="n">
        <x:v>0</x:v>
      </x:c>
      <x:c r="X6" s="18" t="str">
        <x:v>NO_DATA_ROW_REQUIRED</x:v>
      </x:c>
      <x:c r="Y6" s="18" t="str">
        <x:v>Eligibility/exclusion decision only; no new numerical outcome row required.</x:v>
      </x:c>
      <x:c r="Z6" s="18" t="str">
        <x:v>No numerical cumulative postoperative opioid result</x:v>
      </x:c>
      <x:c r="AA6" s="18" t="str">
        <x:v>—</x:v>
      </x:c>
      <x:c r="AB6" s="18"/>
    </x:row>
    <x:row r="7">
      <x:c r="A7" s="18" t="str">
        <x:v>A-006</x:v>
      </x:c>
      <x:c r="B7" s="18" t="str">
        <x:v>A</x:v>
      </x:c>
      <x:c r="C7" s="18" t="str">
        <x:v>Wong 2006</x:v>
      </x:c>
      <x:c r="D7" s="18" t="str">
        <x:v>Wong 2006</x:v>
      </x:c>
      <x:c r="E7" s="18" t="str">
        <x:v>Eligibility audit</x:v>
      </x:c>
      <x:c r="F7" s="18" t="str">
        <x:v>—</x:v>
      </x:c>
      <x:c r="G7" s="18" t="str">
        <x:v>—</x:v>
      </x:c>
      <x:c r="H7" s="18" t="str">
        <x:v>—</x:v>
      </x:c>
      <x:c r="I7" s="18" t="str">
        <x:v>—</x:v>
      </x:c>
      <x:c r="J7" s="18" t="str">
        <x:v>—</x:v>
      </x:c>
      <x:c r="K7" s="18" t="str">
        <x:v>—</x:v>
      </x:c>
      <x:c r="L7" s="18" t="str">
        <x:v>—</x:v>
      </x:c>
      <x:c r="M7" s="18" t="str">
        <x:v>—</x:v>
      </x:c>
      <x:c r="N7" s="18" t="str">
        <x:v>A_0-48h_cumulative_opioid</x:v>
      </x:c>
      <x:c r="O7" s="18" t="str">
        <x:v>EXCLUDE</x:v>
      </x:c>
      <x:c r="P7" s="18" t="n">
        <x:v>0</x:v>
      </x:c>
      <x:c r="Q7" s="18" t="n">
        <x:v>0</x:v>
      </x:c>
      <x:c r="R7" s="18" t="n">
        <x:v>1</x:v>
      </x:c>
      <x:c r="S7" s="18" t="str">
        <x:v>EXCLUDE</x:v>
      </x:c>
      <x:c r="T7" s="18"/>
      <x:c r="U7" s="18"/>
      <x:c r="V7" s="18"/>
      <x:c r="W7" s="18" t="n">
        <x:v>0</x:v>
      </x:c>
      <x:c r="X7" s="18" t="str">
        <x:v>NO_DATA_ROW_REQUIRED</x:v>
      </x:c>
      <x:c r="Y7" s="18" t="str">
        <x:v>Eligibility/exclusion decision only; no new numerical outcome row required.</x:v>
      </x:c>
      <x:c r="Z7" s="18" t="str">
        <x:v>No exact cumulative 0–48-h total</x:v>
      </x:c>
      <x:c r="AA7" s="18" t="str">
        <x:v>—</x:v>
      </x:c>
      <x:c r="AB7" s="18"/>
    </x:row>
    <x:row r="8">
      <x:c r="A8" s="18" t="str">
        <x:v>A-007</x:v>
      </x:c>
      <x:c r="B8" s="18" t="str">
        <x:v>A</x:v>
      </x:c>
      <x:c r="C8" s="18" t="str">
        <x:v>Hou 2023</x:v>
      </x:c>
      <x:c r="D8" s="18" t="str">
        <x:v>Hou 2023</x:v>
      </x:c>
      <x:c r="E8" s="18" t="str">
        <x:v>Eligibility audit</x:v>
      </x:c>
      <x:c r="F8" s="18" t="str">
        <x:v>—</x:v>
      </x:c>
      <x:c r="G8" s="18" t="str">
        <x:v>—</x:v>
      </x:c>
      <x:c r="H8" s="18" t="str">
        <x:v>—</x:v>
      </x:c>
      <x:c r="I8" s="18" t="str">
        <x:v>—</x:v>
      </x:c>
      <x:c r="J8" s="18" t="str">
        <x:v>—</x:v>
      </x:c>
      <x:c r="K8" s="18" t="str">
        <x:v>—</x:v>
      </x:c>
      <x:c r="L8" s="18" t="str">
        <x:v>—</x:v>
      </x:c>
      <x:c r="M8" s="18" t="str">
        <x:v>—</x:v>
      </x:c>
      <x:c r="N8" s="18" t="str">
        <x:v>A_0-48h_cumulative_opioid</x:v>
      </x:c>
      <x:c r="O8" s="18" t="str">
        <x:v>EXCLUDE</x:v>
      </x:c>
      <x:c r="P8" s="18" t="n">
        <x:v>0</x:v>
      </x:c>
      <x:c r="Q8" s="18" t="n">
        <x:v>0</x:v>
      </x:c>
      <x:c r="R8" s="18" t="n">
        <x:v>1</x:v>
      </x:c>
      <x:c r="S8" s="18" t="str">
        <x:v>EXCLUDE</x:v>
      </x:c>
      <x:c r="T8" s="18"/>
      <x:c r="U8" s="18"/>
      <x:c r="V8" s="18"/>
      <x:c r="W8" s="18" t="n">
        <x:v>0</x:v>
      </x:c>
      <x:c r="X8" s="18" t="str">
        <x:v>NO_DATA_ROW_REQUIRED</x:v>
      </x:c>
      <x:c r="Y8" s="18" t="str">
        <x:v>Eligibility/exclusion decision only; no new numerical outcome row required.</x:v>
      </x:c>
      <x:c r="Z8" s="18" t="str">
        <x:v>48-h PCIA protocol but cumulative opioid dose not reported</x:v>
      </x:c>
      <x:c r="AA8" s="18" t="str">
        <x:v>—</x:v>
      </x:c>
      <x:c r="AB8" s="18"/>
    </x:row>
    <x:row r="9">
      <x:c r="A9" s="18" t="str">
        <x:v>A-008</x:v>
      </x:c>
      <x:c r="B9" s="18" t="str">
        <x:v>A</x:v>
      </x:c>
      <x:c r="C9" s="18" t="str">
        <x:v>Yao 2015</x:v>
      </x:c>
      <x:c r="D9" s="18" t="str">
        <x:v>Yao 2015</x:v>
      </x:c>
      <x:c r="E9" s="18" t="str">
        <x:v>Eligibility audit</x:v>
      </x:c>
      <x:c r="F9" s="18" t="str">
        <x:v>—</x:v>
      </x:c>
      <x:c r="G9" s="18" t="str">
        <x:v>—</x:v>
      </x:c>
      <x:c r="H9" s="18" t="str">
        <x:v>—</x:v>
      </x:c>
      <x:c r="I9" s="18" t="str">
        <x:v>—</x:v>
      </x:c>
      <x:c r="J9" s="18" t="str">
        <x:v>—</x:v>
      </x:c>
      <x:c r="K9" s="18" t="str">
        <x:v>—</x:v>
      </x:c>
      <x:c r="L9" s="18" t="str">
        <x:v>—</x:v>
      </x:c>
      <x:c r="M9" s="18" t="str">
        <x:v>—</x:v>
      </x:c>
      <x:c r="N9" s="18" t="str">
        <x:v>A_0-48h_cumulative_opioid</x:v>
      </x:c>
      <x:c r="O9" s="18" t="str">
        <x:v>EXCLUDE</x:v>
      </x:c>
      <x:c r="P9" s="18" t="n">
        <x:v>0</x:v>
      </x:c>
      <x:c r="Q9" s="18" t="n">
        <x:v>0</x:v>
      </x:c>
      <x:c r="R9" s="18" t="n">
        <x:v>1</x:v>
      </x:c>
      <x:c r="S9" s="18" t="str">
        <x:v>EXCLUDE</x:v>
      </x:c>
      <x:c r="T9" s="18"/>
      <x:c r="U9" s="18"/>
      <x:c r="V9" s="18"/>
      <x:c r="W9" s="18" t="n">
        <x:v>0</x:v>
      </x:c>
      <x:c r="X9" s="18" t="str">
        <x:v>NO_DATA_ROW_REQUIRED</x:v>
      </x:c>
      <x:c r="Y9" s="18" t="str">
        <x:v>Eligibility/exclusion decision only; no new numerical outcome row required.</x:v>
      </x:c>
      <x:c r="Z9" s="18" t="str">
        <x:v>24-h rescue-administration count, not cumulative 48-h dose</x:v>
      </x:c>
      <x:c r="AA9" s="18" t="str">
        <x:v>—</x:v>
      </x:c>
      <x:c r="AB9" s="18"/>
    </x:row>
    <x:row r="10">
      <x:c r="A10" s="18" t="str">
        <x:v>A-009</x:v>
      </x:c>
      <x:c r="B10" s="18" t="str">
        <x:v>A</x:v>
      </x:c>
      <x:c r="C10" s="18" t="str">
        <x:v>Lin 2002</x:v>
      </x:c>
      <x:c r="D10" s="18" t="str">
        <x:v>Lin 2002</x:v>
      </x:c>
      <x:c r="E10" s="18" t="str">
        <x:v>Eligibility audit</x:v>
      </x:c>
      <x:c r="F10" s="18" t="str">
        <x:v>—</x:v>
      </x:c>
      <x:c r="G10" s="18" t="str">
        <x:v>—</x:v>
      </x:c>
      <x:c r="H10" s="18" t="str">
        <x:v>—</x:v>
      </x:c>
      <x:c r="I10" s="18" t="str">
        <x:v>—</x:v>
      </x:c>
      <x:c r="J10" s="18" t="str">
        <x:v>—</x:v>
      </x:c>
      <x:c r="K10" s="18" t="str">
        <x:v>—</x:v>
      </x:c>
      <x:c r="L10" s="18" t="str">
        <x:v>—</x:v>
      </x:c>
      <x:c r="M10" s="18" t="str">
        <x:v>—</x:v>
      </x:c>
      <x:c r="N10" s="18" t="str">
        <x:v>A_0-48h_cumulative_opioid</x:v>
      </x:c>
      <x:c r="O10" s="18" t="str">
        <x:v>EXCLUDE</x:v>
      </x:c>
      <x:c r="P10" s="18" t="n">
        <x:v>0</x:v>
      </x:c>
      <x:c r="Q10" s="18" t="n">
        <x:v>0</x:v>
      </x:c>
      <x:c r="R10" s="18" t="n">
        <x:v>1</x:v>
      </x:c>
      <x:c r="S10" s="18" t="str">
        <x:v>EXCLUDE</x:v>
      </x:c>
      <x:c r="T10" s="18"/>
      <x:c r="U10" s="18"/>
      <x:c r="V10" s="18"/>
      <x:c r="W10" s="18" t="n">
        <x:v>0</x:v>
      </x:c>
      <x:c r="X10" s="18" t="str">
        <x:v>NO_DATA_ROW_REQUIRED</x:v>
      </x:c>
      <x:c r="Y10" s="18" t="str">
        <x:v>Eligibility/exclusion decision only; no new numerical outcome row required.</x:v>
      </x:c>
      <x:c r="Z10" s="18" t="str">
        <x:v>Cumulative morphine only through 24 h</x:v>
      </x:c>
      <x:c r="AA10" s="18" t="str">
        <x:v>—</x:v>
      </x:c>
      <x:c r="AB10" s="18"/>
    </x:row>
    <x:row r="11">
      <x:c r="A11" s="18" t="str">
        <x:v>A-010</x:v>
      </x:c>
      <x:c r="B11" s="18" t="str">
        <x:v>A</x:v>
      </x:c>
      <x:c r="C11" s="18" t="str">
        <x:v>Zhang 2025</x:v>
      </x:c>
      <x:c r="D11" s="18" t="str">
        <x:v>Zhang 2025</x:v>
      </x:c>
      <x:c r="E11" s="18" t="str">
        <x:v>Eligibility audit</x:v>
      </x:c>
      <x:c r="F11" s="18" t="str">
        <x:v>—</x:v>
      </x:c>
      <x:c r="G11" s="18" t="str">
        <x:v>—</x:v>
      </x:c>
      <x:c r="H11" s="18" t="str">
        <x:v>—</x:v>
      </x:c>
      <x:c r="I11" s="18" t="str">
        <x:v>—</x:v>
      </x:c>
      <x:c r="J11" s="18" t="str">
        <x:v>—</x:v>
      </x:c>
      <x:c r="K11" s="18" t="str">
        <x:v>—</x:v>
      </x:c>
      <x:c r="L11" s="18" t="str">
        <x:v>—</x:v>
      </x:c>
      <x:c r="M11" s="18" t="str">
        <x:v>—</x:v>
      </x:c>
      <x:c r="N11" s="18" t="str">
        <x:v>A_0-48h_cumulative_opioid</x:v>
      </x:c>
      <x:c r="O11" s="18" t="str">
        <x:v>EXCLUDE</x:v>
      </x:c>
      <x:c r="P11" s="18" t="n">
        <x:v>0</x:v>
      </x:c>
      <x:c r="Q11" s="18" t="n">
        <x:v>0</x:v>
      </x:c>
      <x:c r="R11" s="18" t="n">
        <x:v>1</x:v>
      </x:c>
      <x:c r="S11" s="18" t="str">
        <x:v>EXCLUDE</x:v>
      </x:c>
      <x:c r="T11" s="18"/>
      <x:c r="U11" s="18"/>
      <x:c r="V11" s="18"/>
      <x:c r="W11" s="18" t="n">
        <x:v>0</x:v>
      </x:c>
      <x:c r="X11" s="18" t="str">
        <x:v>NO_DATA_ROW_REQUIRED</x:v>
      </x:c>
      <x:c r="Y11" s="18" t="str">
        <x:v>Eligibility/exclusion decision only; no new numerical outcome row required.</x:v>
      </x:c>
      <x:c r="Z11" s="18" t="str">
        <x:v>POD1 sufentanil only</x:v>
      </x:c>
      <x:c r="AA11" s="18" t="str">
        <x:v>—</x:v>
      </x:c>
      <x:c r="AB11" s="18"/>
    </x:row>
    <x:row r="12">
      <x:c r="A12" s="18" t="str">
        <x:v>B-001</x:v>
      </x:c>
      <x:c r="B12" s="18" t="str">
        <x:v>B</x:v>
      </x:c>
      <x:c r="C12" s="18" t="str">
        <x:v>Yang 2024</x:v>
      </x:c>
      <x:c r="D12" s="18" t="str">
        <x:v>Yang 2024</x:v>
      </x:c>
      <x:c r="E12" s="18" t="str">
        <x:v>Cumulative postoperative morphine</x:v>
      </x:c>
      <x:c r="F12" s="18" t="str">
        <x:v>0–72 h</x:v>
      </x:c>
      <x:c r="G12" s="18" t="str">
        <x:v>127.0±12.0 vs 127.5±12.5 mg</x:v>
      </x:c>
      <x:c r="H12" s="18" t="str">
        <x:v>Low</x:v>
      </x:c>
      <x:c r="I12" s="18" t="str">
        <x:v>Low</x:v>
      </x:c>
      <x:c r="J12" s="18" t="str">
        <x:v>Low</x:v>
      </x:c>
      <x:c r="K12" s="18" t="str">
        <x:v>Low</x:v>
      </x:c>
      <x:c r="L12" s="18" t="str">
        <x:v>Some concerns</x:v>
      </x:c>
      <x:c r="M12" s="18" t="str">
        <x:v>Some concerns</x:v>
      </x:c>
      <x:c r="N12" s="18" t="str">
        <x:v>B_0-72h_cumulative_opioid</x:v>
      </x:c>
      <x:c r="O12" s="18" t="str">
        <x:v>PRIMARY strict</x:v>
      </x:c>
      <x:c r="P12" s="18" t="n">
        <x:v>1</x:v>
      </x:c>
      <x:c r="Q12" s="18" t="n">
        <x:v>0</x:v>
      </x:c>
      <x:c r="R12" s="18" t="n">
        <x:v>0</x:v>
      </x:c>
      <x:c r="S12" s="18"/>
      <x:c r="T12" s="18"/>
      <x:c r="U12" s="18"/>
      <x:c r="V12" s="18" t="str">
        <x:v>YANG24_EA_vs_UC_MORPH72</x:v>
      </x:c>
      <x:c r="W12" s="18" t="n">
        <x:v>1</x:v>
      </x:c>
      <x:c r="X12" s="18" t="str">
        <x:v>NORMALIZED_V22</x:v>
      </x:c>
      <x:c r="Y12" s="18" t="str">
        <x:v>Normalized into Outcome_Data_AF_LOCK in v22 (1 new source-scale row(s)); original v20 Outcome_Data remains unchanged.</x:v>
      </x:c>
      <x:c r="Z12" s="18" t="str">
        <x:v>PCA-device records; full ITT.</x:v>
      </x:c>
      <x:c r="AA12" s="18" t="str">
        <x:v>Yang_2024_RoB2_0-72h_cumulative_morphine.md</x:v>
      </x:c>
      <x:c r="AB12" s="18"/>
    </x:row>
    <x:row r="13">
      <x:c r="A13" s="18" t="str">
        <x:v>B-002</x:v>
      </x:c>
      <x:c r="B13" s="18" t="str">
        <x:v>B</x:v>
      </x:c>
      <x:c r="C13" s="18" t="str">
        <x:v>Wong 2006</x:v>
      </x:c>
      <x:c r="D13" s="18" t="str">
        <x:v>Wong 2006</x:v>
      </x:c>
      <x:c r="E13" s="18" t="str">
        <x:v>Total PCA morphine</x:v>
      </x:c>
      <x:c r="F13" s="18" t="str">
        <x:v>first 3 postoperative days (~72 h)</x:v>
      </x:c>
      <x:c r="G13" s="18" t="str">
        <x:v>33.9±12.8 vs 42.3±21.3 mg</x:v>
      </x:c>
      <x:c r="H13" s="18" t="str">
        <x:v>Low</x:v>
      </x:c>
      <x:c r="I13" s="18" t="str">
        <x:v>Some concerns</x:v>
      </x:c>
      <x:c r="J13" s="18" t="str">
        <x:v>Some concerns</x:v>
      </x:c>
      <x:c r="K13" s="18" t="str">
        <x:v>Low</x:v>
      </x:c>
      <x:c r="L13" s="18" t="str">
        <x:v>Some concerns</x:v>
      </x:c>
      <x:c r="M13" s="18" t="str">
        <x:v>Some concerns</x:v>
      </x:c>
      <x:c r="N13" s="18" t="str">
        <x:v>B_0-72h_cumulative_opioid</x:v>
      </x:c>
      <x:c r="O13" s="18" t="str">
        <x:v>SENSITIVITY / approximate 72 h</x:v>
      </x:c>
      <x:c r="P13" s="18" t="n">
        <x:v>0</x:v>
      </x:c>
      <x:c r="Q13" s="18" t="n">
        <x:v>1</x:v>
      </x:c>
      <x:c r="R13" s="18" t="n">
        <x:v>0</x:v>
      </x:c>
      <x:c r="S13" s="18"/>
      <x:c r="T13" s="18"/>
      <x:c r="U13" s="18"/>
      <x:c r="V13" s="18" t="str">
        <x:v>WONG06_EA_vs_SHAM_MORPHTOTAL</x:v>
      </x:c>
      <x:c r="W13" s="18" t="n">
        <x:v>1</x:v>
      </x:c>
      <x:c r="X13" s="18" t="str">
        <x:v>MATCHED</x:v>
      </x:c>
      <x:c r="Y13" s="18" t="str">
        <x:v>Existing v20 row(s) represent this source-verified estimand.</x:v>
      </x:c>
      <x:c r="Z13" s="18" t="str">
        <x:v>Exact surgery-to-72.0-h clock cutoff not reported.</x:v>
      </x:c>
      <x:c r="AA13" s="18" t="str">
        <x:v>Wong_2006_RoB2_three_day_cumulative_PCA_morphine.md</x:v>
      </x:c>
      <x:c r="AB13" s="18" t="str">
        <x:v>https://drive.google.com/file/d/1-XmRdgXyZmOmKIDRhL80sxha5M2P00jd/view?usp=drivesdk</x:v>
      </x:c>
    </x:row>
    <x:row r="14">
      <x:c r="A14" s="18" t="str">
        <x:v>B-003</x:v>
      </x:c>
      <x:c r="B14" s="18" t="str">
        <x:v>B</x:v>
      </x:c>
      <x:c r="C14" s="18" t="str">
        <x:v>Zhang 2025</x:v>
      </x:c>
      <x:c r="D14" s="18" t="str">
        <x:v>Zhang 2025</x:v>
      </x:c>
      <x:c r="E14" s="18" t="str">
        <x:v>Eligibility audit</x:v>
      </x:c>
      <x:c r="F14" s="18" t="str">
        <x:v>POD1</x:v>
      </x:c>
      <x:c r="G14" s="18" t="str">
        <x:v>No 72-h cumulative opioid result</x:v>
      </x:c>
      <x:c r="H14" s="18" t="str">
        <x:v>—</x:v>
      </x:c>
      <x:c r="I14" s="18" t="str">
        <x:v>—</x:v>
      </x:c>
      <x:c r="J14" s="18" t="str">
        <x:v>—</x:v>
      </x:c>
      <x:c r="K14" s="18" t="str">
        <x:v>—</x:v>
      </x:c>
      <x:c r="L14" s="18" t="str">
        <x:v>—</x:v>
      </x:c>
      <x:c r="M14" s="18" t="str">
        <x:v>—</x:v>
      </x:c>
      <x:c r="N14" s="18" t="str">
        <x:v>B_0-72h_cumulative_opioid</x:v>
      </x:c>
      <x:c r="O14" s="18" t="str">
        <x:v>EXCLUDE</x:v>
      </x:c>
      <x:c r="P14" s="18" t="n">
        <x:v>0</x:v>
      </x:c>
      <x:c r="Q14" s="18" t="n">
        <x:v>0</x:v>
      </x:c>
      <x:c r="R14" s="18" t="n">
        <x:v>1</x:v>
      </x:c>
      <x:c r="S14" s="18" t="str">
        <x:v>EXCLUDE</x:v>
      </x:c>
      <x:c r="T14" s="18"/>
      <x:c r="U14" s="18"/>
      <x:c r="V14" s="18"/>
      <x:c r="W14" s="18" t="n">
        <x:v>0</x:v>
      </x:c>
      <x:c r="X14" s="18" t="str">
        <x:v>NO_DATA_ROW_REQUIRED</x:v>
      </x:c>
      <x:c r="Y14" s="18" t="str">
        <x:v>Eligibility/exclusion decision only; no new numerical outcome row required.</x:v>
      </x:c>
      <x:c r="Z14" s="18" t="str">
        <x:v>24-h only.</x:v>
      </x:c>
      <x:c r="AA14" s="18" t="str">
        <x:v>—</x:v>
      </x:c>
      <x:c r="AB14" s="18"/>
    </x:row>
    <x:row r="15">
      <x:c r="A15" s="18" t="str">
        <x:v>B-004</x:v>
      </x:c>
      <x:c r="B15" s="18" t="str">
        <x:v>B</x:v>
      </x:c>
      <x:c r="C15" s="18" t="str">
        <x:v>Xie 2014</x:v>
      </x:c>
      <x:c r="D15" s="18" t="str">
        <x:v>Xie 2014</x:v>
      </x:c>
      <x:c r="E15" s="18" t="str">
        <x:v>Eligibility audit</x:v>
      </x:c>
      <x:c r="F15" s="18" t="str">
        <x:v>through 48 h</x:v>
      </x:c>
      <x:c r="G15" s="18" t="str">
        <x:v>No 72-h cumulative opioid result</x:v>
      </x:c>
      <x:c r="H15" s="18" t="str">
        <x:v>—</x:v>
      </x:c>
      <x:c r="I15" s="18" t="str">
        <x:v>—</x:v>
      </x:c>
      <x:c r="J15" s="18" t="str">
        <x:v>—</x:v>
      </x:c>
      <x:c r="K15" s="18" t="str">
        <x:v>—</x:v>
      </x:c>
      <x:c r="L15" s="18" t="str">
        <x:v>—</x:v>
      </x:c>
      <x:c r="M15" s="18" t="str">
        <x:v>—</x:v>
      </x:c>
      <x:c r="N15" s="18" t="str">
        <x:v>B_0-72h_cumulative_opioid</x:v>
      </x:c>
      <x:c r="O15" s="18" t="str">
        <x:v>EXCLUDE / reclassify A</x:v>
      </x:c>
      <x:c r="P15" s="18" t="n">
        <x:v>0</x:v>
      </x:c>
      <x:c r="Q15" s="18" t="n">
        <x:v>0</x:v>
      </x:c>
      <x:c r="R15" s="18" t="n">
        <x:v>1</x:v>
      </x:c>
      <x:c r="S15" s="18" t="str">
        <x:v>EXCLUDE / reclassify A</x:v>
      </x:c>
      <x:c r="T15" s="18"/>
      <x:c r="U15" s="18"/>
      <x:c r="V15" s="18"/>
      <x:c r="W15" s="18" t="n">
        <x:v>0</x:v>
      </x:c>
      <x:c r="X15" s="18" t="str">
        <x:v>NO_DATA_ROW_REQUIRED</x:v>
      </x:c>
      <x:c r="Y15" s="18" t="str">
        <x:v>Eligibility/exclusion decision only; no new numerical outcome row required.</x:v>
      </x:c>
      <x:c r="Z15" s="18" t="str">
        <x:v>Reclassified to broader Target A.</x:v>
      </x:c>
      <x:c r="AA15" s="18" t="str">
        <x:v>—</x:v>
      </x:c>
      <x:c r="AB15" s="18"/>
    </x:row>
    <x:row r="16">
      <x:c r="A16" s="18" t="str">
        <x:v>C-001</x:v>
      </x:c>
      <x:c r="B16" s="18" t="str">
        <x:v>C</x:v>
      </x:c>
      <x:c r="C16" s="18" t="str">
        <x:v>Xing 2022</x:v>
      </x:c>
      <x:c r="D16" s="18" t="str">
        <x:v>Xing 2022</x:v>
      </x:c>
      <x:c r="E16" s="18" t="str">
        <x:v>Pain intensity at rest</x:v>
      </x:c>
      <x:c r="F16" s="18" t="str">
        <x:v>24 h</x:v>
      </x:c>
      <x:c r="G16" s="18" t="str">
        <x:v>1.18±0.42 vs 1.40±0.52</x:v>
      </x:c>
      <x:c r="H16" s="18" t="str">
        <x:v>Low</x:v>
      </x:c>
      <x:c r="I16" s="18" t="str">
        <x:v>Some concerns</x:v>
      </x:c>
      <x:c r="J16" s="18" t="str">
        <x:v>Low</x:v>
      </x:c>
      <x:c r="K16" s="18" t="str">
        <x:v>High</x:v>
      </x:c>
      <x:c r="L16" s="18" t="str">
        <x:v>Low</x:v>
      </x:c>
      <x:c r="M16" s="18" t="str">
        <x:v>High</x:v>
      </x:c>
      <x:c r="N16" s="18" t="str">
        <x:v>C_rest_pain_~24h</x:v>
      </x:c>
      <x:c r="O16" s="18" t="str">
        <x:v>PRIMARY strict</x:v>
      </x:c>
      <x:c r="P16" s="18" t="n">
        <x:v>1</x:v>
      </x:c>
      <x:c r="Q16" s="18" t="n">
        <x:v>0</x:v>
      </x:c>
      <x:c r="R16" s="18" t="n">
        <x:v>0</x:v>
      </x:c>
      <x:c r="S16" s="18"/>
      <x:c r="T16" s="18"/>
      <x:c r="U16" s="18"/>
      <x:c r="V16" s="18" t="str">
        <x:v>XING22_NTG_vs_NG_RESTVAS24</x:v>
      </x:c>
      <x:c r="W16" s="18" t="n">
        <x:v>1</x:v>
      </x:c>
      <x:c r="X16" s="18" t="str">
        <x:v>MATCHED</x:v>
      </x:c>
      <x:c r="Y16" s="18" t="str">
        <x:v>Existing v20 row(s) represent this source-verified estimand.</x:v>
      </x:c>
      <x:c r="Z16" s="18" t="str">
        <x:v>Subjective resting pain; sensory masking concern drives High RoB.</x:v>
      </x:c>
      <x:c r="AA16" s="18" t="str">
        <x:v>Xing_2022_RoB2_24h_resting_pain.md</x:v>
      </x:c>
      <x:c r="AB16" s="18" t="str">
        <x:v>https://drive.google.com/file/d/1h3IGpQ56nSh7H16xBEVyTzCBkWOXRSxK/view?usp=drivesdk</x:v>
      </x:c>
    </x:row>
    <x:row r="17">
      <x:c r="A17" s="18" t="str">
        <x:v>C-002</x:v>
      </x:c>
      <x:c r="B17" s="18" t="str">
        <x:v>C</x:v>
      </x:c>
      <x:c r="C17" s="18" t="str">
        <x:v>Liu 2021</x:v>
      </x:c>
      <x:c r="D17" s="18" t="str">
        <x:v>Liu 2021</x:v>
      </x:c>
      <x:c r="E17" s="18" t="str">
        <x:v>Pain intensity at rest</x:v>
      </x:c>
      <x:c r="F17" s="18" t="str">
        <x:v>24 h</x:v>
      </x:c>
      <x:c r="G17" s="18" t="str">
        <x:v>2.52±0.505 vs 2.66±0.626; P=0.221</x:v>
      </x:c>
      <x:c r="H17" s="18" t="str">
        <x:v>Some concerns</x:v>
      </x:c>
      <x:c r="I17" s="18" t="str">
        <x:v>Low</x:v>
      </x:c>
      <x:c r="J17" s="18" t="str">
        <x:v>Low</x:v>
      </x:c>
      <x:c r="K17" s="18" t="str">
        <x:v>High</x:v>
      </x:c>
      <x:c r="L17" s="18" t="str">
        <x:v>Some concerns</x:v>
      </x:c>
      <x:c r="M17" s="18" t="str">
        <x:v>High</x:v>
      </x:c>
      <x:c r="N17" s="18" t="str">
        <x:v>C_rest_pain_~24h</x:v>
      </x:c>
      <x:c r="O17" s="18" t="str">
        <x:v>PRIMARY strict</x:v>
      </x:c>
      <x:c r="P17" s="18" t="n">
        <x:v>1</x:v>
      </x:c>
      <x:c r="Q17" s="18" t="n">
        <x:v>0</x:v>
      </x:c>
      <x:c r="R17" s="18" t="n">
        <x:v>0</x:v>
      </x:c>
      <x:c r="S17" s="18"/>
      <x:c r="T17" s="18"/>
      <x:c r="U17" s="18"/>
      <x:c r="V17" s="18" t="str">
        <x:v>LIU21_TEAS_vs_CTRL_VASREST24</x:v>
      </x:c>
      <x:c r="W17" s="18" t="n">
        <x:v>1</x:v>
      </x:c>
      <x:c r="X17" s="18" t="str">
        <x:v>MATCHED</x:v>
      </x:c>
      <x:c r="Y17" s="18" t="str">
        <x:v>Existing v20 row(s) represent this source-verified estimand.</x:v>
      </x:c>
      <x:c r="Z17" s="18" t="str">
        <x:v>Subjective resting pain; participant masking concern drives High RoB.</x:v>
      </x:c>
      <x:c r="AA17" s="18" t="str">
        <x:v>Liu_2021_RoB2_24h_resting_pain.md</x:v>
      </x:c>
      <x:c r="AB17" s="18" t="str">
        <x:v>https://drive.google.com/file/d/1TA4BstaUWY3EdQbDNEvvGxF35ekGanrm/view?usp=drivesdk</x:v>
      </x:c>
    </x:row>
    <x:row r="18">
      <x:c r="A18" s="18" t="str">
        <x:v>C-003</x:v>
      </x:c>
      <x:c r="B18" s="18" t="str">
        <x:v>C</x:v>
      </x:c>
      <x:c r="C18" s="18" t="str">
        <x:v>Zhou 2021</x:v>
      </x:c>
      <x:c r="D18" s="18" t="str">
        <x:v>Zhou 2021</x:v>
      </x:c>
      <x:c r="E18" s="18" t="str">
        <x:v>Eligibility audit</x:v>
      </x:c>
      <x:c r="F18" s="18" t="str">
        <x:v>~24 h/POD1</x:v>
      </x:c>
      <x:c r="G18" s="18" t="str">
        <x:v>—</x:v>
      </x:c>
      <x:c r="H18" s="18" t="str">
        <x:v>—</x:v>
      </x:c>
      <x:c r="I18" s="18" t="str">
        <x:v>—</x:v>
      </x:c>
      <x:c r="J18" s="18" t="str">
        <x:v>—</x:v>
      </x:c>
      <x:c r="K18" s="18" t="str">
        <x:v>—</x:v>
      </x:c>
      <x:c r="L18" s="18" t="str">
        <x:v>—</x:v>
      </x:c>
      <x:c r="M18" s="18" t="str">
        <x:v>—</x:v>
      </x:c>
      <x:c r="N18" s="18" t="str">
        <x:v>C_rest_pain_~24h</x:v>
      </x:c>
      <x:c r="O18" s="18" t="str">
        <x:v>EXCLUDE</x:v>
      </x:c>
      <x:c r="P18" s="18" t="n">
        <x:v>0</x:v>
      </x:c>
      <x:c r="Q18" s="18" t="n">
        <x:v>0</x:v>
      </x:c>
      <x:c r="R18" s="18" t="n">
        <x:v>1</x:v>
      </x:c>
      <x:c r="S18" s="18" t="str">
        <x:v>EXCLUDE</x:v>
      </x:c>
      <x:c r="T18" s="18"/>
      <x:c r="U18" s="18"/>
      <x:c r="V18" s="18"/>
      <x:c r="W18" s="18" t="n">
        <x:v>0</x:v>
      </x:c>
      <x:c r="X18" s="18" t="str">
        <x:v>NO_DATA_ROW_REQUIRED</x:v>
      </x:c>
      <x:c r="Y18" s="18" t="str">
        <x:v>Eligibility/exclusion decision only; no new numerical outcome row required.</x:v>
      </x:c>
      <x:c r="Z18" s="18" t="str">
        <x:v>POD1 pain not explicitly at rest</x:v>
      </x:c>
      <x:c r="AA18" s="18" t="str">
        <x:v>—</x:v>
      </x:c>
      <x:c r="AB18" s="18"/>
    </x:row>
    <x:row r="19">
      <x:c r="A19" s="18" t="str">
        <x:v>C-004</x:v>
      </x:c>
      <x:c r="B19" s="18" t="str">
        <x:v>C</x:v>
      </x:c>
      <x:c r="C19" s="18" t="str">
        <x:v>Wu 2022</x:v>
      </x:c>
      <x:c r="D19" s="18" t="str">
        <x:v>Wu 2022</x:v>
      </x:c>
      <x:c r="E19" s="18" t="str">
        <x:v>Eligibility audit</x:v>
      </x:c>
      <x:c r="F19" s="18" t="str">
        <x:v>~24 h/POD1</x:v>
      </x:c>
      <x:c r="G19" s="18" t="str">
        <x:v>—</x:v>
      </x:c>
      <x:c r="H19" s="18" t="str">
        <x:v>—</x:v>
      </x:c>
      <x:c r="I19" s="18" t="str">
        <x:v>—</x:v>
      </x:c>
      <x:c r="J19" s="18" t="str">
        <x:v>—</x:v>
      </x:c>
      <x:c r="K19" s="18" t="str">
        <x:v>—</x:v>
      </x:c>
      <x:c r="L19" s="18" t="str">
        <x:v>—</x:v>
      </x:c>
      <x:c r="M19" s="18" t="str">
        <x:v>—</x:v>
      </x:c>
      <x:c r="N19" s="18" t="str">
        <x:v>C_rest_pain_~24h</x:v>
      </x:c>
      <x:c r="O19" s="18" t="str">
        <x:v>EXCLUDE</x:v>
      </x:c>
      <x:c r="P19" s="18" t="n">
        <x:v>0</x:v>
      </x:c>
      <x:c r="Q19" s="18" t="n">
        <x:v>0</x:v>
      </x:c>
      <x:c r="R19" s="18" t="n">
        <x:v>1</x:v>
      </x:c>
      <x:c r="S19" s="18" t="str">
        <x:v>EXCLUDE</x:v>
      </x:c>
      <x:c r="T19" s="18"/>
      <x:c r="U19" s="18"/>
      <x:c r="V19" s="18"/>
      <x:c r="W19" s="18" t="n">
        <x:v>0</x:v>
      </x:c>
      <x:c r="X19" s="18" t="str">
        <x:v>NO_DATA_ROW_REQUIRED</x:v>
      </x:c>
      <x:c r="Y19" s="18" t="str">
        <x:v>Eligibility/exclusion decision only; no new numerical outcome row required.</x:v>
      </x:c>
      <x:c r="Z19" s="18" t="str">
        <x:v>POD1 pain not explicitly at rest</x:v>
      </x:c>
      <x:c r="AA19" s="18" t="str">
        <x:v>—</x:v>
      </x:c>
      <x:c r="AB19" s="18"/>
    </x:row>
    <x:row r="20">
      <x:c r="A20" s="18" t="str">
        <x:v>C-005</x:v>
      </x:c>
      <x:c r="B20" s="18" t="str">
        <x:v>C</x:v>
      </x:c>
      <x:c r="C20" s="18" t="str">
        <x:v>Wu 2025</x:v>
      </x:c>
      <x:c r="D20" s="18" t="str">
        <x:v>Wu 2025</x:v>
      </x:c>
      <x:c r="E20" s="18" t="str">
        <x:v>Eligibility audit</x:v>
      </x:c>
      <x:c r="F20" s="18" t="str">
        <x:v>~24 h/POD1</x:v>
      </x:c>
      <x:c r="G20" s="18" t="str">
        <x:v>—</x:v>
      </x:c>
      <x:c r="H20" s="18" t="str">
        <x:v>—</x:v>
      </x:c>
      <x:c r="I20" s="18" t="str">
        <x:v>—</x:v>
      </x:c>
      <x:c r="J20" s="18" t="str">
        <x:v>—</x:v>
      </x:c>
      <x:c r="K20" s="18" t="str">
        <x:v>—</x:v>
      </x:c>
      <x:c r="L20" s="18" t="str">
        <x:v>—</x:v>
      </x:c>
      <x:c r="M20" s="18" t="str">
        <x:v>—</x:v>
      </x:c>
      <x:c r="N20" s="18" t="str">
        <x:v>C_rest_pain_~24h</x:v>
      </x:c>
      <x:c r="O20" s="18" t="str">
        <x:v>EXCLUDE</x:v>
      </x:c>
      <x:c r="P20" s="18" t="n">
        <x:v>0</x:v>
      </x:c>
      <x:c r="Q20" s="18" t="n">
        <x:v>0</x:v>
      </x:c>
      <x:c r="R20" s="18" t="n">
        <x:v>1</x:v>
      </x:c>
      <x:c r="S20" s="18" t="str">
        <x:v>EXCLUDE</x:v>
      </x:c>
      <x:c r="T20" s="18"/>
      <x:c r="U20" s="18"/>
      <x:c r="V20" s="18"/>
      <x:c r="W20" s="18" t="n">
        <x:v>0</x:v>
      </x:c>
      <x:c r="X20" s="18" t="str">
        <x:v>NO_DATA_ROW_REQUIRED</x:v>
      </x:c>
      <x:c r="Y20" s="18" t="str">
        <x:v>Eligibility/exclusion decision only; no new numerical outcome row required.</x:v>
      </x:c>
      <x:c r="Z20" s="18" t="str">
        <x:v>24-h pain not explicitly at rest</x:v>
      </x:c>
      <x:c r="AA20" s="18" t="str">
        <x:v>—</x:v>
      </x:c>
      <x:c r="AB20" s="18"/>
    </x:row>
    <x:row r="21">
      <x:c r="A21" s="18" t="str">
        <x:v>C-006</x:v>
      </x:c>
      <x:c r="B21" s="18" t="str">
        <x:v>C</x:v>
      </x:c>
      <x:c r="C21" s="18" t="str">
        <x:v>Ng 2013</x:v>
      </x:c>
      <x:c r="D21" s="18" t="str">
        <x:v>Ng 2013</x:v>
      </x:c>
      <x:c r="E21" s="18" t="str">
        <x:v>Eligibility audit</x:v>
      </x:c>
      <x:c r="F21" s="18" t="str">
        <x:v>~24 h/POD1</x:v>
      </x:c>
      <x:c r="G21" s="18" t="str">
        <x:v>—</x:v>
      </x:c>
      <x:c r="H21" s="18" t="str">
        <x:v>—</x:v>
      </x:c>
      <x:c r="I21" s="18" t="str">
        <x:v>—</x:v>
      </x:c>
      <x:c r="J21" s="18" t="str">
        <x:v>—</x:v>
      </x:c>
      <x:c r="K21" s="18" t="str">
        <x:v>—</x:v>
      </x:c>
      <x:c r="L21" s="18" t="str">
        <x:v>—</x:v>
      </x:c>
      <x:c r="M21" s="18" t="str">
        <x:v>—</x:v>
      </x:c>
      <x:c r="N21" s="18" t="str">
        <x:v>C_rest_pain_~24h</x:v>
      </x:c>
      <x:c r="O21" s="18" t="str">
        <x:v>EXCLUDE</x:v>
      </x:c>
      <x:c r="P21" s="18" t="n">
        <x:v>0</x:v>
      </x:c>
      <x:c r="Q21" s="18" t="n">
        <x:v>0</x:v>
      </x:c>
      <x:c r="R21" s="18" t="n">
        <x:v>1</x:v>
      </x:c>
      <x:c r="S21" s="18" t="str">
        <x:v>EXCLUDE</x:v>
      </x:c>
      <x:c r="T21" s="18"/>
      <x:c r="U21" s="18"/>
      <x:c r="V21" s="18"/>
      <x:c r="W21" s="18" t="n">
        <x:v>0</x:v>
      </x:c>
      <x:c r="X21" s="18" t="str">
        <x:v>NO_DATA_ROW_REQUIRED</x:v>
      </x:c>
      <x:c r="Y21" s="18" t="str">
        <x:v>Eligibility/exclusion decision only; no new numerical outcome row required.</x:v>
      </x:c>
      <x:c r="Z21" s="18" t="str">
        <x:v>POD1 pain not explicitly at rest</x:v>
      </x:c>
      <x:c r="AA21" s="18" t="str">
        <x:v>—</x:v>
      </x:c>
      <x:c r="AB21" s="18"/>
    </x:row>
    <x:row r="22">
      <x:c r="A22" s="18" t="str">
        <x:v>C-007</x:v>
      </x:c>
      <x:c r="B22" s="18" t="str">
        <x:v>C</x:v>
      </x:c>
      <x:c r="C22" s="18" t="str">
        <x:v>Luo 2026</x:v>
      </x:c>
      <x:c r="D22" s="18" t="str">
        <x:v>Luo 2026</x:v>
      </x:c>
      <x:c r="E22" s="18" t="str">
        <x:v>Eligibility audit</x:v>
      </x:c>
      <x:c r="F22" s="18" t="str">
        <x:v>~24 h/POD1</x:v>
      </x:c>
      <x:c r="G22" s="18" t="str">
        <x:v>—</x:v>
      </x:c>
      <x:c r="H22" s="18" t="str">
        <x:v>—</x:v>
      </x:c>
      <x:c r="I22" s="18" t="str">
        <x:v>—</x:v>
      </x:c>
      <x:c r="J22" s="18" t="str">
        <x:v>—</x:v>
      </x:c>
      <x:c r="K22" s="18" t="str">
        <x:v>—</x:v>
      </x:c>
      <x:c r="L22" s="18" t="str">
        <x:v>—</x:v>
      </x:c>
      <x:c r="M22" s="18" t="str">
        <x:v>—</x:v>
      </x:c>
      <x:c r="N22" s="18" t="str">
        <x:v>C_rest_pain_~24h</x:v>
      </x:c>
      <x:c r="O22" s="18" t="str">
        <x:v>EXCLUDE</x:v>
      </x:c>
      <x:c r="P22" s="18" t="n">
        <x:v>0</x:v>
      </x:c>
      <x:c r="Q22" s="18" t="n">
        <x:v>0</x:v>
      </x:c>
      <x:c r="R22" s="18" t="n">
        <x:v>1</x:v>
      </x:c>
      <x:c r="S22" s="18" t="str">
        <x:v>EXCLUDE</x:v>
      </x:c>
      <x:c r="T22" s="18"/>
      <x:c r="U22" s="18"/>
      <x:c r="V22" s="18"/>
      <x:c r="W22" s="18" t="n">
        <x:v>0</x:v>
      </x:c>
      <x:c r="X22" s="18" t="str">
        <x:v>NO_DATA_ROW_REQUIRED</x:v>
      </x:c>
      <x:c r="Y22" s="18" t="str">
        <x:v>Eligibility/exclusion decision only; no new numerical outcome row required.</x:v>
      </x:c>
      <x:c r="Z22" s="18" t="str">
        <x:v>24-h pain not explicitly at rest</x:v>
      </x:c>
      <x:c r="AA22" s="18" t="str">
        <x:v>—</x:v>
      </x:c>
      <x:c r="AB22" s="18"/>
    </x:row>
    <x:row r="23">
      <x:c r="A23" s="18" t="str">
        <x:v>C-008</x:v>
      </x:c>
      <x:c r="B23" s="18" t="str">
        <x:v>C</x:v>
      </x:c>
      <x:c r="C23" s="18" t="str">
        <x:v>Long 2025</x:v>
      </x:c>
      <x:c r="D23" s="18" t="str">
        <x:v>Long 2025</x:v>
      </x:c>
      <x:c r="E23" s="18" t="str">
        <x:v>Eligibility audit</x:v>
      </x:c>
      <x:c r="F23" s="18" t="str">
        <x:v>~24 h/POD1</x:v>
      </x:c>
      <x:c r="G23" s="18" t="str">
        <x:v>—</x:v>
      </x:c>
      <x:c r="H23" s="18" t="str">
        <x:v>—</x:v>
      </x:c>
      <x:c r="I23" s="18" t="str">
        <x:v>—</x:v>
      </x:c>
      <x:c r="J23" s="18" t="str">
        <x:v>—</x:v>
      </x:c>
      <x:c r="K23" s="18" t="str">
        <x:v>—</x:v>
      </x:c>
      <x:c r="L23" s="18" t="str">
        <x:v>—</x:v>
      </x:c>
      <x:c r="M23" s="18" t="str">
        <x:v>—</x:v>
      </x:c>
      <x:c r="N23" s="18" t="str">
        <x:v>C_rest_pain_~24h</x:v>
      </x:c>
      <x:c r="O23" s="18" t="str">
        <x:v>EXCLUDE</x:v>
      </x:c>
      <x:c r="P23" s="18" t="n">
        <x:v>0</x:v>
      </x:c>
      <x:c r="Q23" s="18" t="n">
        <x:v>0</x:v>
      </x:c>
      <x:c r="R23" s="18" t="n">
        <x:v>1</x:v>
      </x:c>
      <x:c r="S23" s="18" t="str">
        <x:v>EXCLUDE</x:v>
      </x:c>
      <x:c r="T23" s="18"/>
      <x:c r="U23" s="18"/>
      <x:c r="V23" s="18"/>
      <x:c r="W23" s="18" t="n">
        <x:v>0</x:v>
      </x:c>
      <x:c r="X23" s="18" t="str">
        <x:v>NO_DATA_ROW_REQUIRED</x:v>
      </x:c>
      <x:c r="Y23" s="18" t="str">
        <x:v>Eligibility/exclusion decision only; no new numerical outcome row required.</x:v>
      </x:c>
      <x:c r="Z23" s="18" t="str">
        <x:v>24-h pain not explicitly at rest</x:v>
      </x:c>
      <x:c r="AA23" s="18" t="str">
        <x:v>—</x:v>
      </x:c>
      <x:c r="AB23" s="18"/>
    </x:row>
    <x:row r="24">
      <x:c r="A24" s="18" t="str">
        <x:v>C-009</x:v>
      </x:c>
      <x:c r="B24" s="18" t="str">
        <x:v>C</x:v>
      </x:c>
      <x:c r="C24" s="18" t="str">
        <x:v>Liu 2026 (ESD)</x:v>
      </x:c>
      <x:c r="D24" s="18" t="str">
        <x:v>Liu 2026 ESD</x:v>
      </x:c>
      <x:c r="E24" s="18" t="str">
        <x:v>Eligibility audit</x:v>
      </x:c>
      <x:c r="F24" s="18" t="str">
        <x:v>~24 h/POD1</x:v>
      </x:c>
      <x:c r="G24" s="18" t="str">
        <x:v>—</x:v>
      </x:c>
      <x:c r="H24" s="18" t="str">
        <x:v>—</x:v>
      </x:c>
      <x:c r="I24" s="18" t="str">
        <x:v>—</x:v>
      </x:c>
      <x:c r="J24" s="18" t="str">
        <x:v>—</x:v>
      </x:c>
      <x:c r="K24" s="18" t="str">
        <x:v>—</x:v>
      </x:c>
      <x:c r="L24" s="18" t="str">
        <x:v>—</x:v>
      </x:c>
      <x:c r="M24" s="18" t="str">
        <x:v>—</x:v>
      </x:c>
      <x:c r="N24" s="18" t="str">
        <x:v>C_rest_pain_~24h</x:v>
      </x:c>
      <x:c r="O24" s="18" t="str">
        <x:v>EXCLUDE</x:v>
      </x:c>
      <x:c r="P24" s="18" t="n">
        <x:v>0</x:v>
      </x:c>
      <x:c r="Q24" s="18" t="n">
        <x:v>0</x:v>
      </x:c>
      <x:c r="R24" s="18" t="n">
        <x:v>1</x:v>
      </x:c>
      <x:c r="S24" s="18" t="str">
        <x:v>EXCLUDE</x:v>
      </x:c>
      <x:c r="T24" s="18"/>
      <x:c r="U24" s="18"/>
      <x:c r="V24" s="18"/>
      <x:c r="W24" s="18" t="n">
        <x:v>0</x:v>
      </x:c>
      <x:c r="X24" s="18" t="str">
        <x:v>NO_DATA_ROW_REQUIRED</x:v>
      </x:c>
      <x:c r="Y24" s="18" t="str">
        <x:v>Eligibility/exclusion decision only; no new numerical outcome row required.</x:v>
      </x:c>
      <x:c r="Z24" s="18" t="str">
        <x:v>24-h pain not explicitly at rest</x:v>
      </x:c>
      <x:c r="AA24" s="18" t="str">
        <x:v>—</x:v>
      </x:c>
      <x:c r="AB24" s="18"/>
    </x:row>
    <x:row r="25">
      <x:c r="A25" s="18" t="str">
        <x:v>D-001</x:v>
      </x:c>
      <x:c r="B25" s="18" t="str">
        <x:v>D</x:v>
      </x:c>
      <x:c r="C25" s="18" t="str">
        <x:v>Zheng 2025</x:v>
      </x:c>
      <x:c r="D25" s="18" t="str">
        <x:v>Zheng 2025</x:v>
      </x:c>
      <x:c r="E25" s="18" t="str">
        <x:v>Composite PONV incidence</x:v>
      </x:c>
      <x:c r="F25" s="18" t="str">
        <x:v>0–24 h</x:v>
      </x:c>
      <x:c r="G25" s="18" t="str">
        <x:v>18/42 vs 29/43</x:v>
      </x:c>
      <x:c r="H25" s="18" t="str">
        <x:v>Low</x:v>
      </x:c>
      <x:c r="I25" s="18" t="str">
        <x:v>Some concerns</x:v>
      </x:c>
      <x:c r="J25" s="18" t="str">
        <x:v>Low</x:v>
      </x:c>
      <x:c r="K25" s="18" t="str">
        <x:v>Some concerns</x:v>
      </x:c>
      <x:c r="L25" s="18" t="str">
        <x:v>Some concerns</x:v>
      </x:c>
      <x:c r="M25" s="18" t="str">
        <x:v>Some concerns</x:v>
      </x:c>
      <x:c r="N25" s="18" t="str">
        <x:v>D_PONV_0-24h</x:v>
      </x:c>
      <x:c r="O25" s="18" t="str">
        <x:v>PRIMARY composite 24 h</x:v>
      </x:c>
      <x:c r="P25" s="18" t="n">
        <x:v>1</x:v>
      </x:c>
      <x:c r="Q25" s="18" t="n">
        <x:v>0</x:v>
      </x:c>
      <x:c r="R25" s="18" t="n">
        <x:v>0</x:v>
      </x:c>
      <x:c r="S25" s="18"/>
      <x:c r="T25" s="18"/>
      <x:c r="U25" s="18"/>
      <x:c r="V25" s="18" t="str">
        <x:v>ZHENG25_TEAS_vs_SHAM_PONV</x:v>
      </x:c>
      <x:c r="W25" s="18" t="n">
        <x:v>1</x:v>
      </x:c>
      <x:c r="X25" s="18" t="str">
        <x:v>MATCHED</x:v>
      </x:c>
      <x:c r="Y25" s="18" t="str">
        <x:v>Existing v20 row(s) represent this source-verified estimand.</x:v>
      </x:c>
      <x:c r="Z25" s="18"/>
      <x:c r="AA25" s="18" t="str">
        <x:v>Zheng_2025_RoB2_PONV_0_24h.md</x:v>
      </x:c>
      <x:c r="AB25" s="18" t="str">
        <x:v>https://drive.google.com/file/d/1-JWKZgQXaQQQBZgMSDqyIP-vG9aAxBqb/view?usp=drivesdk</x:v>
      </x:c>
    </x:row>
    <x:row r="26">
      <x:c r="A26" s="18" t="str">
        <x:v>D-002</x:v>
      </x:c>
      <x:c r="B26" s="18" t="str">
        <x:v>D</x:v>
      </x:c>
      <x:c r="C26" s="18" t="str">
        <x:v>Lu 2021</x:v>
      </x:c>
      <x:c r="D26" s="18" t="str">
        <x:v>Lu 2021</x:v>
      </x:c>
      <x:c r="E26" s="18" t="str">
        <x:v>Composite PONV incidence</x:v>
      </x:c>
      <x:c r="F26" s="18" t="str">
        <x:v>by 24 h</x:v>
      </x:c>
      <x:c r="G26" s="18" t="str">
        <x:v>35/190 vs 68/188</x:v>
      </x:c>
      <x:c r="H26" s="18" t="str">
        <x:v>Low</x:v>
      </x:c>
      <x:c r="I26" s="18" t="str">
        <x:v>Low</x:v>
      </x:c>
      <x:c r="J26" s="18" t="str">
        <x:v>Low</x:v>
      </x:c>
      <x:c r="K26" s="18" t="str">
        <x:v>High</x:v>
      </x:c>
      <x:c r="L26" s="18" t="str">
        <x:v>Some concerns</x:v>
      </x:c>
      <x:c r="M26" s="18" t="str">
        <x:v>High</x:v>
      </x:c>
      <x:c r="N26" s="18" t="str">
        <x:v>D_PONV_0-24h</x:v>
      </x:c>
      <x:c r="O26" s="18" t="str">
        <x:v>PRIMARY composite 24 h</x:v>
      </x:c>
      <x:c r="P26" s="18" t="n">
        <x:v>1</x:v>
      </x:c>
      <x:c r="Q26" s="18" t="n">
        <x:v>0</x:v>
      </x:c>
      <x:c r="R26" s="18" t="n">
        <x:v>0</x:v>
      </x:c>
      <x:c r="S26" s="18"/>
      <x:c r="T26" s="18"/>
      <x:c r="U26" s="18"/>
      <x:c r="V26" s="18" t="str">
        <x:v>LU21_COMB_vs_SHAM_PONV24</x:v>
      </x:c>
      <x:c r="W26" s="18" t="n">
        <x:v>1</x:v>
      </x:c>
      <x:c r="X26" s="18" t="str">
        <x:v>MATCHED</x:v>
      </x:c>
      <x:c r="Y26" s="18" t="str">
        <x:v>Existing v20 row(s) represent this source-verified estimand.</x:v>
      </x:c>
      <x:c r="Z26" s="18"/>
      <x:c r="AA26" s="18" t="str">
        <x:v>Lu_2021_RoB2_PONV_24h.md</x:v>
      </x:c>
      <x:c r="AB26" s="18" t="str">
        <x:v>https://drive.google.com/file/d/1MgD_OucfiyNEDdDe3osh8W01U1yYZs08/view?usp=drivesdk</x:v>
      </x:c>
    </x:row>
    <x:row r="27">
      <x:c r="A27" s="18" t="str">
        <x:v>D-003</x:v>
      </x:c>
      <x:c r="B27" s="18" t="str">
        <x:v>D</x:v>
      </x:c>
      <x:c r="C27" s="18" t="str">
        <x:v>Xiong 2021</x:v>
      </x:c>
      <x:c r="D27" s="18" t="str">
        <x:v>Xiong 2021</x:v>
      </x:c>
      <x:c r="E27" s="18" t="str">
        <x:v>Composite PONV incidence</x:v>
      </x:c>
      <x:c r="F27" s="18" t="str">
        <x:v>0–48 h</x:v>
      </x:c>
      <x:c r="G27" s="18" t="str">
        <x:v>13/31 vs 24/31</x:v>
      </x:c>
      <x:c r="H27" s="18" t="str">
        <x:v>Some concerns</x:v>
      </x:c>
      <x:c r="I27" s="18" t="str">
        <x:v>Low</x:v>
      </x:c>
      <x:c r="J27" s="18" t="str">
        <x:v>Low</x:v>
      </x:c>
      <x:c r="K27" s="18" t="str">
        <x:v>High</x:v>
      </x:c>
      <x:c r="L27" s="18" t="str">
        <x:v>Some concerns</x:v>
      </x:c>
      <x:c r="M27" s="18" t="str">
        <x:v>High</x:v>
      </x:c>
      <x:c r="N27" s="18" t="str">
        <x:v>D_PONV_0-48h</x:v>
      </x:c>
      <x:c r="O27" s="18" t="str">
        <x:v>PRIMARY composite 48 h</x:v>
      </x:c>
      <x:c r="P27" s="18" t="n">
        <x:v>1</x:v>
      </x:c>
      <x:c r="Q27" s="18" t="n">
        <x:v>0</x:v>
      </x:c>
      <x:c r="R27" s="18" t="n">
        <x:v>0</x:v>
      </x:c>
      <x:c r="S27" s="18"/>
      <x:c r="T27" s="18"/>
      <x:c r="U27" s="18"/>
      <x:c r="V27" s="18" t="str">
        <x:v>XIONG21_TEAS_vs_CTRL_PONV48</x:v>
      </x:c>
      <x:c r="W27" s="18" t="n">
        <x:v>1</x:v>
      </x:c>
      <x:c r="X27" s="18" t="str">
        <x:v>MATCHED</x:v>
      </x:c>
      <x:c r="Y27" s="18" t="str">
        <x:v>Existing v20 row(s) represent this source-verified estimand.</x:v>
      </x:c>
      <x:c r="Z27" s="18"/>
      <x:c r="AA27" s="18" t="str">
        <x:v>Xiong_2021_RoB2_PONV_0_48h.md</x:v>
      </x:c>
      <x:c r="AB27" s="18" t="str">
        <x:v>https://drive.google.com/file/d/1sNaquYeWpsts7_e3XYP9c0CwM-tbQS6T/view?usp=drivesdk</x:v>
      </x:c>
    </x:row>
    <x:row r="28">
      <x:c r="A28" s="18" t="str">
        <x:v>D-004</x:v>
      </x:c>
      <x:c r="B28" s="18" t="str">
        <x:v>D</x:v>
      </x:c>
      <x:c r="C28" s="18" t="str">
        <x:v>Xing 2022</x:v>
      </x:c>
      <x:c r="D28" s="18" t="str">
        <x:v>Xing 2022</x:v>
      </x:c>
      <x:c r="E28" s="18" t="str">
        <x:v>Composite PONV incidence</x:v>
      </x:c>
      <x:c r="F28" s="18" t="str">
        <x:v>within 48 h</x:v>
      </x:c>
      <x:c r="G28" s="18" t="str">
        <x:v>5/29 vs 11/29</x:v>
      </x:c>
      <x:c r="H28" s="18" t="str">
        <x:v>Some concerns</x:v>
      </x:c>
      <x:c r="I28" s="18" t="str">
        <x:v>Some concerns</x:v>
      </x:c>
      <x:c r="J28" s="18" t="str">
        <x:v>Low</x:v>
      </x:c>
      <x:c r="K28" s="18" t="str">
        <x:v>High</x:v>
      </x:c>
      <x:c r="L28" s="18" t="str">
        <x:v>Some concerns</x:v>
      </x:c>
      <x:c r="M28" s="18" t="str">
        <x:v>High</x:v>
      </x:c>
      <x:c r="N28" s="18" t="str">
        <x:v>D_PONV_0-48h</x:v>
      </x:c>
      <x:c r="O28" s="18" t="str">
        <x:v>PRIMARY composite 48 h</x:v>
      </x:c>
      <x:c r="P28" s="18" t="n">
        <x:v>1</x:v>
      </x:c>
      <x:c r="Q28" s="18" t="n">
        <x:v>0</x:v>
      </x:c>
      <x:c r="R28" s="18" t="n">
        <x:v>0</x:v>
      </x:c>
      <x:c r="S28" s="18"/>
      <x:c r="T28" s="18"/>
      <x:c r="U28" s="18"/>
      <x:c r="V28" s="18" t="str">
        <x:v>XING22_NTG_vs_NG_PONV</x:v>
      </x:c>
      <x:c r="W28" s="18" t="n">
        <x:v>1</x:v>
      </x:c>
      <x:c r="X28" s="18" t="str">
        <x:v>MATCHED</x:v>
      </x:c>
      <x:c r="Y28" s="18" t="str">
        <x:v>Existing v20 row(s) represent this source-verified estimand.</x:v>
      </x:c>
      <x:c r="Z28" s="18"/>
      <x:c r="AA28" s="18" t="str">
        <x:v>Xing_2022_RoB2_PONV_0_48h.md</x:v>
      </x:c>
      <x:c r="AB28" s="18" t="str">
        <x:v>https://drive.google.com/file/d/1h3IGpQ56nSh7H16xBEVyTzCBkWOXRSxK/view?usp=drivesdk</x:v>
      </x:c>
    </x:row>
    <x:row r="29">
      <x:c r="A29" s="18" t="str">
        <x:v>D-005</x:v>
      </x:c>
      <x:c r="B29" s="18" t="str">
        <x:v>D</x:v>
      </x:c>
      <x:c r="C29" s="18" t="str">
        <x:v>Zhou 2025</x:v>
      </x:c>
      <x:c r="D29" s="18" t="str">
        <x:v>Zhou 2025</x:v>
      </x:c>
      <x:c r="E29" s="18" t="str">
        <x:v>Composite PONV incidence</x:v>
      </x:c>
      <x:c r="F29" s="18" t="str">
        <x:v>POD1</x:v>
      </x:c>
      <x:c r="G29" s="18" t="str">
        <x:v>10/48 vs 19/49</x:v>
      </x:c>
      <x:c r="H29" s="18" t="str">
        <x:v>Low</x:v>
      </x:c>
      <x:c r="I29" s="18" t="str">
        <x:v>Low</x:v>
      </x:c>
      <x:c r="J29" s="18" t="str">
        <x:v>Low</x:v>
      </x:c>
      <x:c r="K29" s="18" t="str">
        <x:v>Some concerns</x:v>
      </x:c>
      <x:c r="L29" s="18" t="str">
        <x:v>Some concerns</x:v>
      </x:c>
      <x:c r="M29" s="18" t="str">
        <x:v>Some concerns</x:v>
      </x:c>
      <x:c r="N29" s="18" t="str">
        <x:v>D_PONV_other</x:v>
      </x:c>
      <x:c r="O29" s="18" t="str">
        <x:v>SENSITIVITY / near 24 h</x:v>
      </x:c>
      <x:c r="P29" s="18" t="n">
        <x:v>0</x:v>
      </x:c>
      <x:c r="Q29" s="18" t="n">
        <x:v>1</x:v>
      </x:c>
      <x:c r="R29" s="18" t="n">
        <x:v>0</x:v>
      </x:c>
      <x:c r="S29" s="18"/>
      <x:c r="T29" s="18" t="str">
        <x:v>P2</x:v>
      </x:c>
      <x:c r="U29" s="18"/>
      <x:c r="V29" s="18" t="str">
        <x:v>ZHOU25_TEAS_vs_SHAM_PONV</x:v>
      </x:c>
      <x:c r="W29" s="18" t="n">
        <x:v>1</x:v>
      </x:c>
      <x:c r="X29" s="18" t="str">
        <x:v>MATCHED</x:v>
      </x:c>
      <x:c r="Y29" s="18" t="str">
        <x:v>Existing v20 row(s) represent this source-verified estimand.</x:v>
      </x:c>
      <x:c r="Z29" s="18" t="str">
        <x:v>POD1 not explicitly 0–24 h.</x:v>
      </x:c>
      <x:c r="AA29" s="18" t="str">
        <x:v>Zhou_2025_RoB2_PONV_POD1.md</x:v>
      </x:c>
      <x:c r="AB29" s="18" t="str">
        <x:v>https://drive.google.com/file/d/1gpNBuoukUttXKWiAAeZSqdIaaHSMOwDU/view?usp=drivesdk</x:v>
      </x:c>
    </x:row>
    <x:row r="30">
      <x:c r="A30" s="18" t="str">
        <x:v>D-006</x:v>
      </x:c>
      <x:c r="B30" s="18" t="str">
        <x:v>D</x:v>
      </x:c>
      <x:c r="C30" s="18" t="str">
        <x:v>Yang 2024</x:v>
      </x:c>
      <x:c r="D30" s="18" t="str">
        <x:v>Yang 2024</x:v>
      </x:c>
      <x:c r="E30" s="18" t="str">
        <x:v>Nausea incidence</x:v>
      </x:c>
      <x:c r="F30" s="18" t="str">
        <x:v>0–24 h</x:v>
      </x:c>
      <x:c r="G30" s="18" t="str">
        <x:v>24/90 vs 40/90</x:v>
      </x:c>
      <x:c r="H30" s="18" t="str">
        <x:v>Low</x:v>
      </x:c>
      <x:c r="I30" s="18" t="str">
        <x:v>Low</x:v>
      </x:c>
      <x:c r="J30" s="18" t="str">
        <x:v>Low</x:v>
      </x:c>
      <x:c r="K30" s="18" t="str">
        <x:v>High</x:v>
      </x:c>
      <x:c r="L30" s="18" t="str">
        <x:v>Some concerns</x:v>
      </x:c>
      <x:c r="M30" s="18" t="str">
        <x:v>High</x:v>
      </x:c>
      <x:c r="N30" s="18" t="str">
        <x:v>D_nausea_0-24h</x:v>
      </x:c>
      <x:c r="O30" s="18" t="str">
        <x:v>SEPARATE nausea</x:v>
      </x:c>
      <x:c r="P30" s="18" t="n">
        <x:v>1</x:v>
      </x:c>
      <x:c r="Q30" s="18" t="n">
        <x:v>0</x:v>
      </x:c>
      <x:c r="R30" s="18" t="n">
        <x:v>0</x:v>
      </x:c>
      <x:c r="S30" s="18"/>
      <x:c r="T30" s="18"/>
      <x:c r="U30" s="18"/>
      <x:c r="V30" s="18" t="str">
        <x:v>YANG24_EA_vs_UC_NAUSEA24</x:v>
      </x:c>
      <x:c r="W30" s="18" t="n">
        <x:v>1</x:v>
      </x:c>
      <x:c r="X30" s="18" t="str">
        <x:v>NORMALIZED_V22</x:v>
      </x:c>
      <x:c r="Y30" s="18" t="str">
        <x:v>Normalized into Outcome_Data_AF_LOCK in v22 (1 new source-scale row(s)); original v20 Outcome_Data remains unchanged.</x:v>
      </x:c>
      <x:c r="Z30" s="18"/>
      <x:c r="AA30" s="18" t="str">
        <x:v>Yang_2024_RoB2_nausea_0_24h.md</x:v>
      </x:c>
      <x:c r="AB30" s="18"/>
    </x:row>
    <x:row r="31">
      <x:c r="A31" s="18" t="str">
        <x:v>D-007</x:v>
      </x:c>
      <x:c r="B31" s="18" t="str">
        <x:v>D</x:v>
      </x:c>
      <x:c r="C31" s="18" t="str">
        <x:v>Ma 2026</x:v>
      </x:c>
      <x:c r="D31" s="18" t="str">
        <x:v>Ma 2026</x:v>
      </x:c>
      <x:c r="E31" s="18" t="str">
        <x:v>Nausea incidence</x:v>
      </x:c>
      <x:c r="F31" s="18" t="str">
        <x:v>0–24 h</x:v>
      </x:c>
      <x:c r="G31" s="18" t="str">
        <x:v>6/17 vs 8/16</x:v>
      </x:c>
      <x:c r="H31" s="18" t="str">
        <x:v>Some concerns</x:v>
      </x:c>
      <x:c r="I31" s="18" t="str">
        <x:v>Some concerns</x:v>
      </x:c>
      <x:c r="J31" s="18" t="str">
        <x:v>Low</x:v>
      </x:c>
      <x:c r="K31" s="18" t="str">
        <x:v>High</x:v>
      </x:c>
      <x:c r="L31" s="18" t="str">
        <x:v>Some concerns</x:v>
      </x:c>
      <x:c r="M31" s="18" t="str">
        <x:v>High</x:v>
      </x:c>
      <x:c r="N31" s="18" t="str">
        <x:v>D_nausea_0-24h</x:v>
      </x:c>
      <x:c r="O31" s="18" t="str">
        <x:v>SEPARATE nausea</x:v>
      </x:c>
      <x:c r="P31" s="18" t="n">
        <x:v>1</x:v>
      </x:c>
      <x:c r="Q31" s="18" t="n">
        <x:v>0</x:v>
      </x:c>
      <x:c r="R31" s="18" t="n">
        <x:v>0</x:v>
      </x:c>
      <x:c r="S31" s="18"/>
      <x:c r="T31" s="18"/>
      <x:c r="U31" s="18"/>
      <x:c r="V31" s="18" t="str">
        <x:v>MA26_T_vs_S_NAUSEA24</x:v>
      </x:c>
      <x:c r="W31" s="18" t="n">
        <x:v>1</x:v>
      </x:c>
      <x:c r="X31" s="18" t="str">
        <x:v>MATCHED</x:v>
      </x:c>
      <x:c r="Y31" s="18" t="str">
        <x:v>Existing v20 row(s) represent this source-verified estimand.</x:v>
      </x:c>
      <x:c r="Z31" s="18"/>
      <x:c r="AA31" s="18" t="str">
        <x:v>Ma_2026_RoB2_nausea_0_24h.md</x:v>
      </x:c>
      <x:c r="AB31" s="18" t="str">
        <x:v>https://drive.google.com/file/d/1tMEOwvRWIMeEmBmKfeHEt7YF10yxslUe/view?usp=drivesdk</x:v>
      </x:c>
    </x:row>
    <x:row r="32">
      <x:c r="A32" s="18" t="str">
        <x:v>D-008</x:v>
      </x:c>
      <x:c r="B32" s="18" t="str">
        <x:v>D</x:v>
      </x:c>
      <x:c r="C32" s="18" t="str">
        <x:v>Luo 2026</x:v>
      </x:c>
      <x:c r="D32" s="18" t="str">
        <x:v>Luo 2026</x:v>
      </x:c>
      <x:c r="E32" s="18" t="str">
        <x:v>Nausea incidence</x:v>
      </x:c>
      <x:c r="F32" s="18" t="str">
        <x:v>0–48 h</x:v>
      </x:c>
      <x:c r="G32" s="18" t="str">
        <x:v>24/138 vs 53/139</x:v>
      </x:c>
      <x:c r="H32" s="18" t="str">
        <x:v>Low</x:v>
      </x:c>
      <x:c r="I32" s="18" t="str">
        <x:v>Low</x:v>
      </x:c>
      <x:c r="J32" s="18" t="str">
        <x:v>Low</x:v>
      </x:c>
      <x:c r="K32" s="18" t="str">
        <x:v>High</x:v>
      </x:c>
      <x:c r="L32" s="18" t="str">
        <x:v>Some concerns</x:v>
      </x:c>
      <x:c r="M32" s="18" t="str">
        <x:v>High</x:v>
      </x:c>
      <x:c r="N32" s="18" t="str">
        <x:v>D_nausea_0-48h</x:v>
      </x:c>
      <x:c r="O32" s="18" t="str">
        <x:v>SEPARATE nausea</x:v>
      </x:c>
      <x:c r="P32" s="18" t="n">
        <x:v>1</x:v>
      </x:c>
      <x:c r="Q32" s="18" t="n">
        <x:v>0</x:v>
      </x:c>
      <x:c r="R32" s="18" t="n">
        <x:v>0</x:v>
      </x:c>
      <x:c r="S32" s="18"/>
      <x:c r="T32" s="18"/>
      <x:c r="U32" s="18"/>
      <x:c r="V32" s="18" t="str">
        <x:v>LUO26_TEAS_vs_SHAM_NAUSEA48</x:v>
      </x:c>
      <x:c r="W32" s="18" t="n">
        <x:v>1</x:v>
      </x:c>
      <x:c r="X32" s="18" t="str">
        <x:v>MATCHED</x:v>
      </x:c>
      <x:c r="Y32" s="18" t="str">
        <x:v>Existing v20 row(s) represent this source-verified estimand.</x:v>
      </x:c>
      <x:c r="Z32" s="18"/>
      <x:c r="AA32" s="18" t="str">
        <x:v>Luo_2026_RoB2_nausea_0_48h.md</x:v>
      </x:c>
      <x:c r="AB32" s="18" t="str">
        <x:v>https://drive.google.com/file/d/1xxZle6mPpcnmHLblJbsy1kA4CyQHpvm2/view?usp=drivesdk</x:v>
      </x:c>
    </x:row>
    <x:row r="33">
      <x:c r="A33" s="18" t="str">
        <x:v>D-009</x:v>
      </x:c>
      <x:c r="B33" s="18" t="str">
        <x:v>D</x:v>
      </x:c>
      <x:c r="C33" s="18" t="str">
        <x:v>Yang 2024</x:v>
      </x:c>
      <x:c r="D33" s="18" t="str">
        <x:v>Yang 2024</x:v>
      </x:c>
      <x:c r="E33" s="18" t="str">
        <x:v>Vomiting incidence</x:v>
      </x:c>
      <x:c r="F33" s="18" t="str">
        <x:v>0–24 h</x:v>
      </x:c>
      <x:c r="G33" s="18" t="str">
        <x:v>12/90 vs 25/90</x:v>
      </x:c>
      <x:c r="H33" s="18" t="str">
        <x:v>Low</x:v>
      </x:c>
      <x:c r="I33" s="18" t="str">
        <x:v>Low</x:v>
      </x:c>
      <x:c r="J33" s="18" t="str">
        <x:v>Low</x:v>
      </x:c>
      <x:c r="K33" s="18" t="str">
        <x:v>Some concerns</x:v>
      </x:c>
      <x:c r="L33" s="18" t="str">
        <x:v>Some concerns</x:v>
      </x:c>
      <x:c r="M33" s="18" t="str">
        <x:v>Some concerns</x:v>
      </x:c>
      <x:c r="N33" s="18" t="str">
        <x:v>D_vomiting_0-24h</x:v>
      </x:c>
      <x:c r="O33" s="18" t="str">
        <x:v>SEPARATE vomiting</x:v>
      </x:c>
      <x:c r="P33" s="18" t="n">
        <x:v>1</x:v>
      </x:c>
      <x:c r="Q33" s="18" t="n">
        <x:v>0</x:v>
      </x:c>
      <x:c r="R33" s="18" t="n">
        <x:v>0</x:v>
      </x:c>
      <x:c r="S33" s="18"/>
      <x:c r="T33" s="18"/>
      <x:c r="U33" s="18"/>
      <x:c r="V33" s="18" t="str">
        <x:v>YANG24_EA_vs_UC_VOMIT</x:v>
      </x:c>
      <x:c r="W33" s="18" t="n">
        <x:v>1</x:v>
      </x:c>
      <x:c r="X33" s="18" t="str">
        <x:v>CORRECTED_V22</x:v>
      </x:c>
      <x:c r="Y33" s="18" t="str">
        <x:v>Existing v20 row retained in original Outcome_Data; source-level value/window correction applied only in Outcome_Data_AF_LOCK v22.</x:v>
      </x:c>
      <x:c r="Z33" s="18"/>
      <x:c r="AA33" s="18" t="str">
        <x:v>Yang_2024_RoB2_vomiting_0_24h.md</x:v>
      </x:c>
      <x:c r="AB33" s="18" t="str">
        <x:v>https://drive.google.com/file/d/160N3psd5tLEphwXHJzUEZ3uJfaIXcs5V/view?usp=drivesdk</x:v>
      </x:c>
    </x:row>
    <x:row r="34">
      <x:c r="A34" s="18" t="str">
        <x:v>D-010</x:v>
      </x:c>
      <x:c r="B34" s="18" t="str">
        <x:v>D</x:v>
      </x:c>
      <x:c r="C34" s="18" t="str">
        <x:v>Ma 2026</x:v>
      </x:c>
      <x:c r="D34" s="18" t="str">
        <x:v>Ma 2026</x:v>
      </x:c>
      <x:c r="E34" s="18" t="str">
        <x:v>Vomiting incidence</x:v>
      </x:c>
      <x:c r="F34" s="18" t="str">
        <x:v>0–24 h</x:v>
      </x:c>
      <x:c r="G34" s="18" t="str">
        <x:v>6/17 vs 7/16</x:v>
      </x:c>
      <x:c r="H34" s="18" t="str">
        <x:v>Some concerns</x:v>
      </x:c>
      <x:c r="I34" s="18" t="str">
        <x:v>Some concerns</x:v>
      </x:c>
      <x:c r="J34" s="18" t="str">
        <x:v>Low</x:v>
      </x:c>
      <x:c r="K34" s="18" t="str">
        <x:v>Some concerns</x:v>
      </x:c>
      <x:c r="L34" s="18" t="str">
        <x:v>Some concerns</x:v>
      </x:c>
      <x:c r="M34" s="18" t="str">
        <x:v>Some concerns</x:v>
      </x:c>
      <x:c r="N34" s="18" t="str">
        <x:v>D_vomiting_0-24h</x:v>
      </x:c>
      <x:c r="O34" s="18" t="str">
        <x:v>SEPARATE vomiting</x:v>
      </x:c>
      <x:c r="P34" s="18" t="n">
        <x:v>1</x:v>
      </x:c>
      <x:c r="Q34" s="18" t="n">
        <x:v>0</x:v>
      </x:c>
      <x:c r="R34" s="18" t="n">
        <x:v>0</x:v>
      </x:c>
      <x:c r="S34" s="18"/>
      <x:c r="T34" s="18"/>
      <x:c r="U34" s="18"/>
      <x:c r="V34" s="18" t="str">
        <x:v>MA26_T_vs_S_VOMIT24</x:v>
      </x:c>
      <x:c r="W34" s="18" t="n">
        <x:v>1</x:v>
      </x:c>
      <x:c r="X34" s="18" t="str">
        <x:v>MATCHED</x:v>
      </x:c>
      <x:c r="Y34" s="18" t="str">
        <x:v>Existing v20 row(s) represent this source-verified estimand.</x:v>
      </x:c>
      <x:c r="Z34" s="18"/>
      <x:c r="AA34" s="18" t="str">
        <x:v>Ma_2026_RoB2_vomiting_0_24h.md</x:v>
      </x:c>
      <x:c r="AB34" s="18" t="str">
        <x:v>https://drive.google.com/file/d/1tMEOwvRWIMeEmBmKfeHEt7YF10yxslUe/view?usp=drivesdk</x:v>
      </x:c>
    </x:row>
    <x:row r="35">
      <x:c r="A35" s="18" t="str">
        <x:v>D-011</x:v>
      </x:c>
      <x:c r="B35" s="18" t="str">
        <x:v>D</x:v>
      </x:c>
      <x:c r="C35" s="18" t="str">
        <x:v>Luo 2026</x:v>
      </x:c>
      <x:c r="D35" s="18" t="str">
        <x:v>Luo 2026</x:v>
      </x:c>
      <x:c r="E35" s="18" t="str">
        <x:v>Vomiting incidence</x:v>
      </x:c>
      <x:c r="F35" s="18" t="str">
        <x:v>0–48 h</x:v>
      </x:c>
      <x:c r="G35" s="18" t="str">
        <x:v>9/138 vs 27/139</x:v>
      </x:c>
      <x:c r="H35" s="18" t="str">
        <x:v>Low</x:v>
      </x:c>
      <x:c r="I35" s="18" t="str">
        <x:v>Low</x:v>
      </x:c>
      <x:c r="J35" s="18" t="str">
        <x:v>Low</x:v>
      </x:c>
      <x:c r="K35" s="18" t="str">
        <x:v>Some concerns</x:v>
      </x:c>
      <x:c r="L35" s="18" t="str">
        <x:v>Some concerns</x:v>
      </x:c>
      <x:c r="M35" s="18" t="str">
        <x:v>Some concerns</x:v>
      </x:c>
      <x:c r="N35" s="18" t="str">
        <x:v>D_vomiting_0-48h</x:v>
      </x:c>
      <x:c r="O35" s="18" t="str">
        <x:v>SEPARATE vomiting</x:v>
      </x:c>
      <x:c r="P35" s="18" t="n">
        <x:v>1</x:v>
      </x:c>
      <x:c r="Q35" s="18" t="n">
        <x:v>0</x:v>
      </x:c>
      <x:c r="R35" s="18" t="n">
        <x:v>0</x:v>
      </x:c>
      <x:c r="S35" s="18"/>
      <x:c r="T35" s="18"/>
      <x:c r="U35" s="18"/>
      <x:c r="V35" s="18" t="str">
        <x:v>LUO26_TEAS_vs_SHAM_VOMIT48</x:v>
      </x:c>
      <x:c r="W35" s="18" t="n">
        <x:v>1</x:v>
      </x:c>
      <x:c r="X35" s="18" t="str">
        <x:v>MATCHED</x:v>
      </x:c>
      <x:c r="Y35" s="18" t="str">
        <x:v>Existing v20 row(s) represent this source-verified estimand.</x:v>
      </x:c>
      <x:c r="Z35" s="18"/>
      <x:c r="AA35" s="18" t="str">
        <x:v>Luo_2026_RoB2_vomiting_0_48h.md</x:v>
      </x:c>
      <x:c r="AB35" s="18" t="str">
        <x:v>https://drive.google.com/file/d/1xxZle6mPpcnmHLblJbsy1kA4CyQHpvm2/view?usp=drivesdk</x:v>
      </x:c>
    </x:row>
    <x:row r="36">
      <x:c r="A36" s="18" t="str">
        <x:v>D-012</x:v>
      </x:c>
      <x:c r="B36" s="18" t="str">
        <x:v>D</x:v>
      </x:c>
      <x:c r="C36" s="18" t="str">
        <x:v>Zhu 2022</x:v>
      </x:c>
      <x:c r="D36" s="18" t="str">
        <x:v>Zhu 2022</x:v>
      </x:c>
      <x:c r="E36" s="18" t="str">
        <x:v>Eligibility audit</x:v>
      </x:c>
      <x:c r="F36" s="18" t="str">
        <x:v>—</x:v>
      </x:c>
      <x:c r="G36" s="18" t="str">
        <x:v>—</x:v>
      </x:c>
      <x:c r="H36" s="18" t="str">
        <x:v>—</x:v>
      </x:c>
      <x:c r="I36" s="18" t="str">
        <x:v>—</x:v>
      </x:c>
      <x:c r="J36" s="18" t="str">
        <x:v>—</x:v>
      </x:c>
      <x:c r="K36" s="18" t="str">
        <x:v>—</x:v>
      </x:c>
      <x:c r="L36" s="18" t="str">
        <x:v>—</x:v>
      </x:c>
      <x:c r="M36" s="18" t="str">
        <x:v>—</x:v>
      </x:c>
      <x:c r="N36" s="18" t="str">
        <x:v>D_vomiting_other</x:v>
      </x:c>
      <x:c r="O36" s="18" t="str">
        <x:v>EXCLUDE strict composite</x:v>
      </x:c>
      <x:c r="P36" s="18" t="n">
        <x:v>0</x:v>
      </x:c>
      <x:c r="Q36" s="18" t="n">
        <x:v>0</x:v>
      </x:c>
      <x:c r="R36" s="18" t="n">
        <x:v>1</x:v>
      </x:c>
      <x:c r="S36" s="18" t="str">
        <x:v>EXCLUDE strict composite</x:v>
      </x:c>
      <x:c r="T36" s="18"/>
      <x:c r="U36" s="18"/>
      <x:c r="V36" s="18"/>
      <x:c r="W36" s="18" t="n">
        <x:v>0</x:v>
      </x:c>
      <x:c r="X36" s="18" t="str">
        <x:v>NO_DATA_ROW_REQUIRED</x:v>
      </x:c>
      <x:c r="Y36" s="18" t="str">
        <x:v>Eligibility/exclusion decision only; no new numerical outcome row required.</x:v>
      </x:c>
      <x:c r="Z36" s="18" t="str">
        <x:v>Interval nausea/vomiting only; no unique cumulative composite</x:v>
      </x:c>
      <x:c r="AA36" s="18" t="str">
        <x:v>—</x:v>
      </x:c>
      <x:c r="AB36" s="18"/>
    </x:row>
    <x:row r="37">
      <x:c r="A37" s="18" t="str">
        <x:v>D-013</x:v>
      </x:c>
      <x:c r="B37" s="18" t="str">
        <x:v>D</x:v>
      </x:c>
      <x:c r="C37" s="18" t="str">
        <x:v>Zhang 2014</x:v>
      </x:c>
      <x:c r="D37" s="18" t="str">
        <x:v>Zhang 2014</x:v>
      </x:c>
      <x:c r="E37" s="18" t="str">
        <x:v>Eligibility audit</x:v>
      </x:c>
      <x:c r="F37" s="18" t="str">
        <x:v>—</x:v>
      </x:c>
      <x:c r="G37" s="18" t="str">
        <x:v>—</x:v>
      </x:c>
      <x:c r="H37" s="18" t="str">
        <x:v>—</x:v>
      </x:c>
      <x:c r="I37" s="18" t="str">
        <x:v>—</x:v>
      </x:c>
      <x:c r="J37" s="18" t="str">
        <x:v>—</x:v>
      </x:c>
      <x:c r="K37" s="18" t="str">
        <x:v>—</x:v>
      </x:c>
      <x:c r="L37" s="18" t="str">
        <x:v>—</x:v>
      </x:c>
      <x:c r="M37" s="18" t="str">
        <x:v>—</x:v>
      </x:c>
      <x:c r="N37" s="18" t="str">
        <x:v>D_vomiting_other</x:v>
      </x:c>
      <x:c r="O37" s="18" t="str">
        <x:v>EXCLUDE strict composite</x:v>
      </x:c>
      <x:c r="P37" s="18" t="n">
        <x:v>0</x:v>
      </x:c>
      <x:c r="Q37" s="18" t="n">
        <x:v>0</x:v>
      </x:c>
      <x:c r="R37" s="18" t="n">
        <x:v>1</x:v>
      </x:c>
      <x:c r="S37" s="18" t="str">
        <x:v>EXCLUDE strict composite</x:v>
      </x:c>
      <x:c r="T37" s="18"/>
      <x:c r="U37" s="18"/>
      <x:c r="V37" s="18"/>
      <x:c r="W37" s="18" t="n">
        <x:v>0</x:v>
      </x:c>
      <x:c r="X37" s="18" t="str">
        <x:v>NO_DATA_ROW_REQUIRED</x:v>
      </x:c>
      <x:c r="Y37" s="18" t="str">
        <x:v>Eligibility/exclusion decision only; no new numerical outcome row required.</x:v>
      </x:c>
      <x:c r="Z37" s="18" t="str">
        <x:v>PONV window not verifiable as 0–24/0–48 h</x:v>
      </x:c>
      <x:c r="AA37" s="18" t="str">
        <x:v>—</x:v>
      </x:c>
      <x:c r="AB37" s="18"/>
    </x:row>
    <x:row r="38">
      <x:c r="A38" s="18" t="str">
        <x:v>D-014</x:v>
      </x:c>
      <x:c r="B38" s="18" t="str">
        <x:v>D</x:v>
      </x:c>
      <x:c r="C38" s="18" t="str">
        <x:v>Wang 2024</x:v>
      </x:c>
      <x:c r="D38" s="18" t="str">
        <x:v>Wang 2024</x:v>
      </x:c>
      <x:c r="E38" s="18" t="str">
        <x:v>Eligibility audit</x:v>
      </x:c>
      <x:c r="F38" s="18" t="str">
        <x:v>—</x:v>
      </x:c>
      <x:c r="G38" s="18" t="str">
        <x:v>—</x:v>
      </x:c>
      <x:c r="H38" s="18" t="str">
        <x:v>—</x:v>
      </x:c>
      <x:c r="I38" s="18" t="str">
        <x:v>—</x:v>
      </x:c>
      <x:c r="J38" s="18" t="str">
        <x:v>—</x:v>
      </x:c>
      <x:c r="K38" s="18" t="str">
        <x:v>—</x:v>
      </x:c>
      <x:c r="L38" s="18" t="str">
        <x:v>—</x:v>
      </x:c>
      <x:c r="M38" s="18" t="str">
        <x:v>—</x:v>
      </x:c>
      <x:c r="N38" s="18" t="str">
        <x:v>D_vomiting_other</x:v>
      </x:c>
      <x:c r="O38" s="18" t="str">
        <x:v>EXCLUDE strict composite</x:v>
      </x:c>
      <x:c r="P38" s="18" t="n">
        <x:v>0</x:v>
      </x:c>
      <x:c r="Q38" s="18" t="n">
        <x:v>0</x:v>
      </x:c>
      <x:c r="R38" s="18" t="n">
        <x:v>1</x:v>
      </x:c>
      <x:c r="S38" s="18" t="str">
        <x:v>EXCLUDE strict composite</x:v>
      </x:c>
      <x:c r="T38" s="18" t="str">
        <x:v>P3</x:v>
      </x:c>
      <x:c r="U38" s="18"/>
      <x:c r="V38" s="18"/>
      <x:c r="W38" s="18" t="n">
        <x:v>0</x:v>
      </x:c>
      <x:c r="X38" s="18" t="str">
        <x:v>NO_DATA_ROW_REQUIRED</x:v>
      </x:c>
      <x:c r="Y38" s="18" t="str">
        <x:v>Eligibility/exclusion decision only; no new numerical outcome row required.</x:v>
      </x:c>
      <x:c r="Z38" s="18" t="str">
        <x:v>Cumulative PONV window is 0–36 h</x:v>
      </x:c>
      <x:c r="AA38" s="18" t="str">
        <x:v>—</x:v>
      </x:c>
      <x:c r="AB38" s="18"/>
    </x:row>
    <x:row r="39">
      <x:c r="A39" s="18" t="str">
        <x:v>D-015</x:v>
      </x:c>
      <x:c r="B39" s="18" t="str">
        <x:v>D</x:v>
      </x:c>
      <x:c r="C39" s="18" t="str">
        <x:v>Long 2025</x:v>
      </x:c>
      <x:c r="D39" s="18" t="str">
        <x:v>Long 2025</x:v>
      </x:c>
      <x:c r="E39" s="18" t="str">
        <x:v>Eligibility audit</x:v>
      </x:c>
      <x:c r="F39" s="18" t="str">
        <x:v>—</x:v>
      </x:c>
      <x:c r="G39" s="18" t="str">
        <x:v>—</x:v>
      </x:c>
      <x:c r="H39" s="18" t="str">
        <x:v>—</x:v>
      </x:c>
      <x:c r="I39" s="18" t="str">
        <x:v>—</x:v>
      </x:c>
      <x:c r="J39" s="18" t="str">
        <x:v>—</x:v>
      </x:c>
      <x:c r="K39" s="18" t="str">
        <x:v>—</x:v>
      </x:c>
      <x:c r="L39" s="18" t="str">
        <x:v>—</x:v>
      </x:c>
      <x:c r="M39" s="18" t="str">
        <x:v>—</x:v>
      </x:c>
      <x:c r="N39" s="18" t="str">
        <x:v>D_vomiting_other</x:v>
      </x:c>
      <x:c r="O39" s="18" t="str">
        <x:v>EXCLUDE strict composite</x:v>
      </x:c>
      <x:c r="P39" s="18" t="n">
        <x:v>0</x:v>
      </x:c>
      <x:c r="Q39" s="18" t="n">
        <x:v>0</x:v>
      </x:c>
      <x:c r="R39" s="18" t="n">
        <x:v>1</x:v>
      </x:c>
      <x:c r="S39" s="18" t="str">
        <x:v>EXCLUDE strict composite</x:v>
      </x:c>
      <x:c r="T39" s="18" t="str">
        <x:v>P3</x:v>
      </x:c>
      <x:c r="U39" s="18"/>
      <x:c r="V39" s="18"/>
      <x:c r="W39" s="18" t="n">
        <x:v>0</x:v>
      </x:c>
      <x:c r="X39" s="18" t="str">
        <x:v>NO_DATA_ROW_REQUIRED</x:v>
      </x:c>
      <x:c r="Y39" s="18" t="str">
        <x:v>Eligibility/exclusion decision only; no new numerical outcome row required.</x:v>
      </x:c>
      <x:c r="Z39" s="18" t="str">
        <x:v>PONV time window not reported</x:v>
      </x:c>
      <x:c r="AA39" s="18" t="str">
        <x:v>—</x:v>
      </x:c>
      <x:c r="AB39" s="18"/>
    </x:row>
    <x:row r="40">
      <x:c r="A40" s="18" t="str">
        <x:v>D-016</x:v>
      </x:c>
      <x:c r="B40" s="18" t="str">
        <x:v>D</x:v>
      </x:c>
      <x:c r="C40" s="18" t="str">
        <x:v>Liu 2026 (ESD)</x:v>
      </x:c>
      <x:c r="D40" s="18" t="str">
        <x:v>Liu 2026 ESD</x:v>
      </x:c>
      <x:c r="E40" s="18" t="str">
        <x:v>Eligibility audit</x:v>
      </x:c>
      <x:c r="F40" s="18" t="str">
        <x:v>—</x:v>
      </x:c>
      <x:c r="G40" s="18" t="str">
        <x:v>—</x:v>
      </x:c>
      <x:c r="H40" s="18" t="str">
        <x:v>—</x:v>
      </x:c>
      <x:c r="I40" s="18" t="str">
        <x:v>—</x:v>
      </x:c>
      <x:c r="J40" s="18" t="str">
        <x:v>—</x:v>
      </x:c>
      <x:c r="K40" s="18" t="str">
        <x:v>—</x:v>
      </x:c>
      <x:c r="L40" s="18" t="str">
        <x:v>—</x:v>
      </x:c>
      <x:c r="M40" s="18" t="str">
        <x:v>—</x:v>
      </x:c>
      <x:c r="N40" s="18" t="str">
        <x:v>D_vomiting_other</x:v>
      </x:c>
      <x:c r="O40" s="18" t="str">
        <x:v>EXCLUDE strict composite</x:v>
      </x:c>
      <x:c r="P40" s="18" t="n">
        <x:v>0</x:v>
      </x:c>
      <x:c r="Q40" s="18" t="n">
        <x:v>0</x:v>
      </x:c>
      <x:c r="R40" s="18" t="n">
        <x:v>1</x:v>
      </x:c>
      <x:c r="S40" s="18" t="str">
        <x:v>EXCLUDE strict composite</x:v>
      </x:c>
      <x:c r="T40" s="18" t="str">
        <x:v>P3</x:v>
      </x:c>
      <x:c r="U40" s="18"/>
      <x:c r="V40" s="18"/>
      <x:c r="W40" s="18" t="n">
        <x:v>0</x:v>
      </x:c>
      <x:c r="X40" s="18" t="str">
        <x:v>NO_DATA_ROW_REQUIRED</x:v>
      </x:c>
      <x:c r="Y40" s="18" t="str">
        <x:v>Eligibility/exclusion decision only; no new numerical outcome row required.</x:v>
      </x:c>
      <x:c r="Z40" s="18" t="str">
        <x:v>PONV-type count but exact cumulative window not stated</x:v>
      </x:c>
      <x:c r="AA40" s="18" t="str">
        <x:v>—</x:v>
      </x:c>
      <x:c r="AB40" s="18"/>
    </x:row>
    <x:row r="41">
      <x:c r="A41" s="18" t="str">
        <x:v>E-001</x:v>
      </x:c>
      <x:c r="B41" s="18" t="str">
        <x:v>E</x:v>
      </x:c>
      <x:c r="C41" s="18" t="str">
        <x:v>Zhou 2025</x:v>
      </x:c>
      <x:c r="D41" s="18" t="str">
        <x:v>Zhou 2025</x:v>
      </x:c>
      <x:c r="E41" s="18" t="str">
        <x:v>Time to first postoperative flatus</x:v>
      </x:c>
      <x:c r="F41" s="18" t="str">
        <x:v>postoperative</x:v>
      </x:c>
      <x:c r="G41" s="18" t="str">
        <x:v>14.10±3.19 vs 15.88±3.78 h</x:v>
      </x:c>
      <x:c r="H41" s="18" t="str">
        <x:v>Low</x:v>
      </x:c>
      <x:c r="I41" s="18" t="str">
        <x:v>Some concerns</x:v>
      </x:c>
      <x:c r="J41" s="18" t="str">
        <x:v>Low</x:v>
      </x:c>
      <x:c r="K41" s="18" t="str">
        <x:v>Some concerns</x:v>
      </x:c>
      <x:c r="L41" s="18" t="str">
        <x:v>Some concerns</x:v>
      </x:c>
      <x:c r="M41" s="18" t="str">
        <x:v>Some concerns</x:v>
      </x:c>
      <x:c r="N41" s="18" t="str">
        <x:v>E_time_to_first_flatus</x:v>
      </x:c>
      <x:c r="O41" s="18" t="str">
        <x:v>PRIMARY / timing caveat</x:v>
      </x:c>
      <x:c r="P41" s="18" t="n">
        <x:v>1</x:v>
      </x:c>
      <x:c r="Q41" s="18" t="n">
        <x:v>0</x:v>
      </x:c>
      <x:c r="R41" s="18" t="n">
        <x:v>0</x:v>
      </x:c>
      <x:c r="S41" s="18"/>
      <x:c r="T41" s="18" t="str">
        <x:v>P2</x:v>
      </x:c>
      <x:c r="U41" s="18"/>
      <x:c r="V41" s="18" t="str">
        <x:v>ZHOU25_TEAS_vs_SHAM_FLATUS</x:v>
      </x:c>
      <x:c r="W41" s="18" t="n">
        <x:v>1</x:v>
      </x:c>
      <x:c r="X41" s="18" t="str">
        <x:v>MATCHED</x:v>
      </x:c>
      <x:c r="Y41" s="18" t="str">
        <x:v>Existing v20 row(s) represent this source-verified estimand.</x:v>
      </x:c>
      <x:c r="Z41" s="18" t="str">
        <x:v>Time origin/ascertainment not reported.</x:v>
      </x:c>
      <x:c r="AA41" s="18" t="str">
        <x:v>Zhou_2025_RoB2_time_to_first_flatus.md</x:v>
      </x:c>
      <x:c r="AB41" s="18" t="str">
        <x:v>https://drive.google.com/file/d/1gpNBuoukUttXKWiAAeZSqdIaaHSMOwDU/view?usp=drivesdk</x:v>
      </x:c>
    </x:row>
    <x:row r="42">
      <x:c r="A42" s="18" t="str">
        <x:v>E-002</x:v>
      </x:c>
      <x:c r="B42" s="18" t="str">
        <x:v>E</x:v>
      </x:c>
      <x:c r="C42" s="18" t="str">
        <x:v>Yang 2020</x:v>
      </x:c>
      <x:c r="D42" s="18" t="str">
        <x:v>Yang 2020</x:v>
      </x:c>
      <x:c r="E42" s="18" t="str">
        <x:v>Time to first postoperative flatus</x:v>
      </x:c>
      <x:c r="F42" s="18" t="str">
        <x:v>postoperative</x:v>
      </x:c>
      <x:c r="G42" s="18" t="str">
        <x:v>20.8±4.6 vs 24.1±6.2 h</x:v>
      </x:c>
      <x:c r="H42" s="18" t="str">
        <x:v>Low</x:v>
      </x:c>
      <x:c r="I42" s="18" t="str">
        <x:v>Some concerns</x:v>
      </x:c>
      <x:c r="J42" s="18" t="str">
        <x:v>Low</x:v>
      </x:c>
      <x:c r="K42" s="18" t="str">
        <x:v>Some concerns</x:v>
      </x:c>
      <x:c r="L42" s="18" t="str">
        <x:v>Some concerns</x:v>
      </x:c>
      <x:c r="M42" s="18" t="str">
        <x:v>Some concerns</x:v>
      </x:c>
      <x:c r="N42" s="18" t="str">
        <x:v>E_time_to_first_flatus</x:v>
      </x:c>
      <x:c r="O42" s="18" t="str">
        <x:v>PRIMARY / timing caveat</x:v>
      </x:c>
      <x:c r="P42" s="18" t="n">
        <x:v>1</x:v>
      </x:c>
      <x:c r="Q42" s="18" t="n">
        <x:v>0</x:v>
      </x:c>
      <x:c r="R42" s="18" t="n">
        <x:v>0</x:v>
      </x:c>
      <x:c r="S42" s="18"/>
      <x:c r="T42" s="18" t="str">
        <x:v>P2</x:v>
      </x:c>
      <x:c r="U42" s="18"/>
      <x:c r="V42" s="18" t="str">
        <x:v>YANG20_EA_vs_UC</x:v>
      </x:c>
      <x:c r="W42" s="18" t="n">
        <x:v>1</x:v>
      </x:c>
      <x:c r="X42" s="18" t="str">
        <x:v>MATCHED</x:v>
      </x:c>
      <x:c r="Y42" s="18" t="str">
        <x:v>Existing v20 row(s) represent this source-verified estimand.</x:v>
      </x:c>
      <x:c r="Z42" s="18" t="str">
        <x:v>'Checked regularly'; exact reporter/time origin incomplete.</x:v>
      </x:c>
      <x:c r="AA42" s="18" t="str">
        <x:v>Yang_2020_RoB2_time_to_first_flatus.md</x:v>
      </x:c>
      <x:c r="AB42" s="18" t="str">
        <x:v>https://drive.google.com/file/d/1hsQR_K6W-5QNP4rqkVxHQaopRp4f1XF0/view?usp=drivesdk</x:v>
      </x:c>
    </x:row>
    <x:row r="43">
      <x:c r="A43" s="18" t="str">
        <x:v>E-003</x:v>
      </x:c>
      <x:c r="B43" s="18" t="str">
        <x:v>E</x:v>
      </x:c>
      <x:c r="C43" s="18" t="str">
        <x:v>Yang 2024</x:v>
      </x:c>
      <x:c r="D43" s="18" t="str">
        <x:v>Yang 2024</x:v>
      </x:c>
      <x:c r="E43" s="18" t="str">
        <x:v>Time to first postoperative flatus</x:v>
      </x:c>
      <x:c r="F43" s="18" t="str">
        <x:v>postoperative</x:v>
      </x:c>
      <x:c r="G43" s="18" t="str">
        <x:v>15.4±3.2 vs 17.0±3.7 h</x:v>
      </x:c>
      <x:c r="H43" s="18" t="str">
        <x:v>Low</x:v>
      </x:c>
      <x:c r="I43" s="18" t="str">
        <x:v>Low</x:v>
      </x:c>
      <x:c r="J43" s="18" t="str">
        <x:v>Low</x:v>
      </x:c>
      <x:c r="K43" s="18" t="str">
        <x:v>High</x:v>
      </x:c>
      <x:c r="L43" s="18" t="str">
        <x:v>Some concerns</x:v>
      </x:c>
      <x:c r="M43" s="18" t="str">
        <x:v>High</x:v>
      </x:c>
      <x:c r="N43" s="18" t="str">
        <x:v>E_time_to_first_flatus</x:v>
      </x:c>
      <x:c r="O43" s="18" t="str">
        <x:v>PRIMARY</x:v>
      </x:c>
      <x:c r="P43" s="18" t="n">
        <x:v>1</x:v>
      </x:c>
      <x:c r="Q43" s="18" t="n">
        <x:v>0</x:v>
      </x:c>
      <x:c r="R43" s="18" t="n">
        <x:v>0</x:v>
      </x:c>
      <x:c r="S43" s="18"/>
      <x:c r="T43" s="18"/>
      <x:c r="U43" s="18"/>
      <x:c r="V43" s="18" t="str">
        <x:v>YANG24_EA_vs_UC_FLATUS</x:v>
      </x:c>
      <x:c r="W43" s="18" t="n">
        <x:v>1</x:v>
      </x:c>
      <x:c r="X43" s="18" t="str">
        <x:v>MATCHED</x:v>
      </x:c>
      <x:c r="Y43" s="18" t="str">
        <x:v>Existing v20 row(s) represent this source-verified estimand.</x:v>
      </x:c>
      <x:c r="Z43" s="18" t="str">
        <x:v>Patient-recorded in open-label trial; High measurement bias.</x:v>
      </x:c>
      <x:c r="AA43" s="18" t="str">
        <x:v>Yang_2024_RoB2_time_to_first_flatus.md</x:v>
      </x:c>
      <x:c r="AB43" s="18" t="str">
        <x:v>https://drive.google.com/file/d/160N3psd5tLEphwXHJzUEZ3uJfaIXcs5V/view?usp=drivesdk</x:v>
      </x:c>
    </x:row>
    <x:row r="44">
      <x:c r="A44" s="18" t="str">
        <x:v>E-004</x:v>
      </x:c>
      <x:c r="B44" s="18" t="str">
        <x:v>E</x:v>
      </x:c>
      <x:c r="C44" s="18" t="str">
        <x:v>Xing 2022</x:v>
      </x:c>
      <x:c r="D44" s="18" t="str">
        <x:v>Xing 2022</x:v>
      </x:c>
      <x:c r="E44" s="18" t="str">
        <x:v>Time to first postoperative flatus</x:v>
      </x:c>
      <x:c r="F44" s="18" t="str">
        <x:v>postoperative</x:v>
      </x:c>
      <x:c r="G44" s="18" t="str">
        <x:v>32.57±6.94 vs 36.83±6.19 h</x:v>
      </x:c>
      <x:c r="H44" s="18" t="str">
        <x:v>Low</x:v>
      </x:c>
      <x:c r="I44" s="18" t="str">
        <x:v>Some concerns</x:v>
      </x:c>
      <x:c r="J44" s="18" t="str">
        <x:v>Low</x:v>
      </x:c>
      <x:c r="K44" s="18" t="str">
        <x:v>Some concerns</x:v>
      </x:c>
      <x:c r="L44" s="18" t="str">
        <x:v>Some concerns</x:v>
      </x:c>
      <x:c r="M44" s="18" t="str">
        <x:v>Some concerns</x:v>
      </x:c>
      <x:c r="N44" s="18" t="str">
        <x:v>E_time_to_first_flatus</x:v>
      </x:c>
      <x:c r="O44" s="18" t="str">
        <x:v>PRIMARY / timing caveat</x:v>
      </x:c>
      <x:c r="P44" s="18" t="n">
        <x:v>1</x:v>
      </x:c>
      <x:c r="Q44" s="18" t="n">
        <x:v>0</x:v>
      </x:c>
      <x:c r="R44" s="18" t="n">
        <x:v>0</x:v>
      </x:c>
      <x:c r="S44" s="18"/>
      <x:c r="T44" s="18" t="str">
        <x:v>P2</x:v>
      </x:c>
      <x:c r="U44" s="18"/>
      <x:c r="V44" s="18" t="str">
        <x:v>XING22_NTG_vs_NG_FLATUS</x:v>
      </x:c>
      <x:c r="W44" s="18" t="n">
        <x:v>1</x:v>
      </x:c>
      <x:c r="X44" s="18" t="str">
        <x:v>MATCHED</x:v>
      </x:c>
      <x:c r="Y44" s="18" t="str">
        <x:v>Existing v20 row(s) represent this source-verified estimand.</x:v>
      </x:c>
      <x:c r="Z44" s="18" t="str">
        <x:v>Detection method/time origin incompletely described.</x:v>
      </x:c>
      <x:c r="AA44" s="18" t="str">
        <x:v>Xing_2022_RoB2_time_to_first_flatus.md</x:v>
      </x:c>
      <x:c r="AB44" s="18" t="str">
        <x:v>https://drive.google.com/file/d/1h3IGpQ56nSh7H16xBEVyTzCBkWOXRSxK/view?usp=drivesdk</x:v>
      </x:c>
    </x:row>
    <x:row r="45">
      <x:c r="A45" s="18" t="str">
        <x:v>E-005</x:v>
      </x:c>
      <x:c r="B45" s="18" t="str">
        <x:v>E</x:v>
      </x:c>
      <x:c r="C45" s="18" t="str">
        <x:v>Wang 2023</x:v>
      </x:c>
      <x:c r="D45" s="18" t="str">
        <x:v>Wang 2023</x:v>
      </x:c>
      <x:c r="E45" s="18" t="str">
        <x:v>Time to first postoperative flatus</x:v>
      </x:c>
      <x:c r="F45" s="18" t="str">
        <x:v>from surgery end</x:v>
      </x:c>
      <x:c r="G45" s="18" t="str">
        <x:v>44.3 (37.0–58.2) vs 58.9 (48.2–67.4) h</x:v>
      </x:c>
      <x:c r="H45" s="18" t="str">
        <x:v>Low</x:v>
      </x:c>
      <x:c r="I45" s="18" t="str">
        <x:v>Low</x:v>
      </x:c>
      <x:c r="J45" s="18" t="str">
        <x:v>Low</x:v>
      </x:c>
      <x:c r="K45" s="18" t="str">
        <x:v>Low</x:v>
      </x:c>
      <x:c r="L45" s="18" t="str">
        <x:v>Low</x:v>
      </x:c>
      <x:c r="M45" s="18" t="str">
        <x:v>Low</x:v>
      </x:c>
      <x:c r="N45" s="18" t="str">
        <x:v>E_time_to_first_flatus</x:v>
      </x:c>
      <x:c r="O45" s="18" t="str">
        <x:v>EXCLUDE — wrong outcomes</x:v>
      </x:c>
      <x:c r="P45" s="18" t="n">
        <x:v>0</x:v>
      </x:c>
      <x:c r="Q45" s="18" t="n">
        <x:v>0</x:v>
      </x:c>
      <x:c r="R45" s="18" t="n">
        <x:v>0</x:v>
      </x:c>
      <x:c r="S45" s="18" t="str">
        <x:v>Excluded at full text for wrong outcomes.</x:v>
      </x:c>
      <x:c r="T45" s="18"/>
      <x:c r="U45" s="18"/>
      <x:c r="V45" s="18"/>
      <x:c r="W45" s="18" t="n">
        <x:v>0</x:v>
      </x:c>
      <x:c r="X45" s="18" t="str">
        <x:v>NO_DATA_ROW_REQUIRED</x:v>
      </x:c>
      <x:c r="Y45" s="18" t="str">
        <x:v>Resolved by review screening decision: Yu Wang et al., JAMA Surgery 2023 was excluded at full text for wrong outcomes. It is not a missing eligible study and must not be added to the canonical dataset.</x:v>
      </x:c>
      <x:c r="Z45" s="18" t="str">
        <x:v>Screening decision governs eligibility. Retain only as an exclusion audit trail; do not create a numerical Target-E outcome row.</x:v>
      </x:c>
      <x:c r="AA45" s="18" t="str">
        <x:v>Wang_2023_RoB2_time_to_first_flatus.md</x:v>
      </x:c>
      <x:c r="AB45" s="18"/>
    </x:row>
    <x:row r="46">
      <x:c r="A46" s="18" t="str">
        <x:v>E-006</x:v>
      </x:c>
      <x:c r="B46" s="18" t="str">
        <x:v>E</x:v>
      </x:c>
      <x:c r="C46" s="18" t="str">
        <x:v>Lu 2022</x:v>
      </x:c>
      <x:c r="D46" s="18" t="str">
        <x:v>Lu 2022</x:v>
      </x:c>
      <x:c r="E46" s="18" t="str">
        <x:v>Time to first postoperative flatus</x:v>
      </x:c>
      <x:c r="F46" s="18" t="str">
        <x:v>postoperative</x:v>
      </x:c>
      <x:c r="G46" s="18" t="str">
        <x:v>34.5±16.7 vs 42.4±22.9 h</x:v>
      </x:c>
      <x:c r="H46" s="18" t="str">
        <x:v>Low</x:v>
      </x:c>
      <x:c r="I46" s="18" t="str">
        <x:v>Some concerns</x:v>
      </x:c>
      <x:c r="J46" s="18" t="str">
        <x:v>Some concerns</x:v>
      </x:c>
      <x:c r="K46" s="18" t="str">
        <x:v>Some concerns</x:v>
      </x:c>
      <x:c r="L46" s="18" t="str">
        <x:v>Some concerns</x:v>
      </x:c>
      <x:c r="M46" s="18" t="str">
        <x:v>Some concerns</x:v>
      </x:c>
      <x:c r="N46" s="18" t="str">
        <x:v>E_time_to_first_flatus</x:v>
      </x:c>
      <x:c r="O46" s="18" t="str">
        <x:v>PRIMARY / timing caveat</x:v>
      </x:c>
      <x:c r="P46" s="18" t="n">
        <x:v>1</x:v>
      </x:c>
      <x:c r="Q46" s="18" t="n">
        <x:v>0</x:v>
      </x:c>
      <x:c r="R46" s="18" t="n">
        <x:v>0</x:v>
      </x:c>
      <x:c r="S46" s="18"/>
      <x:c r="T46" s="18" t="str">
        <x:v>P2</x:v>
      </x:c>
      <x:c r="U46" s="18"/>
      <x:c r="V46" s="18" t="str">
        <x:v>LU22_TEAS_vs_CTRL_FLATUS</x:v>
      </x:c>
      <x:c r="W46" s="18" t="n">
        <x:v>1</x:v>
      </x:c>
      <x:c r="X46" s="18" t="str">
        <x:v>MATCHED</x:v>
      </x:c>
      <x:c r="Y46" s="18" t="str">
        <x:v>Existing v20 row(s) represent this source-verified estimand.</x:v>
      </x:c>
      <x:c r="Z46" s="18" t="str">
        <x:v>6/100 post-randomization exclusions; ascertainment/time origin not reported.</x:v>
      </x:c>
      <x:c r="AA46" s="18" t="str">
        <x:v>Lu_2022_RoB2_time_to_first_flatus.md</x:v>
      </x:c>
      <x:c r="AB46" s="18" t="str">
        <x:v>https://drive.google.com/file/d/12Y86huNMuLC8cPH-L2vwlEd7r1X1Qela/view?usp=drivesdk</x:v>
      </x:c>
    </x:row>
    <x:row r="47">
      <x:c r="A47" s="18" t="str">
        <x:v>E-007</x:v>
      </x:c>
      <x:c r="B47" s="18" t="str">
        <x:v>E</x:v>
      </x:c>
      <x:c r="C47" s="18" t="str">
        <x:v>Ng 2013</x:v>
      </x:c>
      <x:c r="D47" s="18" t="str">
        <x:v>Ng 2013</x:v>
      </x:c>
      <x:c r="E47" s="18" t="str">
        <x:v>Time to first postoperative flatus</x:v>
      </x:c>
      <x:c r="F47" s="18" t="str">
        <x:v>postoperative</x:v>
      </x:c>
      <x:c r="G47" s="18" t="str">
        <x:v>2.0±0.9 vs 2.3±1.1 days</x:v>
      </x:c>
      <x:c r="H47" s="18" t="str">
        <x:v>Some concerns</x:v>
      </x:c>
      <x:c r="I47" s="18" t="str">
        <x:v>Low</x:v>
      </x:c>
      <x:c r="J47" s="18" t="str">
        <x:v>Low</x:v>
      </x:c>
      <x:c r="K47" s="18" t="str">
        <x:v>Low</x:v>
      </x:c>
      <x:c r="L47" s="18" t="str">
        <x:v>Low</x:v>
      </x:c>
      <x:c r="M47" s="18" t="str">
        <x:v>Some concerns</x:v>
      </x:c>
      <x:c r="N47" s="18" t="str">
        <x:v>E_time_to_first_flatus</x:v>
      </x:c>
      <x:c r="O47" s="18" t="str">
        <x:v>PRIMARY / timing caveat</x:v>
      </x:c>
      <x:c r="P47" s="18" t="n">
        <x:v>1</x:v>
      </x:c>
      <x:c r="Q47" s="18" t="n">
        <x:v>0</x:v>
      </x:c>
      <x:c r="R47" s="18" t="n">
        <x:v>0</x:v>
      </x:c>
      <x:c r="S47" s="18"/>
      <x:c r="T47" s="18" t="str">
        <x:v>P2</x:v>
      </x:c>
      <x:c r="U47" s="18"/>
      <x:c r="V47" s="18" t="str">
        <x:v>NG13_EA_vs_SHAM_FLATUS</x:v>
      </x:c>
      <x:c r="W47" s="18" t="n">
        <x:v>1</x:v>
      </x:c>
      <x:c r="X47" s="18" t="str">
        <x:v>MATCHED</x:v>
      </x:c>
      <x:c r="Y47" s="18" t="str">
        <x:v>Existing v20 row(s) represent this source-verified estimand.</x:v>
      </x:c>
      <x:c r="Z47" s="18" t="str">
        <x:v>Nonopaque envelope; exact flatus verification/time origin not explicit.</x:v>
      </x:c>
      <x:c r="AA47" s="18" t="str">
        <x:v>Ng_2013_RoB2_time_to_first_flatus.md</x:v>
      </x:c>
      <x:c r="AB47" s="18" t="str">
        <x:v>https://drive.google.com/file/d/1R1zCiyfWvuSp99Hi2U_K1__8kgdi90gd/view?usp=drivesdk</x:v>
      </x:c>
    </x:row>
    <x:row r="48">
      <x:c r="A48" s="18" t="str">
        <x:v>F-intra-001</x:v>
      </x:c>
      <x:c r="B48" s="18" t="str">
        <x:v>F-intra</x:v>
      </x:c>
      <x:c r="C48" s="18" t="str">
        <x:v>Liu 2026 (burn)</x:v>
      </x:c>
      <x:c r="D48" s="18" t="str">
        <x:v>Liu 2026 burn</x:v>
      </x:c>
      <x:c r="E48" s="18" t="str">
        <x:v>remifentanil</x:v>
      </x:c>
      <x:c r="F48" s="18" t="str">
        <x:v>intraoperative</x:v>
      </x:c>
      <x:c r="G48" s="18" t="str">
        <x:v>0.70 (0.50–1.10) vs0.90 (0.65–1.25); P=0.039</x:v>
      </x:c>
      <x:c r="H48" s="18" t="str">
        <x:v>Low</x:v>
      </x:c>
      <x:c r="I48" s="18" t="str">
        <x:v>Some concerns</x:v>
      </x:c>
      <x:c r="J48" s="18" t="str">
        <x:v>Low</x:v>
      </x:c>
      <x:c r="K48" s="18" t="str">
        <x:v>Low</x:v>
      </x:c>
      <x:c r="L48" s="18" t="str">
        <x:v>Some concerns</x:v>
      </x:c>
      <x:c r="M48" s="18" t="str">
        <x:v>Some concerns</x:v>
      </x:c>
      <x:c r="N48" s="18" t="str">
        <x:v>F_intraop_titrated_requirement</x:v>
      </x:c>
      <x:c r="O48" s="18" t="str">
        <x:v>UNRESOLVED before pooling</x:v>
      </x:c>
      <x:c r="P48" s="18" t="n">
        <x:v>0</x:v>
      </x:c>
      <x:c r="Q48" s="18" t="n">
        <x:v>0</x:v>
      </x:c>
      <x:c r="R48" s="18" t="n">
        <x:v>1</x:v>
      </x:c>
      <x:c r="S48" s="18" t="str">
        <x:v>UNRESOLVED before pooling</x:v>
      </x:c>
      <x:c r="T48" s="18" t="str">
        <x:v>P1</x:v>
      </x:c>
      <x:c r="U48" s="18"/>
      <x:c r="V48" s="18" t="str">
        <x:v>LIU26BURN_TEAS_vs_SHAM_REMI</x:v>
      </x:c>
      <x:c r="W48" s="18" t="n">
        <x:v>1</x:v>
      </x:c>
      <x:c r="X48" s="18" t="str">
        <x:v>MATCHED</x:v>
      </x:c>
      <x:c r="Y48" s="18" t="str">
        <x:v>Existing v20 row(s) represent this source-verified estimand. v25 result-specific P1 disposition: RESOLVED_BY_SOURCE_HIERARCHY.</x:v>
      </x:c>
      <x:c r="Z48" s="18" t="str">
        <x:v>Abstract values differ from main text.</x:v>
      </x:c>
      <x:c r="AA48" s="18" t="str">
        <x:v>Liu_2026_burn_RoB2_intraoperative_remifentanil.md</x:v>
      </x:c>
      <x:c r="AB48" s="18" t="str">
        <x:v>https://drive.google.com/file/d/1mvekGtHD2JAKCRbIXrvLw1Nz7hbQ1dZ3/view?usp=drivesdk</x:v>
      </x:c>
    </x:row>
    <x:row r="49">
      <x:c r="A49" s="18" t="str">
        <x:v>F-intra-002</x:v>
      </x:c>
      <x:c r="B49" s="18" t="str">
        <x:v>F-intra</x:v>
      </x:c>
      <x:c r="C49" s="18" t="str">
        <x:v>Hou 2023</x:v>
      </x:c>
      <x:c r="D49" s="18" t="str">
        <x:v>Hou 2023</x:v>
      </x:c>
      <x:c r="E49" s="18" t="str">
        <x:v>remifentanil</x:v>
      </x:c>
      <x:c r="F49" s="18" t="str">
        <x:v>intraoperative</x:v>
      </x:c>
      <x:c r="G49" s="18" t="str">
        <x:v>950 (750–1238) vs1000 (881–1144) μg; P=0.572</x:v>
      </x:c>
      <x:c r="H49" s="18" t="str">
        <x:v>Some concerns</x:v>
      </x:c>
      <x:c r="I49" s="18" t="str">
        <x:v>Some concerns</x:v>
      </x:c>
      <x:c r="J49" s="18" t="str">
        <x:v>Low</x:v>
      </x:c>
      <x:c r="K49" s="18" t="str">
        <x:v>Low</x:v>
      </x:c>
      <x:c r="L49" s="18" t="str">
        <x:v>Some concerns</x:v>
      </x:c>
      <x:c r="M49" s="18" t="str">
        <x:v>Some concerns</x:v>
      </x:c>
      <x:c r="N49" s="18" t="str">
        <x:v>F_intraop_titrated_requirement</x:v>
      </x:c>
      <x:c r="O49" s="18" t="str">
        <x:v>CANDIDATE</x:v>
      </x:c>
      <x:c r="P49" s="18" t="n">
        <x:v>1</x:v>
      </x:c>
      <x:c r="Q49" s="18" t="n">
        <x:v>0</x:v>
      </x:c>
      <x:c r="R49" s="18" t="n">
        <x:v>0</x:v>
      </x:c>
      <x:c r="S49" s="18"/>
      <x:c r="T49" s="18"/>
      <x:c r="U49" s="18"/>
      <x:c r="V49" s="18" t="str">
        <x:v>HOU23_TEAS_vs_SHAM_REMI</x:v>
      </x:c>
      <x:c r="W49" s="18" t="n">
        <x:v>1</x:v>
      </x:c>
      <x:c r="X49" s="18" t="str">
        <x:v>NORMALIZED_V22</x:v>
      </x:c>
      <x:c r="Y49" s="18" t="str">
        <x:v>Normalized into Outcome_Data_AF_LOCK in v22 (1 new source-scale row(s)); original v20 Outcome_Data remains unchanged.</x:v>
      </x:c>
      <x:c r="Z49" s="18" t="str">
        <x:v>TCI target range; within-range algorithm incomplete.</x:v>
      </x:c>
      <x:c r="AA49" s="18" t="str">
        <x:v>Hou_2023_RoB2_intraoperative_remifentanil.md</x:v>
      </x:c>
      <x:c r="AB49" s="18"/>
    </x:row>
    <x:row r="50">
      <x:c r="A50" s="18" t="str">
        <x:v>F-intra-003</x:v>
      </x:c>
      <x:c r="B50" s="18" t="str">
        <x:v>F-intra</x:v>
      </x:c>
      <x:c r="C50" s="18" t="str">
        <x:v>Zhang 2014</x:v>
      </x:c>
      <x:c r="D50" s="18" t="str">
        <x:v>Zhang 2014</x:v>
      </x:c>
      <x:c r="E50" s="18" t="str">
        <x:v>remifentanil</x:v>
      </x:c>
      <x:c r="F50" s="18" t="str">
        <x:v>intraoperative</x:v>
      </x:c>
      <x:c r="G50" s="18" t="str">
        <x:v>0.06±0.02 vs0.09±0.03 μg/kg/min; P=0.01</x:v>
      </x:c>
      <x:c r="H50" s="18" t="str">
        <x:v>Some concerns</x:v>
      </x:c>
      <x:c r="I50" s="18" t="str">
        <x:v>Low</x:v>
      </x:c>
      <x:c r="J50" s="18" t="str">
        <x:v>Low</x:v>
      </x:c>
      <x:c r="K50" s="18" t="str">
        <x:v>Low</x:v>
      </x:c>
      <x:c r="L50" s="18" t="str">
        <x:v>Some concerns</x:v>
      </x:c>
      <x:c r="M50" s="18" t="str">
        <x:v>Some concerns</x:v>
      </x:c>
      <x:c r="N50" s="18" t="str">
        <x:v>F_intraop_titrated_requirement</x:v>
      </x:c>
      <x:c r="O50" s="18" t="str">
        <x:v>CANDIDATE</x:v>
      </x:c>
      <x:c r="P50" s="18" t="n">
        <x:v>1</x:v>
      </x:c>
      <x:c r="Q50" s="18" t="n">
        <x:v>0</x:v>
      </x:c>
      <x:c r="R50" s="18" t="n">
        <x:v>0</x:v>
      </x:c>
      <x:c r="S50" s="18"/>
      <x:c r="T50" s="18" t="str">
        <x:v>P3</x:v>
      </x:c>
      <x:c r="U50" s="18"/>
      <x:c r="V50" s="18" t="str">
        <x:v>ZHANG14_TEAS_vs_SHAM_REMI</x:v>
      </x:c>
      <x:c r="W50" s="18" t="n">
        <x:v>1</x:v>
      </x:c>
      <x:c r="X50" s="18" t="str">
        <x:v>MATCHED</x:v>
      </x:c>
      <x:c r="Y50" s="18" t="str">
        <x:v>Existing v20 row(s) represent this source-verified estimand.</x:v>
      </x:c>
      <x:c r="Z50" s="18" t="str">
        <x:v>Blinded titrating anesthesiologist.</x:v>
      </x:c>
      <x:c r="AA50" s="18" t="str">
        <x:v>Zhang_2014_RoB2_intraoperative_remifentanil.md</x:v>
      </x:c>
      <x:c r="AB50" s="18" t="str">
        <x:v>https://drive.google.com/file/d/1lws1zFpIE-wbLY8X9ewYyTuIP-WySa-c/view?usp=drivesdk</x:v>
      </x:c>
    </x:row>
    <x:row r="51">
      <x:c r="A51" s="18" t="str">
        <x:v>F-intra-004</x:v>
      </x:c>
      <x:c r="B51" s="18" t="str">
        <x:v>F-intra</x:v>
      </x:c>
      <x:c r="C51" s="18" t="str">
        <x:v>Huang 2017</x:v>
      </x:c>
      <x:c r="D51" s="18" t="str">
        <x:v>Huang 2017</x:v>
      </x:c>
      <x:c r="E51" s="18" t="str">
        <x:v>remifentanil-equivalent opioid</x:v>
      </x:c>
      <x:c r="F51" s="18" t="str">
        <x:v>intraoperative</x:v>
      </x:c>
      <x:c r="G51" s="18" t="str">
        <x:v>0.1128±0.034 vs0.1617±0.037 μg/kg/min; P≤0.001</x:v>
      </x:c>
      <x:c r="H51" s="18" t="str">
        <x:v>Some concerns</x:v>
      </x:c>
      <x:c r="I51" s="18" t="str">
        <x:v>Some concerns</x:v>
      </x:c>
      <x:c r="J51" s="18" t="str">
        <x:v>Low</x:v>
      </x:c>
      <x:c r="K51" s="18" t="str">
        <x:v>Low</x:v>
      </x:c>
      <x:c r="L51" s="18" t="str">
        <x:v>Some concerns</x:v>
      </x:c>
      <x:c r="M51" s="18" t="str">
        <x:v>Some concerns</x:v>
      </x:c>
      <x:c r="N51" s="18" t="str">
        <x:v>F_intraop_titrated_requirement</x:v>
      </x:c>
      <x:c r="O51" s="18" t="str">
        <x:v>SENSITIVITY</x:v>
      </x:c>
      <x:c r="P51" s="18" t="n">
        <x:v>0</x:v>
      </x:c>
      <x:c r="Q51" s="18" t="n">
        <x:v>1</x:v>
      </x:c>
      <x:c r="R51" s="18" t="n">
        <x:v>0</x:v>
      </x:c>
      <x:c r="S51" s="18"/>
      <x:c r="T51" s="18" t="str">
        <x:v>P2</x:v>
      </x:c>
      <x:c r="U51" s="18"/>
      <x:c r="V51" s="18" t="str">
        <x:v>HUANG17_2100_vs_CTRL_REMI</x:v>
      </x:c>
      <x:c r="W51" s="18" t="n">
        <x:v>1</x:v>
      </x:c>
      <x:c r="X51" s="18" t="str">
        <x:v>MATCHED</x:v>
      </x:c>
      <x:c r="Y51" s="18" t="str">
        <x:v>Existing v20 row(s) represent this source-verified estimand.</x:v>
      </x:c>
      <x:c r="Z51" s="18" t="str">
        <x:v>Titrating anesthesiologist masking not reported.</x:v>
      </x:c>
      <x:c r="AA51" s="18" t="str">
        <x:v>Huang_2017_RoB2_intraoperative_opioid_2_100Hz.md</x:v>
      </x:c>
      <x:c r="AB51" s="18" t="str">
        <x:v>https://drive.google.com/file/d/1RJGi1PYvw75qVW9UK8CBtJPH4G035ASs/view?usp=drivesdk</x:v>
      </x:c>
    </x:row>
    <x:row r="52">
      <x:c r="A52" s="18" t="str">
        <x:v>F-intra-005</x:v>
      </x:c>
      <x:c r="B52" s="18" t="str">
        <x:v>F-intra</x:v>
      </x:c>
      <x:c r="C52" s="18" t="str">
        <x:v>Sim 2002</x:v>
      </x:c>
      <x:c r="D52" s="18" t="str">
        <x:v>Sim 2002</x:v>
      </x:c>
      <x:c r="E52" s="18" t="str">
        <x:v>alfentanil</x:v>
      </x:c>
      <x:c r="F52" s="18" t="str">
        <x:v>intraoperative</x:v>
      </x:c>
      <x:c r="G52" s="18" t="str">
        <x:v>0.44±0.15 vs0.51±0.21 μg/kg/min; P=0.472</x:v>
      </x:c>
      <x:c r="H52" s="18" t="str">
        <x:v>Some concerns</x:v>
      </x:c>
      <x:c r="I52" s="18" t="str">
        <x:v>Some concerns</x:v>
      </x:c>
      <x:c r="J52" s="18" t="str">
        <x:v>Low</x:v>
      </x:c>
      <x:c r="K52" s="18" t="str">
        <x:v>Low</x:v>
      </x:c>
      <x:c r="L52" s="18" t="str">
        <x:v>Some concerns</x:v>
      </x:c>
      <x:c r="M52" s="18" t="str">
        <x:v>Some concerns</x:v>
      </x:c>
      <x:c r="N52" s="18" t="str">
        <x:v>F_intraop_titrated_requirement</x:v>
      </x:c>
      <x:c r="O52" s="18" t="str">
        <x:v>CANDIDATE</x:v>
      </x:c>
      <x:c r="P52" s="18" t="n">
        <x:v>1</x:v>
      </x:c>
      <x:c r="Q52" s="18" t="n">
        <x:v>0</x:v>
      </x:c>
      <x:c r="R52" s="18" t="n">
        <x:v>0</x:v>
      </x:c>
      <x:c r="S52" s="18"/>
      <x:c r="T52" s="18"/>
      <x:c r="U52" s="18"/>
      <x:c r="V52" s="18" t="str">
        <x:v>SIM02_PREOP_vs_PLACEBO_ALFENT</x:v>
      </x:c>
      <x:c r="W52" s="18" t="n">
        <x:v>1</x:v>
      </x:c>
      <x:c r="X52" s="18" t="str">
        <x:v>MATCHED</x:v>
      </x:c>
      <x:c r="Y52" s="18" t="str">
        <x:v>Existing v20 row(s) represent this source-verified estimand.</x:v>
      </x:c>
      <x:c r="Z52" s="18" t="str">
        <x:v>Relevant comparison is preop EA vs placebo, not preop vs postop.</x:v>
      </x:c>
      <x:c r="AA52" s="18" t="str">
        <x:v>Sim_2002_RoB2_intraoperative_alfentanil.md</x:v>
      </x:c>
      <x:c r="AB52" s="18" t="str">
        <x:v>https://drive.google.com/file/d/1YsNHL-J3Kgfu8mCanRrNu_bHk_roj0w6/view?usp=drivesdk</x:v>
      </x:c>
    </x:row>
    <x:row r="53">
      <x:c r="A53" s="18" t="str">
        <x:v>F-intra-006</x:v>
      </x:c>
      <x:c r="B53" s="18" t="str">
        <x:v>F-intra</x:v>
      </x:c>
      <x:c r="C53" s="18" t="str">
        <x:v>Wu 2022</x:v>
      </x:c>
      <x:c r="D53" s="18" t="str">
        <x:v>Wu 2022</x:v>
      </x:c>
      <x:c r="E53" s="18" t="str">
        <x:v>remifentanil</x:v>
      </x:c>
      <x:c r="F53" s="18" t="str">
        <x:v>intraoperative</x:v>
      </x:c>
      <x:c r="G53" s="18" t="str">
        <x:v>1383±494 vs1637±630 μg; P=0.042</x:v>
      </x:c>
      <x:c r="H53" s="18" t="str">
        <x:v>Some concerns</x:v>
      </x:c>
      <x:c r="I53" s="18" t="str">
        <x:v>Some concerns</x:v>
      </x:c>
      <x:c r="J53" s="18" t="str">
        <x:v>Some concerns</x:v>
      </x:c>
      <x:c r="K53" s="18" t="str">
        <x:v>Low</x:v>
      </x:c>
      <x:c r="L53" s="18" t="str">
        <x:v>Some concerns</x:v>
      </x:c>
      <x:c r="M53" s="18" t="str">
        <x:v>Some concerns</x:v>
      </x:c>
      <x:c r="N53" s="18" t="str">
        <x:v>F_intraop_titrated_requirement</x:v>
      </x:c>
      <x:c r="O53" s="18" t="str">
        <x:v>SENSITIVITY</x:v>
      </x:c>
      <x:c r="P53" s="18" t="n">
        <x:v>0</x:v>
      </x:c>
      <x:c r="Q53" s="18" t="n">
        <x:v>1</x:v>
      </x:c>
      <x:c r="R53" s="18" t="n">
        <x:v>0</x:v>
      </x:c>
      <x:c r="S53" s="18"/>
      <x:c r="T53" s="18"/>
      <x:c r="U53" s="18"/>
      <x:c r="V53" s="18" t="str">
        <x:v>WU22_PTEAS_vs_CTRL_REMI</x:v>
      </x:c>
      <x:c r="W53" s="18" t="n">
        <x:v>1</x:v>
      </x:c>
      <x:c r="X53" s="18" t="str">
        <x:v>MATCHED</x:v>
      </x:c>
      <x:c r="Y53" s="18" t="str">
        <x:v>Existing v20 row(s) represent this source-verified estimand.</x:v>
      </x:c>
      <x:c r="Z53" s="18" t="str">
        <x:v>6/90 excluded, imbalance 1 vs5.</x:v>
      </x:c>
      <x:c r="AA53" s="18" t="str">
        <x:v>Wu_2022_RoB2_intraoperative_remifentanil.md</x:v>
      </x:c>
      <x:c r="AB53" s="18" t="str">
        <x:v>https://drive.google.com/file/d/1XR_8qmeHR7ulwV7NaaI0CeYbpwKdc_ym/view?usp=drivesdk</x:v>
      </x:c>
    </x:row>
    <x:row r="54">
      <x:c r="A54" s="18" t="str">
        <x:v>F-intra-007</x:v>
      </x:c>
      <x:c r="B54" s="18" t="str">
        <x:v>F-intra</x:v>
      </x:c>
      <x:c r="C54" s="18" t="str">
        <x:v>Xing 2022</x:v>
      </x:c>
      <x:c r="D54" s="18" t="str">
        <x:v>Xing 2022</x:v>
      </x:c>
      <x:c r="E54" s="18" t="str">
        <x:v>remifentanil</x:v>
      </x:c>
      <x:c r="F54" s="18" t="str">
        <x:v>intraoperative</x:v>
      </x:c>
      <x:c r="G54" s="18" t="str">
        <x:v>1182.61±253.61 vs1415.41±295.67 μg; P&lt;0.05</x:v>
      </x:c>
      <x:c r="H54" s="18" t="str">
        <x:v>Low</x:v>
      </x:c>
      <x:c r="I54" s="18" t="str">
        <x:v>Some concerns</x:v>
      </x:c>
      <x:c r="J54" s="18" t="str">
        <x:v>Low</x:v>
      </x:c>
      <x:c r="K54" s="18" t="str">
        <x:v>Low</x:v>
      </x:c>
      <x:c r="L54" s="18" t="str">
        <x:v>Some concerns</x:v>
      </x:c>
      <x:c r="M54" s="18" t="str">
        <x:v>Some concerns</x:v>
      </x:c>
      <x:c r="N54" s="18" t="str">
        <x:v>F_intraop_titrated_requirement</x:v>
      </x:c>
      <x:c r="O54" s="18" t="str">
        <x:v>CANDIDATE</x:v>
      </x:c>
      <x:c r="P54" s="18" t="n">
        <x:v>1</x:v>
      </x:c>
      <x:c r="Q54" s="18" t="n">
        <x:v>0</x:v>
      </x:c>
      <x:c r="R54" s="18" t="n">
        <x:v>0</x:v>
      </x:c>
      <x:c r="S54" s="18"/>
      <x:c r="T54" s="18"/>
      <x:c r="U54" s="18"/>
      <x:c r="V54" s="18" t="str">
        <x:v>XING22_NTG_vs_NG_REMI</x:v>
      </x:c>
      <x:c r="W54" s="18" t="n">
        <x:v>1</x:v>
      </x:c>
      <x:c r="X54" s="18" t="str">
        <x:v>MATCHED</x:v>
      </x:c>
      <x:c r="Y54" s="18" t="str">
        <x:v>Existing v20 row(s) represent this source-verified estimand.</x:v>
      </x:c>
      <x:c r="Z54" s="18" t="str">
        <x:v>NTG vs NG; anesthesiologist blinded.</x:v>
      </x:c>
      <x:c r="AA54" s="18" t="str">
        <x:v>Xing_2022_RoB2_intraoperative_remifentanil.md</x:v>
      </x:c>
      <x:c r="AB54" s="18" t="str">
        <x:v>https://drive.google.com/file/d/1h3IGpQ56nSh7H16xBEVyTzCBkWOXRSxK/view?usp=drivesdk</x:v>
      </x:c>
    </x:row>
    <x:row r="55">
      <x:c r="A55" s="18" t="str">
        <x:v>F-intra-008</x:v>
      </x:c>
      <x:c r="B55" s="18" t="str">
        <x:v>F-intra</x:v>
      </x:c>
      <x:c r="C55" s="18" t="str">
        <x:v>Lu 2021</x:v>
      </x:c>
      <x:c r="D55" s="18" t="str">
        <x:v>Lu 2021</x:v>
      </x:c>
      <x:c r="E55" s="18" t="str">
        <x:v>remifentanil</x:v>
      </x:c>
      <x:c r="F55" s="18" t="str">
        <x:v>intraoperative</x:v>
      </x:c>
      <x:c r="G55" s="18" t="str">
        <x:v>1.2±0.5 vs1.4±0.7 mg; MD −0.20 mg; P&lt;0.001</x:v>
      </x:c>
      <x:c r="H55" s="18" t="str">
        <x:v>Low</x:v>
      </x:c>
      <x:c r="I55" s="18" t="str">
        <x:v>Low</x:v>
      </x:c>
      <x:c r="J55" s="18" t="str">
        <x:v>Low</x:v>
      </x:c>
      <x:c r="K55" s="18" t="str">
        <x:v>Low</x:v>
      </x:c>
      <x:c r="L55" s="18" t="str">
        <x:v>Some concerns</x:v>
      </x:c>
      <x:c r="M55" s="18" t="str">
        <x:v>Some concerns</x:v>
      </x:c>
      <x:c r="N55" s="18" t="str">
        <x:v>F_intraop_titrated_requirement</x:v>
      </x:c>
      <x:c r="O55" s="18" t="str">
        <x:v>CANDIDATE</x:v>
      </x:c>
      <x:c r="P55" s="18" t="n">
        <x:v>1</x:v>
      </x:c>
      <x:c r="Q55" s="18" t="n">
        <x:v>0</x:v>
      </x:c>
      <x:c r="R55" s="18" t="n">
        <x:v>0</x:v>
      </x:c>
      <x:c r="S55" s="18"/>
      <x:c r="T55" s="18"/>
      <x:c r="U55" s="18"/>
      <x:c r="V55" s="18" t="str">
        <x:v>LU21_COMB_vs_SHAM_REMI</x:v>
      </x:c>
      <x:c r="W55" s="18" t="n">
        <x:v>1</x:v>
      </x:c>
      <x:c r="X55" s="18" t="str">
        <x:v>MATCHED</x:v>
      </x:c>
      <x:c r="Y55" s="18" t="str">
        <x:v>Existing v20 row(s) represent this source-verified estimand.</x:v>
      </x:c>
      <x:c r="Z55" s="18" t="str">
        <x:v>One of the cleanest blinded titration results.</x:v>
      </x:c>
      <x:c r="AA55" s="18" t="str">
        <x:v>Lu_2021_RoB2_intraoperative_remifentanil.md</x:v>
      </x:c>
      <x:c r="AB55" s="18" t="str">
        <x:v>https://drive.google.com/file/d/1MgD_OucfiyNEDdDe3osh8W01U1yYZs08/view?usp=drivesdk</x:v>
      </x:c>
    </x:row>
    <x:row r="56">
      <x:c r="A56" s="18" t="str">
        <x:v>F-intra-009</x:v>
      </x:c>
      <x:c r="B56" s="18" t="str">
        <x:v>F-intra</x:v>
      </x:c>
      <x:c r="C56" s="18" t="str">
        <x:v>Zheng 2025</x:v>
      </x:c>
      <x:c r="D56" s="18" t="str">
        <x:v>Zheng 2025</x:v>
      </x:c>
      <x:c r="E56" s="18" t="str">
        <x:v>remifentanil</x:v>
      </x:c>
      <x:c r="F56" s="18" t="str">
        <x:v>intraoperative</x:v>
      </x:c>
      <x:c r="G56" s="18" t="str">
        <x:v>233.1±29.6 vs289.5±37.9 μg; P=0.031</x:v>
      </x:c>
      <x:c r="H56" s="18" t="str">
        <x:v>Low</x:v>
      </x:c>
      <x:c r="I56" s="18" t="str">
        <x:v>Some concerns</x:v>
      </x:c>
      <x:c r="J56" s="18" t="str">
        <x:v>Low</x:v>
      </x:c>
      <x:c r="K56" s="18" t="str">
        <x:v>Low</x:v>
      </x:c>
      <x:c r="L56" s="18" t="str">
        <x:v>Some concerns</x:v>
      </x:c>
      <x:c r="M56" s="18" t="str">
        <x:v>Some concerns</x:v>
      </x:c>
      <x:c r="N56" s="18" t="str">
        <x:v>F_intraop_titrated_requirement</x:v>
      </x:c>
      <x:c r="O56" s="18" t="str">
        <x:v>SENSITIVITY</x:v>
      </x:c>
      <x:c r="P56" s="18" t="n">
        <x:v>0</x:v>
      </x:c>
      <x:c r="Q56" s="18" t="n">
        <x:v>1</x:v>
      </x:c>
      <x:c r="R56" s="18" t="n">
        <x:v>0</x:v>
      </x:c>
      <x:c r="S56" s="18"/>
      <x:c r="T56" s="18"/>
      <x:c r="U56" s="18"/>
      <x:c r="V56" s="18" t="str">
        <x:v>ZHENG25_TEAS_vs_SHAM_REMI</x:v>
      </x:c>
      <x:c r="W56" s="18" t="n">
        <x:v>1</x:v>
      </x:c>
      <x:c r="X56" s="18" t="str">
        <x:v>MATCHED</x:v>
      </x:c>
      <x:c r="Y56" s="18" t="str">
        <x:v>Existing v20 row(s) represent this source-verified estimand.</x:v>
      </x:c>
      <x:c r="Z56" s="18" t="str">
        <x:v>Anesthesiologist explicitly unblinded.</x:v>
      </x:c>
      <x:c r="AA56" s="18" t="str">
        <x:v>Zheng_2025_RoB2_intraoperative_remifentanil.md</x:v>
      </x:c>
      <x:c r="AB56" s="18" t="str">
        <x:v>https://drive.google.com/file/d/1-JWKZgQXaQQQBZgMSDqyIP-vG9aAxBqb/view?usp=drivesdk</x:v>
      </x:c>
    </x:row>
    <x:row r="57">
      <x:c r="A57" s="18" t="str">
        <x:v>F-intra-010</x:v>
      </x:c>
      <x:c r="B57" s="18" t="str">
        <x:v>F-intra</x:v>
      </x:c>
      <x:c r="C57" s="18" t="str">
        <x:v>Guo 2023</x:v>
      </x:c>
      <x:c r="D57" s="18" t="str">
        <x:v>Guo 2023</x:v>
      </x:c>
      <x:c r="E57" s="18" t="str">
        <x:v>remifentanil</x:v>
      </x:c>
      <x:c r="F57" s="18" t="str">
        <x:v>intraoperative</x:v>
      </x:c>
      <x:c r="G57" s="18" t="str">
        <x:v>0.87±0.30 vs1.01±0.39 mg; P=0.040</x:v>
      </x:c>
      <x:c r="H57" s="18" t="str">
        <x:v>Some concerns</x:v>
      </x:c>
      <x:c r="I57" s="18" t="str">
        <x:v>Some concerns</x:v>
      </x:c>
      <x:c r="J57" s="18" t="str">
        <x:v>Some concerns</x:v>
      </x:c>
      <x:c r="K57" s="18" t="str">
        <x:v>Low</x:v>
      </x:c>
      <x:c r="L57" s="18" t="str">
        <x:v>Some concerns</x:v>
      </x:c>
      <x:c r="M57" s="18" t="str">
        <x:v>Some concerns</x:v>
      </x:c>
      <x:c r="N57" s="18" t="str">
        <x:v>F_intraop_titrated_requirement</x:v>
      </x:c>
      <x:c r="O57" s="18" t="str">
        <x:v>SENSITIVITY</x:v>
      </x:c>
      <x:c r="P57" s="18" t="n">
        <x:v>0</x:v>
      </x:c>
      <x:c r="Q57" s="18" t="n">
        <x:v>1</x:v>
      </x:c>
      <x:c r="R57" s="18" t="n">
        <x:v>0</x:v>
      </x:c>
      <x:c r="S57" s="18"/>
      <x:c r="T57" s="18"/>
      <x:c r="U57" s="18"/>
      <x:c r="V57" s="18" t="str">
        <x:v>GUO23_TEAS_vs_SHAM_REMI</x:v>
      </x:c>
      <x:c r="W57" s="18" t="n">
        <x:v>1</x:v>
      </x:c>
      <x:c r="X57" s="18" t="str">
        <x:v>MATCHED</x:v>
      </x:c>
      <x:c r="Y57" s="18" t="str">
        <x:v>Existing v20 row(s) represent this source-verified estimand.</x:v>
      </x:c>
      <x:c r="Z57" s="18" t="str">
        <x:v>18/128 randomized excluded.</x:v>
      </x:c>
      <x:c r="AA57" s="18" t="str">
        <x:v>Guo_2023_RoB2_intraoperative_remifentanil.md</x:v>
      </x:c>
      <x:c r="AB57" s="18" t="str">
        <x:v>https://drive.google.com/file/d/1Idfl7rfZhgAUJHDpsmgzp17ADiGvrU8C/view?usp=drivesdk</x:v>
      </x:c>
    </x:row>
    <x:row r="58">
      <x:c r="A58" s="18" t="str">
        <x:v>F-intra-011</x:v>
      </x:c>
      <x:c r="B58" s="18" t="str">
        <x:v>F-intra</x:v>
      </x:c>
      <x:c r="C58" s="18" t="str">
        <x:v>Yang 2024</x:v>
      </x:c>
      <x:c r="D58" s="18" t="str">
        <x:v>Yang 2024</x:v>
      </x:c>
      <x:c r="E58" s="18" t="str">
        <x:v>remifentanil</x:v>
      </x:c>
      <x:c r="F58" s="18" t="str">
        <x:v>intraoperative</x:v>
      </x:c>
      <x:c r="G58" s="18" t="str">
        <x:v>0.5 (0.3–0.6) vs0.5 (0.4–0.7) mg; P=0.75</x:v>
      </x:c>
      <x:c r="H58" s="18" t="str">
        <x:v>Low</x:v>
      </x:c>
      <x:c r="I58" s="18" t="str">
        <x:v>Low</x:v>
      </x:c>
      <x:c r="J58" s="18" t="str">
        <x:v>Low</x:v>
      </x:c>
      <x:c r="K58" s="18" t="str">
        <x:v>Low</x:v>
      </x:c>
      <x:c r="L58" s="18" t="str">
        <x:v>Some concerns</x:v>
      </x:c>
      <x:c r="M58" s="18" t="str">
        <x:v>Some concerns</x:v>
      </x:c>
      <x:c r="N58" s="18" t="str">
        <x:v>F_intraop_titrated_requirement</x:v>
      </x:c>
      <x:c r="O58" s="18" t="str">
        <x:v>CANDIDATE</x:v>
      </x:c>
      <x:c r="P58" s="18" t="n">
        <x:v>1</x:v>
      </x:c>
      <x:c r="Q58" s="18" t="n">
        <x:v>0</x:v>
      </x:c>
      <x:c r="R58" s="18" t="n">
        <x:v>0</x:v>
      </x:c>
      <x:c r="S58" s="18"/>
      <x:c r="T58" s="18"/>
      <x:c r="U58" s="18"/>
      <x:c r="V58" s="18" t="str">
        <x:v>YANG24_EA_vs_UC_REMI</x:v>
      </x:c>
      <x:c r="W58" s="18" t="n">
        <x:v>1</x:v>
      </x:c>
      <x:c r="X58" s="18" t="str">
        <x:v>NORMALIZED_V22</x:v>
      </x:c>
      <x:c r="Y58" s="18" t="str">
        <x:v>Normalized into Outcome_Data_AF_LOCK in v22 (1 new source-scale row(s)); original v20 Outcome_Data remains unchanged.</x:v>
      </x:c>
      <x:c r="Z58" s="18" t="str">
        <x:v>Preoperative EA occurred before surgery; anesthetist blinded.</x:v>
      </x:c>
      <x:c r="AA58" s="18" t="str">
        <x:v>Yang_2024_RoB2_intraoperative_remifentanil.md</x:v>
      </x:c>
      <x:c r="AB58" s="18"/>
    </x:row>
    <x:row r="59">
      <x:c r="A59" s="18" t="str">
        <x:v>F-intra-012</x:v>
      </x:c>
      <x:c r="B59" s="18" t="str">
        <x:v>F-intra</x:v>
      </x:c>
      <x:c r="C59" s="18" t="str">
        <x:v>Liang 2021</x:v>
      </x:c>
      <x:c r="D59" s="18" t="str">
        <x:v>Liang 2021</x:v>
      </x:c>
      <x:c r="E59" s="18" t="str">
        <x:v>remifentanil</x:v>
      </x:c>
      <x:c r="F59" s="18" t="str">
        <x:v>intraoperative</x:v>
      </x:c>
      <x:c r="G59" s="18" t="str">
        <x:v>521.5±206.8 vs464.7±156.0 μg; exact P NR, stated NS</x:v>
      </x:c>
      <x:c r="H59" s="18" t="str">
        <x:v>Low</x:v>
      </x:c>
      <x:c r="I59" s="18" t="str">
        <x:v>Some concerns</x:v>
      </x:c>
      <x:c r="J59" s="18" t="str">
        <x:v>Some concerns</x:v>
      </x:c>
      <x:c r="K59" s="18" t="str">
        <x:v>Low</x:v>
      </x:c>
      <x:c r="L59" s="18" t="str">
        <x:v>Some concerns</x:v>
      </x:c>
      <x:c r="M59" s="18" t="str">
        <x:v>Some concerns</x:v>
      </x:c>
      <x:c r="N59" s="18" t="str">
        <x:v>F_intraop_titrated_requirement</x:v>
      </x:c>
      <x:c r="O59" s="18" t="str">
        <x:v>SENSITIVITY</x:v>
      </x:c>
      <x:c r="P59" s="18" t="n">
        <x:v>0</x:v>
      </x:c>
      <x:c r="Q59" s="18" t="n">
        <x:v>1</x:v>
      </x:c>
      <x:c r="R59" s="18" t="n">
        <x:v>0</x:v>
      </x:c>
      <x:c r="S59" s="18"/>
      <x:c r="T59" s="18"/>
      <x:c r="U59" s="18"/>
      <x:c r="V59" s="18" t="str">
        <x:v>LIANG21_TEAS_vs_CTRL_REMI</x:v>
      </x:c>
      <x:c r="W59" s="18" t="n">
        <x:v>1</x:v>
      </x:c>
      <x:c r="X59" s="18" t="str">
        <x:v>NORMALIZED_V22</x:v>
      </x:c>
      <x:c r="Y59" s="18" t="str">
        <x:v>Normalized into Outcome_Data_AF_LOCK in v22 (1 new source-scale row(s)); original v20 Outcome_Data remains unchanged.</x:v>
      </x:c>
      <x:c r="Z59" s="18" t="str">
        <x:v>5/75 excluded; printed sufentanil unit anomaly.</x:v>
      </x:c>
      <x:c r="AA59" s="18" t="str">
        <x:v>Liang_2021_RoB2_intraoperative_remifentanil.md</x:v>
      </x:c>
      <x:c r="AB59" s="18"/>
    </x:row>
    <x:row r="60">
      <x:c r="A60" s="18" t="str">
        <x:v>F-intra-013</x:v>
      </x:c>
      <x:c r="B60" s="18" t="str">
        <x:v>F-intra</x:v>
      </x:c>
      <x:c r="C60" s="18" t="str">
        <x:v>Pan 2023</x:v>
      </x:c>
      <x:c r="D60" s="18" t="str">
        <x:v>Pan 2023</x:v>
      </x:c>
      <x:c r="E60" s="18" t="str">
        <x:v>remifentanil</x:v>
      </x:c>
      <x:c r="F60" s="18" t="str">
        <x:v>intraoperative</x:v>
      </x:c>
      <x:c r="G60" s="18" t="str">
        <x:v>740.1±276.9 vs854.0±287.5 μg; P=0.04</x:v>
      </x:c>
      <x:c r="H60" s="18" t="str">
        <x:v>Some concerns</x:v>
      </x:c>
      <x:c r="I60" s="18" t="str">
        <x:v>High</x:v>
      </x:c>
      <x:c r="J60" s="18" t="str">
        <x:v>High</x:v>
      </x:c>
      <x:c r="K60" s="18" t="str">
        <x:v>Some concerns</x:v>
      </x:c>
      <x:c r="L60" s="18" t="str">
        <x:v>Some concerns</x:v>
      </x:c>
      <x:c r="M60" s="18" t="str">
        <x:v>High</x:v>
      </x:c>
      <x:c r="N60" s="18" t="str">
        <x:v>F_intraop_titrated_requirement</x:v>
      </x:c>
      <x:c r="O60" s="18" t="str">
        <x:v>SENSITIVITY / HIGH RoB</x:v>
      </x:c>
      <x:c r="P60" s="18" t="n">
        <x:v>0</x:v>
      </x:c>
      <x:c r="Q60" s="18" t="n">
        <x:v>1</x:v>
      </x:c>
      <x:c r="R60" s="18" t="n">
        <x:v>0</x:v>
      </x:c>
      <x:c r="S60" s="18"/>
      <x:c r="T60" s="18"/>
      <x:c r="U60" s="18"/>
      <x:c r="V60" s="18" t="str">
        <x:v>PAN23_TEAS_vs_CONTROL_REMI</x:v>
      </x:c>
      <x:c r="W60" s="18" t="n">
        <x:v>1</x:v>
      </x:c>
      <x:c r="X60" s="18" t="str">
        <x:v>NORMALIZED_V22</x:v>
      </x:c>
      <x:c r="Y60" s="18" t="str">
        <x:v>Normalized into Outcome_Data_AF_LOCK in v22 (1 new source-scale row(s)); original v20 Outcome_Data remains unchanged.</x:v>
      </x:c>
      <x:c r="Z60" s="18" t="str">
        <x:v>15/120 excluded.</x:v>
      </x:c>
      <x:c r="AA60" s="18" t="str">
        <x:v>Pan_2023_RoB2_intraoperative_remifentanil.md</x:v>
      </x:c>
      <x:c r="AB60" s="18"/>
    </x:row>
    <x:row r="61">
      <x:c r="A61" s="18" t="str">
        <x:v>F-exposure-001</x:v>
      </x:c>
      <x:c r="B61" s="18" t="str">
        <x:v>F-exposure</x:v>
      </x:c>
      <x:c r="C61" s="18" t="str">
        <x:v>Li 2022</x:v>
      </x:c>
      <x:c r="D61" s="18" t="str">
        <x:v>Li 2022</x:v>
      </x:c>
      <x:c r="E61" s="18" t="str">
        <x:v>Fixed-rate remifentanil exposure</x:v>
      </x:c>
      <x:c r="F61" s="18" t="str">
        <x:v>intraoperative</x:v>
      </x:c>
      <x:c r="G61" s="18" t="str">
        <x:v>2009±143.2 vs1989±158.7 μg; P=0.555</x:v>
      </x:c>
      <x:c r="H61" s="18" t="str">
        <x:v>—</x:v>
      </x:c>
      <x:c r="I61" s="18" t="str">
        <x:v>—</x:v>
      </x:c>
      <x:c r="J61" s="18" t="str">
        <x:v>—</x:v>
      </x:c>
      <x:c r="K61" s="18" t="str">
        <x:v>—</x:v>
      </x:c>
      <x:c r="L61" s="18" t="str">
        <x:v>—</x:v>
      </x:c>
      <x:c r="M61" s="18" t="str">
        <x:v>—</x:v>
      </x:c>
      <x:c r="N61" s="18" t="str">
        <x:v>F_intraop_fixed_or_unclear_exposure</x:v>
      </x:c>
      <x:c r="O61" s="18" t="str">
        <x:v>DO NOT POOL with titrated</x:v>
      </x:c>
      <x:c r="P61" s="18" t="n">
        <x:v>0</x:v>
      </x:c>
      <x:c r="Q61" s="18" t="n">
        <x:v>0</x:v>
      </x:c>
      <x:c r="R61" s="18" t="n">
        <x:v>1</x:v>
      </x:c>
      <x:c r="S61" s="18" t="str">
        <x:v>DO NOT POOL with titrated</x:v>
      </x:c>
      <x:c r="T61" s="18"/>
      <x:c r="U61" s="18"/>
      <x:c r="V61" s="18" t="str">
        <x:v>LI22_EA_vs_SHAM_REMI_FIXED</x:v>
      </x:c>
      <x:c r="W61" s="18" t="n">
        <x:v>1</x:v>
      </x:c>
      <x:c r="X61" s="18" t="str">
        <x:v>NORMALIZED_V22</x:v>
      </x:c>
      <x:c r="Y61" s="18" t="str">
        <x:v>Normalized into Outcome_Data_AF_LOCK in v22 (1 new source-scale row(s)); original v20 Outcome_Data remains unchanged.</x:v>
      </x:c>
      <x:c r="Z61" s="18" t="str">
        <x:v>Fixed 0.3 μg/kg/min.</x:v>
      </x:c>
      <x:c r="AA61" s="18" t="str">
        <x:v>Li_2022_TargetF_remifentanil_rescue_eligibility_audit.md</x:v>
      </x:c>
      <x:c r="AB61" s="18"/>
    </x:row>
    <x:row r="62">
      <x:c r="A62" s="18" t="str">
        <x:v>F-exposure-002</x:v>
      </x:c>
      <x:c r="B62" s="18" t="str">
        <x:v>F-exposure</x:v>
      </x:c>
      <x:c r="C62" s="18" t="str">
        <x:v>Chen 2015 (Hyperalgesia)</x:v>
      </x:c>
      <x:c r="D62" s="18" t="str">
        <x:v>Chen 2015 hyperalgesia</x:v>
      </x:c>
      <x:c r="E62" s="18" t="str">
        <x:v>Fixed-target remifentanil exposure</x:v>
      </x:c>
      <x:c r="F62" s="18" t="str">
        <x:v>intraoperative</x:v>
      </x:c>
      <x:c r="G62" s="18" t="str">
        <x:v>1691±37 vs1718±43 μg; P=0.461</x:v>
      </x:c>
      <x:c r="H62" s="18" t="str">
        <x:v>Some concerns</x:v>
      </x:c>
      <x:c r="I62" s="18" t="str">
        <x:v>Some concerns</x:v>
      </x:c>
      <x:c r="J62" s="18" t="str">
        <x:v>Low</x:v>
      </x:c>
      <x:c r="K62" s="18" t="str">
        <x:v>Some concerns</x:v>
      </x:c>
      <x:c r="L62" s="18" t="str">
        <x:v>Some concerns</x:v>
      </x:c>
      <x:c r="M62" s="18" t="str">
        <x:v>Some concerns</x:v>
      </x:c>
      <x:c r="N62" s="18" t="str">
        <x:v>F_intraop_fixed_or_unclear_exposure</x:v>
      </x:c>
      <x:c r="O62" s="18" t="str">
        <x:v>DO NOT POOL with titrated</x:v>
      </x:c>
      <x:c r="P62" s="18" t="n">
        <x:v>0</x:v>
      </x:c>
      <x:c r="Q62" s="18" t="n">
        <x:v>0</x:v>
      </x:c>
      <x:c r="R62" s="18" t="n">
        <x:v>1</x:v>
      </x:c>
      <x:c r="S62" s="18" t="str">
        <x:v>DO NOT POOL with titrated</x:v>
      </x:c>
      <x:c r="T62" s="18"/>
      <x:c r="U62" s="18"/>
      <x:c r="V62" s="18" t="str">
        <x:v>CHEN15H_TEAS_vs_SHAM_REMI_FIXED</x:v>
      </x:c>
      <x:c r="W62" s="18" t="n">
        <x:v>1</x:v>
      </x:c>
      <x:c r="X62" s="18" t="str">
        <x:v>NORMALIZED_V22</x:v>
      </x:c>
      <x:c r="Y62" s="18" t="str">
        <x:v>Normalized into Outcome_Data_AF_LOCK in v22 (1 new source-scale row(s)); original v20 Outcome_Data remains unchanged.</x:v>
      </x:c>
      <x:c r="Z62" s="18" t="str">
        <x:v>Fixed target 5.0 ng/mL.</x:v>
      </x:c>
      <x:c r="AA62" s="18" t="str">
        <x:v>Chen_2015_hyperalgesia_RoB2_rescue_sufentanil_0_24h.md</x:v>
      </x:c>
      <x:c r="AB62" s="18"/>
    </x:row>
    <x:row r="63">
      <x:c r="A63" s="18" t="str">
        <x:v>F-exposure-003</x:v>
      </x:c>
      <x:c r="B63" s="18" t="str">
        <x:v>F-exposure</x:v>
      </x:c>
      <x:c r="C63" s="18" t="str">
        <x:v>Xie 2014</x:v>
      </x:c>
      <x:c r="D63" s="18" t="str">
        <x:v>Xie 2014</x:v>
      </x:c>
      <x:c r="E63" s="18" t="str">
        <x:v>Intraoperative remifentanil exposure</x:v>
      </x:c>
      <x:c r="F63" s="18" t="str">
        <x:v>intraoperative</x:v>
      </x:c>
      <x:c r="G63" s="18" t="str">
        <x:v>1.89±0.63 vs1.90±0.59 mg</x:v>
      </x:c>
      <x:c r="H63" s="18" t="str">
        <x:v>Some concerns</x:v>
      </x:c>
      <x:c r="I63" s="18" t="str">
        <x:v>Some concerns</x:v>
      </x:c>
      <x:c r="J63" s="18" t="str">
        <x:v>Low</x:v>
      </x:c>
      <x:c r="K63" s="18" t="str">
        <x:v>Low</x:v>
      </x:c>
      <x:c r="L63" s="18" t="str">
        <x:v>Some concerns</x:v>
      </x:c>
      <x:c r="M63" s="18" t="str">
        <x:v>Some concerns</x:v>
      </x:c>
      <x:c r="N63" s="18" t="str">
        <x:v>F_intraop_fixed_or_unclear_exposure</x:v>
      </x:c>
      <x:c r="O63" s="18" t="str">
        <x:v>KEEP SEPARATE</x:v>
      </x:c>
      <x:c r="P63" s="18" t="n">
        <x:v>0</x:v>
      </x:c>
      <x:c r="Q63" s="18" t="n">
        <x:v>1</x:v>
      </x:c>
      <x:c r="R63" s="18" t="n">
        <x:v>0</x:v>
      </x:c>
      <x:c r="S63" s="18"/>
      <x:c r="T63" s="18"/>
      <x:c r="U63" s="18"/>
      <x:c r="V63" s="18" t="str">
        <x:v>XIE14_EAS_vs_SHAM_REMI</x:v>
      </x:c>
      <x:c r="W63" s="18" t="n">
        <x:v>1</x:v>
      </x:c>
      <x:c r="X63" s="18" t="str">
        <x:v>NORMALIZED_V22</x:v>
      </x:c>
      <x:c r="Y63" s="18" t="str">
        <x:v>Normalized into Outcome_Data_AF_LOCK in v22 (1 new source-scale row(s)); original v20 Outcome_Data remains unchanged.</x:v>
      </x:c>
      <x:c r="Z63" s="18" t="str">
        <x:v>Postoperative opioid effect is the main signal.</x:v>
      </x:c>
      <x:c r="AA63" s="18" t="str">
        <x:v>Xie_2014_RoB2_intraoperative_remifentanil.md</x:v>
      </x:c>
      <x:c r="AB63" s="18"/>
    </x:row>
    <x:row r="64">
      <x:c r="A64" s="18" t="str">
        <x:v>F-exposure-004</x:v>
      </x:c>
      <x:c r="B64" s="18" t="str">
        <x:v>F-exposure</x:v>
      </x:c>
      <x:c r="C64" s="18" t="str">
        <x:v>Ntritsou 2014</x:v>
      </x:c>
      <x:c r="D64" s="18" t="str">
        <x:v>Ntritsou 2014</x:v>
      </x:c>
      <x:c r="E64" s="18" t="str">
        <x:v>Intraoperative remifentanil exposure</x:v>
      </x:c>
      <x:c r="F64" s="18" t="str">
        <x:v>intraoperative</x:v>
      </x:c>
      <x:c r="G64" s="18" t="str">
        <x:v>1003.6±522.7 vs1041.9±631.9 μg; P=0.783</x:v>
      </x:c>
      <x:c r="H64" s="18" t="str">
        <x:v>Some concerns</x:v>
      </x:c>
      <x:c r="I64" s="18" t="str">
        <x:v>Some concerns</x:v>
      </x:c>
      <x:c r="J64" s="18" t="str">
        <x:v>Low</x:v>
      </x:c>
      <x:c r="K64" s="18" t="str">
        <x:v>Low</x:v>
      </x:c>
      <x:c r="L64" s="18" t="str">
        <x:v>Some concerns</x:v>
      </x:c>
      <x:c r="M64" s="18" t="str">
        <x:v>Some concerns</x:v>
      </x:c>
      <x:c r="N64" s="18" t="str">
        <x:v>F_intraop_fixed_or_unclear_exposure</x:v>
      </x:c>
      <x:c r="O64" s="18" t="str">
        <x:v>KEEP SEPARATE</x:v>
      </x:c>
      <x:c r="P64" s="18" t="n">
        <x:v>0</x:v>
      </x:c>
      <x:c r="Q64" s="18" t="n">
        <x:v>1</x:v>
      </x:c>
      <x:c r="R64" s="18" t="n">
        <x:v>0</x:v>
      </x:c>
      <x:c r="S64" s="18"/>
      <x:c r="T64" s="18"/>
      <x:c r="U64" s="18"/>
      <x:c r="V64" s="18" t="str">
        <x:v>NTRI14_EA_vs_SHAM_REMI</x:v>
      </x:c>
      <x:c r="W64" s="18" t="n">
        <x:v>1</x:v>
      </x:c>
      <x:c r="X64" s="18" t="str">
        <x:v>MATCHED</x:v>
      </x:c>
      <x:c r="Y64" s="18" t="str">
        <x:v>Existing v20 row(s) represent this source-verified estimand.</x:v>
      </x:c>
      <x:c r="Z64" s="18" t="str">
        <x:v>Intraoperative anesthetists knew allocation.</x:v>
      </x:c>
      <x:c r="AA64" s="18" t="str">
        <x:v>Ntritsou_2014_RoB2_intraoperative_remifentanil.md</x:v>
      </x:c>
      <x:c r="AB64" s="18" t="str">
        <x:v>https://drive.google.com/file/d/1u_kNuuXF8upB3gJA2aDq8NldYDfhnWy3/view?usp=drivesdk</x:v>
      </x:c>
    </x:row>
    <x:row r="65">
      <x:c r="A65" s="18" t="str">
        <x:v>F-exposure-005</x:v>
      </x:c>
      <x:c r="B65" s="18" t="str">
        <x:v>F-exposure</x:v>
      </x:c>
      <x:c r="C65" s="18" t="str">
        <x:v>Sun 2017</x:v>
      </x:c>
      <x:c r="D65" s="18" t="str">
        <x:v>Sun 2017</x:v>
      </x:c>
      <x:c r="E65" s="18" t="str">
        <x:v>Author-defined morphine-equivalent intraoperative opioid</x:v>
      </x:c>
      <x:c r="F65" s="18" t="str">
        <x:v>intraoperative</x:v>
      </x:c>
      <x:c r="G65" s="18" t="str">
        <x:v>1.5–1.6 mg/kg across arms; P=0.303</x:v>
      </x:c>
      <x:c r="H65" s="18" t="str">
        <x:v>Low</x:v>
      </x:c>
      <x:c r="I65" s="18" t="str">
        <x:v>Some concerns</x:v>
      </x:c>
      <x:c r="J65" s="18" t="str">
        <x:v>Some concerns</x:v>
      </x:c>
      <x:c r="K65" s="18" t="str">
        <x:v>Low</x:v>
      </x:c>
      <x:c r="L65" s="18" t="str">
        <x:v>Some concerns</x:v>
      </x:c>
      <x:c r="M65" s="18" t="str">
        <x:v>Some concerns</x:v>
      </x:c>
      <x:c r="N65" s="18" t="str">
        <x:v>F_intraop_fixed_or_unclear_exposure</x:v>
      </x:c>
      <x:c r="O65" s="18" t="str">
        <x:v>KEEP SEPARATE</x:v>
      </x:c>
      <x:c r="P65" s="18" t="n">
        <x:v>0</x:v>
      </x:c>
      <x:c r="Q65" s="18" t="n">
        <x:v>1</x:v>
      </x:c>
      <x:c r="R65" s="18" t="n">
        <x:v>0</x:v>
      </x:c>
      <x:c r="S65" s="18"/>
      <x:c r="T65" s="18"/>
      <x:c r="U65" s="18"/>
      <x:c r="V65" s="18" t="str">
        <x:v>SUN17_INTRAOP_MORPH_EQUIV</x:v>
      </x:c>
      <x:c r="W65" s="18" t="n">
        <x:v>1</x:v>
      </x:c>
      <x:c r="X65" s="18" t="str">
        <x:v>MATCHED</x:v>
      </x:c>
      <x:c r="Y65" s="18" t="str">
        <x:v>Existing v20 row(s) represent this source-verified estimand.</x:v>
      </x:c>
      <x:c r="Z65" s="18" t="str">
        <x:v>Author conversion not automatically IV-MME.</x:v>
      </x:c>
      <x:c r="AA65" s="18" t="str">
        <x:v>Sun_2017_RoB2_intraoperative_opioid.md</x:v>
      </x:c>
      <x:c r="AB65" s="18" t="str">
        <x:v>https://drive.google.com/file/d/1lELlw0IpkhqoB8OuintAI22fxKfNEcEd/view?usp=drivesdk</x:v>
      </x:c>
    </x:row>
    <x:row r="66">
      <x:c r="A66" s="18" t="str">
        <x:v>F-exposure-006</x:v>
      </x:c>
      <x:c r="B66" s="18" t="str">
        <x:v>F-exposure</x:v>
      </x:c>
      <x:c r="C66" s="18" t="str">
        <x:v>Jiang 2026</x:v>
      </x:c>
      <x:c r="D66" s="18" t="str">
        <x:v>Jiang 2026</x:v>
      </x:c>
      <x:c r="E66" s="18" t="str">
        <x:v>Intraoperative remifentanil + sufentanil exposure</x:v>
      </x:c>
      <x:c r="F66" s="18" t="str">
        <x:v>intraoperative</x:v>
      </x:c>
      <x:c r="G66" s="18" t="str">
        <x:v>Remi 841.4 [593.85–1278.0] vs795.2 [584.0–1228.2] μg; sufentanil 21.0 vs21.0 μg</x:v>
      </x:c>
      <x:c r="H66" s="18" t="str">
        <x:v>Low</x:v>
      </x:c>
      <x:c r="I66" s="18" t="str">
        <x:v>Some concerns</x:v>
      </x:c>
      <x:c r="J66" s="18" t="str">
        <x:v>Some concerns</x:v>
      </x:c>
      <x:c r="K66" s="18" t="str">
        <x:v>Some concerns</x:v>
      </x:c>
      <x:c r="L66" s="18" t="str">
        <x:v>Some concerns</x:v>
      </x:c>
      <x:c r="M66" s="18" t="str">
        <x:v>Some concerns</x:v>
      </x:c>
      <x:c r="N66" s="18" t="str">
        <x:v>F_intraop_fixed_or_unclear_exposure</x:v>
      </x:c>
      <x:c r="O66" s="18" t="str">
        <x:v>KEEP SEPARATE</x:v>
      </x:c>
      <x:c r="P66" s="18" t="n">
        <x:v>0</x:v>
      </x:c>
      <x:c r="Q66" s="18" t="n">
        <x:v>1</x:v>
      </x:c>
      <x:c r="R66" s="18" t="n">
        <x:v>0</x:v>
      </x:c>
      <x:c r="S66" s="18"/>
      <x:c r="T66" s="18" t="str">
        <x:v>P1</x:v>
      </x:c>
      <x:c r="U66" s="18"/>
      <x:c r="V66" s="18" t="str">
        <x:v>JIANG26_TEAS_vs_SHAM_INTRAOP_REMI</x:v>
      </x:c>
      <x:c r="W66" s="18" t="n">
        <x:v>1</x:v>
      </x:c>
      <x:c r="X66" s="18" t="str">
        <x:v>MATCHED</x:v>
      </x:c>
      <x:c r="Y66" s="18" t="str">
        <x:v>Existing v20 row(s) represent this source-verified estimand. v25 result-specific P1 disposition: RESOLVED_BY_STRATIFICATION.</x:v>
      </x:c>
      <x:c r="Z66" s="18" t="str">
        <x:v>Titration algorithm/anesthesiologist masking incompletely reported.</x:v>
      </x:c>
      <x:c r="AA66" s="18" t="str">
        <x:v>Jiang_2026_TargetF_RoB2_intraoperative_opioid_exposure.md</x:v>
      </x:c>
      <x:c r="AB66" s="18" t="str">
        <x:v>https://drive.google.com/file/d/1nujlP9A_IMWUfd3HdCD2rOxTc9-I8v92/view?usp=drivesdk</x:v>
      </x:c>
    </x:row>
    <x:row r="67">
      <x:c r="A67" s="18" t="str">
        <x:v>F-exposure-007</x:v>
      </x:c>
      <x:c r="B67" s="18" t="str">
        <x:v>F-exposure</x:v>
      </x:c>
      <x:c r="C67" s="18" t="str">
        <x:v>Wu 2025</x:v>
      </x:c>
      <x:c r="D67" s="18" t="str">
        <x:v>Wu 2025</x:v>
      </x:c>
      <x:c r="E67" s="18" t="str">
        <x:v>Pre-intervention intraoperative opioid exposure</x:v>
      </x:c>
      <x:c r="F67" s="18" t="str">
        <x:v>intraoperative</x:v>
      </x:c>
      <x:c r="G67" s="18" t="str">
        <x:v>Table 1 only</x:v>
      </x:c>
      <x:c r="H67" s="18" t="str">
        <x:v>Some concerns</x:v>
      </x:c>
      <x:c r="I67" s="18" t="str">
        <x:v>Low</x:v>
      </x:c>
      <x:c r="J67" s="18" t="str">
        <x:v>Low</x:v>
      </x:c>
      <x:c r="K67" s="18" t="str">
        <x:v>Some concerns</x:v>
      </x:c>
      <x:c r="L67" s="18" t="str">
        <x:v>Some concerns</x:v>
      </x:c>
      <x:c r="M67" s="18" t="str">
        <x:v>Some concerns</x:v>
      </x:c>
      <x:c r="N67" s="18" t="str">
        <x:v>F_intraop_fixed_or_unclear_exposure</x:v>
      </x:c>
      <x:c r="O67" s="18" t="str">
        <x:v>EXCLUDE treatment effect</x:v>
      </x:c>
      <x:c r="P67" s="18" t="n">
        <x:v>0</x:v>
      </x:c>
      <x:c r="Q67" s="18" t="n">
        <x:v>0</x:v>
      </x:c>
      <x:c r="R67" s="18" t="n">
        <x:v>1</x:v>
      </x:c>
      <x:c r="S67" s="18" t="str">
        <x:v>EXCLUDE treatment effect</x:v>
      </x:c>
      <x:c r="T67" s="18"/>
      <x:c r="U67" s="18"/>
      <x:c r="V67" s="18" t="str">
        <x:v>WU25_TEAS_vs_SHAM_INTRAOPREMI; WU25_TEAS_vs_SHAM_INTRAOPSUF</x:v>
      </x:c>
      <x:c r="W67" s="18" t="n">
        <x:v>2</x:v>
      </x:c>
      <x:c r="X67" s="18" t="str">
        <x:v>MATCHED</x:v>
      </x:c>
      <x:c r="Y67" s="18" t="str">
        <x:v>Existing v20 row(s) represent this source-verified estimand.</x:v>
      </x:c>
      <x:c r="Z67" s="18" t="str">
        <x:v>Randomization/TEAS occurred after surgery in PACU.</x:v>
      </x:c>
      <x:c r="AA67" s="18" t="str">
        <x:v>Wu_2025_TargetF_rescue_analgesic_use_audit_RoB2.md</x:v>
      </x:c>
      <x:c r="AB67" s="18" t="str">
        <x:v>https://drive.google.com/file/d/1ZV6JFjevGSPqnISdX61KPdcC_yEtq3vf/view?usp=drivesdk</x:v>
      </x:c>
    </x:row>
    <x:row r="68">
      <x:c r="A68" s="18" t="str">
        <x:v>F-rescue-opioid-001</x:v>
      </x:c>
      <x:c r="B68" s="18" t="str">
        <x:v>F-rescue-opioid</x:v>
      </x:c>
      <x:c r="C68" s="18" t="str">
        <x:v>Yao 2015</x:v>
      </x:c>
      <x:c r="D68" s="18" t="str">
        <x:v>Yao 2015</x:v>
      </x:c>
      <x:c r="E68" s="18" t="str">
        <x:v>Rescue sufentanil administration count</x:v>
      </x:c>
      <x:c r="F68" s="18" t="str">
        <x:v>0–24 h</x:v>
      </x:c>
      <x:c r="G68" s="18" t="str">
        <x:v>1 (1–3) vs3.5 (2–7.8)</x:v>
      </x:c>
      <x:c r="H68" s="18" t="str">
        <x:v>Low</x:v>
      </x:c>
      <x:c r="I68" s="18" t="str">
        <x:v>Some concerns</x:v>
      </x:c>
      <x:c r="J68" s="18" t="str">
        <x:v>Some concerns</x:v>
      </x:c>
      <x:c r="K68" s="18" t="str">
        <x:v>Some concerns</x:v>
      </x:c>
      <x:c r="L68" s="18" t="str">
        <x:v>Some concerns</x:v>
      </x:c>
      <x:c r="M68" s="18" t="str">
        <x:v>Some concerns</x:v>
      </x:c>
      <x:c r="N68" s="18" t="str">
        <x:v>F_rescue_opioid</x:v>
      </x:c>
      <x:c r="O68" s="18" t="str">
        <x:v>UNRESOLVED P-value</x:v>
      </x:c>
      <x:c r="P68" s="18" t="n">
        <x:v>0</x:v>
      </x:c>
      <x:c r="Q68" s="18" t="n">
        <x:v>0</x:v>
      </x:c>
      <x:c r="R68" s="18" t="n">
        <x:v>1</x:v>
      </x:c>
      <x:c r="S68" s="18" t="str">
        <x:v>UNRESOLVED P-value</x:v>
      </x:c>
      <x:c r="T68" s="18" t="str">
        <x:v>P1</x:v>
      </x:c>
      <x:c r="U68" s="18"/>
      <x:c r="V68" s="18" t="str">
        <x:v>YAO15_TEAS_vs_CONTROL_RESCUECOUNT24</x:v>
      </x:c>
      <x:c r="W68" s="18" t="n">
        <x:v>1</x:v>
      </x:c>
      <x:c r="X68" s="18" t="str">
        <x:v>NORMALIZED_V22</x:v>
      </x:c>
      <x:c r="Y68" s="18" t="str">
        <x:v>Normalized into Outcome_Data_AF_LOCK in v22 (1 new source-scale row(s)); original v20 Outcome_Data remains unchanged. v25 result-specific P1 disposition: RESOLVED_BY_NATIVE_DATA_RULE.</x:v>
      </x:c>
      <x:c r="Z68" s="18" t="str">
        <x:v>Table P=0.004 vs prose 0.04.</x:v>
      </x:c>
      <x:c r="AA68" s="18" t="str">
        <x:v>Yao_2015_RoB2_rescue_analgesia_0_24h.md</x:v>
      </x:c>
      <x:c r="AB68" s="18"/>
    </x:row>
    <x:row r="69">
      <x:c r="A69" s="18" t="str">
        <x:v>F-rescue-opioid-002</x:v>
      </x:c>
      <x:c r="B69" s="18" t="str">
        <x:v>F-rescue-opioid</x:v>
      </x:c>
      <x:c r="C69" s="18" t="str">
        <x:v>Chen 2015 (Hyperalgesia)</x:v>
      </x:c>
      <x:c r="D69" s="18" t="str">
        <x:v>Chen 2015 hyperalgesia</x:v>
      </x:c>
      <x:c r="E69" s="18" t="str">
        <x:v>Rescue sufentanil count</x:v>
      </x:c>
      <x:c r="F69" s="18" t="str">
        <x:v>0–24 h</x:v>
      </x:c>
      <x:c r="G69" s="18" t="str">
        <x:v>3 (2–4) vs7 (6–8); P&lt;0.001</x:v>
      </x:c>
      <x:c r="H69" s="18" t="str">
        <x:v>Some concerns</x:v>
      </x:c>
      <x:c r="I69" s="18" t="str">
        <x:v>Some concerns</x:v>
      </x:c>
      <x:c r="J69" s="18" t="str">
        <x:v>Low</x:v>
      </x:c>
      <x:c r="K69" s="18" t="str">
        <x:v>Some concerns</x:v>
      </x:c>
      <x:c r="L69" s="18" t="str">
        <x:v>Some concerns</x:v>
      </x:c>
      <x:c r="M69" s="18" t="str">
        <x:v>Some concerns</x:v>
      </x:c>
      <x:c r="N69" s="18" t="str">
        <x:v>F_rescue_opioid</x:v>
      </x:c>
      <x:c r="O69" s="18" t="str">
        <x:v>CANDIDATE</x:v>
      </x:c>
      <x:c r="P69" s="18" t="n">
        <x:v>1</x:v>
      </x:c>
      <x:c r="Q69" s="18" t="n">
        <x:v>0</x:v>
      </x:c>
      <x:c r="R69" s="18" t="n">
        <x:v>0</x:v>
      </x:c>
      <x:c r="S69" s="18"/>
      <x:c r="T69" s="18"/>
      <x:c r="U69" s="18"/>
      <x:c r="V69" s="18" t="str">
        <x:v>CHEN15H_TEAS_vs_SHAM_RESCUECOUNT24</x:v>
      </x:c>
      <x:c r="W69" s="18" t="n">
        <x:v>1</x:v>
      </x:c>
      <x:c r="X69" s="18" t="str">
        <x:v>MATCHED</x:v>
      </x:c>
      <x:c r="Y69" s="18" t="str">
        <x:v>Exact source-verified v20 outcome row already present; earlier A–F crosswalk miss corrected in v22.</x:v>
      </x:c>
      <x:c r="Z69" s="18" t="str">
        <x:v>VNRS≥4 PCIA rule.</x:v>
      </x:c>
      <x:c r="AA69" s="18" t="str">
        <x:v>Chen_2015_hyperalgesia_RoB2_rescue_sufentanil_0_24h.md</x:v>
      </x:c>
      <x:c r="AB69" s="18" t="str">
        <x:v>https://drive.google.com/file/d/13YKAZZsc2VQEPqkw1Ye40BYDZSRpI6N3/view?usp=drivesdk</x:v>
      </x:c>
    </x:row>
    <x:row r="70">
      <x:c r="A70" s="18" t="str">
        <x:v>F-rescue-opioid-003</x:v>
      </x:c>
      <x:c r="B70" s="18" t="str">
        <x:v>F-rescue-opioid</x:v>
      </x:c>
      <x:c r="C70" s="18" t="str">
        <x:v>Chen 2015</x:v>
      </x:c>
      <x:c r="D70" s="18" t="str">
        <x:v>Chen 2015 QoR</x:v>
      </x:c>
      <x:c r="E70" s="18" t="str">
        <x:v>Rescue morphine count</x:v>
      </x:c>
      <x:c r="F70" s="18" t="str">
        <x:v>0–24 h</x:v>
      </x:c>
      <x:c r="G70" s="18" t="str">
        <x:v>1 (1–3) vs3.5 (2–7); P=0.004</x:v>
      </x:c>
      <x:c r="H70" s="18" t="str">
        <x:v>Low</x:v>
      </x:c>
      <x:c r="I70" s="18" t="str">
        <x:v>Some concerns</x:v>
      </x:c>
      <x:c r="J70" s="18" t="str">
        <x:v>Low</x:v>
      </x:c>
      <x:c r="K70" s="18" t="str">
        <x:v>Some concerns</x:v>
      </x:c>
      <x:c r="L70" s="18" t="str">
        <x:v>Some concerns</x:v>
      </x:c>
      <x:c r="M70" s="18" t="str">
        <x:v>Some concerns</x:v>
      </x:c>
      <x:c r="N70" s="18" t="str">
        <x:v>F_rescue_opioid</x:v>
      </x:c>
      <x:c r="O70" s="18" t="str">
        <x:v>CANDIDATE</x:v>
      </x:c>
      <x:c r="P70" s="18" t="n">
        <x:v>1</x:v>
      </x:c>
      <x:c r="Q70" s="18" t="n">
        <x:v>0</x:v>
      </x:c>
      <x:c r="R70" s="18" t="n">
        <x:v>0</x:v>
      </x:c>
      <x:c r="S70" s="18"/>
      <x:c r="T70" s="18"/>
      <x:c r="U70" s="18"/>
      <x:c r="V70" s="18" t="str">
        <x:v>CHEN15Q_TEAS_vs_CTRL_RESCUECOUNT24</x:v>
      </x:c>
      <x:c r="W70" s="18" t="n">
        <x:v>1</x:v>
      </x:c>
      <x:c r="X70" s="18" t="str">
        <x:v>NORMALIZED_V22</x:v>
      </x:c>
      <x:c r="Y70" s="18" t="str">
        <x:v>Normalized into Outcome_Data_AF_LOCK in v22 (1 new source-scale row(s)); original v20 Outcome_Data remains unchanged.</x:v>
      </x:c>
      <x:c r="Z70" s="18" t="str">
        <x:v>Exact pre-dose trigger incompletely stated.</x:v>
      </x:c>
      <x:c r="AA70" s="18" t="str">
        <x:v>Chen_2015_QoR_RoB2_rescue_morphine_0_24h.md</x:v>
      </x:c>
      <x:c r="AB70" s="18"/>
    </x:row>
    <x:row r="71">
      <x:c r="A71" s="18" t="str">
        <x:v>F-rescue-opioid-004</x:v>
      </x:c>
      <x:c r="B71" s="18" t="str">
        <x:v>F-rescue-opioid</x:v>
      </x:c>
      <x:c r="C71" s="18" t="str">
        <x:v>Xie 2014</x:v>
      </x:c>
      <x:c r="D71" s="18" t="str">
        <x:v>Xie 2014</x:v>
      </x:c>
      <x:c r="E71" s="18" t="str">
        <x:v>Rescue dezocine incidence</x:v>
      </x:c>
      <x:c r="F71" s="18" t="str">
        <x:v>through 48 h</x:v>
      </x:c>
      <x:c r="G71" s="18" t="str">
        <x:v>5% vs30% (derived 1/20 vs6/20)</x:v>
      </x:c>
      <x:c r="H71" s="18" t="str">
        <x:v>Some concerns</x:v>
      </x:c>
      <x:c r="I71" s="18" t="str">
        <x:v>Some concerns</x:v>
      </x:c>
      <x:c r="J71" s="18" t="str">
        <x:v>Low</x:v>
      </x:c>
      <x:c r="K71" s="18" t="str">
        <x:v>Some concerns</x:v>
      </x:c>
      <x:c r="L71" s="18" t="str">
        <x:v>Some concerns</x:v>
      </x:c>
      <x:c r="M71" s="18" t="str">
        <x:v>Some concerns</x:v>
      </x:c>
      <x:c r="N71" s="18" t="str">
        <x:v>F_rescue_opioid</x:v>
      </x:c>
      <x:c r="O71" s="18" t="str">
        <x:v>CANDIDATE / separate drug</x:v>
      </x:c>
      <x:c r="P71" s="18" t="n">
        <x:v>1</x:v>
      </x:c>
      <x:c r="Q71" s="18" t="n">
        <x:v>0</x:v>
      </x:c>
      <x:c r="R71" s="18" t="n">
        <x:v>0</x:v>
      </x:c>
      <x:c r="S71" s="18"/>
      <x:c r="T71" s="18"/>
      <x:c r="U71" s="18"/>
      <x:c r="V71" s="18" t="str">
        <x:v>XIE14_EAS_vs_SHAM_DEZOCINE48</x:v>
      </x:c>
      <x:c r="W71" s="18" t="n">
        <x:v>1</x:v>
      </x:c>
      <x:c r="X71" s="18" t="str">
        <x:v>NORMALIZED_V22</x:v>
      </x:c>
      <x:c r="Y71" s="18" t="str">
        <x:v>Normalized into Outcome_Data_AF_LOCK in v22 (1 new source-scale row(s)); original v20 Outcome_Data remains unchanged.</x:v>
      </x:c>
      <x:c r="Z71" s="18" t="str">
        <x:v>Counts derived from percentages; patient-request trigger.</x:v>
      </x:c>
      <x:c r="AA71" s="18" t="str">
        <x:v>Xie_2014_RoB2_rescue_dezocine_0_48h.md</x:v>
      </x:c>
      <x:c r="AB71" s="18"/>
    </x:row>
    <x:row r="72">
      <x:c r="A72" s="18" t="str">
        <x:v>F-rescue-opioid-005</x:v>
      </x:c>
      <x:c r="B72" s="18" t="str">
        <x:v>F-rescue-opioid</x:v>
      </x:c>
      <x:c r="C72" s="18" t="str">
        <x:v>Ntritsou 2014</x:v>
      </x:c>
      <x:c r="D72" s="18" t="str">
        <x:v>Ntritsou 2014</x:v>
      </x:c>
      <x:c r="E72" s="18" t="str">
        <x:v>Tramadol→morphine rescue</x:v>
      </x:c>
      <x:c r="F72" s="18" t="str">
        <x:v>postoperative</x:v>
      </x:c>
      <x:c r="G72" s="18" t="str">
        <x:v>Significantly lower at45 min/overall; exact quantities NR</x:v>
      </x:c>
      <x:c r="H72" s="18" t="str">
        <x:v>Low</x:v>
      </x:c>
      <x:c r="I72" s="18" t="str">
        <x:v>Some concerns</x:v>
      </x:c>
      <x:c r="J72" s="18" t="str">
        <x:v>Some concerns</x:v>
      </x:c>
      <x:c r="K72" s="18" t="str">
        <x:v>Some concerns</x:v>
      </x:c>
      <x:c r="L72" s="18" t="str">
        <x:v>Some concerns</x:v>
      </x:c>
      <x:c r="M72" s="18" t="str">
        <x:v>Some concerns</x:v>
      </x:c>
      <x:c r="N72" s="18" t="str">
        <x:v>F_rescue_opioid</x:v>
      </x:c>
      <x:c r="O72" s="18" t="str">
        <x:v>NARRATIVE ONLY</x:v>
      </x:c>
      <x:c r="P72" s="18" t="n">
        <x:v>0</x:v>
      </x:c>
      <x:c r="Q72" s="18" t="n">
        <x:v>0</x:v>
      </x:c>
      <x:c r="R72" s="18" t="n">
        <x:v>1</x:v>
      </x:c>
      <x:c r="S72" s="18"/>
      <x:c r="T72" s="18" t="str">
        <x:v>P1</x:v>
      </x:c>
      <x:c r="U72" s="18"/>
      <x:c r="V72" s="18" t="str">
        <x:v>NTRI14_EA_vs_SHAM_RESCUE</x:v>
      </x:c>
      <x:c r="W72" s="18" t="n">
        <x:v>1</x:v>
      </x:c>
      <x:c r="X72" s="18" t="str">
        <x:v>MATCHED</x:v>
      </x:c>
      <x:c r="Y72" s="18" t="str">
        <x:v>Existing v20 row(s) represent this source-verified estimand. v25 result-specific P1 disposition: RESOLVED_BY_NARRATIVE_ONLY.</x:v>
      </x:c>
      <x:c r="Z72" s="18" t="str">
        <x:v>Exact rescue-only group quantities absent.</x:v>
      </x:c>
      <x:c r="AA72" s="18" t="str">
        <x:v>Ntritsou_2014_TargetF_rescue_analgesia_audit.md</x:v>
      </x:c>
      <x:c r="AB72" s="18" t="str">
        <x:v>https://drive.google.com/file/d/1u_kNuuXF8upB3gJA2aDq8NldYDfhnWy3/view?usp=drivesdk</x:v>
      </x:c>
    </x:row>
    <x:row r="73">
      <x:c r="A73" s="18" t="str">
        <x:v>F-rescue-opioid-006</x:v>
      </x:c>
      <x:c r="B73" s="18" t="str">
        <x:v>F-rescue-opioid</x:v>
      </x:c>
      <x:c r="C73" s="18" t="str">
        <x:v>Yu 2020</x:v>
      </x:c>
      <x:c r="D73" s="18" t="str">
        <x:v>Yu 2020</x:v>
      </x:c>
      <x:c r="E73" s="18" t="str">
        <x:v>Rescue sufentanil incidence</x:v>
      </x:c>
      <x:c r="F73" s="18" t="str">
        <x:v>0–24 h</x:v>
      </x:c>
      <x:c r="G73" s="18" t="str">
        <x:v>13/30 vs24/30; P&lt;0.01</x:v>
      </x:c>
      <x:c r="H73" s="18" t="str">
        <x:v>Some concerns</x:v>
      </x:c>
      <x:c r="I73" s="18" t="str">
        <x:v>Some concerns</x:v>
      </x:c>
      <x:c r="J73" s="18" t="str">
        <x:v>Low</x:v>
      </x:c>
      <x:c r="K73" s="18" t="str">
        <x:v>Some concerns</x:v>
      </x:c>
      <x:c r="L73" s="18" t="str">
        <x:v>Some concerns</x:v>
      </x:c>
      <x:c r="M73" s="18" t="str">
        <x:v>Some concerns</x:v>
      </x:c>
      <x:c r="N73" s="18" t="str">
        <x:v>F_rescue_opioid</x:v>
      </x:c>
      <x:c r="O73" s="18" t="str">
        <x:v>CANDIDATE</x:v>
      </x:c>
      <x:c r="P73" s="18" t="n">
        <x:v>1</x:v>
      </x:c>
      <x:c r="Q73" s="18" t="n">
        <x:v>0</x:v>
      </x:c>
      <x:c r="R73" s="18" t="n">
        <x:v>0</x:v>
      </x:c>
      <x:c r="S73" s="18"/>
      <x:c r="T73" s="18"/>
      <x:c r="U73" s="18"/>
      <x:c r="V73" s="18" t="str">
        <x:v>YU20_TEAS_vs_CONTROL_RESCUE24</x:v>
      </x:c>
      <x:c r="W73" s="18" t="n">
        <x:v>1</x:v>
      </x:c>
      <x:c r="X73" s="18" t="str">
        <x:v>NORMALIZED_V22</x:v>
      </x:c>
      <x:c r="Y73" s="18" t="str">
        <x:v>Normalized into Outcome_Data_AF_LOCK in v22 (1 new source-scale row(s)); original v20 Outcome_Data remains unchanged.</x:v>
      </x:c>
      <x:c r="Z73" s="18" t="str">
        <x:v>Dose/trigger not reported.</x:v>
      </x:c>
      <x:c r="AA73" s="18" t="str">
        <x:v>Yu_2020_RoB2_rescue_sufentanil_0_24h.md</x:v>
      </x:c>
      <x:c r="AB73" s="18"/>
    </x:row>
    <x:row r="74">
      <x:c r="A74" s="18" t="str">
        <x:v>F-rescue-opioid-007</x:v>
      </x:c>
      <x:c r="B74" s="18" t="str">
        <x:v>F-rescue-opioid</x:v>
      </x:c>
      <x:c r="C74" s="18" t="str">
        <x:v>Tu 2024</x:v>
      </x:c>
      <x:c r="D74" s="18" t="str">
        <x:v>Tu 2024</x:v>
      </x:c>
      <x:c r="E74" s="18" t="str">
        <x:v>Rescue tramadol incidence</x:v>
      </x:c>
      <x:c r="F74" s="18" t="str">
        <x:v>6–24 h</x:v>
      </x:c>
      <x:c r="G74" s="18" t="str">
        <x:v>3/57 vs6/58; P=0.315</x:v>
      </x:c>
      <x:c r="H74" s="18" t="str">
        <x:v>Low</x:v>
      </x:c>
      <x:c r="I74" s="18" t="str">
        <x:v>Some concerns</x:v>
      </x:c>
      <x:c r="J74" s="18" t="str">
        <x:v>Some concerns</x:v>
      </x:c>
      <x:c r="K74" s="18" t="str">
        <x:v>Some concerns</x:v>
      </x:c>
      <x:c r="L74" s="18" t="str">
        <x:v>Some concerns</x:v>
      </x:c>
      <x:c r="M74" s="18" t="str">
        <x:v>Some concerns</x:v>
      </x:c>
      <x:c r="N74" s="18" t="str">
        <x:v>F_rescue_opioid</x:v>
      </x:c>
      <x:c r="O74" s="18" t="str">
        <x:v>CANDIDATE</x:v>
      </x:c>
      <x:c r="P74" s="18" t="n">
        <x:v>1</x:v>
      </x:c>
      <x:c r="Q74" s="18" t="n">
        <x:v>0</x:v>
      </x:c>
      <x:c r="R74" s="18" t="n">
        <x:v>0</x:v>
      </x:c>
      <x:c r="S74" s="18"/>
      <x:c r="T74" s="18"/>
      <x:c r="U74" s="18"/>
      <x:c r="V74" s="18" t="str">
        <x:v>TU24_TEAS_vs_SHAM_TRAMADOL</x:v>
      </x:c>
      <x:c r="W74" s="18" t="n">
        <x:v>1</x:v>
      </x:c>
      <x:c r="X74" s="18" t="str">
        <x:v>MATCHED</x:v>
      </x:c>
      <x:c r="Y74" s="18" t="str">
        <x:v>Existing v20 row(s) represent this source-verified estimand.</x:v>
      </x:c>
      <x:c r="Z74" s="18" t="str">
        <x:v>VAS&gt;6 → tramadol10 mg IM.</x:v>
      </x:c>
      <x:c r="AA74" s="18" t="str">
        <x:v>Tu_2024_RoB2_rescue_tramadol_6_24h.md</x:v>
      </x:c>
      <x:c r="AB74" s="18" t="str">
        <x:v>https://drive.google.com/file/d/1xQ9SbXVZblphUrb0-T9xpnAXk-_z5nBX/view?usp=drivesdk</x:v>
      </x:c>
    </x:row>
    <x:row r="75">
      <x:c r="A75" s="18" t="str">
        <x:v>F-rescue-opioid-008</x:v>
      </x:c>
      <x:c r="B75" s="18" t="str">
        <x:v>F-rescue-opioid</x:v>
      </x:c>
      <x:c r="C75" s="18" t="str">
        <x:v>Liu 2026 (burn)</x:v>
      </x:c>
      <x:c r="D75" s="18" t="str">
        <x:v>Liu 2026 burn</x:v>
      </x:c>
      <x:c r="E75" s="18" t="str">
        <x:v>Rescue dezocine incidence</x:v>
      </x:c>
      <x:c r="F75" s="18" t="str">
        <x:v>to POD1</x:v>
      </x:c>
      <x:c r="G75" s="18" t="str">
        <x:v>3/43 vs8/43</x:v>
      </x:c>
      <x:c r="H75" s="18" t="str">
        <x:v>Low</x:v>
      </x:c>
      <x:c r="I75" s="18" t="str">
        <x:v>Some concerns</x:v>
      </x:c>
      <x:c r="J75" s="18" t="str">
        <x:v>Low</x:v>
      </x:c>
      <x:c r="K75" s="18" t="str">
        <x:v>Low</x:v>
      </x:c>
      <x:c r="L75" s="18" t="str">
        <x:v>Some concerns</x:v>
      </x:c>
      <x:c r="M75" s="18" t="str">
        <x:v>Some concerns</x:v>
      </x:c>
      <x:c r="N75" s="18" t="str">
        <x:v>F_rescue_opioid</x:v>
      </x:c>
      <x:c r="O75" s="18" t="str">
        <x:v>UNRESOLVED P-value</x:v>
      </x:c>
      <x:c r="P75" s="18" t="n">
        <x:v>0</x:v>
      </x:c>
      <x:c r="Q75" s="18" t="n">
        <x:v>0</x:v>
      </x:c>
      <x:c r="R75" s="18" t="n">
        <x:v>1</x:v>
      </x:c>
      <x:c r="S75" s="18" t="str">
        <x:v>UNRESOLVED P-value</x:v>
      </x:c>
      <x:c r="T75" s="18" t="str">
        <x:v>P1</x:v>
      </x:c>
      <x:c r="U75" s="18"/>
      <x:c r="V75" s="18" t="str">
        <x:v>LIU26BURN_TEAS_vs_SHAM_RESCUE</x:v>
      </x:c>
      <x:c r="W75" s="18" t="n">
        <x:v>1</x:v>
      </x:c>
      <x:c r="X75" s="18" t="str">
        <x:v>MATCHED</x:v>
      </x:c>
      <x:c r="Y75" s="18" t="str">
        <x:v>Existing v20 row(s) represent this source-verified estimand. v25 result-specific P1 disposition: RESOLVED_BY_RAW_DATA_RULE.</x:v>
      </x:c>
      <x:c r="Z75" s="18" t="str">
        <x:v>Table P=0.106 vs narrative0.430.</x:v>
      </x:c>
      <x:c r="AA75" s="18" t="str">
        <x:v>Liu_2026_burn_RoB2_rescue_analgesia_POD1.md</x:v>
      </x:c>
      <x:c r="AB75" s="18" t="str">
        <x:v>https://drive.google.com/file/d/1mvekGtHD2JAKCRbIXrvLw1Nz7hbQ1dZ3/view?usp=drivesdk</x:v>
      </x:c>
    </x:row>
    <x:row r="76">
      <x:c r="A76" s="18" t="str">
        <x:v>F-rescue-opioid-009</x:v>
      </x:c>
      <x:c r="B76" s="18" t="str">
        <x:v>F-rescue-opioid</x:v>
      </x:c>
      <x:c r="C76" s="18" t="str">
        <x:v>Zhou 2025</x:v>
      </x:c>
      <x:c r="D76" s="18" t="str">
        <x:v>Zhou 2025</x:v>
      </x:c>
      <x:c r="E76" s="18" t="str">
        <x:v>Rescue tramadol incidence</x:v>
      </x:c>
      <x:c r="F76" s="18" t="str">
        <x:v>first 3 PODs</x:v>
      </x:c>
      <x:c r="G76" s="18" t="str">
        <x:v>6/48 vs13/49; P=0.124</x:v>
      </x:c>
      <x:c r="H76" s="18" t="str">
        <x:v>Low</x:v>
      </x:c>
      <x:c r="I76" s="18" t="str">
        <x:v>Low</x:v>
      </x:c>
      <x:c r="J76" s="18" t="str">
        <x:v>Low</x:v>
      </x:c>
      <x:c r="K76" s="18" t="str">
        <x:v>Some concerns</x:v>
      </x:c>
      <x:c r="L76" s="18" t="str">
        <x:v>Some concerns</x:v>
      </x:c>
      <x:c r="M76" s="18" t="str">
        <x:v>Some concerns</x:v>
      </x:c>
      <x:c r="N76" s="18" t="str">
        <x:v>F_rescue_opioid</x:v>
      </x:c>
      <x:c r="O76" s="18" t="str">
        <x:v>CANDIDATE</x:v>
      </x:c>
      <x:c r="P76" s="18" t="n">
        <x:v>1</x:v>
      </x:c>
      <x:c r="Q76" s="18" t="n">
        <x:v>0</x:v>
      </x:c>
      <x:c r="R76" s="18" t="n">
        <x:v>0</x:v>
      </x:c>
      <x:c r="S76" s="18"/>
      <x:c r="T76" s="18"/>
      <x:c r="U76" s="18"/>
      <x:c r="V76" s="18" t="str">
        <x:v>ZHOU25_TEAS_vs_SHAM_RESCUE</x:v>
      </x:c>
      <x:c r="W76" s="18" t="n">
        <x:v>1</x:v>
      </x:c>
      <x:c r="X76" s="18" t="str">
        <x:v>MATCHED</x:v>
      </x:c>
      <x:c r="Y76" s="18" t="str">
        <x:v>Existing v20 row(s) represent this source-verified estimand.</x:v>
      </x:c>
      <x:c r="Z76" s="18" t="str">
        <x:v>Clinician discretion; no fixed pain threshold.</x:v>
      </x:c>
      <x:c r="AA76" s="18" t="str">
        <x:v>Zhou_2025_TargetF_RoB2_rescue_tramadol_POD1_3.md</x:v>
      </x:c>
      <x:c r="AB76" s="18" t="str">
        <x:v>https://drive.google.com/file/d/1gpNBuoukUttXKWiAAeZSqdIaaHSMOwDU/view?usp=drivesdk</x:v>
      </x:c>
    </x:row>
    <x:row r="77">
      <x:c r="A77" s="18" t="str">
        <x:v>F-rescue-nonopioid-001</x:v>
      </x:c>
      <x:c r="B77" s="18" t="str">
        <x:v>F-rescue-nonopioid</x:v>
      </x:c>
      <x:c r="C77" s="18" t="str">
        <x:v>Li 2022</x:v>
      </x:c>
      <x:c r="D77" s="18" t="str">
        <x:v>Li 2022</x:v>
      </x:c>
      <x:c r="E77" s="18" t="str">
        <x:v>Rescue flurbiprofen incidence</x:v>
      </x:c>
      <x:c r="F77" s="18" t="str">
        <x:v>0–48 h</x:v>
      </x:c>
      <x:c r="G77" s="18" t="str">
        <x:v>0/39 vs0/40</x:v>
      </x:c>
      <x:c r="H77" s="18" t="str">
        <x:v>—</x:v>
      </x:c>
      <x:c r="I77" s="18" t="str">
        <x:v>—</x:v>
      </x:c>
      <x:c r="J77" s="18" t="str">
        <x:v>—</x:v>
      </x:c>
      <x:c r="K77" s="18" t="str">
        <x:v>—</x:v>
      </x:c>
      <x:c r="L77" s="18" t="str">
        <x:v>—</x:v>
      </x:c>
      <x:c r="M77" s="18" t="str">
        <x:v>—</x:v>
      </x:c>
      <x:c r="N77" s="18" t="str">
        <x:v>F_rescue_nonopioid</x:v>
      </x:c>
      <x:c r="O77" s="18" t="str">
        <x:v>EVIDENCE MAP only</x:v>
      </x:c>
      <x:c r="P77" s="18" t="n">
        <x:v>0</x:v>
      </x:c>
      <x:c r="Q77" s="18" t="n">
        <x:v>0</x:v>
      </x:c>
      <x:c r="R77" s="18" t="n">
        <x:v>1</x:v>
      </x:c>
      <x:c r="S77" s="18"/>
      <x:c r="T77" s="18"/>
      <x:c r="U77" s="18"/>
      <x:c r="V77" s="18" t="str">
        <x:v>LI22_EA_vs_SHAM_RESCUEFLURB48</x:v>
      </x:c>
      <x:c r="W77" s="18" t="n">
        <x:v>1</x:v>
      </x:c>
      <x:c r="X77" s="18" t="str">
        <x:v>NORMALIZED_V22</x:v>
      </x:c>
      <x:c r="Y77" s="18" t="str">
        <x:v>Normalized into Outcome_Data_AF_LOCK in v22 (1 new source-scale row(s)); original v20 Outcome_Data remains unchanged.</x:v>
      </x:c>
      <x:c r="Z77" s="18" t="str">
        <x:v>Double-zero.</x:v>
      </x:c>
      <x:c r="AA77" s="18" t="str">
        <x:v>Li_2022_TargetF_remifentanil_rescue_eligibility_audit.md</x:v>
      </x:c>
      <x:c r="AB77" s="18"/>
    </x:row>
    <x:row r="78">
      <x:c r="A78" s="18" t="str">
        <x:v>F-rescue-nonopioid-002</x:v>
      </x:c>
      <x:c r="B78" s="18" t="str">
        <x:v>F-rescue-nonopioid</x:v>
      </x:c>
      <x:c r="C78" s="18" t="str">
        <x:v>Hou 2023</x:v>
      </x:c>
      <x:c r="D78" s="18" t="str">
        <x:v>Hou 2023</x:v>
      </x:c>
      <x:c r="E78" s="18" t="str">
        <x:v>Rescue flurbiprofen incidence</x:v>
      </x:c>
      <x:c r="F78" s="18" t="str">
        <x:v>D3 / exact cumulative window unclear</x:v>
      </x:c>
      <x:c r="G78" s="18" t="str">
        <x:v>15/36 vs28/36; P=0.002</x:v>
      </x:c>
      <x:c r="H78" s="18" t="str">
        <x:v>Some concerns</x:v>
      </x:c>
      <x:c r="I78" s="18" t="str">
        <x:v>Some concerns</x:v>
      </x:c>
      <x:c r="J78" s="18" t="str">
        <x:v>Low</x:v>
      </x:c>
      <x:c r="K78" s="18" t="str">
        <x:v>Some concerns</x:v>
      </x:c>
      <x:c r="L78" s="18" t="str">
        <x:v>Some concerns</x:v>
      </x:c>
      <x:c r="M78" s="18" t="str">
        <x:v>Some concerns</x:v>
      </x:c>
      <x:c r="N78" s="18" t="str">
        <x:v>F_rescue_nonopioid</x:v>
      </x:c>
      <x:c r="O78" s="18" t="str">
        <x:v>UNRESOLVED window</x:v>
      </x:c>
      <x:c r="P78" s="18" t="n">
        <x:v>0</x:v>
      </x:c>
      <x:c r="Q78" s="18" t="n">
        <x:v>0</x:v>
      </x:c>
      <x:c r="R78" s="18" t="n">
        <x:v>1</x:v>
      </x:c>
      <x:c r="S78" s="18" t="str">
        <x:v>UNRESOLVED window</x:v>
      </x:c>
      <x:c r="T78" s="18"/>
      <x:c r="U78" s="18"/>
      <x:c r="V78" s="18" t="str">
        <x:v>HOU23_TEAS_vs_SHAM_RESCUE</x:v>
      </x:c>
      <x:c r="W78" s="18" t="n">
        <x:v>1</x:v>
      </x:c>
      <x:c r="X78" s="18" t="str">
        <x:v>MATCHED</x:v>
      </x:c>
      <x:c r="Y78" s="18" t="str">
        <x:v>Existing v20 row(s) represent this source-verified estimand.</x:v>
      </x:c>
      <x:c r="Z78" s="18"/>
      <x:c r="AA78" s="18" t="str">
        <x:v>Hou_2023_RoB2_rescue_analgesia.md</x:v>
      </x:c>
      <x:c r="AB78" s="18" t="str">
        <x:v>https://drive.google.com/file/d/161WdTRehgwvDHvQ8OkRf8U9TbUmVQgaR/view?usp=drivesdk</x:v>
      </x:c>
    </x:row>
    <x:row r="79">
      <x:c r="A79" s="18" t="str">
        <x:v>F-rescue-nonopioid-003</x:v>
      </x:c>
      <x:c r="B79" s="18" t="str">
        <x:v>F-rescue-nonopioid</x:v>
      </x:c>
      <x:c r="C79" s="18" t="str">
        <x:v>Sun 2017</x:v>
      </x:c>
      <x:c r="D79" s="18" t="str">
        <x:v>Sun 2017</x:v>
      </x:c>
      <x:c r="E79" s="18" t="str">
        <x:v>Supplemental flurbiprofen incidence</x:v>
      </x:c>
      <x:c r="F79" s="18" t="str">
        <x:v>0–48 h</x:v>
      </x:c>
      <x:c r="G79" s="18" t="str">
        <x:v>SSS23.3%, TSS11.0%, TTS15.4%, TST7.9%</x:v>
      </x:c>
      <x:c r="H79" s="18" t="str">
        <x:v>Low</x:v>
      </x:c>
      <x:c r="I79" s="18" t="str">
        <x:v>Some concerns</x:v>
      </x:c>
      <x:c r="J79" s="18" t="str">
        <x:v>Some concerns</x:v>
      </x:c>
      <x:c r="K79" s="18" t="str">
        <x:v>Low</x:v>
      </x:c>
      <x:c r="L79" s="18" t="str">
        <x:v>Some concerns</x:v>
      </x:c>
      <x:c r="M79" s="18" t="str">
        <x:v>Some concerns</x:v>
      </x:c>
      <x:c r="N79" s="18" t="str">
        <x:v>F_rescue_nonopioid</x:v>
      </x:c>
      <x:c r="O79" s="18" t="str">
        <x:v>SEPARATE non-opioid</x:v>
      </x:c>
      <x:c r="P79" s="18" t="n">
        <x:v>0</x:v>
      </x:c>
      <x:c r="Q79" s="18" t="n">
        <x:v>1</x:v>
      </x:c>
      <x:c r="R79" s="18" t="n">
        <x:v>0</x:v>
      </x:c>
      <x:c r="S79" s="18"/>
      <x:c r="T79" s="18"/>
      <x:c r="U79" s="18"/>
      <x:c r="V79" s="18" t="str">
        <x:v>SUN17_TSS_vs_SSS_NSAID48; SUN17_TTS_vs_SSS_NSAID48; SUN17_TST_vs_SSS_NSAID48</x:v>
      </x:c>
      <x:c r="W79" s="18" t="n">
        <x:v>3</x:v>
      </x:c>
      <x:c r="X79" s="18" t="str">
        <x:v>MATCHED</x:v>
      </x:c>
      <x:c r="Y79" s="18" t="str">
        <x:v>Existing v20 row(s) represent this source-verified estimand.</x:v>
      </x:c>
      <x:c r="Z79" s="18" t="str">
        <x:v>Do not call opioid rescue.</x:v>
      </x:c>
      <x:c r="AA79" s="18" t="str">
        <x:v>Sun_2017_RoB2_nonopioid_rescue_flurbiprofen_0_48h.md</x:v>
      </x:c>
      <x:c r="AB79" s="18" t="str">
        <x:v>https://drive.google.com/file/d/1lELlw0IpkhqoB8OuintAI22fxKfNEcEd/view?usp=drivesdk</x:v>
      </x:c>
    </x:row>
    <x:row r="80">
      <x:c r="A80" s="18" t="str">
        <x:v>F-rescue-nonopioid-004</x:v>
      </x:c>
      <x:c r="B80" s="18" t="str">
        <x:v>F-rescue-nonopioid</x:v>
      </x:c>
      <x:c r="C80" s="18" t="str">
        <x:v>Lu 2021</x:v>
      </x:c>
      <x:c r="D80" s="18" t="str">
        <x:v>Lu 2021</x:v>
      </x:c>
      <x:c r="E80" s="18" t="str">
        <x:v>Rescue parecoxib incidence</x:v>
      </x:c>
      <x:c r="F80" s="18" t="str">
        <x:v>by 24 h</x:v>
      </x:c>
      <x:c r="G80" s="18" t="str">
        <x:v>4/190 vs7/188</x:v>
      </x:c>
      <x:c r="H80" s="18" t="str">
        <x:v>Low</x:v>
      </x:c>
      <x:c r="I80" s="18" t="str">
        <x:v>Low</x:v>
      </x:c>
      <x:c r="J80" s="18" t="str">
        <x:v>Low</x:v>
      </x:c>
      <x:c r="K80" s="18" t="str">
        <x:v>Some concerns</x:v>
      </x:c>
      <x:c r="L80" s="18" t="str">
        <x:v>Some concerns</x:v>
      </x:c>
      <x:c r="M80" s="18" t="str">
        <x:v>Some concerns</x:v>
      </x:c>
      <x:c r="N80" s="18" t="str">
        <x:v>F_rescue_nonopioid</x:v>
      </x:c>
      <x:c r="O80" s="18" t="str">
        <x:v>UNRESOLVED P-value</x:v>
      </x:c>
      <x:c r="P80" s="18" t="n">
        <x:v>0</x:v>
      </x:c>
      <x:c r="Q80" s="18" t="n">
        <x:v>0</x:v>
      </x:c>
      <x:c r="R80" s="18" t="n">
        <x:v>1</x:v>
      </x:c>
      <x:c r="S80" s="18" t="str">
        <x:v>UNRESOLVED P-value</x:v>
      </x:c>
      <x:c r="T80" s="18" t="str">
        <x:v>P1</x:v>
      </x:c>
      <x:c r="U80" s="18"/>
      <x:c r="V80" s="18" t="str">
        <x:v>LU21_COMB_vs_SHAM_PARECOX24</x:v>
      </x:c>
      <x:c r="W80" s="18" t="n">
        <x:v>1</x:v>
      </x:c>
      <x:c r="X80" s="18" t="str">
        <x:v>NORMALIZED_V22</x:v>
      </x:c>
      <x:c r="Y80" s="18" t="str">
        <x:v>Normalized into Outcome_Data_AF_LOCK in v22 (1 new source-scale row(s)); original v20 Outcome_Data remains unchanged. v25 result-specific P1 disposition: RESOLVED_BY_RAW_DATA_RULE.</x:v>
      </x:c>
      <x:c r="Z80" s="18" t="str">
        <x:v>Table P=0.35 vs narrative0.58.</x:v>
      </x:c>
      <x:c r="AA80" s="18" t="str">
        <x:v>Lu_2021_RoB2_rescue_parecoxib_0_24h.md</x:v>
      </x:c>
      <x:c r="AB80" s="18"/>
    </x:row>
    <x:row r="81">
      <x:c r="A81" s="18" t="str">
        <x:v>F-mixed/undefined-001</x:v>
      </x:c>
      <x:c r="B81" s="18" t="str">
        <x:v>F-mixed/undefined</x:v>
      </x:c>
      <x:c r="C81" s="18" t="str">
        <x:v>Wang 2023</x:v>
      </x:c>
      <x:c r="D81" s="18" t="str">
        <x:v>Wang 2023</x:v>
      </x:c>
      <x:c r="E81" s="18" t="str">
        <x:v>Mixed/undefined analgesic use</x:v>
      </x:c>
      <x:c r="F81" s="18" t="str">
        <x:v>0–72 h</x:v>
      </x:c>
      <x:c r="G81" s="18" t="str">
        <x:v>0.53±0.55 vs0.98±0.96 doses; P=0.011</x:v>
      </x:c>
      <x:c r="H81" s="18" t="str">
        <x:v>Low</x:v>
      </x:c>
      <x:c r="I81" s="18" t="str">
        <x:v>Some concerns</x:v>
      </x:c>
      <x:c r="J81" s="18" t="str">
        <x:v>Some concerns</x:v>
      </x:c>
      <x:c r="K81" s="18" t="str">
        <x:v>Some concerns</x:v>
      </x:c>
      <x:c r="L81" s="18" t="str">
        <x:v>Some concerns</x:v>
      </x:c>
      <x:c r="M81" s="18" t="str">
        <x:v>Some concerns</x:v>
      </x:c>
      <x:c r="N81" s="18" t="str">
        <x:v>F_rescue_mixed_or_undefined</x:v>
      </x:c>
      <x:c r="O81" s="18" t="str">
        <x:v>UNRESOLVED</x:v>
      </x:c>
      <x:c r="P81" s="18" t="n">
        <x:v>0</x:v>
      </x:c>
      <x:c r="Q81" s="18" t="n">
        <x:v>0</x:v>
      </x:c>
      <x:c r="R81" s="18" t="n">
        <x:v>1</x:v>
      </x:c>
      <x:c r="S81" s="18" t="str">
        <x:v>UNRESOLVED</x:v>
      </x:c>
      <x:c r="T81" s="18" t="str">
        <x:v>P1</x:v>
      </x:c>
      <x:c r="U81" s="18"/>
      <x:c r="V81" s="18" t="str">
        <x:v>WANG23_TEAS_vs_SHAM_RESCUEDOSE</x:v>
      </x:c>
      <x:c r="W81" s="18" t="n">
        <x:v>1</x:v>
      </x:c>
      <x:c r="X81" s="18" t="str">
        <x:v>MATCHED</x:v>
      </x:c>
      <x:c r="Y81" s="18" t="str">
        <x:v>Existing v20 row(s) represent this source-verified estimand. v25 result-specific P1 disposition: RESOLVED_BY_EXCLUSION.</x:v>
      </x:c>
      <x:c r="Z81" s="18" t="str">
        <x:v>Drug, dose and trigger unspecified.</x:v>
      </x:c>
      <x:c r="AA81" s="18" t="str">
        <x:v>Wang_2023_RoB2_rescue_analgesia_count_0_72h.md</x:v>
      </x:c>
      <x:c r="AB81" s="18" t="str">
        <x:v>https://drive.google.com/file/d/177A4aH42GD90DhsvvtD-VOBSChBBpIWL/view?usp=drivesdk</x:v>
      </x:c>
    </x:row>
    <x:row r="82">
      <x:c r="A82" s="18" t="str">
        <x:v>F-mixed/undefined-002</x:v>
      </x:c>
      <x:c r="B82" s="18" t="str">
        <x:v>F-mixed/undefined</x:v>
      </x:c>
      <x:c r="C82" s="18" t="str">
        <x:v>Zhang 2025</x:v>
      </x:c>
      <x:c r="D82" s="18" t="str">
        <x:v>Zhang 2025</x:v>
      </x:c>
      <x:c r="E82" s="18" t="str">
        <x:v>Mixed/undefined analgesic use</x:v>
      </x:c>
      <x:c r="F82" s="18" t="str">
        <x:v>POD1</x:v>
      </x:c>
      <x:c r="G82" s="18" t="str">
        <x:v>14/45 vs29/48</x:v>
      </x:c>
      <x:c r="H82" s="18" t="str">
        <x:v>Low</x:v>
      </x:c>
      <x:c r="I82" s="18" t="str">
        <x:v>Some concerns</x:v>
      </x:c>
      <x:c r="J82" s="18" t="str">
        <x:v>Some concerns</x:v>
      </x:c>
      <x:c r="K82" s="18" t="str">
        <x:v>Some concerns</x:v>
      </x:c>
      <x:c r="L82" s="18" t="str">
        <x:v>Some concerns</x:v>
      </x:c>
      <x:c r="M82" s="18" t="str">
        <x:v>Some concerns</x:v>
      </x:c>
      <x:c r="N82" s="18" t="str">
        <x:v>F_rescue_mixed_or_undefined</x:v>
      </x:c>
      <x:c r="O82" s="18" t="str">
        <x:v>DO NOT POOL pending clarification</x:v>
      </x:c>
      <x:c r="P82" s="18" t="n">
        <x:v>0</x:v>
      </x:c>
      <x:c r="Q82" s="18" t="n">
        <x:v>0</x:v>
      </x:c>
      <x:c r="R82" s="18" t="n">
        <x:v>1</x:v>
      </x:c>
      <x:c r="S82" s="18" t="str">
        <x:v>DO NOT POOL pending clarification</x:v>
      </x:c>
      <x:c r="T82" s="18" t="str">
        <x:v>P1</x:v>
      </x:c>
      <x:c r="U82" s="18"/>
      <x:c r="V82" s="18" t="str">
        <x:v>ZHANG25_TEAS_vs_SHAM_RESCUE</x:v>
      </x:c>
      <x:c r="W82" s="18" t="n">
        <x:v>1</x:v>
      </x:c>
      <x:c r="X82" s="18" t="str">
        <x:v>MATCHED</x:v>
      </x:c>
      <x:c r="Y82" s="18" t="str">
        <x:v>Existing v20 row(s) represent this source-verified estimand. v25 result-specific P1 disposition: RESOLVED_BY_EXCLUSION.</x:v>
      </x:c>
      <x:c r="Z82" s="18" t="str">
        <x:v>Mixed PACU sufentanil / ward indomethacin; printed RR/CI/P inconsistent.</x:v>
      </x:c>
      <x:c r="AA82" s="18" t="str">
        <x:v>Zhang_2025_TargetF_mixed_rescue_analgesia_POD1_RoB2.md</x:v>
      </x:c>
      <x:c r="AB82" s="18" t="str">
        <x:v>https://drive.google.com/file/d/1eHx6Hk16vmIfMgoiZ5eNae4zmCR5ktwJ/view?usp=drivesdk</x:v>
      </x:c>
    </x:row>
    <x:row r="83">
      <x:c r="A83" s="18" t="str">
        <x:v>F-mixed/undefined-003</x:v>
      </x:c>
      <x:c r="B83" s="18" t="str">
        <x:v>F-mixed/undefined</x:v>
      </x:c>
      <x:c r="C83" s="18" t="str">
        <x:v>Wu 2025</x:v>
      </x:c>
      <x:c r="D83" s="18" t="str">
        <x:v>Wu 2025</x:v>
      </x:c>
      <x:c r="E83" s="18" t="str">
        <x:v>Mixed/undefined analgesic use</x:v>
      </x:c>
      <x:c r="F83" s="18" t="str">
        <x:v>initial 24 h</x:v>
      </x:c>
      <x:c r="G83" s="18" t="str">
        <x:v>Medication-specific rows</x:v>
      </x:c>
      <x:c r="H83" s="18" t="str">
        <x:v>Some concerns</x:v>
      </x:c>
      <x:c r="I83" s="18" t="str">
        <x:v>Low</x:v>
      </x:c>
      <x:c r="J83" s="18" t="str">
        <x:v>Low</x:v>
      </x:c>
      <x:c r="K83" s="18" t="str">
        <x:v>Some concerns</x:v>
      </x:c>
      <x:c r="L83" s="18" t="str">
        <x:v>Some concerns</x:v>
      </x:c>
      <x:c r="M83" s="18" t="str">
        <x:v>Some concerns</x:v>
      </x:c>
      <x:c r="N83" s="18" t="str">
        <x:v>F_rescue_mixed_or_undefined</x:v>
      </x:c>
      <x:c r="O83" s="18" t="str">
        <x:v>MEDICATION-SPECIFIC only</x:v>
      </x:c>
      <x:c r="P83" s="18" t="n">
        <x:v>0</x:v>
      </x:c>
      <x:c r="Q83" s="18" t="n">
        <x:v>1</x:v>
      </x:c>
      <x:c r="R83" s="18" t="n">
        <x:v>0</x:v>
      </x:c>
      <x:c r="S83" s="18"/>
      <x:c r="T83" s="18"/>
      <x:c r="U83" s="18"/>
      <x:c r="V83" s="18" t="str">
        <x:v>WU25_TEAS_vs_SHAM_RESCUE_PARACET24; WU25_TEAS_vs_SHAM_RESCUE_OXYAPAP24; WU25_TEAS_vs_SHAM_RESCUE_PARECOX24</x:v>
      </x:c>
      <x:c r="W83" s="18" t="n">
        <x:v>3</x:v>
      </x:c>
      <x:c r="X83" s="18" t="str">
        <x:v>NORMALIZED_V22</x:v>
      </x:c>
      <x:c r="Y83" s="18" t="str">
        <x:v>Normalized into Outcome_Data_AF_LOCK in v22 (3 new source-scale row(s)); original v20 Outcome_Data remains unchanged.</x:v>
      </x:c>
      <x:c r="Z83" s="18" t="str">
        <x:v>Units and drug-choice algorithm unclear.</x:v>
      </x:c>
      <x:c r="AA83" s="18" t="str">
        <x:v>Wu_2025_TargetF_rescue_analgesic_use_audit_RoB2.md</x:v>
      </x:c>
      <x:c r="AB83" s="18"/>
    </x:row>
    <x:row r="84">
      <x:c r="A84" s="18" t="str">
        <x:v>F-mixed/undefined-004</x:v>
      </x:c>
      <x:c r="B84" s="18" t="str">
        <x:v>F-mixed/undefined</x:v>
      </x:c>
      <x:c r="C84" s="18" t="str">
        <x:v>Liang 2021</x:v>
      </x:c>
      <x:c r="D84" s="18" t="str">
        <x:v>Liang 2021</x:v>
      </x:c>
      <x:c r="E84" s="18" t="str">
        <x:v>Mixed/undefined analgesic use</x:v>
      </x:c>
      <x:c r="F84" s="18" t="str">
        <x:v>unclear</x:v>
      </x:c>
      <x:c r="G84" s="18" t="str">
        <x:v>3.8(1.9) vs5.0(2.9); P=0.045</x:v>
      </x:c>
      <x:c r="H84" s="18" t="str">
        <x:v>—</x:v>
      </x:c>
      <x:c r="I84" s="18" t="str">
        <x:v>—</x:v>
      </x:c>
      <x:c r="J84" s="18" t="str">
        <x:v>—</x:v>
      </x:c>
      <x:c r="K84" s="18" t="str">
        <x:v>—</x:v>
      </x:c>
      <x:c r="L84" s="18" t="str">
        <x:v>—</x:v>
      </x:c>
      <x:c r="M84" s="18" t="str">
        <x:v>—</x:v>
      </x:c>
      <x:c r="N84" s="18" t="str">
        <x:v>F_rescue_mixed_or_undefined</x:v>
      </x:c>
      <x:c r="O84" s="18" t="str">
        <x:v>EXCLUDE unresolved</x:v>
      </x:c>
      <x:c r="P84" s="18" t="n">
        <x:v>0</x:v>
      </x:c>
      <x:c r="Q84" s="18" t="n">
        <x:v>0</x:v>
      </x:c>
      <x:c r="R84" s="18" t="n">
        <x:v>1</x:v>
      </x:c>
      <x:c r="S84" s="18" t="str">
        <x:v>EXCLUDE unresolved</x:v>
      </x:c>
      <x:c r="T84" s="18" t="str">
        <x:v>P1</x:v>
      </x:c>
      <x:c r="U84" s="18"/>
      <x:c r="V84" s="18" t="str">
        <x:v>LIANG21_TEAS_vs_CTRL_EXTRAANALG</x:v>
      </x:c>
      <x:c r="W84" s="18" t="n">
        <x:v>1</x:v>
      </x:c>
      <x:c r="X84" s="18" t="str">
        <x:v>NORMALIZED_V22</x:v>
      </x:c>
      <x:c r="Y84" s="18" t="str">
        <x:v>Normalized into Outcome_Data_AF_LOCK in v22 (1 new source-scale row(s)); original v20 Outcome_Data remains unchanged. v25 result-specific P1 disposition: RESOLVED_BY_EXCLUSION.</x:v>
      </x:c>
      <x:c r="Z84" s="18" t="str">
        <x:v>Drug/unit/window/metric unclear.</x:v>
      </x:c>
      <x:c r="AA84" s="18" t="str">
        <x:v>Liang_2021_TargetF_extra_analgesia_eligibility_audit.md</x:v>
      </x:c>
      <x:c r="AB84" s="18"/>
    </x:row>
    <x:row r="85">
      <x:c r="A85" s="18" t="str">
        <x:v>F-mixed/undefined-005</x:v>
      </x:c>
      <x:c r="B85" s="18" t="str">
        <x:v>F-mixed/undefined</x:v>
      </x:c>
      <x:c r="C85" s="18" t="str">
        <x:v>Yang 2020</x:v>
      </x:c>
      <x:c r="D85" s="18" t="str">
        <x:v>Yang 2020</x:v>
      </x:c>
      <x:c r="E85" s="18" t="str">
        <x:v>Mixed/undefined analgesic use</x:v>
      </x:c>
      <x:c r="F85" s="18" t="str">
        <x:v>unclear</x:v>
      </x:c>
      <x:c r="G85" s="18" t="str">
        <x:v>Bucinnazine 5/29 vs7/28; P=0.473</x:v>
      </x:c>
      <x:c r="H85" s="18" t="str">
        <x:v>Low</x:v>
      </x:c>
      <x:c r="I85" s="18" t="str">
        <x:v>Some concerns</x:v>
      </x:c>
      <x:c r="J85" s="18" t="str">
        <x:v>Low</x:v>
      </x:c>
      <x:c r="K85" s="18" t="str">
        <x:v>Some concerns</x:v>
      </x:c>
      <x:c r="L85" s="18" t="str">
        <x:v>Some concerns</x:v>
      </x:c>
      <x:c r="M85" s="18" t="str">
        <x:v>Some concerns</x:v>
      </x:c>
      <x:c r="N85" s="18" t="str">
        <x:v>F_rescue_mixed_or_undefined</x:v>
      </x:c>
      <x:c r="O85" s="18" t="str">
        <x:v>UNRESOLVED window</x:v>
      </x:c>
      <x:c r="P85" s="18" t="n">
        <x:v>0</x:v>
      </x:c>
      <x:c r="Q85" s="18" t="n">
        <x:v>0</x:v>
      </x:c>
      <x:c r="R85" s="18" t="n">
        <x:v>1</x:v>
      </x:c>
      <x:c r="S85" s="18" t="str">
        <x:v>UNRESOLVED window</x:v>
      </x:c>
      <x:c r="T85" s="18" t="str">
        <x:v>P2</x:v>
      </x:c>
      <x:c r="U85" s="18"/>
      <x:c r="V85" s="18" t="str">
        <x:v>YANG20_EA_vs_UC_BUCINNAZINE</x:v>
      </x:c>
      <x:c r="W85" s="18" t="n">
        <x:v>1</x:v>
      </x:c>
      <x:c r="X85" s="18" t="str">
        <x:v>NORMALIZED_V22</x:v>
      </x:c>
      <x:c r="Y85" s="18" t="str">
        <x:v>Normalized into Outcome_Data_AF_LOCK in v22 (1 new source-scale row(s)); original v20 Outcome_Data remains unchanged.</x:v>
      </x:c>
      <x:c r="Z85" s="18" t="str">
        <x:v>Exact cumulative time window not reported.</x:v>
      </x:c>
      <x:c r="AA85" s="18" t="str">
        <x:v>Yang_2020_RoB2_rescue_bucinnazine.md</x:v>
      </x:c>
      <x:c r="AB85" s="18"/>
    </x:row>
    <x:row r="86">
      <x:c r="A86" s="18" t="str">
        <x:v>F-mixed/undefined-006</x:v>
      </x:c>
      <x:c r="B86" s="18" t="str">
        <x:v>F-mixed/undefined</x:v>
      </x:c>
      <x:c r="C86" s="18" t="str">
        <x:v>Yang 2024</x:v>
      </x:c>
      <x:c r="D86" s="18" t="str">
        <x:v>Yang 2024</x:v>
      </x:c>
      <x:c r="E86" s="18" t="str">
        <x:v>Mixed/undefined analgesic use</x:v>
      </x:c>
      <x:c r="F86" s="18" t="str">
        <x:v>unclear</x:v>
      </x:c>
      <x:c r="G86" s="18" t="str">
        <x:v>Bucinnazine 48/90 vs64/90; P=0.014</x:v>
      </x:c>
      <x:c r="H86" s="18" t="str">
        <x:v>Low</x:v>
      </x:c>
      <x:c r="I86" s="18" t="str">
        <x:v>Low</x:v>
      </x:c>
      <x:c r="J86" s="18" t="str">
        <x:v>Low</x:v>
      </x:c>
      <x:c r="K86" s="18" t="str">
        <x:v>Some concerns</x:v>
      </x:c>
      <x:c r="L86" s="18" t="str">
        <x:v>Some concerns</x:v>
      </x:c>
      <x:c r="M86" s="18" t="str">
        <x:v>Some concerns</x:v>
      </x:c>
      <x:c r="N86" s="18" t="str">
        <x:v>F_rescue_mixed_or_undefined</x:v>
      </x:c>
      <x:c r="O86" s="18" t="str">
        <x:v>UNRESOLVED window</x:v>
      </x:c>
      <x:c r="P86" s="18" t="n">
        <x:v>0</x:v>
      </x:c>
      <x:c r="Q86" s="18" t="n">
        <x:v>0</x:v>
      </x:c>
      <x:c r="R86" s="18" t="n">
        <x:v>1</x:v>
      </x:c>
      <x:c r="S86" s="18" t="str">
        <x:v>UNRESOLVED window</x:v>
      </x:c>
      <x:c r="T86" s="18" t="str">
        <x:v>P2</x:v>
      </x:c>
      <x:c r="U86" s="18"/>
      <x:c r="V86" s="18" t="str">
        <x:v>YANG24_EA_vs_UC_BUCINNAZINE</x:v>
      </x:c>
      <x:c r="W86" s="18" t="n">
        <x:v>1</x:v>
      </x:c>
      <x:c r="X86" s="18" t="str">
        <x:v>NORMALIZED_V22</x:v>
      </x:c>
      <x:c r="Y86" s="18" t="str">
        <x:v>Normalized into Outcome_Data_AF_LOCK in v22 (1 new source-scale row(s)); original v20 Outcome_Data remains unchanged.</x:v>
      </x:c>
      <x:c r="Z86" s="18" t="str">
        <x:v>Exact cumulative time window not reported.</x:v>
      </x:c>
      <x:c r="AA86" s="18" t="str">
        <x:v>Yang_2024_RoB2_rescue_bucinnazine.md</x:v>
      </x:c>
      <x:c r="AB86" s="18"/>
    </x:row>
    <x:row r="87">
      <x:c r="A87" s="18" t="str">
        <x:v>F-mixed/undefined-007</x:v>
      </x:c>
      <x:c r="B87" s="18" t="str">
        <x:v>F-mixed/undefined</x:v>
      </x:c>
      <x:c r="C87" s="18" t="str">
        <x:v>Zhou 2021</x:v>
      </x:c>
      <x:c r="D87" s="18" t="str">
        <x:v>Zhou 2021 gastric</x:v>
      </x:c>
      <x:c r="E87" s="18" t="str">
        <x:v>Mixed/undefined analgesic use</x:v>
      </x:c>
      <x:c r="F87" s="18" t="str">
        <x:v>postoperative study period</x:v>
      </x:c>
      <x:c r="G87" s="18" t="str">
        <x:v>Opioid use18/41 vs30/40; MME8.935±3.660 vs12.83±8.097 mg</x:v>
      </x:c>
      <x:c r="H87" s="18" t="str">
        <x:v>Some concerns</x:v>
      </x:c>
      <x:c r="I87" s="18" t="str">
        <x:v>Some concerns</x:v>
      </x:c>
      <x:c r="J87" s="18" t="str">
        <x:v>Low</x:v>
      </x:c>
      <x:c r="K87" s="18" t="str">
        <x:v>High</x:v>
      </x:c>
      <x:c r="L87" s="18" t="str">
        <x:v>Some concerns</x:v>
      </x:c>
      <x:c r="M87" s="18" t="str">
        <x:v>High</x:v>
      </x:c>
      <x:c r="N87" s="18" t="str">
        <x:v>F_rescue_mixed_or_undefined</x:v>
      </x:c>
      <x:c r="O87" s="18" t="str">
        <x:v>EXCLUDE fixed-time pools</x:v>
      </x:c>
      <x:c r="P87" s="18" t="n">
        <x:v>0</x:v>
      </x:c>
      <x:c r="Q87" s="18" t="n">
        <x:v>0</x:v>
      </x:c>
      <x:c r="R87" s="18" t="n">
        <x:v>1</x:v>
      </x:c>
      <x:c r="S87" s="18" t="str">
        <x:v>EXCLUDE fixed-time pools</x:v>
      </x:c>
      <x:c r="T87" s="18" t="str">
        <x:v>P1</x:v>
      </x:c>
      <x:c r="U87" s="18"/>
      <x:c r="V87" s="18" t="str">
        <x:v>ZHOU21_TEAS_vs_UC_OPIOIDUSE; ZHOU21_TEAS_vs_UC_MME_POSTOP</x:v>
      </x:c>
      <x:c r="W87" s="18" t="n">
        <x:v>2</x:v>
      </x:c>
      <x:c r="X87" s="18" t="str">
        <x:v>NORMALIZED_V22</x:v>
      </x:c>
      <x:c r="Y87" s="18" t="str">
        <x:v>Normalized into Outcome_Data_AF_LOCK in v22 (1 new source-scale row(s)); original v20 Outcome_Data remains unchanged. v25 result-specific P1 disposition: RESOLVED_BY_EXCLUSION.</x:v>
      </x:c>
      <x:c r="Z87" s="18" t="str">
        <x:v>Time window unclear; morphine-equivalent rule internally inconsistent.</x:v>
      </x:c>
      <x:c r="AA87" s="18" t="str">
        <x:v>Zhou_2021_TargetF_RoB2_postoperative_opioid_use.md</x:v>
      </x:c>
      <x:c r="AB87" s="18" t="str">
        <x:v>https://drive.google.com/file/d/1PxYyULBv_ZjWeqAm_bNYkDn_j2_lNYLq/view?usp=drivesdk</x:v>
      </x:c>
    </x:row>
    <x:row r="88">
      <x:c r="A88" s="18" t="str">
        <x:v>F-PCA-001</x:v>
      </x:c>
      <x:c r="B88" s="18" t="str">
        <x:v>F-PCA</x:v>
      </x:c>
      <x:c r="C88" s="18" t="str">
        <x:v>Chen 2020</x:v>
      </x:c>
      <x:c r="D88" s="18" t="str">
        <x:v>Chen 2020</x:v>
      </x:c>
      <x:c r="E88" s="18" t="str">
        <x:v>PCIA total/effective attempts</x:v>
      </x:c>
      <x:c r="F88" s="18" t="str">
        <x:v>0–48 h</x:v>
      </x:c>
      <x:c r="G88" s="18" t="str">
        <x:v>4.83±1.06 /4.58±0.93 vs14.05±2.01 /7.48±1.18</x:v>
      </x:c>
      <x:c r="H88" s="18" t="str">
        <x:v>Low</x:v>
      </x:c>
      <x:c r="I88" s="18" t="str">
        <x:v>Low</x:v>
      </x:c>
      <x:c r="J88" s="18" t="str">
        <x:v>Low</x:v>
      </x:c>
      <x:c r="K88" s="18" t="str">
        <x:v>High</x:v>
      </x:c>
      <x:c r="L88" s="18" t="str">
        <x:v>Some concerns</x:v>
      </x:c>
      <x:c r="M88" s="18" t="str">
        <x:v>High</x:v>
      </x:c>
      <x:c r="N88" s="18" t="str">
        <x:v>F_PCA_behavior</x:v>
      </x:c>
      <x:c r="O88" s="18" t="str">
        <x:v>EXPLORATORY / High RoB</x:v>
      </x:c>
      <x:c r="P88" s="18" t="n">
        <x:v>0</x:v>
      </x:c>
      <x:c r="Q88" s="18" t="n">
        <x:v>1</x:v>
      </x:c>
      <x:c r="R88" s="18" t="n">
        <x:v>0</x:v>
      </x:c>
      <x:c r="S88" s="18"/>
      <x:c r="T88" s="18"/>
      <x:c r="U88" s="18"/>
      <x:c r="V88" s="18" t="str">
        <x:v>CHEN20_TEAS_vs_SHAM_PCAATT48; CHEN20_TEAS_vs_SHAM_PCAEFF48</x:v>
      </x:c>
      <x:c r="W88" s="18" t="n">
        <x:v>2</x:v>
      </x:c>
      <x:c r="X88" s="18" t="str">
        <x:v>NORMALIZED_V22</x:v>
      </x:c>
      <x:c r="Y88" s="18" t="str">
        <x:v>Normalized into Outcome_Data_AF_LOCK in v22 (2 new source-scale row(s)); original v20 Outcome_Data remains unchanged.</x:v>
      </x:c>
      <x:c r="Z88" s="18" t="str">
        <x:v>Behavioral endpoint.</x:v>
      </x:c>
      <x:c r="AA88" s="18" t="str">
        <x:v>Chen_2020_RoB2_PCIA_attempts_0_48h.md</x:v>
      </x:c>
      <x:c r="AB88" s="18"/>
    </x:row>
    <x:row r="89">
      <x:c r="A89" s="18" t="str">
        <x:v>F-PCA-002</x:v>
      </x:c>
      <x:c r="B89" s="18" t="str">
        <x:v>F-PCA</x:v>
      </x:c>
      <x:c r="C89" s="18" t="str">
        <x:v>He 2026 (hepatectomy/JIS)</x:v>
      </x:c>
      <x:c r="D89" s="18" t="str">
        <x:v>He 2026 hepatectomy</x:v>
      </x:c>
      <x:c r="E89" s="18" t="str">
        <x:v>PCA attempts/effective deliveries</x:v>
      </x:c>
      <x:c r="F89" s="18" t="str">
        <x:v>0–24 h</x:v>
      </x:c>
      <x:c r="G89" s="18" t="str">
        <x:v>2.7±3.3 /2.6±3.3 vs3.5±6.1 /3.5±6.0</x:v>
      </x:c>
      <x:c r="H89" s="18" t="str">
        <x:v>Low</x:v>
      </x:c>
      <x:c r="I89" s="18" t="str">
        <x:v>Some concerns</x:v>
      </x:c>
      <x:c r="J89" s="18" t="str">
        <x:v>Low</x:v>
      </x:c>
      <x:c r="K89" s="18" t="str">
        <x:v>Low</x:v>
      </x:c>
      <x:c r="L89" s="18" t="str">
        <x:v>Some concerns</x:v>
      </x:c>
      <x:c r="M89" s="18" t="str">
        <x:v>Some concerns</x:v>
      </x:c>
      <x:c r="N89" s="18" t="str">
        <x:v>F_PCA_behavior</x:v>
      </x:c>
      <x:c r="O89" s="18" t="str">
        <x:v>EXPLORATORY</x:v>
      </x:c>
      <x:c r="P89" s="18" t="n">
        <x:v>0</x:v>
      </x:c>
      <x:c r="Q89" s="18" t="n">
        <x:v>1</x:v>
      </x:c>
      <x:c r="R89" s="18" t="n">
        <x:v>0</x:v>
      </x:c>
      <x:c r="S89" s="18"/>
      <x:c r="T89" s="18" t="str">
        <x:v>P1</x:v>
      </x:c>
      <x:c r="U89" s="18"/>
      <x:c r="V89" s="18" t="str">
        <x:v>HEJIS26_TEAS_vs_CTRL_PCAATT24; HEJIS26_TEAS_vs_CTRL_PCADELIV24</x:v>
      </x:c>
      <x:c r="W89" s="18" t="n">
        <x:v>2</x:v>
      </x:c>
      <x:c r="X89" s="18" t="str">
        <x:v>NORMALIZED_V22</x:v>
      </x:c>
      <x:c r="Y89" s="18" t="str">
        <x:v>Normalized into Outcome_Data_AF_LOCK in v22 (1 new source-scale row(s)); original v20 Outcome_Data remains unchanged. v25 result-specific P1 disposition: RESOLVED_BY_PARTIAL_EXCLUSION.</x:v>
      </x:c>
      <x:c r="Z89" s="18" t="str">
        <x:v>Mixed sufentanil+oxycodone PCA.</x:v>
      </x:c>
      <x:c r="AA89" s="18" t="str">
        <x:v>He_2026_hepatectomy_RoB2_PCA_demand_0_24h.md</x:v>
      </x:c>
      <x:c r="AB89" s="18" t="str">
        <x:v>https://drive.google.com/file/d/1VgOxIOrGe7ZVevkKEVP7G-0V1DXPU0Gf/view?usp=drivesdk</x:v>
      </x:c>
    </x:row>
    <x:row r="90">
      <x:c r="A90" s="18" t="str">
        <x:v>F-PCA-003</x:v>
      </x:c>
      <x:c r="B90" s="18" t="str">
        <x:v>F-PCA</x:v>
      </x:c>
      <x:c r="C90" s="18" t="str">
        <x:v>Ao 2021</x:v>
      </x:c>
      <x:c r="D90" s="18" t="str">
        <x:v>Ao 2021</x:v>
      </x:c>
      <x:c r="E90" s="18" t="str">
        <x:v>PCA solution use/effective presses</x:v>
      </x:c>
      <x:c r="F90" s="18" t="str">
        <x:v>0–48 h</x:v>
      </x:c>
      <x:c r="G90" s="18" t="str">
        <x:v>102.8±7.4 vs120.6±9.2 mL;6.2±3.7 vs12.3±4.6 presses</x:v>
      </x:c>
      <x:c r="H90" s="18" t="str">
        <x:v>Low</x:v>
      </x:c>
      <x:c r="I90" s="18" t="str">
        <x:v>Some concerns</x:v>
      </x:c>
      <x:c r="J90" s="18" t="str">
        <x:v>Some concerns</x:v>
      </x:c>
      <x:c r="K90" s="18" t="str">
        <x:v>Some concerns</x:v>
      </x:c>
      <x:c r="L90" s="18" t="str">
        <x:v>Some concerns</x:v>
      </x:c>
      <x:c r="M90" s="18" t="str">
        <x:v>Some concerns</x:v>
      </x:c>
      <x:c r="N90" s="18" t="str">
        <x:v>F_PCA_behavior</x:v>
      </x:c>
      <x:c r="O90" s="18" t="str">
        <x:v>EXPLORATORY</x:v>
      </x:c>
      <x:c r="P90" s="18" t="n">
        <x:v>0</x:v>
      </x:c>
      <x:c r="Q90" s="18" t="n">
        <x:v>1</x:v>
      </x:c>
      <x:c r="R90" s="18" t="n">
        <x:v>0</x:v>
      </x:c>
      <x:c r="S90" s="18"/>
      <x:c r="T90" s="18"/>
      <x:c r="U90" s="18"/>
      <x:c r="V90" s="18" t="str">
        <x:v>AO21_TEAS_vs_SHAM_PCA48</x:v>
      </x:c>
      <x:c r="W90" s="18" t="n">
        <x:v>1</x:v>
      </x:c>
      <x:c r="X90" s="18" t="str">
        <x:v>MATCHED</x:v>
      </x:c>
      <x:c r="Y90" s="18" t="str">
        <x:v>Existing v20 row(s) represent this source-verified estimand.</x:v>
      </x:c>
      <x:c r="Z90" s="18" t="str">
        <x:v>Preserve mL; weight-dependent sufentanil concentration.</x:v>
      </x:c>
      <x:c r="AA90" s="18" t="str">
        <x:v>Ao_2021_TargetF_RoB2_PCA_use_0_48h.md</x:v>
      </x:c>
      <x:c r="AB90" s="18" t="str">
        <x:v>https://drive.google.com/file/d/1tNFnY0fJpx53hrtY4DIaE1RsNjE55Xvd/view?usp=drivesdk</x:v>
      </x:c>
    </x:row>
    <x:row r="91">
      <x:c r="A91" s="18" t="str">
        <x:v>F-PCA-004</x:v>
      </x:c>
      <x:c r="B91" s="18" t="str">
        <x:v>F-PCA</x:v>
      </x:c>
      <x:c r="C91" s="18" t="str">
        <x:v>Liu 2021</x:v>
      </x:c>
      <x:c r="D91" s="18" t="str">
        <x:v>Liu 2021</x:v>
      </x:c>
      <x:c r="E91" s="18" t="str">
        <x:v>PCA compressions</x:v>
      </x:c>
      <x:c r="F91" s="18" t="str">
        <x:v>0–24 h</x:v>
      </x:c>
      <x:c r="G91" s="18" t="str">
        <x:v>17.62±2.687 vs17.38±3.801; P=0.716</x:v>
      </x:c>
      <x:c r="H91" s="18" t="str">
        <x:v>Some concerns</x:v>
      </x:c>
      <x:c r="I91" s="18" t="str">
        <x:v>Some concerns</x:v>
      </x:c>
      <x:c r="J91" s="18" t="str">
        <x:v>Low</x:v>
      </x:c>
      <x:c r="K91" s="18" t="str">
        <x:v>High</x:v>
      </x:c>
      <x:c r="L91" s="18" t="str">
        <x:v>Some concerns</x:v>
      </x:c>
      <x:c r="M91" s="18" t="str">
        <x:v>High</x:v>
      </x:c>
      <x:c r="N91" s="18" t="str">
        <x:v>F_PCA_behavior</x:v>
      </x:c>
      <x:c r="O91" s="18" t="str">
        <x:v>EXPLORATORY / High RoB</x:v>
      </x:c>
      <x:c r="P91" s="18" t="n">
        <x:v>0</x:v>
      </x:c>
      <x:c r="Q91" s="18" t="n">
        <x:v>1</x:v>
      </x:c>
      <x:c r="R91" s="18" t="n">
        <x:v>0</x:v>
      </x:c>
      <x:c r="S91" s="18"/>
      <x:c r="T91" s="18"/>
      <x:c r="U91" s="18"/>
      <x:c r="V91" s="18" t="str">
        <x:v>LIU21_TEAS_vs_CTRL_PCAPRESS24</x:v>
      </x:c>
      <x:c r="W91" s="18" t="n">
        <x:v>1</x:v>
      </x:c>
      <x:c r="X91" s="18" t="str">
        <x:v>MATCHED</x:v>
      </x:c>
      <x:c r="Y91" s="18" t="str">
        <x:v>Existing v20 row(s) represent this source-verified estimand.</x:v>
      </x:c>
      <x:c r="Z91" s="18" t="str">
        <x:v>Unmasked behavioral endpoint.</x:v>
      </x:c>
      <x:c r="AA91" s="18" t="str">
        <x:v>Liu_2021_RoB2_PCA_compressions_0_24h.md</x:v>
      </x:c>
      <x:c r="AB91" s="18" t="str">
        <x:v>https://drive.google.com/file/d/1TA4BstaUWY3EdQbDNEvvGxF35ekGanrm/view?usp=drivesdk</x:v>
      </x:c>
    </x:row>
    <x:row r="92">
      <x:c r="A92" s="18" t="str">
        <x:v>F-PCA-005</x:v>
      </x:c>
      <x:c r="B92" s="18" t="str">
        <x:v>F-PCA</x:v>
      </x:c>
      <x:c r="C92" s="18" t="str">
        <x:v>Long 2025</x:v>
      </x:c>
      <x:c r="D92" s="18" t="str">
        <x:v>Long 2025</x:v>
      </x:c>
      <x:c r="E92" s="18" t="str">
        <x:v>PCIA compressions</x:v>
      </x:c>
      <x:c r="F92" s="18" t="str">
        <x:v>0–48 h</x:v>
      </x:c>
      <x:c r="G92" s="18" t="str">
        <x:v>7.11±2.14 vs8.62±1.84; P=0.008</x:v>
      </x:c>
      <x:c r="H92" s="18" t="str">
        <x:v>Some concerns</x:v>
      </x:c>
      <x:c r="I92" s="18" t="str">
        <x:v>Some concerns</x:v>
      </x:c>
      <x:c r="J92" s="18" t="str">
        <x:v>Some concerns</x:v>
      </x:c>
      <x:c r="K92" s="18" t="str">
        <x:v>High</x:v>
      </x:c>
      <x:c r="L92" s="18" t="str">
        <x:v>Some concerns</x:v>
      </x:c>
      <x:c r="M92" s="18" t="str">
        <x:v>High</x:v>
      </x:c>
      <x:c r="N92" s="18" t="str">
        <x:v>F_PCA_behavior</x:v>
      </x:c>
      <x:c r="O92" s="18" t="str">
        <x:v>EXPLORATORY / High RoB</x:v>
      </x:c>
      <x:c r="P92" s="18" t="n">
        <x:v>0</x:v>
      </x:c>
      <x:c r="Q92" s="18" t="n">
        <x:v>1</x:v>
      </x:c>
      <x:c r="R92" s="18" t="n">
        <x:v>0</x:v>
      </x:c>
      <x:c r="S92" s="18"/>
      <x:c r="T92" s="18"/>
      <x:c r="U92" s="18"/>
      <x:c r="V92" s="18" t="str">
        <x:v>LONG25_TEAS_vs_CTRL_PCIAPRESS48</x:v>
      </x:c>
      <x:c r="W92" s="18" t="n">
        <x:v>1</x:v>
      </x:c>
      <x:c r="X92" s="18" t="str">
        <x:v>MATCHED</x:v>
      </x:c>
      <x:c r="Y92" s="18" t="str">
        <x:v>Existing v20 row(s) represent this source-verified estimand.</x:v>
      </x:c>
      <x:c r="Z92" s="18" t="str">
        <x:v>11.7% missing; masking unclear.</x:v>
      </x:c>
      <x:c r="AA92" s="18" t="str">
        <x:v>Long_2025_RoB2_PCIA_compressions_0_48h.md</x:v>
      </x:c>
      <x:c r="AB92" s="18" t="str">
        <x:v>https://drive.google.com/file/d/1LDqtQLq9-kZLP0Vv_G3iiK8QKjy4pRXP/view?usp=drivesdk</x:v>
      </x:c>
    </x:row>
    <x:row r="93">
      <x:c r="A93" s="18" t="str">
        <x:v>F-PCA-006</x:v>
      </x:c>
      <x:c r="B93" s="18" t="str">
        <x:v>F-PCA</x:v>
      </x:c>
      <x:c r="C93" s="18" t="str">
        <x:v>Zheng 2025</x:v>
      </x:c>
      <x:c r="D93" s="18" t="str">
        <x:v>Zheng 2025</x:v>
      </x:c>
      <x:c r="E93" s="18" t="str">
        <x:v>Total/effective PCIA use</x:v>
      </x:c>
      <x:c r="F93" s="18" t="str">
        <x:v>unclear</x:v>
      </x:c>
      <x:c r="G93" s="18" t="str">
        <x:v>6.3±2.2 vs10.7±3.9;3.8±1.0 vs4.8±1.6</x:v>
      </x:c>
      <x:c r="H93" s="18" t="str">
        <x:v>Low</x:v>
      </x:c>
      <x:c r="I93" s="18" t="str">
        <x:v>Some concerns</x:v>
      </x:c>
      <x:c r="J93" s="18" t="str">
        <x:v>Low</x:v>
      </x:c>
      <x:c r="K93" s="18" t="str">
        <x:v>Low</x:v>
      </x:c>
      <x:c r="L93" s="18" t="str">
        <x:v>Some concerns</x:v>
      </x:c>
      <x:c r="M93" s="18" t="str">
        <x:v>Some concerns</x:v>
      </x:c>
      <x:c r="N93" s="18" t="str">
        <x:v>F_PCA_behavior</x:v>
      </x:c>
      <x:c r="O93" s="18" t="str">
        <x:v>UNRESOLVED window</x:v>
      </x:c>
      <x:c r="P93" s="18" t="n">
        <x:v>0</x:v>
      </x:c>
      <x:c r="Q93" s="18" t="n">
        <x:v>0</x:v>
      </x:c>
      <x:c r="R93" s="18" t="n">
        <x:v>1</x:v>
      </x:c>
      <x:c r="S93" s="18" t="str">
        <x:v>UNRESOLVED window</x:v>
      </x:c>
      <x:c r="T93" s="18" t="str">
        <x:v>P1</x:v>
      </x:c>
      <x:c r="U93" s="18"/>
      <x:c r="V93" s="18" t="str">
        <x:v>ZHENG25_TEAS_vs_SHAM_PCA_PRESS</x:v>
      </x:c>
      <x:c r="W93" s="18" t="n">
        <x:v>1</x:v>
      </x:c>
      <x:c r="X93" s="18" t="str">
        <x:v>MATCHED</x:v>
      </x:c>
      <x:c r="Y93" s="18" t="str">
        <x:v>Existing v20 row(s) represent this source-verified estimand. v25 result-specific P1 disposition: RESOLVED_BY_EXCLUSION.</x:v>
      </x:c>
      <x:c r="Z93" s="18" t="str">
        <x:v>Exact cumulative window not stated.</x:v>
      </x:c>
      <x:c r="AA93" s="18" t="str">
        <x:v>Zheng_2025_RoB2_PCIA_use_postoperative.md</x:v>
      </x:c>
      <x:c r="AB93" s="18" t="str">
        <x:v>https://drive.google.com/file/d/1-JWKZgQXaQQQBZgMSDqyIP-vG9aAxBqb/view?usp=drivesdk</x:v>
      </x:c>
    </x:row>
    <x:row r="94">
      <x:c r="A94" s="18" t="str">
        <x:v>F-PCA-007</x:v>
      </x:c>
      <x:c r="B94" s="18" t="str">
        <x:v>F-PCA</x:v>
      </x:c>
      <x:c r="C94" s="18" t="str">
        <x:v>Jin 2023</x:v>
      </x:c>
      <x:c r="D94" s="18" t="str">
        <x:v>Jin 2023</x:v>
      </x:c>
      <x:c r="E94" s="18" t="str">
        <x:v>Analgesic pump compressions</x:v>
      </x:c>
      <x:c r="F94" s="18" t="str">
        <x:v>0–48 h</x:v>
      </x:c>
      <x:c r="G94" s="18" t="str">
        <x:v>Sham9.0 (4.3–12.0), 2Hz1.0 (0–3.0),20/100Hz1.0 (0–4.5)</x:v>
      </x:c>
      <x:c r="H94" s="18" t="str">
        <x:v>Some concerns</x:v>
      </x:c>
      <x:c r="I94" s="18" t="str">
        <x:v>Some concerns</x:v>
      </x:c>
      <x:c r="J94" s="18" t="str">
        <x:v>Some concerns</x:v>
      </x:c>
      <x:c r="K94" s="18" t="str">
        <x:v>Low</x:v>
      </x:c>
      <x:c r="L94" s="18" t="str">
        <x:v>Some concerns</x:v>
      </x:c>
      <x:c r="M94" s="18" t="str">
        <x:v>Some concerns</x:v>
      </x:c>
      <x:c r="N94" s="18" t="str">
        <x:v>F_PCA_behavior</x:v>
      </x:c>
      <x:c r="O94" s="18" t="str">
        <x:v>EXPLORATORY</x:v>
      </x:c>
      <x:c r="P94" s="18" t="n">
        <x:v>0</x:v>
      </x:c>
      <x:c r="Q94" s="18" t="n">
        <x:v>1</x:v>
      </x:c>
      <x:c r="R94" s="18" t="n">
        <x:v>0</x:v>
      </x:c>
      <x:c r="S94" s="18"/>
      <x:c r="T94" s="18"/>
      <x:c r="U94" s="18"/>
      <x:c r="V94" s="18" t="str">
        <x:v>JIN23_2HZ_vs_SHAM_NAPC48; JIN23_20100_vs_SHAM_NAPC48</x:v>
      </x:c>
      <x:c r="W94" s="18" t="n">
        <x:v>2</x:v>
      </x:c>
      <x:c r="X94" s="18" t="str">
        <x:v>MATCHED</x:v>
      </x:c>
      <x:c r="Y94" s="18" t="str">
        <x:v>Existing v20 row(s) represent this source-verified estimand.</x:v>
      </x:c>
      <x:c r="Z94" s="18" t="str">
        <x:v>16/174 excluded; some due unsatisfying effects.</x:v>
      </x:c>
      <x:c r="AA94" s="18" t="str">
        <x:v>Jin_2023_RoB2_analgesic_pump_compressions_0_48h.md</x:v>
      </x:c>
      <x:c r="AB94" s="18" t="str">
        <x:v>https://drive.google.com/file/d/1fkNAFra0gZ9jkWkzp_S0TWy-5zVrXCtj/view?usp=drivesdk</x:v>
      </x:c>
    </x:row>
    <x:row r="95">
      <x:c r="A95" s="18" t="str">
        <x:v>F-PCA-008</x:v>
      </x:c>
      <x:c r="B95" s="18" t="str">
        <x:v>F-PCA</x:v>
      </x:c>
      <x:c r="C95" s="18" t="str">
        <x:v>Lee 2011</x:v>
      </x:c>
      <x:c r="D95" s="18" t="str">
        <x:v>Lee 2011</x:v>
      </x:c>
      <x:c r="E95" s="18" t="str">
        <x:v>PCA demands</x:v>
      </x:c>
      <x:c r="F95" s="18" t="str">
        <x:v>0–24 h</x:v>
      </x:c>
      <x:c r="G95" s="18" t="str">
        <x:v>Sham74.18±39.33; high52.17±21.87; low41.60±36.47</x:v>
      </x:c>
      <x:c r="H95" s="18" t="str">
        <x:v>Some concerns</x:v>
      </x:c>
      <x:c r="I95" s="18" t="str">
        <x:v>Some concerns</x:v>
      </x:c>
      <x:c r="J95" s="18" t="str">
        <x:v>Some concerns</x:v>
      </x:c>
      <x:c r="K95" s="18" t="str">
        <x:v>Low</x:v>
      </x:c>
      <x:c r="L95" s="18" t="str">
        <x:v>Some concerns</x:v>
      </x:c>
      <x:c r="M95" s="18" t="str">
        <x:v>Some concerns</x:v>
      </x:c>
      <x:c r="N95" s="18" t="str">
        <x:v>F_PCA_behavior</x:v>
      </x:c>
      <x:c r="O95" s="18" t="str">
        <x:v>EXPLORATORY</x:v>
      </x:c>
      <x:c r="P95" s="18" t="n">
        <x:v>0</x:v>
      </x:c>
      <x:c r="Q95" s="18" t="n">
        <x:v>1</x:v>
      </x:c>
      <x:c r="R95" s="18" t="n">
        <x:v>0</x:v>
      </x:c>
      <x:c r="S95" s="18"/>
      <x:c r="T95" s="18" t="str">
        <x:v>P2</x:v>
      </x:c>
      <x:c r="U95" s="18"/>
      <x:c r="V95" s="18" t="str">
        <x:v>LEE11_LOW_vs_SHAM_PCADEMAND24; LEE11_HIGH_vs_SHAM_PCADEMAND24</x:v>
      </x:c>
      <x:c r="W95" s="18" t="n">
        <x:v>2</x:v>
      </x:c>
      <x:c r="X95" s="18" t="str">
        <x:v>NORMALIZED_V22</x:v>
      </x:c>
      <x:c r="Y95" s="18" t="str">
        <x:v>Normalized into Outcome_Data_AF_LOCK in v22 (2 new source-scale row(s)); original v20 Outcome_Data remains unchanged.</x:v>
      </x:c>
      <x:c r="Z95" s="18" t="str">
        <x:v>Direct active-vs-sham pairwise P values not reported.</x:v>
      </x:c>
      <x:c r="AA95" s="18" t="str">
        <x:v>Lee_2011_RoB2_PCA_morphine_and_demands_24h.md</x:v>
      </x:c>
      <x:c r="AB95" s="18"/>
    </x:row>
    <x:row r="96">
      <x:c r="A96" s="18" t="str">
        <x:v>F-PCA-009</x:v>
      </x:c>
      <x:c r="B96" s="18" t="str">
        <x:v>F-PCA</x:v>
      </x:c>
      <x:c r="C96" s="18" t="str">
        <x:v>Lu 2022</x:v>
      </x:c>
      <x:c r="D96" s="18" t="str">
        <x:v>Lu 2022</x:v>
      </x:c>
      <x:c r="E96" s="18" t="str">
        <x:v>PCA attempts/deliveries</x:v>
      </x:c>
      <x:c r="F96" s="18" t="str">
        <x:v>24/48/72 h</x:v>
      </x:c>
      <x:c r="G96" s="18" t="str">
        <x:v>24h attempts8.0 vs16.5; deliveries5.0 vs12.0</x:v>
      </x:c>
      <x:c r="H96" s="18" t="str">
        <x:v>Low</x:v>
      </x:c>
      <x:c r="I96" s="18" t="str">
        <x:v>Some concerns</x:v>
      </x:c>
      <x:c r="J96" s="18" t="str">
        <x:v>Some concerns</x:v>
      </x:c>
      <x:c r="K96" s="18" t="str">
        <x:v>High</x:v>
      </x:c>
      <x:c r="L96" s="18" t="str">
        <x:v>Some concerns</x:v>
      </x:c>
      <x:c r="M96" s="18" t="str">
        <x:v>High</x:v>
      </x:c>
      <x:c r="N96" s="18" t="str">
        <x:v>F_PCA_behavior</x:v>
      </x:c>
      <x:c r="O96" s="18" t="str">
        <x:v>EXPLORATORY / High RoB</x:v>
      </x:c>
      <x:c r="P96" s="18" t="n">
        <x:v>0</x:v>
      </x:c>
      <x:c r="Q96" s="18" t="n">
        <x:v>1</x:v>
      </x:c>
      <x:c r="R96" s="18" t="n">
        <x:v>0</x:v>
      </x:c>
      <x:c r="S96" s="18"/>
      <x:c r="T96" s="18" t="str">
        <x:v>P2</x:v>
      </x:c>
      <x:c r="U96" s="18"/>
      <x:c r="V96" s="18" t="str">
        <x:v>LU22_TEAS_vs_CTRL_PCAATTEMPT24; LU22_TEAS_vs_CTRL_PCADELIV24; LU22_TEAS_vs_CTRL_PCAATTEMPT48; LU22_TEAS_vs_CTRL_PCADELIV48; LU22_TEAS_vs_CTRL_PCAATTEMPT72; LU22_TEAS_vs_CTRL_PCADELIV72</x:v>
      </x:c>
      <x:c r="W96" s="18" t="n">
        <x:v>6</x:v>
      </x:c>
      <x:c r="X96" s="18" t="str">
        <x:v>NORMALIZED_V22</x:v>
      </x:c>
      <x:c r="Y96" s="18" t="str">
        <x:v>Normalized into Outcome_Data_AF_LOCK in v22 (4 new source-scale row(s)); original v20 Outcome_Data remains unchanged.</x:v>
      </x:c>
      <x:c r="Z96" s="18" t="str">
        <x:v>Patient blinding difficult; PCA drug/settings not reported.</x:v>
      </x:c>
      <x:c r="AA96" s="18" t="str">
        <x:v>Lu_2022_RoB2_PCA_attempts_deliveries_24_48_72h.md</x:v>
      </x:c>
      <x:c r="AB96" s="18" t="str">
        <x:v>https://drive.google.com/file/d/12Y86huNMuLC8cPH-L2vwlEd7r1X1Qela/view?usp=drivesdk</x:v>
      </x:c>
    </x:row>
    <x:row r="97">
      <x:c r="A97" s="18" t="str">
        <x:v>F-PCA-010</x:v>
      </x:c>
      <x:c r="B97" s="18" t="str">
        <x:v>F-PCA</x:v>
      </x:c>
      <x:c r="C97" s="18" t="str">
        <x:v>Yeh 2010</x:v>
      </x:c>
      <x:c r="D97" s="18" t="str">
        <x:v>Yeh 2010</x:v>
      </x:c>
      <x:c r="E97" s="18" t="str">
        <x:v>PCA button pushes</x:v>
      </x:c>
      <x:c r="F97" s="18" t="str">
        <x:v>0–24 h</x:v>
      </x:c>
      <x:c r="G97" s="18" t="str">
        <x:v>True25.3±28.5 vs sham47.4±39.7</x:v>
      </x:c>
      <x:c r="H97" s="18" t="str">
        <x:v>Some concerns</x:v>
      </x:c>
      <x:c r="I97" s="18" t="str">
        <x:v>Some concerns</x:v>
      </x:c>
      <x:c r="J97" s="18" t="str">
        <x:v>Some concerns</x:v>
      </x:c>
      <x:c r="K97" s="18" t="str">
        <x:v>Low</x:v>
      </x:c>
      <x:c r="L97" s="18" t="str">
        <x:v>Some concerns</x:v>
      </x:c>
      <x:c r="M97" s="18" t="str">
        <x:v>Some concerns</x:v>
      </x:c>
      <x:c r="N97" s="18" t="str">
        <x:v>F_PCA_behavior</x:v>
      </x:c>
      <x:c r="O97" s="18" t="str">
        <x:v>HOLD overlap review</x:v>
      </x:c>
      <x:c r="P97" s="18" t="n">
        <x:v>0</x:v>
      </x:c>
      <x:c r="Q97" s="18" t="n">
        <x:v>0</x:v>
      </x:c>
      <x:c r="R97" s="18" t="n">
        <x:v>1</x:v>
      </x:c>
      <x:c r="S97" s="18" t="str">
        <x:v>HOLD overlap review</x:v>
      </x:c>
      <x:c r="T97" s="18" t="str">
        <x:v>P1</x:v>
      </x:c>
      <x:c r="U97" s="18" t="str">
        <x:v>YEH_SPINE_AES_POSSIBLE_OVERLAP</x:v>
      </x:c>
      <x:c r="V97" s="18" t="str">
        <x:v>YEH10_AES_vs_SHAM_PCAPUSH24</x:v>
      </x:c>
      <x:c r="W97" s="18" t="n">
        <x:v>1</x:v>
      </x:c>
      <x:c r="X97" s="18" t="str">
        <x:v>NORMALIZED_V22</x:v>
      </x:c>
      <x:c r="Y97" s="18" t="str">
        <x:v>Normalized into Outcome_Data_AF_LOCK in v22 (1 new source-scale row(s)); original v20 Outcome_Data remains unchanged. v25 result-specific P1 disposition: HARD_HOLD_DEPENDENCY.</x:v>
      </x:c>
      <x:c r="Z97" s="18" t="str">
        <x:v>Potential overlap with Yeh2011.</x:v>
      </x:c>
      <x:c r="AA97" s="18" t="str">
        <x:v>Yeh_2010_RoB2_morphine_PCA_24h.md</x:v>
      </x:c>
      <x:c r="AB97" s="18"/>
    </x:row>
    <x:row r="98">
      <x:c r="A98" s="18" t="str">
        <x:v>F-PCA-011</x:v>
      </x:c>
      <x:c r="B98" s="18" t="str">
        <x:v>F-PCA</x:v>
      </x:c>
      <x:c r="C98" s="18" t="str">
        <x:v>Lin 2002</x:v>
      </x:c>
      <x:c r="D98" s="18" t="str">
        <x:v>Lin 2002</x:v>
      </x:c>
      <x:c r="E98" s="18" t="str">
        <x:v>PCA demands</x:v>
      </x:c>
      <x:c r="F98" s="18" t="str">
        <x:v>0–24 h</x:v>
      </x:c>
      <x:c r="G98" s="18" t="str">
        <x:v>Sham16.1±7.4; low11.7±7.1; high7.9±5.9</x:v>
      </x:c>
      <x:c r="H98" s="18" t="str">
        <x:v>Some concerns</x:v>
      </x:c>
      <x:c r="I98" s="18" t="str">
        <x:v>Some concerns</x:v>
      </x:c>
      <x:c r="J98" s="18" t="str">
        <x:v>Low</x:v>
      </x:c>
      <x:c r="K98" s="18" t="str">
        <x:v>High</x:v>
      </x:c>
      <x:c r="L98" s="18" t="str">
        <x:v>Some concerns</x:v>
      </x:c>
      <x:c r="M98" s="18" t="str">
        <x:v>High</x:v>
      </x:c>
      <x:c r="N98" s="18" t="str">
        <x:v>F_PCA_behavior</x:v>
      </x:c>
      <x:c r="O98" s="18" t="str">
        <x:v>EXPLORATORY / High RoB</x:v>
      </x:c>
      <x:c r="P98" s="18" t="n">
        <x:v>0</x:v>
      </x:c>
      <x:c r="Q98" s="18" t="n">
        <x:v>1</x:v>
      </x:c>
      <x:c r="R98" s="18" t="n">
        <x:v>0</x:v>
      </x:c>
      <x:c r="S98" s="18"/>
      <x:c r="T98" s="18"/>
      <x:c r="U98" s="18"/>
      <x:c r="V98" s="18" t="str">
        <x:v>LIN02_HIGH_vs_SHAM_PCADEMAND24; LIN02_LOW_vs_SHAM_PCADEMAND24</x:v>
      </x:c>
      <x:c r="W98" s="18" t="n">
        <x:v>2</x:v>
      </x:c>
      <x:c r="X98" s="18" t="str">
        <x:v>NORMALIZED_V22</x:v>
      </x:c>
      <x:c r="Y98" s="18" t="str">
        <x:v>Normalized into Outcome_Data_AF_LOCK in v22 (2 new source-scale row(s)); original v20 Outcome_Data remains unchanged.</x:v>
      </x:c>
      <x:c r="Z98" s="18" t="str">
        <x:v>Behavioral endpoint.</x:v>
      </x:c>
      <x:c r="AA98" s="18" t="str">
        <x:v>Lin_2002_RoB2_morphine_PCA_24h.md</x:v>
      </x:c>
      <x:c r="AB98" s="18"/>
    </x:row>
    <x:row r="99">
      <x:c r="A99" s="18" t="str">
        <x:v>F-PCA-012</x:v>
      </x:c>
      <x:c r="B99" s="18" t="str">
        <x:v>F-PCA</x:v>
      </x:c>
      <x:c r="C99" s="18" t="str">
        <x:v>Yeh 2011</x:v>
      </x:c>
      <x:c r="D99" s="18" t="str">
        <x:v>Yeh 2011 IJNS</x:v>
      </x:c>
      <x:c r="E99" s="18" t="str">
        <x:v>PCA button pushes</x:v>
      </x:c>
      <x:c r="F99" s="18" t="str">
        <x:v>0–24 h</x:v>
      </x:c>
      <x:c r="G99" s="18" t="str">
        <x:v>AES24.9±28.5 vs sham47.4±39.7 vs control76.9±86.1</x:v>
      </x:c>
      <x:c r="H99" s="18" t="str">
        <x:v>Some concerns</x:v>
      </x:c>
      <x:c r="I99" s="18" t="str">
        <x:v>Low</x:v>
      </x:c>
      <x:c r="J99" s="18" t="str">
        <x:v>Low</x:v>
      </x:c>
      <x:c r="K99" s="18" t="str">
        <x:v>Some concerns</x:v>
      </x:c>
      <x:c r="L99" s="18" t="str">
        <x:v>Some concerns</x:v>
      </x:c>
      <x:c r="M99" s="18" t="str">
        <x:v>Some concerns</x:v>
      </x:c>
      <x:c r="N99" s="18" t="str">
        <x:v>F_PCA_behavior</x:v>
      </x:c>
      <x:c r="O99" s="18" t="str">
        <x:v>HOLD — potential overlap</x:v>
      </x:c>
      <x:c r="P99" s="18" t="n">
        <x:v>0</x:v>
      </x:c>
      <x:c r="Q99" s="18" t="n">
        <x:v>0</x:v>
      </x:c>
      <x:c r="R99" s="18" t="n">
        <x:v>1</x:v>
      </x:c>
      <x:c r="S99" s="18" t="str">
        <x:v>HOLD — potential overlap</x:v>
      </x:c>
      <x:c r="T99" s="18" t="str">
        <x:v>P1</x:v>
      </x:c>
      <x:c r="U99" s="18" t="str">
        <x:v>YEH_SPINE_AES_POSSIBLE_OVERLAP</x:v>
      </x:c>
      <x:c r="V99" s="18" t="str">
        <x:v>YEH11_AES_vs_SHAM_PCAPUSH24</x:v>
      </x:c>
      <x:c r="W99" s="18" t="n">
        <x:v>1</x:v>
      </x:c>
      <x:c r="X99" s="18" t="str">
        <x:v>NORMALIZED_V22</x:v>
      </x:c>
      <x:c r="Y99" s="18" t="str">
        <x:v>Normalized into Outcome_Data_AF_LOCK in v22 (1 new source-scale row(s)); original v20 Outcome_Data remains unchanged. v25 result-specific P1 disposition: HARD_HOLD_DEPENDENCY.</x:v>
      </x:c>
      <x:c r="Z99" s="18" t="str">
        <x:v>Do not count independently with Yeh2010.</x:v>
      </x:c>
      <x:c r="AA99" s="18" t="str">
        <x:v>Yeh_2011_TargetF_RoB2_and_companion_overlap_audit.md</x:v>
      </x:c>
      <x:c r="AB99" s="18"/>
    </x:row>
    <x:row r="100">
      <x:c r="A100" s="18" t="str">
        <x:v>F-postop-dose-001</x:v>
      </x:c>
      <x:c r="B100" s="18" t="str">
        <x:v>F-postop-dose</x:v>
      </x:c>
      <x:c r="C100" s="18" t="str">
        <x:v>Seevaunnamtum 2016</x:v>
      </x:c>
      <x:c r="D100" s="18" t="str">
        <x:v>Seevaunnamtum 2016</x:v>
      </x:c>
      <x:c r="E100" s="18" t="str">
        <x:v>Total morphine incl PCAM + IV rescue</x:v>
      </x:c>
      <x:c r="F100" s="18" t="str">
        <x:v>0–24 h</x:v>
      </x:c>
      <x:c r="G100" s="18" t="str">
        <x:v>21.38±14.38 vs33.94±20.24 mg; P=0.006</x:v>
      </x:c>
      <x:c r="H100" s="18" t="str">
        <x:v>Some concerns</x:v>
      </x:c>
      <x:c r="I100" s="18" t="str">
        <x:v>Low</x:v>
      </x:c>
      <x:c r="J100" s="18" t="str">
        <x:v>Low</x:v>
      </x:c>
      <x:c r="K100" s="18" t="str">
        <x:v>Low</x:v>
      </x:c>
      <x:c r="L100" s="18" t="str">
        <x:v>Some concerns</x:v>
      </x:c>
      <x:c r="M100" s="18" t="str">
        <x:v>Some concerns</x:v>
      </x:c>
      <x:c r="N100" s="18" t="str">
        <x:v>F_postop_delivered_dose_or_solution</x:v>
      </x:c>
      <x:c r="O100" s="18" t="str">
        <x:v>CANDIDATE separate 24-h dose</x:v>
      </x:c>
      <x:c r="P100" s="18" t="n">
        <x:v>1</x:v>
      </x:c>
      <x:c r="Q100" s="18" t="n">
        <x:v>0</x:v>
      </x:c>
      <x:c r="R100" s="18" t="n">
        <x:v>0</x:v>
      </x:c>
      <x:c r="S100" s="18"/>
      <x:c r="T100" s="18"/>
      <x:c r="U100" s="18"/>
      <x:c r="V100" s="18" t="str">
        <x:v>SEEVA16_EA_vs_UC</x:v>
      </x:c>
      <x:c r="W100" s="18" t="n">
        <x:v>1</x:v>
      </x:c>
      <x:c r="X100" s="18" t="str">
        <x:v>MATCHED</x:v>
      </x:c>
      <x:c r="Y100" s="18" t="str">
        <x:v>Existing v20 row(s) represent this source-verified estimand.</x:v>
      </x:c>
      <x:c r="Z100" s="18" t="str">
        <x:v>Rescue component not separable.</x:v>
      </x:c>
      <x:c r="AA100" s="18" t="str">
        <x:v>Seevaunnamtum_2016_TargetF_24h_total_morphine_audit_RoB2.md</x:v>
      </x:c>
      <x:c r="AB100" s="18" t="str">
        <x:v>https://drive.google.com/file/d/1OhuqhDUCEmOij7fZFhHHCJNwfQ9xpMzd/view?usp=drivesdk</x:v>
      </x:c>
    </x:row>
    <x:row r="101">
      <x:c r="A101" s="18" t="str">
        <x:v>F-postop-dose-002</x:v>
      </x:c>
      <x:c r="B101" s="18" t="str">
        <x:v>F-postop-dose</x:v>
      </x:c>
      <x:c r="C101" s="18" t="str">
        <x:v>Lee 2011</x:v>
      </x:c>
      <x:c r="D101" s="18" t="str">
        <x:v>Lee 2011</x:v>
      </x:c>
      <x:c r="E101" s="18" t="str">
        <x:v>Delivered morphine</x:v>
      </x:c>
      <x:c r="F101" s="18" t="str">
        <x:v>0–24 h</x:v>
      </x:c>
      <x:c r="G101" s="18" t="str">
        <x:v>Sham34.20±6.40; high31.14±8.15; low29.29±8.89 mg</x:v>
      </x:c>
      <x:c r="H101" s="18" t="str">
        <x:v>Some concerns</x:v>
      </x:c>
      <x:c r="I101" s="18" t="str">
        <x:v>Some concerns</x:v>
      </x:c>
      <x:c r="J101" s="18" t="str">
        <x:v>Some concerns</x:v>
      </x:c>
      <x:c r="K101" s="18" t="str">
        <x:v>Low</x:v>
      </x:c>
      <x:c r="L101" s="18" t="str">
        <x:v>Some concerns</x:v>
      </x:c>
      <x:c r="M101" s="18" t="str">
        <x:v>Some concerns</x:v>
      </x:c>
      <x:c r="N101" s="18" t="str">
        <x:v>F_postop_delivered_dose_or_solution</x:v>
      </x:c>
      <x:c r="O101" s="18" t="str">
        <x:v>CANDIDATE separate 24-h dose</x:v>
      </x:c>
      <x:c r="P101" s="18" t="n">
        <x:v>1</x:v>
      </x:c>
      <x:c r="Q101" s="18" t="n">
        <x:v>0</x:v>
      </x:c>
      <x:c r="R101" s="18" t="n">
        <x:v>0</x:v>
      </x:c>
      <x:c r="S101" s="18"/>
      <x:c r="T101" s="18" t="str">
        <x:v>P2</x:v>
      </x:c>
      <x:c r="U101" s="18"/>
      <x:c r="V101" s="18" t="str">
        <x:v>LEE11_LOW_vs_SHAM_MORPH24; LEE11_HIGH_vs_SHAM_MORPH24</x:v>
      </x:c>
      <x:c r="W101" s="18" t="n">
        <x:v>2</x:v>
      </x:c>
      <x:c r="X101" s="18" t="str">
        <x:v>MATCHED</x:v>
      </x:c>
      <x:c r="Y101" s="18" t="str">
        <x:v>Existing v20 row(s) represent this source-verified estimand.</x:v>
      </x:c>
      <x:c r="Z101" s="18" t="str">
        <x:v>Four randomized arms; active-vs-sham P NR.</x:v>
      </x:c>
      <x:c r="AA101" s="18" t="str">
        <x:v>Lee_2011_RoB2_PCA_morphine_and_demands_24h.md</x:v>
      </x:c>
      <x:c r="AB101" s="18" t="str">
        <x:v>https://drive.google.com/file/d/1kQDSBtx3OpFOsim5oUMwhpfHOqaMy8Q9/view?usp=drivesdk</x:v>
      </x:c>
    </x:row>
    <x:row r="102">
      <x:c r="A102" s="18" t="str">
        <x:v>F-postop-dose-003</x:v>
      </x:c>
      <x:c r="B102" s="18" t="str">
        <x:v>F-postop-dose</x:v>
      </x:c>
      <x:c r="C102" s="18" t="str">
        <x:v>Yeh 2010</x:v>
      </x:c>
      <x:c r="D102" s="18" t="str">
        <x:v>Yeh 2010</x:v>
      </x:c>
      <x:c r="E102" s="18" t="str">
        <x:v>Delivered morphine</x:v>
      </x:c>
      <x:c r="F102" s="18" t="str">
        <x:v>0–24 h</x:v>
      </x:c>
      <x:c r="G102" s="18" t="str">
        <x:v>True18.6±9.7 vs sham21.6±13.1 mg</x:v>
      </x:c>
      <x:c r="H102" s="18" t="str">
        <x:v>Some concerns</x:v>
      </x:c>
      <x:c r="I102" s="18" t="str">
        <x:v>Some concerns</x:v>
      </x:c>
      <x:c r="J102" s="18" t="str">
        <x:v>Some concerns</x:v>
      </x:c>
      <x:c r="K102" s="18" t="str">
        <x:v>Low</x:v>
      </x:c>
      <x:c r="L102" s="18" t="str">
        <x:v>Some concerns</x:v>
      </x:c>
      <x:c r="M102" s="18" t="str">
        <x:v>Some concerns</x:v>
      </x:c>
      <x:c r="N102" s="18" t="str">
        <x:v>F_postop_delivered_dose_or_solution</x:v>
      </x:c>
      <x:c r="O102" s="18" t="str">
        <x:v>HOLD overlap review</x:v>
      </x:c>
      <x:c r="P102" s="18" t="n">
        <x:v>0</x:v>
      </x:c>
      <x:c r="Q102" s="18" t="n">
        <x:v>0</x:v>
      </x:c>
      <x:c r="R102" s="18" t="n">
        <x:v>1</x:v>
      </x:c>
      <x:c r="S102" s="18" t="str">
        <x:v>HOLD overlap review</x:v>
      </x:c>
      <x:c r="T102" s="18" t="str">
        <x:v>P1</x:v>
      </x:c>
      <x:c r="U102" s="18" t="str">
        <x:v>YEH_SPINE_AES_POSSIBLE_OVERLAP</x:v>
      </x:c>
      <x:c r="V102" s="18" t="str">
        <x:v>YEH10_AES_vs_SHAM_MORPH24</x:v>
      </x:c>
      <x:c r="W102" s="18" t="n">
        <x:v>1</x:v>
      </x:c>
      <x:c r="X102" s="18" t="str">
        <x:v>MATCHED</x:v>
      </x:c>
      <x:c r="Y102" s="18" t="str">
        <x:v>Existing v20 row(s) represent this source-verified estimand. v25 result-specific P1 disposition: HARD_HOLD_DEPENDENCY.</x:v>
      </x:c>
      <x:c r="Z102" s="18" t="str">
        <x:v>Potential overlap with Yeh2011.</x:v>
      </x:c>
      <x:c r="AA102" s="18" t="str">
        <x:v>Yeh_2010_RoB2_morphine_PCA_24h.md</x:v>
      </x:c>
      <x:c r="AB102" s="18" t="str">
        <x:v>https://drive.google.com/file/d/1a1s31PQPWGnaVkYUtNUxO22F3QFTcwmi/view?usp=drivesdk</x:v>
      </x:c>
    </x:row>
    <x:row r="103">
      <x:c r="A103" s="18" t="str">
        <x:v>F-postop-dose-004</x:v>
      </x:c>
      <x:c r="B103" s="18" t="str">
        <x:v>F-postop-dose</x:v>
      </x:c>
      <x:c r="C103" s="18" t="str">
        <x:v>Chen 1998</x:v>
      </x:c>
      <x:c r="D103" s="18" t="str">
        <x:v>Chen 1998</x:v>
      </x:c>
      <x:c r="E103" s="18" t="str">
        <x:v>Hydromorphone PCA dose</x:v>
      </x:c>
      <x:c r="F103" s="18" t="str">
        <x:v>0–24 h</x:v>
      </x:c>
      <x:c r="G103" s="18" t="str">
        <x:v>Acupoint6.5±3.5 vs sham10.7±5.0 mg</x:v>
      </x:c>
      <x:c r="H103" s="18" t="str">
        <x:v>Some concerns</x:v>
      </x:c>
      <x:c r="I103" s="18" t="str">
        <x:v>Some concerns</x:v>
      </x:c>
      <x:c r="J103" s="18" t="str">
        <x:v>Low</x:v>
      </x:c>
      <x:c r="K103" s="18" t="str">
        <x:v>High</x:v>
      </x:c>
      <x:c r="L103" s="18" t="str">
        <x:v>Some concerns</x:v>
      </x:c>
      <x:c r="M103" s="18" t="str">
        <x:v>High</x:v>
      </x:c>
      <x:c r="N103" s="18" t="str">
        <x:v>F_postop_delivered_dose_or_solution</x:v>
      </x:c>
      <x:c r="O103" s="18" t="str">
        <x:v>SENSITIVITY / High RoB</x:v>
      </x:c>
      <x:c r="P103" s="18" t="n">
        <x:v>0</x:v>
      </x:c>
      <x:c r="Q103" s="18" t="n">
        <x:v>1</x:v>
      </x:c>
      <x:c r="R103" s="18" t="n">
        <x:v>0</x:v>
      </x:c>
      <x:c r="S103" s="18"/>
      <x:c r="T103" s="18"/>
      <x:c r="U103" s="18"/>
      <x:c r="V103" s="18" t="str">
        <x:v>CHEN98_ACU_vs_SHAM</x:v>
      </x:c>
      <x:c r="W103" s="18" t="n">
        <x:v>1</x:v>
      </x:c>
      <x:c r="X103" s="18" t="str">
        <x:v>MATCHED</x:v>
      </x:c>
      <x:c r="Y103" s="18" t="str">
        <x:v>Existing v20 row(s) represent this source-verified estimand.</x:v>
      </x:c>
      <x:c r="Z103" s="18" t="str">
        <x:v>Four-arm study; sensory masking concern.</x:v>
      </x:c>
      <x:c r="AA103" s="18" t="str">
        <x:v>Chen_1998_RoB2_hydromorphone_PCA_24h.md</x:v>
      </x:c>
      <x:c r="AB103" s="18" t="str">
        <x:v>https://drive.google.com/file/d/1lUyYj9aN1CL9RpY86ZY0970To83Kb17s/view?usp=drivesdk</x:v>
      </x:c>
    </x:row>
    <x:row r="104">
      <x:c r="A104" s="18" t="str">
        <x:v>F-postop-dose-005</x:v>
      </x:c>
      <x:c r="B104" s="18" t="str">
        <x:v>F-postop-dose</x:v>
      </x:c>
      <x:c r="C104" s="18" t="str">
        <x:v>Lin 2002</x:v>
      </x:c>
      <x:c r="D104" s="18" t="str">
        <x:v>Lin 2002</x:v>
      </x:c>
      <x:c r="E104" s="18" t="str">
        <x:v>Morphine PCA dose</x:v>
      </x:c>
      <x:c r="F104" s="18" t="str">
        <x:v>0–24 h</x:v>
      </x:c>
      <x:c r="G104" s="18" t="str">
        <x:v>Sham30.2±14.4; low21.8±14.7; high15.0±10.7 mg</x:v>
      </x:c>
      <x:c r="H104" s="18" t="str">
        <x:v>Some concerns</x:v>
      </x:c>
      <x:c r="I104" s="18" t="str">
        <x:v>Some concerns</x:v>
      </x:c>
      <x:c r="J104" s="18" t="str">
        <x:v>Low</x:v>
      </x:c>
      <x:c r="K104" s="18" t="str">
        <x:v>High</x:v>
      </x:c>
      <x:c r="L104" s="18" t="str">
        <x:v>Some concerns</x:v>
      </x:c>
      <x:c r="M104" s="18" t="str">
        <x:v>High</x:v>
      </x:c>
      <x:c r="N104" s="18" t="str">
        <x:v>F_postop_delivered_dose_or_solution</x:v>
      </x:c>
      <x:c r="O104" s="18" t="str">
        <x:v>SENSITIVITY / High RoB</x:v>
      </x:c>
      <x:c r="P104" s="18" t="n">
        <x:v>0</x:v>
      </x:c>
      <x:c r="Q104" s="18" t="n">
        <x:v>1</x:v>
      </x:c>
      <x:c r="R104" s="18" t="n">
        <x:v>0</x:v>
      </x:c>
      <x:c r="S104" s="18"/>
      <x:c r="T104" s="18"/>
      <x:c r="U104" s="18"/>
      <x:c r="V104" s="18" t="str">
        <x:v>LIN02_HIGH_vs_SHAM; LIN02_LOW_vs_SHAM</x:v>
      </x:c>
      <x:c r="W104" s="18" t="n">
        <x:v>2</x:v>
      </x:c>
      <x:c r="X104" s="18" t="str">
        <x:v>MATCHED</x:v>
      </x:c>
      <x:c r="Y104" s="18" t="str">
        <x:v>Existing v20 row(s) represent this source-verified estimand.</x:v>
      </x:c>
      <x:c r="Z104" s="18" t="str">
        <x:v>100/100 completed.</x:v>
      </x:c>
      <x:c r="AA104" s="18" t="str">
        <x:v>Lin_2002_RoB2_morphine_PCA_24h.md</x:v>
      </x:c>
      <x:c r="AB104" s="18" t="str">
        <x:v>https://drive.google.com/file/d/1Q5dNOPkf4PB_ctbHu1_3v3UIMIJzKRw9/view?usp=drivesdk</x:v>
      </x:c>
    </x:row>
    <x:row r="105">
      <x:c r="A105" s="18" t="str">
        <x:v>F-postop-dose-006</x:v>
      </x:c>
      <x:c r="B105" s="18" t="str">
        <x:v>F-postop-dose</x:v>
      </x:c>
      <x:c r="C105" s="18" t="str">
        <x:v>Coura 2011</x:v>
      </x:c>
      <x:c r="D105" s="18" t="str">
        <x:v>Coura 2011</x:v>
      </x:c>
      <x:c r="E105" s="18" t="str">
        <x:v>Total fentanyl</x:v>
      </x:c>
      <x:c r="F105" s="18" t="str">
        <x:v>0–24 h</x:v>
      </x:c>
      <x:c r="G105" s="18" t="str">
        <x:v>13.1±2.2 vs16.3±1.6 μg/kg</x:v>
      </x:c>
      <x:c r="H105" s="18" t="str">
        <x:v>Some concerns</x:v>
      </x:c>
      <x:c r="I105" s="18" t="str">
        <x:v>Some concerns</x:v>
      </x:c>
      <x:c r="J105" s="18" t="str">
        <x:v>High</x:v>
      </x:c>
      <x:c r="K105" s="18" t="str">
        <x:v>Some concerns</x:v>
      </x:c>
      <x:c r="L105" s="18" t="str">
        <x:v>Some concerns</x:v>
      </x:c>
      <x:c r="M105" s="18" t="str">
        <x:v>High</x:v>
      </x:c>
      <x:c r="N105" s="18" t="str">
        <x:v>F_postop_delivered_dose_or_solution</x:v>
      </x:c>
      <x:c r="O105" s="18" t="str">
        <x:v>SENSITIVITY / High RoB</x:v>
      </x:c>
      <x:c r="P105" s="18" t="n">
        <x:v>0</x:v>
      </x:c>
      <x:c r="Q105" s="18" t="n">
        <x:v>1</x:v>
      </x:c>
      <x:c r="R105" s="18" t="n">
        <x:v>0</x:v>
      </x:c>
      <x:c r="S105" s="18"/>
      <x:c r="T105" s="18"/>
      <x:c r="U105" s="18"/>
      <x:c r="V105" s="18" t="str">
        <x:v>COURA11_EA_vs_SHAM</x:v>
      </x:c>
      <x:c r="W105" s="18" t="n">
        <x:v>1</x:v>
      </x:c>
      <x:c r="X105" s="18" t="str">
        <x:v>MATCHED</x:v>
      </x:c>
      <x:c r="Y105" s="18" t="str">
        <x:v>Existing v20 row(s) represent this source-verified estimand.</x:v>
      </x:c>
      <x:c r="Z105" s="18" t="str">
        <x:v>Only22/32 analyzed.</x:v>
      </x:c>
      <x:c r="AA105" s="18" t="str">
        <x:v>Coura_2011_RoB2_fentanyl_PCA_24h.md</x:v>
      </x:c>
      <x:c r="AB105" s="18" t="str">
        <x:v>https://drive.google.com/file/d/120NJxCmxsdiyqWTXzjmaUWAaVa1i8iZz/view?usp=drivesdk</x:v>
      </x:c>
    </x:row>
    <x:row r="106">
      <x:c r="A106" s="18" t="str">
        <x:v>F-postop-dose-007</x:v>
      </x:c>
      <x:c r="B106" s="18" t="str">
        <x:v>F-postop-dose</x:v>
      </x:c>
      <x:c r="C106" s="18" t="str">
        <x:v>El-Rakshy 2009</x:v>
      </x:c>
      <x:c r="D106" s="18" t="str">
        <x:v>El-Rakshy 2009</x:v>
      </x:c>
      <x:c r="E106" s="18" t="str">
        <x:v>Morphine/total analgesia</x:v>
      </x:c>
      <x:c r="F106" s="18" t="str">
        <x:v>0–24 h</x:v>
      </x:c>
      <x:c r="G106" s="18" t="str">
        <x:v>35.3±18.0 vs36.9±18.0 mg</x:v>
      </x:c>
      <x:c r="H106" s="18" t="str">
        <x:v>Some concerns</x:v>
      </x:c>
      <x:c r="I106" s="18" t="str">
        <x:v>Some concerns</x:v>
      </x:c>
      <x:c r="J106" s="18" t="str">
        <x:v>High</x:v>
      </x:c>
      <x:c r="K106" s="18" t="str">
        <x:v>Low</x:v>
      </x:c>
      <x:c r="L106" s="18" t="str">
        <x:v>Some concerns</x:v>
      </x:c>
      <x:c r="M106" s="18" t="str">
        <x:v>High</x:v>
      </x:c>
      <x:c r="N106" s="18" t="str">
        <x:v>F_postop_delivered_dose_or_solution</x:v>
      </x:c>
      <x:c r="O106" s="18" t="str">
        <x:v>SENSITIVITY / High RoB</x:v>
      </x:c>
      <x:c r="P106" s="18" t="n">
        <x:v>0</x:v>
      </x:c>
      <x:c r="Q106" s="18" t="n">
        <x:v>1</x:v>
      </x:c>
      <x:c r="R106" s="18" t="n">
        <x:v>0</x:v>
      </x:c>
      <x:c r="S106" s="18"/>
      <x:c r="T106" s="18" t="str">
        <x:v>P2</x:v>
      </x:c>
      <x:c r="U106" s="18"/>
      <x:c r="V106" s="18" t="str">
        <x:v>ELR09_EA_vs_CTRL_MORPH24</x:v>
      </x:c>
      <x:c r="W106" s="18" t="n">
        <x:v>1</x:v>
      </x:c>
      <x:c r="X106" s="18" t="str">
        <x:v>MATCHED</x:v>
      </x:c>
      <x:c r="Y106" s="18" t="str">
        <x:v>Exact source-verified v20 outcome row already present; earlier A–F crosswalk miss corrected in v22.</x:v>
      </x:c>
      <x:c r="Z106" s="18" t="str">
        <x:v>95/107 contribute; raw data inaccessible.</x:v>
      </x:c>
      <x:c r="AA106" s="18" t="str">
        <x:v>El_Rakshy_2009_RoB2_morphine_PCA_24h.md</x:v>
      </x:c>
      <x:c r="AB106" s="18"/>
    </x:row>
    <x:row r="107">
      <x:c r="A107" s="18" t="str">
        <x:v>F-postop-dose-008</x:v>
      </x:c>
      <x:c r="B107" s="18" t="str">
        <x:v>F-postop-dose</x:v>
      </x:c>
      <x:c r="C107" s="18" t="str">
        <x:v>Gu 2019</x:v>
      </x:c>
      <x:c r="D107" s="18" t="str">
        <x:v>Gu 2019</x:v>
      </x:c>
      <x:c r="E107" s="18" t="str">
        <x:v>Mixed PCIA solution consumption</x:v>
      </x:c>
      <x:c r="F107" s="18" t="str">
        <x:v>repeated to36 h</x:v>
      </x:c>
      <x:c r="G107" s="18" t="str">
        <x:v>4h10.02±2.26 vs13.38±2.98;8h20.55±4.59 vs24.63±3.94;36h72.64±9.74 vs76.01±10.43 mL</x:v>
      </x:c>
      <x:c r="H107" s="18" t="str">
        <x:v>Some concerns</x:v>
      </x:c>
      <x:c r="I107" s="18" t="str">
        <x:v>Some concerns</x:v>
      </x:c>
      <x:c r="J107" s="18" t="str">
        <x:v>Low</x:v>
      </x:c>
      <x:c r="K107" s="18" t="str">
        <x:v>Some concerns</x:v>
      </x:c>
      <x:c r="L107" s="18" t="str">
        <x:v>Some concerns</x:v>
      </x:c>
      <x:c r="M107" s="18" t="str">
        <x:v>Some concerns</x:v>
      </x:c>
      <x:c r="N107" s="18" t="str">
        <x:v>F_postop_delivered_dose_or_solution</x:v>
      </x:c>
      <x:c r="O107" s="18" t="str">
        <x:v>NARRATIVE / graph issue</x:v>
      </x:c>
      <x:c r="P107" s="18" t="n">
        <x:v>0</x:v>
      </x:c>
      <x:c r="Q107" s="18" t="n">
        <x:v>0</x:v>
      </x:c>
      <x:c r="R107" s="18" t="n">
        <x:v>1</x:v>
      </x:c>
      <x:c r="S107" s="18"/>
      <x:c r="T107" s="18" t="str">
        <x:v>P1</x:v>
      </x:c>
      <x:c r="U107" s="18"/>
      <x:c r="V107" s="18" t="str">
        <x:v>GU19_LTEAS_vs_CTEAS_PCIA4; GU19_LTEAS_vs_CTEAS_PCIA8; GU19_LTEAS_vs_CTEAS_PCIA36</x:v>
      </x:c>
      <x:c r="W107" s="18" t="n">
        <x:v>3</x:v>
      </x:c>
      <x:c r="X107" s="18" t="str">
        <x:v>MATCHED</x:v>
      </x:c>
      <x:c r="Y107" s="18" t="str">
        <x:v>Existing v20 row(s) represent this source-verified estimand. v25 result-specific P1 disposition: RESOLVED_BY_TIMEPOINT_EXCLUSION.</x:v>
      </x:c>
      <x:c r="Z107" s="18" t="str">
        <x:v>Not pure opioid; exact24-h graph-only.</x:v>
      </x:c>
      <x:c r="AA107" s="18" t="str">
        <x:v>Gu_2019_TargetF_mixed_PCIA_consumption_RoB2.md</x:v>
      </x:c>
      <x:c r="AB107" s="18" t="str">
        <x:v>https://drive.google.com/file/d/1ipQFXfERgAVmgNKMpLkvaaecYJVSTDiw/view?usp=drivesdk</x:v>
      </x:c>
    </x:row>
    <x:row r="108">
      <x:c r="A108" s="18" t="str">
        <x:v>F-postop-dose-009</x:v>
      </x:c>
      <x:c r="B108" s="18" t="str">
        <x:v>F-postop-dose</x:v>
      </x:c>
      <x:c r="C108" s="18" t="str">
        <x:v>Huang 2024 TKA</x:v>
      </x:c>
      <x:c r="D108" s="18" t="str">
        <x:v>Huang 2024 TKA</x:v>
      </x:c>
      <x:c r="E108" s="18" t="str">
        <x:v>Additional PCA dose released</x:v>
      </x:c>
      <x:c r="F108" s="18" t="str">
        <x:v>POD2 =24 h after first EA</x:v>
      </x:c>
      <x:c r="G108" s="18" t="str">
        <x:v>0[0–2],2[0–2],2[2–4] across arms</x:v>
      </x:c>
      <x:c r="H108" s="18" t="str">
        <x:v>Low</x:v>
      </x:c>
      <x:c r="I108" s="18" t="str">
        <x:v>Some concerns</x:v>
      </x:c>
      <x:c r="J108" s="18" t="str">
        <x:v>Some concerns</x:v>
      </x:c>
      <x:c r="K108" s="18" t="str">
        <x:v>Some concerns</x:v>
      </x:c>
      <x:c r="L108" s="18" t="str">
        <x:v>Low</x:v>
      </x:c>
      <x:c r="M108" s="18" t="str">
        <x:v>Some concerns</x:v>
      </x:c>
      <x:c r="N108" s="18" t="str">
        <x:v>F_postop_delivered_dose_or_solution</x:v>
      </x:c>
      <x:c r="O108" s="18" t="str">
        <x:v>UNRESOLVED unit</x:v>
      </x:c>
      <x:c r="P108" s="18" t="n">
        <x:v>0</x:v>
      </x:c>
      <x:c r="Q108" s="18" t="n">
        <x:v>0</x:v>
      </x:c>
      <x:c r="R108" s="18" t="n">
        <x:v>1</x:v>
      </x:c>
      <x:c r="S108" s="18" t="str">
        <x:v>UNRESOLVED unit</x:v>
      </x:c>
      <x:c r="T108" s="18" t="str">
        <x:v>P1</x:v>
      </x:c>
      <x:c r="U108" s="18"/>
      <x:c r="V108" s="18" t="str">
        <x:v>HUANG24_CONTRA_vs_SHAM_PCA_D2</x:v>
      </x:c>
      <x:c r="W108" s="18" t="n">
        <x:v>1</x:v>
      </x:c>
      <x:c r="X108" s="18" t="str">
        <x:v>MATCHED</x:v>
      </x:c>
      <x:c r="Y108" s="18" t="str">
        <x:v>Existing v20 row(s) represent this source-verified estimand. v25 result-specific P1 disposition: RESOLVED_BY_EXCLUSION.</x:v>
      </x:c>
      <x:c r="Z108" s="18" t="str">
        <x:v>PCA drug/unit unclear; not surgery-to-24h.</x:v>
      </x:c>
      <x:c r="AA108" s="18" t="str">
        <x:v>Huang_2024_TKA_TargetF_additional_PCA_dose_RoB2.md</x:v>
      </x:c>
      <x:c r="AB108" s="18" t="str">
        <x:v>https://drive.google.com/file/d/1z-76QoxqmtMRV32wOpem7jAyDnuD6fb8/view?usp=drivesdk</x:v>
      </x:c>
    </x:row>
    <x:row r="109">
      <x:c r="A109" s="18" t="str">
        <x:v>F-postop-dose-010</x:v>
      </x:c>
      <x:c r="B109" s="18" t="str">
        <x:v>F-postop-dose</x:v>
      </x:c>
      <x:c r="C109" s="18" t="str">
        <x:v>Yeh 2011</x:v>
      </x:c>
      <x:c r="D109" s="18" t="str">
        <x:v>Yeh 2011 IJNS</x:v>
      </x:c>
      <x:c r="E109" s="18" t="str">
        <x:v>Delivered morphine</x:v>
      </x:c>
      <x:c r="F109" s="18" t="str">
        <x:v>0–24 h</x:v>
      </x:c>
      <x:c r="G109" s="18" t="str">
        <x:v>AES19.3±9.7 vs sham21.6±13.1 vs control28.0±12.1 mg</x:v>
      </x:c>
      <x:c r="H109" s="18" t="str">
        <x:v>Some concerns</x:v>
      </x:c>
      <x:c r="I109" s="18" t="str">
        <x:v>Low</x:v>
      </x:c>
      <x:c r="J109" s="18" t="str">
        <x:v>Low</x:v>
      </x:c>
      <x:c r="K109" s="18" t="str">
        <x:v>Low</x:v>
      </x:c>
      <x:c r="L109" s="18" t="str">
        <x:v>Some concerns</x:v>
      </x:c>
      <x:c r="M109" s="18" t="str">
        <x:v>Some concerns</x:v>
      </x:c>
      <x:c r="N109" s="18" t="str">
        <x:v>F_postop_delivered_dose_or_solution</x:v>
      </x:c>
      <x:c r="O109" s="18" t="str">
        <x:v>HOLD — potential overlap</x:v>
      </x:c>
      <x:c r="P109" s="18" t="n">
        <x:v>0</x:v>
      </x:c>
      <x:c r="Q109" s="18" t="n">
        <x:v>0</x:v>
      </x:c>
      <x:c r="R109" s="18" t="n">
        <x:v>1</x:v>
      </x:c>
      <x:c r="S109" s="18" t="str">
        <x:v>HOLD — potential overlap</x:v>
      </x:c>
      <x:c r="T109" s="18" t="str">
        <x:v>P1</x:v>
      </x:c>
      <x:c r="U109" s="18" t="str">
        <x:v>YEH_SPINE_AES_POSSIBLE_OVERLAP</x:v>
      </x:c>
      <x:c r="V109" s="18" t="str">
        <x:v>YEH11_AES_vs_SHAM_MORPH24</x:v>
      </x:c>
      <x:c r="W109" s="18" t="n">
        <x:v>1</x:v>
      </x:c>
      <x:c r="X109" s="18" t="str">
        <x:v>MATCHED</x:v>
      </x:c>
      <x:c r="Y109" s="18" t="str">
        <x:v>Existing v20 row(s) represent this source-verified estimand. v25 result-specific P1 disposition: HARD_HOLD_DEPENDENCY.</x:v>
      </x:c>
      <x:c r="Z109" s="18" t="str">
        <x:v>Do not count independently with Yeh2010.</x:v>
      </x:c>
      <x:c r="AA109" s="18" t="str">
        <x:v>Yeh_2011_TargetF_RoB2_and_companion_overlap_audit.md</x:v>
      </x:c>
      <x:c r="AB109" s="18" t="str">
        <x:v>https://drive.google.com/file/d/1ZJ60ZvJ5Q7sRu1iptK_tLLfBXxZZ_Hwl/view?usp=drivesdk</x:v>
      </x:c>
    </x:row>
  </x:sheetData>
  <x:conditionalFormatting sqref="M2:M109">
    <x:cfRule type="expression" dxfId="70" priority="1">
      <x:formula>M2="High"</x:formula>
    </x:cfRule>
    <x:cfRule type="expression" dxfId="71" priority="2">
      <x:formula>M2="Some concerns"</x:formula>
    </x:cfRule>
    <x:cfRule type="expression" dxfId="72" priority="3">
      <x:formula>M2="Low"</x:formula>
    </x:cfRule>
  </x:conditionalFormatting>
  <x:conditionalFormatting sqref="T2:T109">
    <x:cfRule type="expression" dxfId="73" priority="4">
      <x:formula>T2="P1"</x:formula>
    </x:cfRule>
  </x:conditionalFormatting>
  <x:pageMargins left="0.7" right="0.7" top="0.75" bottom="0.75" header="0.3" footer="0.3"/>
  <x:tableParts count="1">
    <x:tablePart xmlns:r="http://schemas.openxmlformats.org/officeDocument/2006/relationships" r:id="R599343bbe2544d11"/>
  </x:tableParts>
</x:worksheet>
</file>

<file path=xl/worksheets/sheet20.xml><?xml version="1.0" encoding="utf-8"?>
<x:worksheet xmlns:x="http://schemas.openxmlformats.org/spreadsheetml/2006/main">
  <x:sheetFormatPr defaultRowHeight="15"/>
  <x:cols>
    <x:col min="1" max="1" width="10" hidden="0" customWidth="1"/>
    <x:col min="2" max="2" width="16" hidden="0" customWidth="1"/>
    <x:col min="3" max="3" width="32" hidden="0" customWidth="1"/>
    <x:col min="4" max="4" width="54" hidden="0" customWidth="1"/>
    <x:col min="5" max="5" width="50" hidden="0" customWidth="1"/>
    <x:col min="6" max="6" width="50" hidden="0" customWidth="1"/>
    <x:col min="7" max="7" width="32" hidden="0" customWidth="1"/>
    <x:col min="8" max="8" width="20" hidden="0" customWidth="1"/>
    <x:col min="9" max="9" width="22" hidden="0" customWidth="1"/>
    <x:col min="10" max="10" width="58" hidden="0" customWidth="1"/>
  </x:cols>
  <x:sheetData>
    <x:row r="1">
      <x:c r="A1" s="81" t="str">
        <x:v>Priority</x:v>
      </x:c>
      <x:c r="B1" s="81" t="str">
        <x:v>Target</x:v>
      </x:c>
      <x:c r="C1" s="81" t="str">
        <x:v>Study / result</x:v>
      </x:c>
      <x:c r="D1" s="81" t="str">
        <x:v>Unresolved issue</x:v>
      </x:c>
      <x:c r="E1" s="81" t="str">
        <x:v>Dataset action now</x:v>
      </x:c>
      <x:c r="F1" s="81" t="str">
        <x:v>Resolution needed</x:v>
      </x:c>
      <x:c r="G1" s="81" t="str">
        <x:v>Disposition class</x:v>
      </x:c>
      <x:c r="H1" s="81" t="str">
        <x:v>Disposition status</x:v>
      </x:c>
      <x:c r="I1" s="81" t="str">
        <x:v>Global final-lock blocker?</x:v>
      </x:c>
      <x:c r="J1" s="81" t="str">
        <x:v>v23 analysis handling</x:v>
      </x:c>
    </x:row>
    <x:row r="2">
      <x:c r="A2" s="18" t="str">
        <x:v>P1</x:v>
      </x:c>
      <x:c r="B2" s="18" t="str">
        <x:v>Cross-target</x:v>
      </x:c>
      <x:c r="C2" s="18" t="str">
        <x:v>Yeh 2010 ATHM / Yeh 2011 IJNS</x:v>
      </x:c>
      <x:c r="D2" s="18" t="str">
        <x:v>Potential overlapping/companion cohort; identical sham PCA/morphine values and near-identical active/control values.</x:v>
      </x:c>
      <x:c r="E2" s="18" t="str">
        <x:v>HOLD one publication family from any common model; do not double-count.</x:v>
      </x:c>
      <x:c r="F2" s="18" t="str">
        <x:v>Confirm cohort overlap using recruitment dates/participant IDs; choose unique cohort/primary report.</x:v>
      </x:c>
      <x:c r="G2" s="18" t="str">
        <x:v>HARD_HOLD_DEPENDENCY</x:v>
      </x:c>
      <x:c r="H2" s="18" t="str">
        <x:v>HARD HOLD</x:v>
      </x:c>
      <x:c r="I2" s="18" t="str">
        <x:v>NO</x:v>
      </x:c>
      <x:c r="J2" s="18" t="str">
        <x:v>Exclude both publications from any common pooled model until overlap is adjudicated; keep one unresolved publication-family study unit.</x:v>
      </x:c>
    </x:row>
    <x:row r="3">
      <x:c r="A3" s="18" t="str">
        <x:v>P1</x:v>
      </x:c>
      <x:c r="B3" s="18" t="str">
        <x:v>F-intra</x:v>
      </x:c>
      <x:c r="C3" s="18" t="str">
        <x:v>Liu 2026 burn remifentanil</x:v>
      </x:c>
      <x:c r="D3" s="18" t="str">
        <x:v>Abstract medians/IQR differ from main Results/Figure 4.</x:v>
      </x:c>
      <x:c r="E3" s="18" t="str">
        <x:v>include_primary=0 for remifentanil until resolved.</x:v>
      </x:c>
      <x:c r="F3" s="18" t="str">
        <x:v>Confirm correct group medians/IQR and exact unit; provide raw data/correction.</x:v>
      </x:c>
      <x:c r="G3" s="18" t="str">
        <x:v>RESOLVED_BY_SOURCE_HIERARCHY</x:v>
      </x:c>
      <x:c r="H3" s="18" t="str">
        <x:v>DISPOSITIONED</x:v>
      </x:c>
      <x:c r="I3" s="18" t="str">
        <x:v>NO</x:v>
      </x:c>
      <x:c r="J3" s="18" t="str">
        <x:v>Use main Results/Figure 4 values: 0.70 (0.50–1.10) vs 0.90 (0.65–1.25) mg; retain abstract discrepancy as QC; sensitivity-only per AF lock.</x:v>
      </x:c>
    </x:row>
    <x:row r="4">
      <x:c r="A4" s="18" t="str">
        <x:v>P1</x:v>
      </x:c>
      <x:c r="B4" s="18" t="str">
        <x:v>F-rescue</x:v>
      </x:c>
      <x:c r="C4" s="18" t="str">
        <x:v>Liu 2026 burn rescue dezocine</x:v>
      </x:c>
      <x:c r="D4" s="18" t="str">
        <x:v>Same 3/43 vs8/43 counts have P=0.106 in Table 2 vs P=0.430 in prose.</x:v>
      </x:c>
      <x:c r="E4" s="18" t="str">
        <x:v>Use raw counts if analysis proceeds; flag publication error; do not quote a P value as definitive.</x:v>
      </x:c>
      <x:c r="F4" s="18" t="str">
        <x:v>Confirm correct test/P value.</x:v>
      </x:c>
      <x:c r="G4" s="18" t="str">
        <x:v>RESOLVED_BY_RAW_DATA_RULE</x:v>
      </x:c>
      <x:c r="H4" s="18" t="str">
        <x:v>DISPOSITIONED</x:v>
      </x:c>
      <x:c r="I4" s="18" t="str">
        <x:v>NO</x:v>
      </x:c>
      <x:c r="J4" s="18" t="str">
        <x:v>Use raw events 3/43 vs 8/43 to calculate RR/CI in Stata; do not use either published P value as the meta-analytic effect.</x:v>
      </x:c>
    </x:row>
    <x:row r="5">
      <x:c r="A5" s="18" t="str">
        <x:v>P1</x:v>
      </x:c>
      <x:c r="B5" s="18" t="str">
        <x:v>F-rescue</x:v>
      </x:c>
      <x:c r="C5" s="18" t="str">
        <x:v>Yao 2015</x:v>
      </x:c>
      <x:c r="D5" s="18" t="str">
        <x:v>Cumulative rescue count has P=0.004 in Table 3 vs0.04 in prose.</x:v>
      </x:c>
      <x:c r="E5" s="18" t="str">
        <x:v>Keep medians/IQR; set published_p_unresolved=1.</x:v>
      </x:c>
      <x:c r="F5" s="18" t="str">
        <x:v>Confirm correct P value/test.</x:v>
      </x:c>
      <x:c r="G5" s="18" t="str">
        <x:v>RESOLVED_BY_NATIVE_DATA_RULE</x:v>
      </x:c>
      <x:c r="H5" s="18" t="str">
        <x:v>DISPOSITIONED</x:v>
      </x:c>
      <x:c r="I5" s="18" t="str">
        <x:v>NO</x:v>
      </x:c>
      <x:c r="J5" s="18" t="str">
        <x:v>Retain median/IQR rescue-administration counts 1 (1–3) vs 3.5 (2–7.8); do not infer effect from the conflicting P value. Pool only with a prespecified method suitable for non-normal count data.</x:v>
      </x:c>
    </x:row>
    <x:row r="6">
      <x:c r="A6" s="18" t="str">
        <x:v>P1</x:v>
      </x:c>
      <x:c r="B6" s="18" t="str">
        <x:v>F-mixed</x:v>
      </x:c>
      <x:c r="C6" s="18" t="str">
        <x:v>Zhang 2025</x:v>
      </x:c>
      <x:c r="D6" s="18" t="str">
        <x:v>14/45 vs29/48; endpoint mixes PACU sufentanil and ward indomethacin; printed RR0.70 (0.44–1.10), P=0.005 is incompatible with raw counts.</x:v>
      </x:c>
      <x:c r="E6" s="18" t="str">
        <x:v>Do not pool as opioid rescue; include_primary=0.</x:v>
      </x:c>
      <x:c r="F6" s="18" t="str">
        <x:v>Define event composition; provide separate sufentanil/indomethacin counts and corrected effect/CI/P.</x:v>
      </x:c>
      <x:c r="G6" s="18" t="str">
        <x:v>RESOLVED_BY_EXCLUSION</x:v>
      </x:c>
      <x:c r="H6" s="18" t="str">
        <x:v>DISPOSITIONED</x:v>
      </x:c>
      <x:c r="I6" s="18" t="str">
        <x:v>NO</x:v>
      </x:c>
      <x:c r="J6" s="18" t="str">
        <x:v>Exclude from opioid-specific rescue pooling. Retain 14/45 vs 29/48 only in mixed/undefined rescue evidence map; do not use printed RR/CI.</x:v>
      </x:c>
    </x:row>
    <x:row r="7">
      <x:c r="A7" s="18" t="str">
        <x:v>P1</x:v>
      </x:c>
      <x:c r="B7" s="18" t="str">
        <x:v>F-rescue-nonopioid</x:v>
      </x:c>
      <x:c r="C7" s="18" t="str">
        <x:v>Lu 2021</x:v>
      </x:c>
      <x:c r="D7" s="18" t="str">
        <x:v>Rescue parecoxib table P=0.35 vs narrative P=0.58.</x:v>
      </x:c>
      <x:c r="E7" s="18" t="str">
        <x:v>Use raw 4/190 vs7/188 if needed; flag P discrepancy.</x:v>
      </x:c>
      <x:c r="F7" s="18" t="str">
        <x:v>Confirm correct P and whether endpoint is ≥1 parecoxib dose by24 h.</x:v>
      </x:c>
      <x:c r="G7" s="18" t="str">
        <x:v>RESOLVED_BY_RAW_DATA_RULE</x:v>
      </x:c>
      <x:c r="H7" s="18" t="str">
        <x:v>DISPOSITIONED</x:v>
      </x:c>
      <x:c r="I7" s="18" t="str">
        <x:v>NO</x:v>
      </x:c>
      <x:c r="J7" s="18" t="str">
        <x:v>For parecoxib rescue use raw counts 4/190 vs 7/188; calculate RR/CI directly. Ignore conflicting publication P=.35/.58 for quantitative synthesis.</x:v>
      </x:c>
    </x:row>
    <x:row r="8">
      <x:c r="A8" s="18" t="str">
        <x:v>P1</x:v>
      </x:c>
      <x:c r="B8" s="18" t="str">
        <x:v>F-PCA</x:v>
      </x:c>
      <x:c r="C8" s="18" t="str">
        <x:v>He 2026 hepatectomy</x:v>
      </x:c>
      <x:c r="D8" s="18" t="str">
        <x:v>48-h mean effective deliveries slightly exceed mean attempts in TEAS arm; exact MME totals only in unavailable supplement.</x:v>
      </x:c>
      <x:c r="E8" s="18" t="str">
        <x:v>Do not use 48-h PCA count or MME until source clarified; 24-h counts remain usable.</x:v>
      </x:c>
      <x:c r="F8" s="18" t="str">
        <x:v>Provide eTable1; confirm 48-h attempt/delivery values and PCA final concentration/volume.</x:v>
      </x:c>
      <x:c r="G8" s="18" t="str">
        <x:v>RESOLVED_BY_PARTIAL_EXCLUSION</x:v>
      </x:c>
      <x:c r="H8" s="18" t="str">
        <x:v>DISPOSITIONED</x:v>
      </x:c>
      <x:c r="I8" s="18" t="str">
        <x:v>NO</x:v>
      </x:c>
      <x:c r="J8" s="18" t="str">
        <x:v>Use verified 24-h PCA attempts/deliveries only. Exclude unresolved 48-h counter values and unavailable 48-h MME detail until supplement clarification.</x:v>
      </x:c>
    </x:row>
    <x:row r="9">
      <x:c r="A9" s="18" t="str">
        <x:v>P1</x:v>
      </x:c>
      <x:c r="B9" s="18" t="str">
        <x:v>A</x:v>
      </x:c>
      <x:c r="C9" s="18" t="str">
        <x:v>Xie 2014</x:v>
      </x:c>
      <x:c r="D9" s="18" t="str">
        <x:v>Published 'up to postoperative48 h' total may include 30-min pre-end-of-surgery sufentanil; 2.25 vs2.5 μg/h infusion conflict.</x:v>
      </x:c>
      <x:c r="E9" s="18" t="str">
        <x:v>Sensitivity only; exclude strict A primary.</x:v>
      </x:c>
      <x:c r="F9" s="18" t="str">
        <x:v>Confirm calculation interval and actual infusion rate.</x:v>
      </x:c>
      <x:c r="G9" s="18" t="str">
        <x:v>RESOLVED_BY_SENSITIVITY</x:v>
      </x:c>
      <x:c r="H9" s="18" t="str">
        <x:v>DISPOSITIONED</x:v>
      </x:c>
      <x:c r="I9" s="18" t="str">
        <x:v>NO</x:v>
      </x:c>
      <x:c r="J9" s="18" t="str">
        <x:v>Keep total sufentanil only in broader/sensitivity 48-h analysis; exclude from strict postoperative-only 0–48-h primary model.</x:v>
      </x:c>
    </x:row>
    <x:row r="10">
      <x:c r="A10" s="18" t="str">
        <x:v>P1</x:v>
      </x:c>
      <x:c r="B10" s="18" t="str">
        <x:v>F-mixed</x:v>
      </x:c>
      <x:c r="C10" s="18" t="str">
        <x:v>Zhou 2021 gastric</x:v>
      </x:c>
      <x:c r="D10" s="18" t="str">
        <x:v>Exact opioid-consumption time window unclear; morphine-equivalent conversion differs between Methods and Table footnote.</x:v>
      </x:c>
      <x:c r="E10" s="18" t="str">
        <x:v>Exclude fixed 24/48/72-h pools.</x:v>
      </x:c>
      <x:c r="F10" s="18" t="str">
        <x:v>Confirm time window, opioid drugs/doses, and conversion actually used.</x:v>
      </x:c>
      <x:c r="G10" s="18" t="str">
        <x:v>RESOLVED_BY_EXCLUSION</x:v>
      </x:c>
      <x:c r="H10" s="18" t="str">
        <x:v>DISPOSITIONED</x:v>
      </x:c>
      <x:c r="I10" s="18" t="str">
        <x:v>NO</x:v>
      </x:c>
      <x:c r="J10" s="18" t="str">
        <x:v>Exclude from fixed 24/48/72-h opioid pools. Retain binary opioid-use and author-defined MME only in evidence map/native-scale descriptive analyses.</x:v>
      </x:c>
    </x:row>
    <x:row r="11">
      <x:c r="A11" s="18" t="str">
        <x:v>P1</x:v>
      </x:c>
      <x:c r="B11" s="18" t="str">
        <x:v>F-mixed</x:v>
      </x:c>
      <x:c r="C11" s="18" t="str">
        <x:v>Liang 2021 extra analgesia</x:v>
      </x:c>
      <x:c r="D11" s="18" t="str">
        <x:v>3.8(1.9) vs5.0(2.9) has no drug, unit, time window or interpretable metric.</x:v>
      </x:c>
      <x:c r="E11" s="18" t="str">
        <x:v>Exclude quantitative synthesis.</x:v>
      </x:c>
      <x:c r="F11" s="18" t="str">
        <x:v>Define medication, unit, metric, trigger and window.</x:v>
      </x:c>
      <x:c r="G11" s="18" t="str">
        <x:v>RESOLVED_BY_EXCLUSION</x:v>
      </x:c>
      <x:c r="H11" s="18" t="str">
        <x:v>DISPOSITIONED</x:v>
      </x:c>
      <x:c r="I11" s="18" t="str">
        <x:v>NO</x:v>
      </x:c>
      <x:c r="J11" s="18" t="str">
        <x:v>Exclude from quantitative synthesis; retain source text 3.8(1.9) vs 5.0(2.9) as unresolved descriptive result.</x:v>
      </x:c>
    </x:row>
    <x:row r="12">
      <x:c r="A12" s="18" t="str">
        <x:v>P1</x:v>
      </x:c>
      <x:c r="B12" s="18" t="str">
        <x:v>F-intra</x:v>
      </x:c>
      <x:c r="C12" s="18" t="str">
        <x:v>Liang 2021</x:v>
      </x:c>
      <x:c r="D12" s="18" t="str">
        <x:v>Printed intraoperative sufentanil 0.1 mg/kg per30 min appears implausible.</x:v>
      </x:c>
      <x:c r="E12" s="18" t="str">
        <x:v>Do not use this sufentanil statement/conversion.</x:v>
      </x:c>
      <x:c r="F12" s="18" t="str">
        <x:v>Confirm correct unit/dose; provide corrected source.</x:v>
      </x:c>
      <x:c r="G12" s="18" t="str">
        <x:v>RESOLVED_BY_FIELD_EXCLUSION</x:v>
      </x:c>
      <x:c r="H12" s="18" t="str">
        <x:v>DISPOSITIONED</x:v>
      </x:c>
      <x:c r="I12" s="18" t="str">
        <x:v>NO</x:v>
      </x:c>
      <x:c r="J12" s="18" t="str">
        <x:v>Do not use the implausibly printed sufentanil dosing statement. The separately verified remifentanil result remains usable in its own sensitivity stratum.</x:v>
      </x:c>
    </x:row>
    <x:row r="13">
      <x:c r="A13" s="18" t="str">
        <x:v>P1</x:v>
      </x:c>
      <x:c r="B13" s="18" t="str">
        <x:v>F-mixed</x:v>
      </x:c>
      <x:c r="C13" s="18" t="str">
        <x:v>Wang 2023 rescue</x:v>
      </x:c>
      <x:c r="D13" s="18" t="str">
        <x:v>Cumulative rescue-dose count reported, but drug, dose and trigger unspecified.</x:v>
      </x:c>
      <x:c r="E13" s="18" t="str">
        <x:v>Do not classify as opioid/non-opioid until clarified.</x:v>
      </x:c>
      <x:c r="F13" s="18" t="str">
        <x:v>Identify medication(s), dosing, trigger and prescribing clinician/blinding.</x:v>
      </x:c>
      <x:c r="G13" s="18" t="str">
        <x:v>RESOLVED_BY_EXCLUSION</x:v>
      </x:c>
      <x:c r="H13" s="18" t="str">
        <x:v>DISPOSITIONED</x:v>
      </x:c>
      <x:c r="I13" s="18" t="str">
        <x:v>NO</x:v>
      </x:c>
      <x:c r="J13" s="18" t="str">
        <x:v>Retain rescue-dose-count result in mixed/undefined evidence map only; do not classify as opioid or non-opioid rescue.</x:v>
      </x:c>
    </x:row>
    <x:row r="14">
      <x:c r="A14" s="18" t="str">
        <x:v>P1</x:v>
      </x:c>
      <x:c r="B14" s="18" t="str">
        <x:v>F-PCA</x:v>
      </x:c>
      <x:c r="C14" s="18" t="str">
        <x:v>Huang 2024 TKA</x:v>
      </x:c>
      <x:c r="D14" s="18" t="str">
        <x:v>Additional PCA-dose unit/drug/concentration not defined; POD2 anchored to first EA rather than surgery.</x:v>
      </x:c>
      <x:c r="E14" s="18" t="str">
        <x:v>Do not convert to opioid dose or surgery-to-24 h result.</x:v>
      </x:c>
      <x:c r="F14" s="18" t="str">
        <x:v>Provide PCA drug/concentration/settings/unit and surgery-to-measurement interval.</x:v>
      </x:c>
      <x:c r="G14" s="18" t="str">
        <x:v>RESOLVED_BY_EXCLUSION</x:v>
      </x:c>
      <x:c r="H14" s="18" t="str">
        <x:v>DISPOSITIONED</x:v>
      </x:c>
      <x:c r="I14" s="18" t="str">
        <x:v>NO</x:v>
      </x:c>
      <x:c r="J14" s="18" t="str">
        <x:v>Keep additional-PCA metric as descriptive native-scale result only; do not convert to opioid dose or assign to surgery-to-24-h pool.</x:v>
      </x:c>
    </x:row>
    <x:row r="15">
      <x:c r="A15" s="18" t="str">
        <x:v>P1</x:v>
      </x:c>
      <x:c r="B15" s="18" t="str">
        <x:v>F-PCA</x:v>
      </x:c>
      <x:c r="C15" s="18" t="str">
        <x:v>Zheng 2025</x:v>
      </x:c>
      <x:c r="D15" s="18" t="str">
        <x:v>Total/effective PCIA use reported without exact cumulative time window.</x:v>
      </x:c>
      <x:c r="E15" s="18" t="str">
        <x:v>Do not assign to 24/48-h stratum.</x:v>
      </x:c>
      <x:c r="F15" s="18" t="str">
        <x:v>Specify window and device-counter definitions.</x:v>
      </x:c>
      <x:c r="G15" s="18" t="str">
        <x:v>RESOLVED_BY_EXCLUSION</x:v>
      </x:c>
      <x:c r="H15" s="18" t="str">
        <x:v>DISPOSITIONED</x:v>
      </x:c>
      <x:c r="I15" s="18" t="str">
        <x:v>NO</x:v>
      </x:c>
      <x:c r="J15" s="18" t="str">
        <x:v>Retain PCIA-use counts in evidence map; do not assign to 24-h or 48-h PCA stratum.</x:v>
      </x:c>
    </x:row>
    <x:row r="16">
      <x:c r="A16" s="18" t="str">
        <x:v>P1</x:v>
      </x:c>
      <x:c r="B16" s="18" t="str">
        <x:v>F-rescue</x:v>
      </x:c>
      <x:c r="C16" s="18" t="str">
        <x:v>Ntritsou 2014</x:v>
      </x:c>
      <x:c r="D16" s="18" t="str">
        <x:v>Rescue algorithm reported and significant, but exact group rescue quantities not given.</x:v>
      </x:c>
      <x:c r="E16" s="18" t="str">
        <x:v>Narrative only.</x:v>
      </x:c>
      <x:c r="F16" s="18" t="str">
        <x:v>Provide rescue tramadol/morphine counts/doses by group/time.</x:v>
      </x:c>
      <x:c r="G16" s="18" t="str">
        <x:v>RESOLVED_BY_NARRATIVE_ONLY</x:v>
      </x:c>
      <x:c r="H16" s="18" t="str">
        <x:v>DISPOSITIONED</x:v>
      </x:c>
      <x:c r="I16" s="18" t="str">
        <x:v>NO</x:v>
      </x:c>
      <x:c r="J16" s="18" t="str">
        <x:v>Narrative/supportive rescue evidence only; no quantitative rescue effect because exact group rescue quantities are absent.</x:v>
      </x:c>
    </x:row>
    <x:row r="17">
      <x:c r="A17" s="18" t="str">
        <x:v>P1</x:v>
      </x:c>
      <x:c r="B17" s="18" t="str">
        <x:v>F-postop-dose</x:v>
      </x:c>
      <x:c r="C17" s="18" t="str">
        <x:v>Gu 2019</x:v>
      </x:c>
      <x:c r="D17" s="18" t="str">
        <x:v>Exact 24-h mixed-PCIA volume is graph-only; text only gives4/8/36 h.</x:v>
      </x:c>
      <x:c r="E17" s="18" t="str">
        <x:v>No 24-h numeric synthesis unless digitization is prespecified/validated.</x:v>
      </x:c>
      <x:c r="F17" s="18" t="str">
        <x:v>Provide exact16/24-h values or raw pump data.</x:v>
      </x:c>
      <x:c r="G17" s="18" t="str">
        <x:v>RESOLVED_BY_TIMEPOINT_EXCLUSION</x:v>
      </x:c>
      <x:c r="H17" s="18" t="str">
        <x:v>DISPOSITIONED</x:v>
      </x:c>
      <x:c r="I17" s="18" t="str">
        <x:v>NO</x:v>
      </x:c>
      <x:c r="J17" s="18" t="str">
        <x:v>Use exact text-reported 4-, 8-, and 36-h mixed-PCIA volumes only where relevant; exclude exact 24-h analysis unless a prespecified validated digitization is performed.</x:v>
      </x:c>
    </x:row>
    <x:row r="18">
      <x:c r="A18" s="18" t="str">
        <x:v>P1</x:v>
      </x:c>
      <x:c r="B18" s="18" t="str">
        <x:v>A</x:v>
      </x:c>
      <x:c r="C18" s="18" t="str">
        <x:v>An 2014</x:v>
      </x:c>
      <x:c r="D18" s="18" t="str">
        <x:v>Reported total fentanyl means approach/exceed nominal reservoir implied by weight-based formulation.</x:v>
      </x:c>
      <x:c r="E18" s="18" t="str">
        <x:v>Keep source result but flag plausibility; sensitivity if necessary.</x:v>
      </x:c>
      <x:c r="F18" s="18" t="str">
        <x:v>Confirm PCA reservoir preparation and actual total fentanyl accounting.</x:v>
      </x:c>
      <x:c r="G18" s="18" t="str">
        <x:v>RESOLVED_BY_MANDATORY_SENSITIVITY</x:v>
      </x:c>
      <x:c r="H18" s="18" t="str">
        <x:v>DISPOSITIONED</x:v>
      </x:c>
      <x:c r="I18" s="18" t="str">
        <x:v>NO</x:v>
      </x:c>
      <x:c r="J18" s="18" t="str">
        <x:v>Retain source-reported 48-h fentanyl result in Target-A strict dataset, but require a leave-one-study-out/sensitivity model excluding An 2014 because of the reservoir plausibility concern.</x:v>
      </x:c>
    </x:row>
    <x:row r="19">
      <x:c r="A19" s="18" t="str">
        <x:v>P1</x:v>
      </x:c>
      <x:c r="B19" s="18" t="str">
        <x:v>F-intra</x:v>
      </x:c>
      <x:c r="C19" s="18" t="str">
        <x:v>Jiang 2026</x:v>
      </x:c>
      <x:c r="D19" s="18" t="str">
        <x:v>Anesthesiologist masking and explicit remifentanil titration algorithm not reported; analyzed denominator smaller than randomized.</x:v>
      </x:c>
      <x:c r="E19" s="18" t="str">
        <x:v>Keep as exposure-only, not clean titrated requirement.</x:v>
      </x:c>
      <x:c r="F19" s="18" t="str">
        <x:v>Confirm anesthesiologist blinding, titration rule, and why intraop data omitted for later follow-up losses.</x:v>
      </x:c>
      <x:c r="G19" s="18" t="str">
        <x:v>RESOLVED_BY_STRATIFICATION</x:v>
      </x:c>
      <x:c r="H19" s="18" t="str">
        <x:v>DISPOSITIONED</x:v>
      </x:c>
      <x:c r="I19" s="18" t="str">
        <x:v>NO</x:v>
      </x:c>
      <x:c r="J19" s="18" t="str">
        <x:v>Keep as intraoperative opioid exposure only; do not pool with clean protocol-titrated opioid-requirement studies.</x:v>
      </x:c>
    </x:row>
    <x:row r="20">
      <x:c r="A20" s="18" t="str">
        <x:v>P2</x:v>
      </x:c>
      <x:c r="B20" s="18" t="str">
        <x:v>F-mixed</x:v>
      </x:c>
      <x:c r="C20" s="18" t="str">
        <x:v>Yang 2020</x:v>
      </x:c>
      <x:c r="D20" s="18" t="str">
        <x:v>Bucinnazine rescue result has no exact cumulative time window.</x:v>
      </x:c>
      <x:c r="E20" s="18" t="str">
        <x:v>Evidence map / no fixed-time pool.</x:v>
      </x:c>
      <x:c r="F20" s="18" t="str">
        <x:v>Specify rescue observation window.</x:v>
      </x:c>
      <x:c r="G20" s="18"/>
      <x:c r="H20" s="18" t="str">
        <x:v>OPEN / LOWER PRIORITY</x:v>
      </x:c>
      <x:c r="I20" s="18" t="str">
        <x:v>NO</x:v>
      </x:c>
      <x:c r="J20" s="18" t="str">
        <x:v>Evidence map / no fixed-time pool.</x:v>
      </x:c>
    </x:row>
    <x:row r="21">
      <x:c r="A21" s="18" t="str">
        <x:v>P2</x:v>
      </x:c>
      <x:c r="B21" s="18" t="str">
        <x:v>F-mixed</x:v>
      </x:c>
      <x:c r="C21" s="18" t="str">
        <x:v>Yang 2024</x:v>
      </x:c>
      <x:c r="D21" s="18" t="str">
        <x:v>Bucinnazine rescue result has no exact cumulative time window.</x:v>
      </x:c>
      <x:c r="E21" s="18" t="str">
        <x:v>Evidence map / no fixed-time pool.</x:v>
      </x:c>
      <x:c r="F21" s="18" t="str">
        <x:v>Specify rescue observation window.</x:v>
      </x:c>
      <x:c r="G21" s="18"/>
      <x:c r="H21" s="18" t="str">
        <x:v>OPEN / LOWER PRIORITY</x:v>
      </x:c>
      <x:c r="I21" s="18" t="str">
        <x:v>NO</x:v>
      </x:c>
      <x:c r="J21" s="18" t="str">
        <x:v>Evidence map / no fixed-time pool.</x:v>
      </x:c>
    </x:row>
    <x:row r="22">
      <x:c r="A22" s="18" t="str">
        <x:v>P2</x:v>
      </x:c>
      <x:c r="B22" s="18" t="str">
        <x:v>D</x:v>
      </x:c>
      <x:c r="C22" s="18" t="str">
        <x:v>Zhou 2025 PONV</x:v>
      </x:c>
      <x:c r="D22" s="18" t="str">
        <x:v>POD1 not explicitly defined as cumulative 0–24 h.</x:v>
      </x:c>
      <x:c r="E22" s="18" t="str">
        <x:v>Sensitivity only unless protocol accepts POD1 proxy.</x:v>
      </x:c>
      <x:c r="F22" s="18" t="str">
        <x:v>Confirm exact POD1 clock boundary.</x:v>
      </x:c>
      <x:c r="G22" s="18"/>
      <x:c r="H22" s="18" t="str">
        <x:v>OPEN / LOWER PRIORITY</x:v>
      </x:c>
      <x:c r="I22" s="18" t="str">
        <x:v>NO</x:v>
      </x:c>
      <x:c r="J22" s="18" t="str">
        <x:v>Sensitivity only unless protocol accepts POD1 proxy.</x:v>
      </x:c>
    </x:row>
    <x:row r="23">
      <x:c r="A23" s="18" t="str">
        <x:v>P2</x:v>
      </x:c>
      <x:c r="B23" s="18" t="str">
        <x:v>E</x:v>
      </x:c>
      <x:c r="C23" s="18" t="str">
        <x:v>Zhou 2025 first flatus</x:v>
      </x:c>
      <x:c r="D23" s="18" t="str">
        <x:v>Time zero and ascertainment method not reported.</x:v>
      </x:c>
      <x:c r="E23" s="18" t="str">
        <x:v>Retain with timing caveat.</x:v>
      </x:c>
      <x:c r="F23" s="18" t="str">
        <x:v>Define time origin and who recorded/verified flatus.</x:v>
      </x:c>
      <x:c r="G23" s="18"/>
      <x:c r="H23" s="18" t="str">
        <x:v>OPEN / LOWER PRIORITY</x:v>
      </x:c>
      <x:c r="I23" s="18" t="str">
        <x:v>NO</x:v>
      </x:c>
      <x:c r="J23" s="18" t="str">
        <x:v>Retain with timing caveat.</x:v>
      </x:c>
    </x:row>
    <x:row r="24">
      <x:c r="A24" s="18" t="str">
        <x:v>P2</x:v>
      </x:c>
      <x:c r="B24" s="18" t="str">
        <x:v>E</x:v>
      </x:c>
      <x:c r="C24" s="18" t="str">
        <x:v>Yang 2020 first flatus</x:v>
      </x:c>
      <x:c r="D24" s="18" t="str">
        <x:v>'Checked regularly' but reporter/frequency/time zero incomplete.</x:v>
      </x:c>
      <x:c r="E24" s="18" t="str">
        <x:v>Retain with timing caveat.</x:v>
      </x:c>
      <x:c r="F24" s="18" t="str">
        <x:v>Define time zero, reporter and checking interval.</x:v>
      </x:c>
      <x:c r="G24" s="18"/>
      <x:c r="H24" s="18" t="str">
        <x:v>OPEN / LOWER PRIORITY</x:v>
      </x:c>
      <x:c r="I24" s="18" t="str">
        <x:v>NO</x:v>
      </x:c>
      <x:c r="J24" s="18" t="str">
        <x:v>Retain with timing caveat.</x:v>
      </x:c>
    </x:row>
    <x:row r="25">
      <x:c r="A25" s="18" t="str">
        <x:v>P2</x:v>
      </x:c>
      <x:c r="B25" s="18" t="str">
        <x:v>E</x:v>
      </x:c>
      <x:c r="C25" s="18" t="str">
        <x:v>Xing 2022 first flatus</x:v>
      </x:c>
      <x:c r="D25" s="18" t="str">
        <x:v>Detection method and exact postoperative time origin not reported.</x:v>
      </x:c>
      <x:c r="E25" s="18" t="str">
        <x:v>Retain with timing caveat.</x:v>
      </x:c>
      <x:c r="F25" s="18" t="str">
        <x:v>Define event ascertainment/time zero.</x:v>
      </x:c>
      <x:c r="G25" s="18"/>
      <x:c r="H25" s="18" t="str">
        <x:v>OPEN / LOWER PRIORITY</x:v>
      </x:c>
      <x:c r="I25" s="18" t="str">
        <x:v>NO</x:v>
      </x:c>
      <x:c r="J25" s="18" t="str">
        <x:v>Retain with timing caveat.</x:v>
      </x:c>
    </x:row>
    <x:row r="26">
      <x:c r="A26" s="18" t="str">
        <x:v>P2</x:v>
      </x:c>
      <x:c r="B26" s="18" t="str">
        <x:v>E</x:v>
      </x:c>
      <x:c r="C26" s="18" t="str">
        <x:v>Lu 2022 first flatus</x:v>
      </x:c>
      <x:c r="D26" s="18" t="str">
        <x:v>Ascertainment/time zero unclear; 6/100 randomized excluded.</x:v>
      </x:c>
      <x:c r="E26" s="18" t="str">
        <x:v>Retain; sensitivity by RoB.</x:v>
      </x:c>
      <x:c r="F26" s="18" t="str">
        <x:v>Define time zero/verification; provide excluded-participant data.</x:v>
      </x:c>
      <x:c r="G26" s="18"/>
      <x:c r="H26" s="18" t="str">
        <x:v>OPEN / LOWER PRIORITY</x:v>
      </x:c>
      <x:c r="I26" s="18" t="str">
        <x:v>NO</x:v>
      </x:c>
      <x:c r="J26" s="18" t="str">
        <x:v>Retain; sensitivity by RoB.</x:v>
      </x:c>
    </x:row>
    <x:row r="27">
      <x:c r="A27" s="18" t="str">
        <x:v>P2</x:v>
      </x:c>
      <x:c r="B27" s="18" t="str">
        <x:v>E</x:v>
      </x:c>
      <x:c r="C27" s="18" t="str">
        <x:v>Ng 2013 first flatus</x:v>
      </x:c>
      <x:c r="D27" s="18" t="str">
        <x:v>Independent assessor reported, but exact verification/time origin unclear; nonopaque envelope.</x:v>
      </x:c>
      <x:c r="E27" s="18" t="str">
        <x:v>Retain; sensitivity by RoB.</x:v>
      </x:c>
      <x:c r="F27" s="18" t="str">
        <x:v>Define verification/time zero and allocation safeguards.</x:v>
      </x:c>
      <x:c r="G27" s="18"/>
      <x:c r="H27" s="18" t="str">
        <x:v>OPEN / LOWER PRIORITY</x:v>
      </x:c>
      <x:c r="I27" s="18" t="str">
        <x:v>NO</x:v>
      </x:c>
      <x:c r="J27" s="18" t="str">
        <x:v>Retain; sensitivity by RoB.</x:v>
      </x:c>
    </x:row>
    <x:row r="28">
      <x:c r="A28" s="18" t="str">
        <x:v>P2</x:v>
      </x:c>
      <x:c r="B28" s="18" t="str">
        <x:v>F-postop-dose</x:v>
      </x:c>
      <x:c r="C28" s="18" t="str">
        <x:v>Lee 2011</x:v>
      </x:c>
      <x:c r="D28" s="18" t="str">
        <x:v>Direct active-vs-sham pairwise P values not reported; two low-frequency participants excluded.</x:v>
      </x:c>
      <x:c r="E28" s="18" t="str">
        <x:v>Effect size can be computed from means/SDs; keep P as NR.</x:v>
      </x:c>
      <x:c r="F28" s="18" t="str">
        <x:v>Provide direct pairwise statistics and excluded participants' PCA data.</x:v>
      </x:c>
      <x:c r="G28" s="18"/>
      <x:c r="H28" s="18" t="str">
        <x:v>OPEN / LOWER PRIORITY</x:v>
      </x:c>
      <x:c r="I28" s="18" t="str">
        <x:v>NO</x:v>
      </x:c>
      <x:c r="J28" s="18" t="str">
        <x:v>Effect size can be computed from means/SDs; keep P as NR.</x:v>
      </x:c>
    </x:row>
    <x:row r="29">
      <x:c r="A29" s="18" t="str">
        <x:v>P2</x:v>
      </x:c>
      <x:c r="B29" s="18" t="str">
        <x:v>F-PCA</x:v>
      </x:c>
      <x:c r="C29" s="18" t="str">
        <x:v>Lu 2022</x:v>
      </x:c>
      <x:c r="D29" s="18" t="str">
        <x:v>PCA drug/concentration/settings not reported in primary text.</x:v>
      </x:c>
      <x:c r="E29" s="18" t="str">
        <x:v>Keep as behavioral counts only; never convert to opioid dose.</x:v>
      </x:c>
      <x:c r="F29" s="18" t="str">
        <x:v>Provide PCA formulation/settings and confirm electronic pump source.</x:v>
      </x:c>
      <x:c r="G29" s="18"/>
      <x:c r="H29" s="18" t="str">
        <x:v>OPEN / LOWER PRIORITY</x:v>
      </x:c>
      <x:c r="I29" s="18" t="str">
        <x:v>NO</x:v>
      </x:c>
      <x:c r="J29" s="18" t="str">
        <x:v>Keep as behavioral counts only; never convert to opioid dose.</x:v>
      </x:c>
    </x:row>
    <x:row r="30">
      <x:c r="A30" s="18" t="str">
        <x:v>P2</x:v>
      </x:c>
      <x:c r="B30" s="18" t="str">
        <x:v>F-intra</x:v>
      </x:c>
      <x:c r="C30" s="18" t="str">
        <x:v>Huang 2017</x:v>
      </x:c>
      <x:c r="D30" s="18" t="str">
        <x:v>Anesthesiologist titrating remifentanil not explicitly stated blinded.</x:v>
      </x:c>
      <x:c r="E30" s="18" t="str">
        <x:v>Sensitivity stratum.</x:v>
      </x:c>
      <x:c r="F30" s="18" t="str">
        <x:v>Confirm titrating anesthesiologist masking.</x:v>
      </x:c>
      <x:c r="G30" s="18"/>
      <x:c r="H30" s="18" t="str">
        <x:v>OPEN / LOWER PRIORITY</x:v>
      </x:c>
      <x:c r="I30" s="18" t="str">
        <x:v>NO</x:v>
      </x:c>
      <x:c r="J30" s="18" t="str">
        <x:v>Sensitivity stratum.</x:v>
      </x:c>
    </x:row>
    <x:row r="31">
      <x:c r="A31" s="18" t="str">
        <x:v>P2</x:v>
      </x:c>
      <x:c r="B31" s="18" t="str">
        <x:v>A</x:v>
      </x:c>
      <x:c r="C31" s="18" t="str">
        <x:v>Zhang 2023</x:v>
      </x:c>
      <x:c r="D31" s="18" t="str">
        <x:v>Exact source of 48-h opioid capture (pump log vs MAR/chart) not stated.</x:v>
      </x:c>
      <x:c r="E31" s="18" t="str">
        <x:v>Retain primary; document measurement-source uncertainty.</x:v>
      </x:c>
      <x:c r="F31" s="18" t="str">
        <x:v>Clarify source records and exact calculation.</x:v>
      </x:c>
      <x:c r="G31" s="18"/>
      <x:c r="H31" s="18" t="str">
        <x:v>OPEN / LOWER PRIORITY</x:v>
      </x:c>
      <x:c r="I31" s="18" t="str">
        <x:v>NO</x:v>
      </x:c>
      <x:c r="J31" s="18" t="str">
        <x:v>Retain primary; document measurement-source uncertainty.</x:v>
      </x:c>
    </x:row>
    <x:row r="32">
      <x:c r="A32" s="18" t="str">
        <x:v>P2</x:v>
      </x:c>
      <x:c r="B32" s="18" t="str">
        <x:v>F-postop-dose</x:v>
      </x:c>
      <x:c r="C32" s="18" t="str">
        <x:v>El-Rakshy 2009</x:v>
      </x:c>
      <x:c r="D32" s="18" t="str">
        <x:v>Original patient-level dataset inaccessible; outcome-specific n=95/107.</x:v>
      </x:c>
      <x:c r="E32" s="18" t="str">
        <x:v>High-RoB sensitivity only.</x:v>
      </x:c>
      <x:c r="F32" s="18" t="str">
        <x:v>Recover raw data if possible; clarify missing 24-h values/analgesic composition.</x:v>
      </x:c>
      <x:c r="G32" s="18"/>
      <x:c r="H32" s="18" t="str">
        <x:v>OPEN / LOWER PRIORITY</x:v>
      </x:c>
      <x:c r="I32" s="18" t="str">
        <x:v>NO</x:v>
      </x:c>
      <x:c r="J32" s="18" t="str">
        <x:v>High-RoB sensitivity only.</x:v>
      </x:c>
    </x:row>
    <x:row r="33">
      <x:c r="A33" s="18" t="str">
        <x:v>P3</x:v>
      </x:c>
      <x:c r="B33" s="18" t="str">
        <x:v>F-intra</x:v>
      </x:c>
      <x:c r="C33" s="18" t="str">
        <x:v>Zhang 2014</x:v>
      </x:c>
      <x:c r="D33" s="18" t="str">
        <x:v>Abstract says72 randomly allocated, detailed flow supports65 randomized/analyzed.</x:v>
      </x:c>
      <x:c r="E33" s="18" t="str">
        <x:v>Use detailed flow denominator; flag manuscript inconsistency.</x:v>
      </x:c>
      <x:c r="F33" s="18" t="str">
        <x:v>Confirm randomized denominator and allocation concealment.</x:v>
      </x:c>
      <x:c r="G33" s="18"/>
      <x:c r="H33" s="18" t="str">
        <x:v>OPEN / LOWER PRIORITY</x:v>
      </x:c>
      <x:c r="I33" s="18" t="str">
        <x:v>NO</x:v>
      </x:c>
      <x:c r="J33" s="18" t="str">
        <x:v>Use detailed flow denominator; flag manuscript inconsistency.</x:v>
      </x:c>
    </x:row>
    <x:row r="34">
      <x:c r="A34" s="18" t="str">
        <x:v>P3</x:v>
      </x:c>
      <x:c r="B34" s="18" t="str">
        <x:v>D</x:v>
      </x:c>
      <x:c r="C34" s="18" t="str">
        <x:v>Long 2025 / Liu 2026 ESD / Wang 2024</x:v>
      </x:c>
      <x:c r="D34" s="18" t="str">
        <x:v>Reported PONV endpoints are off-window or window-unclear for strict Target D.</x:v>
      </x:c>
      <x:c r="E34" s="18" t="str">
        <x:v>Exclude strict primary; retain narrative.</x:v>
      </x:c>
      <x:c r="F34" s="18" t="str">
        <x:v>Clarify exact cumulative windows only if investigators want expanded sensitivity analyses.</x:v>
      </x:c>
      <x:c r="G34" s="18"/>
      <x:c r="H34" s="18" t="str">
        <x:v>OPEN / LOWER PRIORITY</x:v>
      </x:c>
      <x:c r="I34" s="18" t="str">
        <x:v>NO</x:v>
      </x:c>
      <x:c r="J34" s="18" t="str">
        <x:v>Exclude strict primary; retain narrative.</x:v>
      </x:c>
    </x:row>
    <x:row r="35">
      <x:c r="A35" s="18" t="str">
        <x:v>RESOLVED</x:v>
      </x:c>
      <x:c r="B35" s="18" t="str">
        <x:v>E / Scope</x:v>
      </x:c>
      <x:c r="C35" s="18" t="str">
        <x:v>Wang Y et al. JAMA Surg 2023 (DOI 10.1001/jamasurg.2022.5674)</x:v>
      </x:c>
      <x:c r="D35" s="18" t="str">
        <x:v>Resolved: study was excluded at full text for wrong outcomes.</x:v>
      </x:c>
      <x:c r="E35" s="18" t="str">
        <x:v>Do not add to the 63-study canonical dataset. Preserve the full-text exclusion reason: wrong outcomes.</x:v>
      </x:c>
      <x:c r="F35" s="18" t="str">
        <x:v>None.</x:v>
      </x:c>
      <x:c r="G35" s="18" t="str">
        <x:v>RESOLVED_BY_SCREENING_EXCLUSION</x:v>
      </x:c>
      <x:c r="H35" s="18" t="str">
        <x:v>RESOLVED</x:v>
      </x:c>
      <x:c r="I35" s="18" t="str">
        <x:v>NO</x:v>
      </x:c>
      <x:c r="J35" s="18" t="str">
        <x:v>Exclude from the systematic-review analysis dataset; no Target-E row should be created.</x:v>
      </x:c>
    </x:row>
  </x:sheetData>
  <x:conditionalFormatting sqref="A2:A35">
    <x:cfRule type="expression" dxfId="74" priority="1">
      <x:formula>A2="P1"</x:formula>
    </x:cfRule>
    <x:cfRule type="expression" dxfId="75" priority="2">
      <x:formula>A2="P2"</x:formula>
    </x:cfRule>
  </x:conditionalFormatting>
  <x:pageMargins left="0.7" right="0.7" top="0.75" bottom="0.75" header="0.3" footer="0.3"/>
  <x:tableParts count="1">
    <x:tablePart xmlns:r="http://schemas.openxmlformats.org/officeDocument/2006/relationships" r:id="R21c8e691a2394896"/>
  </x:tableParts>
</x:worksheet>
</file>

<file path=xl/worksheets/sheet21.xml><?xml version="1.0" encoding="utf-8"?>
<x:worksheet xmlns:x="http://schemas.openxmlformats.org/spreadsheetml/2006/main">
  <x:sheetFormatPr defaultRowHeight="15"/>
  <x:cols>
    <x:col min="1" max="1" width="22" hidden="0" customWidth="1"/>
    <x:col min="2" max="2" width="30" hidden="0" customWidth="1"/>
    <x:col min="3" max="3" width="26" hidden="0" customWidth="1"/>
    <x:col min="4" max="4" width="26" hidden="0" customWidth="1"/>
    <x:col min="5" max="5" width="20" hidden="0" customWidth="1"/>
    <x:col min="6" max="6" width="36" hidden="0" customWidth="1"/>
    <x:col min="7" max="7" width="30" hidden="0" customWidth="1"/>
    <x:col min="37" max="37" width="38" hidden="0" customWidth="1"/>
    <x:col min="38" max="38" width="36" hidden="0" customWidth="1"/>
    <x:col min="39" max="39" width="25" hidden="0" customWidth="1"/>
    <x:col min="40" max="40" width="18" hidden="0" customWidth="1"/>
    <x:col min="41" max="41" width="30" hidden="0" customWidth="1"/>
    <x:col min="42" max="42" width="30" hidden="0" customWidth="1"/>
    <x:col min="43" max="43" width="14" hidden="0" customWidth="1"/>
    <x:col min="44" max="44" width="14" hidden="0" customWidth="1"/>
    <x:col min="45" max="45" width="18" hidden="0" customWidth="1"/>
    <x:col min="46" max="46" width="14" hidden="0" customWidth="1"/>
    <x:col min="47" max="47" width="38" hidden="0" customWidth="1"/>
    <x:col min="48" max="48" width="46" hidden="0" customWidth="1"/>
  </x:cols>
  <x:sheetData>
    <x:row r="1">
      <x:c r="A1" s="81" t="str">
        <x:v>Canonical study</x:v>
      </x:c>
      <x:c r="B1" s="81" t="str">
        <x:v>Comparison ID</x:v>
      </x:c>
      <x:c r="C1" s="81" t="str">
        <x:v>Intervention arm</x:v>
      </x:c>
      <x:c r="D1" s="81" t="str">
        <x:v>Comparator arm</x:v>
      </x:c>
      <x:c r="E1" s="81" t="str">
        <x:v>Outcome family</x:v>
      </x:c>
      <x:c r="F1" s="81" t="str">
        <x:v>Outcome/result</x:v>
      </x:c>
      <x:c r="G1" s="81" t="str">
        <x:v>Timepoint/window</x:v>
      </x:c>
      <x:c r="H1" s="81" t="str">
        <x:v>Data type</x:v>
      </x:c>
      <x:c r="I1" s="81" t="str">
        <x:v>Randomized n intervention</x:v>
      </x:c>
      <x:c r="J1" s="81" t="str">
        <x:v>Randomized n comparator</x:v>
      </x:c>
      <x:c r="K1" s="81" t="str">
        <x:v>Analyzed n intervention</x:v>
      </x:c>
      <x:c r="L1" s="81" t="str">
        <x:v>Analyzed n comparator</x:v>
      </x:c>
      <x:c r="M1" s="81" t="str">
        <x:v>Mean intervention</x:v>
      </x:c>
      <x:c r="N1" s="81" t="str">
        <x:v>SD intervention</x:v>
      </x:c>
      <x:c r="O1" s="81" t="str">
        <x:v>Median intervention</x:v>
      </x:c>
      <x:c r="P1" s="81" t="str">
        <x:v>Q1 intervention</x:v>
      </x:c>
      <x:c r="Q1" s="81" t="str">
        <x:v>Q3 intervention</x:v>
      </x:c>
      <x:c r="R1" s="81" t="str">
        <x:v>Events intervention</x:v>
      </x:c>
      <x:c r="S1" s="81" t="str">
        <x:v>Mean comparator</x:v>
      </x:c>
      <x:c r="T1" s="81" t="str">
        <x:v>SD comparator</x:v>
      </x:c>
      <x:c r="U1" s="81" t="str">
        <x:v>Median comparator</x:v>
      </x:c>
      <x:c r="V1" s="81" t="str">
        <x:v>Q1 comparator</x:v>
      </x:c>
      <x:c r="W1" s="81" t="str">
        <x:v>Q3 comparator</x:v>
      </x:c>
      <x:c r="X1" s="81" t="str">
        <x:v>Events comparator</x:v>
      </x:c>
      <x:c r="Y1" s="81" t="str">
        <x:v>Unit/scale</x:v>
      </x:c>
      <x:c r="Z1" s="81" t="str">
        <x:v>Reported P</x:v>
      </x:c>
      <x:c r="AA1" s="81" t="str">
        <x:v>Directly reported?</x:v>
      </x:c>
      <x:c r="AB1" s="81" t="str">
        <x:v>Derived/converted?</x:v>
      </x:c>
      <x:c r="AC1" s="81" t="str">
        <x:v>Derived effect measure</x:v>
      </x:c>
      <x:c r="AD1" s="81" t="str">
        <x:v>Derived effect</x:v>
      </x:c>
      <x:c r="AE1" s="81" t="str">
        <x:v>Exact 0-24 h postoperative opioid?</x:v>
      </x:c>
      <x:c r="AF1" s="81" t="str">
        <x:v>Primary opioid meta-analysis eligible?</x:v>
      </x:c>
      <x:c r="AG1" s="81" t="str">
        <x:v>Other analysis eligibility</x:v>
      </x:c>
      <x:c r="AH1" s="81" t="str">
        <x:v>Shared-control / multi-arm issue</x:v>
      </x:c>
      <x:c r="AI1" s="81" t="str">
        <x:v>Source-QC issue</x:v>
      </x:c>
      <x:c r="AJ1" s="81" t="str">
        <x:v>Source location</x:v>
      </x:c>
      <x:c r="AK1" s="81" t="str">
        <x:v>Source PDF URL</x:v>
      </x:c>
      <x:c r="AL1" s="81" t="str">
        <x:v>Record status</x:v>
      </x:c>
      <x:c r="AM1" s="81" t="str">
        <x:v>AF lock IDs</x:v>
      </x:c>
      <x:c r="AN1" s="81" t="str">
        <x:v>AF target(s)</x:v>
      </x:c>
      <x:c r="AO1" s="81" t="str">
        <x:v>AF endpoint stratum(s)</x:v>
      </x:c>
      <x:c r="AP1" s="81" t="str">
        <x:v>AF reconciliation action(s)</x:v>
      </x:c>
      <x:c r="AQ1" s="81" t="str">
        <x:v>AF include strict</x:v>
      </x:c>
      <x:c r="AR1" s="81" t="str">
        <x:v>AF include sensitivity</x:v>
      </x:c>
      <x:c r="AS1" s="81" t="str">
        <x:v>AF overall RoB</x:v>
      </x:c>
      <x:c r="AT1" s="81" t="str">
        <x:v>AF unresolved priority</x:v>
      </x:c>
      <x:c r="AU1" s="81" t="str">
        <x:v>AF hold/exclude note</x:v>
      </x:c>
      <x:c r="AV1" s="81" t="str">
        <x:v>AF source-truth result(s)</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v>MD</x:v>
      </x:c>
      <x:c r="AD2" s="18" t="n">
        <x:v>-3.3000000000000007</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c r="AM2" s="18" t="str">
        <x:v>E-002</x:v>
      </x:c>
      <x:c r="AN2" s="18" t="str">
        <x:v>E</x:v>
      </x:c>
      <x:c r="AO2" s="18" t="str">
        <x:v>E_time_to_first_flatus</x:v>
      </x:c>
      <x:c r="AP2" s="18" t="str">
        <x:v>MATCHED</x:v>
      </x:c>
      <x:c r="AQ2" s="18" t="n">
        <x:v>1</x:v>
      </x:c>
      <x:c r="AR2" s="18" t="n">
        <x:v>0</x:v>
      </x:c>
      <x:c r="AS2" s="18" t="str">
        <x:v>Some concerns</x:v>
      </x:c>
      <x:c r="AT2" s="18" t="str">
        <x:v>P2</x:v>
      </x:c>
      <x:c r="AU2" s="18"/>
      <x:c r="AV2" s="18" t="str">
        <x:v>20.8±4.6 vs 24.1±6.2 h</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v>MD</x:v>
      </x:c>
      <x:c r="AD3" s="18" t="n">
        <x:v>-12.559999999999999</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c r="AM3" s="18" t="str">
        <x:v>F-postop-dose-001</x:v>
      </x:c>
      <x:c r="AN3" s="18" t="str">
        <x:v>F-postop-dose</x:v>
      </x:c>
      <x:c r="AO3" s="18" t="str">
        <x:v>F_postop_delivered_dose_or_solution</x:v>
      </x:c>
      <x:c r="AP3" s="18" t="str">
        <x:v>MATCHED</x:v>
      </x:c>
      <x:c r="AQ3" s="18" t="n">
        <x:v>1</x:v>
      </x:c>
      <x:c r="AR3" s="18" t="n">
        <x:v>0</x:v>
      </x:c>
      <x:c r="AS3" s="18" t="str">
        <x:v>Some concerns</x:v>
      </x:c>
      <x:c r="AT3" s="18"/>
      <x:c r="AU3" s="18"/>
      <x:c r="AV3" s="18" t="str">
        <x:v>21.38±14.38 vs33.94±20.24 mg; P=0.006</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x:c r="AA4" s="18" t="str">
        <x:v>Yes</x:v>
      </x:c>
      <x:c r="AB4" s="18" t="str">
        <x:v>No</x:v>
      </x:c>
      <x:c r="AC4" s="18" t="str">
        <x:v>MD</x:v>
      </x:c>
      <x:c r="AD4" s="18" t="n">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c r="AM4" s="18"/>
      <x:c r="AN4" s="18"/>
      <x:c r="AO4" s="18"/>
      <x:c r="AP4" s="18"/>
      <x:c r="AQ4" s="18" t="n">
        <x:v>0</x:v>
      </x:c>
      <x:c r="AR4" s="18" t="n">
        <x:v>0</x:v>
      </x:c>
      <x:c r="AS4" s="18"/>
      <x:c r="AT4" s="18"/>
      <x:c r="AU4" s="18"/>
      <x:c r="AV4" s="18"/>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x:c r="AA5" s="18" t="str">
        <x:v>Yes</x:v>
      </x:c>
      <x:c r="AB5" s="18" t="str">
        <x:v>No</x:v>
      </x:c>
      <x:c r="AC5" s="18" t="str">
        <x:v>MD</x:v>
      </x:c>
      <x:c r="AD5" s="18" t="n">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c r="AM5" s="18"/>
      <x:c r="AN5" s="18"/>
      <x:c r="AO5" s="18"/>
      <x:c r="AP5" s="18"/>
      <x:c r="AQ5" s="18" t="n">
        <x:v>0</x:v>
      </x:c>
      <x:c r="AR5" s="18" t="n">
        <x:v>0</x:v>
      </x:c>
      <x:c r="AS5" s="18"/>
      <x:c r="AT5" s="18"/>
      <x:c r="AU5" s="18"/>
      <x:c r="AV5" s="18"/>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x:c r="AA6" s="18" t="str">
        <x:v>Yes</x:v>
      </x:c>
      <x:c r="AB6" s="18" t="str">
        <x:v>No</x:v>
      </x:c>
      <x:c r="AC6" s="18" t="str">
        <x:v>MD</x:v>
      </x:c>
      <x:c r="AD6" s="18" t="n">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c r="AM6" s="18" t="str">
        <x:v>F-postop-dose-005</x:v>
      </x:c>
      <x:c r="AN6" s="18" t="str">
        <x:v>F-postop-dose</x:v>
      </x:c>
      <x:c r="AO6" s="18" t="str">
        <x:v>F_postop_delivered_dose_or_solution</x:v>
      </x:c>
      <x:c r="AP6" s="18" t="str">
        <x:v>MATCHED</x:v>
      </x:c>
      <x:c r="AQ6" s="18" t="n">
        <x:v>0</x:v>
      </x:c>
      <x:c r="AR6" s="18" t="n">
        <x:v>1</x:v>
      </x:c>
      <x:c r="AS6" s="18" t="str">
        <x:v>High</x:v>
      </x:c>
      <x:c r="AT6" s="18"/>
      <x:c r="AU6" s="18"/>
      <x:c r="AV6" s="18" t="str">
        <x:v>Sham30.2±14.4; low21.8±14.7; high15.0±10.7 mg</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x:c r="AA7" s="18" t="str">
        <x:v>Yes</x:v>
      </x:c>
      <x:c r="AB7" s="18" t="str">
        <x:v>No</x:v>
      </x:c>
      <x:c r="AC7" s="18" t="str">
        <x:v>MD</x:v>
      </x:c>
      <x:c r="AD7" s="18" t="n">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c r="AM7" s="18" t="str">
        <x:v>F-postop-dose-005</x:v>
      </x:c>
      <x:c r="AN7" s="18" t="str">
        <x:v>F-postop-dose</x:v>
      </x:c>
      <x:c r="AO7" s="18" t="str">
        <x:v>F_postop_delivered_dose_or_solution</x:v>
      </x:c>
      <x:c r="AP7" s="18" t="str">
        <x:v>MATCHED</x:v>
      </x:c>
      <x:c r="AQ7" s="18" t="n">
        <x:v>0</x:v>
      </x:c>
      <x:c r="AR7" s="18" t="n">
        <x:v>1</x:v>
      </x:c>
      <x:c r="AS7" s="18" t="str">
        <x:v>High</x:v>
      </x:c>
      <x:c r="AT7" s="18"/>
      <x:c r="AU7" s="18"/>
      <x:c r="AV7" s="18" t="str">
        <x:v>Sham30.2±14.4; low21.8±14.7; high15.0±10.7 mg</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v>MD</x:v>
      </x:c>
      <x:c r="AD8" s="18" t="n">
        <x:v>11.699999999999989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c r="AM8" s="18"/>
      <x:c r="AN8" s="18"/>
      <x:c r="AO8" s="18"/>
      <x:c r="AP8" s="18"/>
      <x:c r="AQ8" s="18" t="n">
        <x:v>0</x:v>
      </x:c>
      <x:c r="AR8" s="18" t="n">
        <x:v>0</x:v>
      </x:c>
      <x:c r="AS8" s="18"/>
      <x:c r="AT8" s="18"/>
      <x:c r="AU8" s="18"/>
      <x:c r="AV8" s="18"/>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v>MD</x:v>
      </x:c>
      <x:c r="AD9" s="18" t="n">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c r="AM9" s="18"/>
      <x:c r="AN9" s="18"/>
      <x:c r="AO9" s="18"/>
      <x:c r="AP9" s="18"/>
      <x:c r="AQ9" s="18" t="n">
        <x:v>0</x:v>
      </x:c>
      <x:c r="AR9" s="18" t="n">
        <x:v>0</x:v>
      </x:c>
      <x:c r="AS9" s="18"/>
      <x:c r="AT9" s="18"/>
      <x:c r="AU9" s="18"/>
      <x:c r="AV9" s="18"/>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t="str"/>
      <x:c r="AD10" s="18" t="str"/>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c r="AM10" s="18"/>
      <x:c r="AN10" s="18"/>
      <x:c r="AO10" s="18"/>
      <x:c r="AP10" s="18"/>
      <x:c r="AQ10" s="18" t="n">
        <x:v>0</x:v>
      </x:c>
      <x:c r="AR10" s="18" t="n">
        <x:v>0</x:v>
      </x:c>
      <x:c r="AS10" s="18"/>
      <x:c r="AT10" s="18"/>
      <x:c r="AU10" s="18"/>
      <x:c r="AV10" s="18"/>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x:c r="AA11" s="18" t="str">
        <x:v>Yes</x:v>
      </x:c>
      <x:c r="AB11" s="18" t="str">
        <x:v>No</x:v>
      </x:c>
      <x:c r="AC11" s="18" t="str">
        <x:v>MD</x:v>
      </x:c>
      <x:c r="AD11" s="18" t="n">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c r="AM11" s="18"/>
      <x:c r="AN11" s="18"/>
      <x:c r="AO11" s="18"/>
      <x:c r="AP11" s="18"/>
      <x:c r="AQ11" s="18" t="n">
        <x:v>0</x:v>
      </x:c>
      <x:c r="AR11" s="18" t="n">
        <x:v>0</x:v>
      </x:c>
      <x:c r="AS11" s="18"/>
      <x:c r="AT11" s="18"/>
      <x:c r="AU11" s="18"/>
      <x:c r="AV11" s="18"/>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x:c r="AA12" s="18" t="str">
        <x:v>Yes</x:v>
      </x:c>
      <x:c r="AB12" s="18" t="str">
        <x:v>No</x:v>
      </x:c>
      <x:c r="AC12" s="18" t="str">
        <x:v>MD</x:v>
      </x:c>
      <x:c r="AD12" s="18" t="n">
        <x:v>-3.8999999999999995</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c r="AM12" s="18"/>
      <x:c r="AN12" s="18"/>
      <x:c r="AO12" s="18"/>
      <x:c r="AP12" s="18"/>
      <x:c r="AQ12" s="18" t="n">
        <x:v>0</x:v>
      </x:c>
      <x:c r="AR12" s="18" t="n">
        <x:v>0</x:v>
      </x:c>
      <x:c r="AS12" s="18"/>
      <x:c r="AT12" s="18"/>
      <x:c r="AU12" s="18"/>
      <x:c r="AV12" s="18"/>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x:c r="AA13" s="18" t="str">
        <x:v>Yes</x:v>
      </x:c>
      <x:c r="AB13" s="18" t="str">
        <x:v>No</x:v>
      </x:c>
      <x:c r="AC13" s="18" t="str">
        <x:v>MD</x:v>
      </x:c>
      <x:c r="AD13" s="18" t="n">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c r="AM13" s="18" t="str">
        <x:v>F-postop-dose-004</x:v>
      </x:c>
      <x:c r="AN13" s="18" t="str">
        <x:v>F-postop-dose</x:v>
      </x:c>
      <x:c r="AO13" s="18" t="str">
        <x:v>F_postop_delivered_dose_or_solution</x:v>
      </x:c>
      <x:c r="AP13" s="18" t="str">
        <x:v>MATCHED</x:v>
      </x:c>
      <x:c r="AQ13" s="18" t="n">
        <x:v>0</x:v>
      </x:c>
      <x:c r="AR13" s="18" t="n">
        <x:v>1</x:v>
      </x:c>
      <x:c r="AS13" s="18" t="str">
        <x:v>High</x:v>
      </x:c>
      <x:c r="AT13" s="18"/>
      <x:c r="AU13" s="18"/>
      <x:c r="AV13" s="18" t="str">
        <x:v>Acupoint6.5±3.5 vs sham10.7±5.0 mg</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x:c r="AA14" s="18" t="str">
        <x:v>Yes</x:v>
      </x:c>
      <x:c r="AB14" s="18" t="str">
        <x:v>No</x:v>
      </x:c>
      <x:c r="AC14" s="18" t="str">
        <x:v>MD</x:v>
      </x:c>
      <x:c r="AD14" s="18" t="n">
        <x:v>-28.189999999999998</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c r="AM14" s="18"/>
      <x:c r="AN14" s="18"/>
      <x:c r="AO14" s="18"/>
      <x:c r="AP14" s="18"/>
      <x:c r="AQ14" s="18" t="n">
        <x:v>0</x:v>
      </x:c>
      <x:c r="AR14" s="18" t="n">
        <x:v>0</x:v>
      </x:c>
      <x:c r="AS14" s="18"/>
      <x:c r="AT14" s="18"/>
      <x:c r="AU14" s="18"/>
      <x:c r="AV14" s="18"/>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x:c r="AA15" s="18" t="str">
        <x:v>Yes</x:v>
      </x:c>
      <x:c r="AB15" s="18" t="str">
        <x:v>No</x:v>
      </x:c>
      <x:c r="AC15" s="18" t="str">
        <x:v>MD</x:v>
      </x:c>
      <x:c r="AD15" s="18" t="n">
        <x:v>-3.0599999999999996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c r="AM15" s="18"/>
      <x:c r="AN15" s="18"/>
      <x:c r="AO15" s="18"/>
      <x:c r="AP15" s="18"/>
      <x:c r="AQ15" s="18" t="n">
        <x:v>0</x:v>
      </x:c>
      <x:c r="AR15" s="18" t="n">
        <x:v>0</x:v>
      </x:c>
      <x:c r="AS15" s="18"/>
      <x:c r="AT15" s="18"/>
      <x:c r="AU15" s="18"/>
      <x:c r="AV15" s="18"/>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x:c r="AA16" s="18" t="str">
        <x:v>Yes</x:v>
      </x:c>
      <x:c r="AB16" s="18" t="str">
        <x:v>No</x:v>
      </x:c>
      <x:c r="AC16" s="18" t="str">
        <x:v>MD</x:v>
      </x:c>
      <x:c r="AD16" s="18" t="n">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c r="AM16" s="18" t="str">
        <x:v>F-postop-dose-006</x:v>
      </x:c>
      <x:c r="AN16" s="18" t="str">
        <x:v>F-postop-dose</x:v>
      </x:c>
      <x:c r="AO16" s="18" t="str">
        <x:v>F_postop_delivered_dose_or_solution</x:v>
      </x:c>
      <x:c r="AP16" s="18" t="str">
        <x:v>MATCHED</x:v>
      </x:c>
      <x:c r="AQ16" s="18" t="n">
        <x:v>0</x:v>
      </x:c>
      <x:c r="AR16" s="18" t="n">
        <x:v>1</x:v>
      </x:c>
      <x:c r="AS16" s="18" t="str">
        <x:v>High</x:v>
      </x:c>
      <x:c r="AT16" s="18"/>
      <x:c r="AU16" s="18"/>
      <x:c r="AV16" s="18" t="str">
        <x:v>13.1±2.2 vs16.3±1.6 μg/kg</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x:c r="AA17" s="18" t="str">
        <x:v>No</x:v>
      </x:c>
      <x:c r="AB17" s="18" t="str">
        <x:v>Yes</x:v>
      </x:c>
      <x:c r="AC17" s="18" t="str"/>
      <x:c r="AD17" s="18" t="str"/>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c r="AM17" s="18"/>
      <x:c r="AN17" s="18"/>
      <x:c r="AO17" s="18"/>
      <x:c r="AP17" s="18"/>
      <x:c r="AQ17" s="18" t="n">
        <x:v>0</x:v>
      </x:c>
      <x:c r="AR17" s="18" t="n">
        <x:v>0</x:v>
      </x:c>
      <x:c r="AS17" s="18"/>
      <x:c r="AT17" s="18"/>
      <x:c r="AU17" s="18"/>
      <x:c r="AV17" s="18"/>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x:c r="AA18" s="18" t="str">
        <x:v>No</x:v>
      </x:c>
      <x:c r="AB18" s="18" t="str">
        <x:v>No</x:v>
      </x:c>
      <x:c r="AC18" s="18" t="str"/>
      <x:c r="AD18" s="18" t="str"/>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c r="AM18" s="18"/>
      <x:c r="AN18" s="18"/>
      <x:c r="AO18" s="18"/>
      <x:c r="AP18" s="18"/>
      <x:c r="AQ18" s="18" t="n">
        <x:v>0</x:v>
      </x:c>
      <x:c r="AR18" s="18" t="n">
        <x:v>0</x:v>
      </x:c>
      <x:c r="AS18" s="18"/>
      <x:c r="AT18" s="18"/>
      <x:c r="AU18" s="18"/>
      <x:c r="AV18" s="18"/>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v>RR</x:v>
      </x:c>
      <x:c r="AD19" s="18" t="n">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c r="AM19" s="18"/>
      <x:c r="AN19" s="18"/>
      <x:c r="AO19" s="18"/>
      <x:c r="AP19" s="18"/>
      <x:c r="AQ19" s="18" t="n">
        <x:v>0</x:v>
      </x:c>
      <x:c r="AR19" s="18" t="n">
        <x:v>0</x:v>
      </x:c>
      <x:c r="AS19" s="18"/>
      <x:c r="AT19" s="18"/>
      <x:c r="AU19" s="18"/>
      <x:c r="AV19" s="18"/>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v>RR</x:v>
      </x:c>
      <x:c r="AD20" s="18" t="n">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c r="AM20" s="18"/>
      <x:c r="AN20" s="18"/>
      <x:c r="AO20" s="18"/>
      <x:c r="AP20" s="18"/>
      <x:c r="AQ20" s="18" t="n">
        <x:v>0</x:v>
      </x:c>
      <x:c r="AR20" s="18" t="n">
        <x:v>0</x:v>
      </x:c>
      <x:c r="AS20" s="18"/>
      <x:c r="AT20" s="18"/>
      <x:c r="AU20" s="18"/>
      <x:c r="AV20" s="18"/>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v>RR</x:v>
      </x:c>
      <x:c r="AD21" s="18" t="n">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c r="AM21" s="18"/>
      <x:c r="AN21" s="18"/>
      <x:c r="AO21" s="18"/>
      <x:c r="AP21" s="18"/>
      <x:c r="AQ21" s="18" t="n">
        <x:v>0</x:v>
      </x:c>
      <x:c r="AR21" s="18" t="n">
        <x:v>0</x:v>
      </x:c>
      <x:c r="AS21" s="18"/>
      <x:c r="AT21" s="18"/>
      <x:c r="AU21" s="18"/>
      <x:c r="AV21" s="18"/>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v>RR</x:v>
      </x:c>
      <x:c r="AD22" s="18" t="n">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c r="AM22" s="18"/>
      <x:c r="AN22" s="18"/>
      <x:c r="AO22" s="18"/>
      <x:c r="AP22" s="18"/>
      <x:c r="AQ22" s="18" t="n">
        <x:v>0</x:v>
      </x:c>
      <x:c r="AR22" s="18" t="n">
        <x:v>0</x:v>
      </x:c>
      <x:c r="AS22" s="18"/>
      <x:c r="AT22" s="18"/>
      <x:c r="AU22" s="18"/>
      <x:c r="AV22" s="18"/>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v>RR</x:v>
      </x:c>
      <x:c r="AD23" s="18" t="n">
        <x:v>0.41148148148148145</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c r="AM23" s="18"/>
      <x:c r="AN23" s="18"/>
      <x:c r="AO23" s="18"/>
      <x:c r="AP23" s="18"/>
      <x:c r="AQ23" s="18" t="n">
        <x:v>0</x:v>
      </x:c>
      <x:c r="AR23" s="18" t="n">
        <x:v>0</x:v>
      </x:c>
      <x:c r="AS23" s="18"/>
      <x:c r="AT23" s="18"/>
      <x:c r="AU23" s="18"/>
      <x:c r="AV23" s="18"/>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v>RR</x:v>
      </x:c>
      <x:c r="AD24" s="18" t="n">
        <x:v>0.41318181818181815</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c r="AM24" s="18"/>
      <x:c r="AN24" s="18"/>
      <x:c r="AO24" s="18"/>
      <x:c r="AP24" s="18"/>
      <x:c r="AQ24" s="18" t="n">
        <x:v>0</x:v>
      </x:c>
      <x:c r="AR24" s="18" t="n">
        <x:v>0</x:v>
      </x:c>
      <x:c r="AS24" s="18"/>
      <x:c r="AT24" s="18"/>
      <x:c r="AU24" s="18"/>
      <x:c r="AV24" s="18"/>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v>MD</x:v>
      </x:c>
      <x:c r="AD25" s="18" t="n">
        <x:v>4.3799999999999955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c r="AM25" s="18"/>
      <x:c r="AN25" s="18"/>
      <x:c r="AO25" s="18"/>
      <x:c r="AP25" s="18"/>
      <x:c r="AQ25" s="18" t="n">
        <x:v>0</x:v>
      </x:c>
      <x:c r="AR25" s="18" t="n">
        <x:v>0</x:v>
      </x:c>
      <x:c r="AS25" s="18"/>
      <x:c r="AT25" s="18"/>
      <x:c r="AU25" s="18"/>
      <x:c r="AV25" s="18"/>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t="str"/>
      <x:c r="AD26" s="18" t="str"/>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c r="AM26" s="18"/>
      <x:c r="AN26" s="18"/>
      <x:c r="AO26" s="18"/>
      <x:c r="AP26" s="18"/>
      <x:c r="AQ26" s="18" t="n">
        <x:v>0</x:v>
      </x:c>
      <x:c r="AR26" s="18" t="n">
        <x:v>0</x:v>
      </x:c>
      <x:c r="AS26" s="18"/>
      <x:c r="AT26" s="18"/>
      <x:c r="AU26" s="18"/>
      <x:c r="AV26" s="18"/>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v>RR</x:v>
      </x:c>
      <x:c r="AD27" s="18" t="n">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c r="AM27" s="18" t="str">
        <x:v>D-005</x:v>
      </x:c>
      <x:c r="AN27" s="18" t="str">
        <x:v>D</x:v>
      </x:c>
      <x:c r="AO27" s="18" t="str">
        <x:v>D_PONV_other</x:v>
      </x:c>
      <x:c r="AP27" s="18" t="str">
        <x:v>MATCHED</x:v>
      </x:c>
      <x:c r="AQ27" s="18" t="n">
        <x:v>0</x:v>
      </x:c>
      <x:c r="AR27" s="18" t="n">
        <x:v>1</x:v>
      </x:c>
      <x:c r="AS27" s="18" t="str">
        <x:v>Some concerns</x:v>
      </x:c>
      <x:c r="AT27" s="18" t="str">
        <x:v>P2</x:v>
      </x:c>
      <x:c r="AU27" s="18"/>
      <x:c r="AV27" s="18" t="str">
        <x:v>10/48 vs 19/49</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v>MD</x:v>
      </x:c>
      <x:c r="AD28" s="18" t="n">
        <x:v>-1.7800000000000011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c r="AM28" s="18" t="str">
        <x:v>E-001</x:v>
      </x:c>
      <x:c r="AN28" s="18" t="str">
        <x:v>E</x:v>
      </x:c>
      <x:c r="AO28" s="18" t="str">
        <x:v>E_time_to_first_flatus</x:v>
      </x:c>
      <x:c r="AP28" s="18" t="str">
        <x:v>MATCHED</x:v>
      </x:c>
      <x:c r="AQ28" s="18" t="n">
        <x:v>1</x:v>
      </x:c>
      <x:c r="AR28" s="18" t="n">
        <x:v>0</x:v>
      </x:c>
      <x:c r="AS28" s="18" t="str">
        <x:v>Some concerns</x:v>
      </x:c>
      <x:c r="AT28" s="18" t="str">
        <x:v>P2</x:v>
      </x:c>
      <x:c r="AU28" s="18"/>
      <x:c r="AV28" s="18" t="str">
        <x:v>14.10±3.19 vs 15.88±3.78 h</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v>RR</x:v>
      </x:c>
      <x:c r="AD29" s="18" t="n">
        <x:v>0.47115384615384615</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c r="AM29" s="18" t="str">
        <x:v>F-rescue-opioid-009</x:v>
      </x:c>
      <x:c r="AN29" s="18" t="str">
        <x:v>F-rescue-opioid</x:v>
      </x:c>
      <x:c r="AO29" s="18" t="str">
        <x:v>F_rescue_opioid</x:v>
      </x:c>
      <x:c r="AP29" s="18" t="str">
        <x:v>MATCHED</x:v>
      </x:c>
      <x:c r="AQ29" s="18" t="n">
        <x:v>1</x:v>
      </x:c>
      <x:c r="AR29" s="18" t="n">
        <x:v>0</x:v>
      </x:c>
      <x:c r="AS29" s="18" t="str">
        <x:v>Some concerns</x:v>
      </x:c>
      <x:c r="AT29" s="18" t="str">
        <x:v>P2</x:v>
      </x:c>
      <x:c r="AU29" s="18"/>
      <x:c r="AV29" s="18" t="str">
        <x:v>6/48 vs13/49; P=0.124</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x:c r="AA30" s="18" t="str">
        <x:v>No</x:v>
      </x:c>
      <x:c r="AB30" s="18" t="str">
        <x:v>No</x:v>
      </x:c>
      <x:c r="AC30" s="18" t="str"/>
      <x:c r="AD30" s="18" t="str"/>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c r="AM30" s="18"/>
      <x:c r="AN30" s="18"/>
      <x:c r="AO30" s="18"/>
      <x:c r="AP30" s="18"/>
      <x:c r="AQ30" s="18" t="n">
        <x:v>0</x:v>
      </x:c>
      <x:c r="AR30" s="18" t="n">
        <x:v>0</x:v>
      </x:c>
      <x:c r="AS30" s="18"/>
      <x:c r="AT30" s="18"/>
      <x:c r="AU30" s="18"/>
      <x:c r="AV30" s="18"/>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v>MD</x:v>
      </x:c>
      <x:c r="AD31" s="18" t="n">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c r="AM31" s="18"/>
      <x:c r="AN31" s="18"/>
      <x:c r="AO31" s="18"/>
      <x:c r="AP31" s="18"/>
      <x:c r="AQ31" s="18" t="n">
        <x:v>0</x:v>
      </x:c>
      <x:c r="AR31" s="18" t="n">
        <x:v>0</x:v>
      </x:c>
      <x:c r="AS31" s="18"/>
      <x:c r="AT31" s="18"/>
      <x:c r="AU31" s="18"/>
      <x:c r="AV31" s="18"/>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v>RR</x:v>
      </x:c>
      <x:c r="AD32" s="18" t="n">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c r="AM32" s="18" t="str">
        <x:v>F-mixed/undefined-007</x:v>
      </x:c>
      <x:c r="AN32" s="18" t="str">
        <x:v>F-mixed/undefined</x:v>
      </x:c>
      <x:c r="AO32" s="18" t="str">
        <x:v>F_rescue_mixed_or_undefined</x:v>
      </x:c>
      <x:c r="AP32" s="18" t="str">
        <x:v>NORMALIZED_V22</x:v>
      </x:c>
      <x:c r="AQ32" s="18" t="n">
        <x:v>0</x:v>
      </x:c>
      <x:c r="AR32" s="18" t="n">
        <x:v>0</x:v>
      </x:c>
      <x:c r="AS32" s="18" t="str">
        <x:v>High</x:v>
      </x:c>
      <x:c r="AT32" s="18" t="str">
        <x:v>P1</x:v>
      </x:c>
      <x:c r="AU32" s="18" t="str">
        <x:v>EXCLUDE fixed-time pools</x:v>
      </x:c>
      <x:c r="AV32" s="18" t="str">
        <x:v>Opioid use18/41 vs30/40; MME8.935±3.660 vs12.83±8.097 mg</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v>RR</x:v>
      </x:c>
      <x:c r="AD33" s="18" t="n">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c r="AM33" s="18" t="str">
        <x:v>D-001</x:v>
      </x:c>
      <x:c r="AN33" s="18" t="str">
        <x:v>D</x:v>
      </x:c>
      <x:c r="AO33" s="18" t="str">
        <x:v>D_PONV_0-24h</x:v>
      </x:c>
      <x:c r="AP33" s="18" t="str">
        <x:v>MATCHED</x:v>
      </x:c>
      <x:c r="AQ33" s="18" t="n">
        <x:v>1</x:v>
      </x:c>
      <x:c r="AR33" s="18" t="n">
        <x:v>0</x:v>
      </x:c>
      <x:c r="AS33" s="18" t="str">
        <x:v>Some concerns</x:v>
      </x:c>
      <x:c r="AT33" s="18" t="str">
        <x:v>P1</x:v>
      </x:c>
      <x:c r="AU33" s="18"/>
      <x:c r="AV33" s="18" t="str">
        <x:v>18/42 vs 29/43</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v>MD</x:v>
      </x:c>
      <x:c r="AD34" s="18" t="n">
        <x:v>-56.400000000000006</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c r="AM34" s="18" t="str">
        <x:v>F-intra-009</x:v>
      </x:c>
      <x:c r="AN34" s="18" t="str">
        <x:v>F-intra</x:v>
      </x:c>
      <x:c r="AO34" s="18" t="str">
        <x:v>F_intraop_titrated_requirement</x:v>
      </x:c>
      <x:c r="AP34" s="18" t="str">
        <x:v>MATCHED</x:v>
      </x:c>
      <x:c r="AQ34" s="18" t="n">
        <x:v>0</x:v>
      </x:c>
      <x:c r="AR34" s="18" t="n">
        <x:v>1</x:v>
      </x:c>
      <x:c r="AS34" s="18" t="str">
        <x:v>Some concerns</x:v>
      </x:c>
      <x:c r="AT34" s="18" t="str">
        <x:v>P1</x:v>
      </x:c>
      <x:c r="AU34" s="18"/>
      <x:c r="AV34" s="18" t="str">
        <x:v>233.1±29.6 vs289.5±37.9 μg; P=0.031</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v>MD</x:v>
      </x:c>
      <x:c r="AD35" s="18" t="n">
        <x:v>-4.3999999999999995</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c r="AM35" s="18" t="str">
        <x:v>F-PCA-006</x:v>
      </x:c>
      <x:c r="AN35" s="18" t="str">
        <x:v>F-PCA</x:v>
      </x:c>
      <x:c r="AO35" s="18" t="str">
        <x:v>F_PCA_behavior</x:v>
      </x:c>
      <x:c r="AP35" s="18" t="str">
        <x:v>MATCHED</x:v>
      </x:c>
      <x:c r="AQ35" s="18" t="n">
        <x:v>0</x:v>
      </x:c>
      <x:c r="AR35" s="18" t="n">
        <x:v>0</x:v>
      </x:c>
      <x:c r="AS35" s="18" t="str">
        <x:v>Some concerns</x:v>
      </x:c>
      <x:c r="AT35" s="18" t="str">
        <x:v>P1</x:v>
      </x:c>
      <x:c r="AU35" s="18" t="str">
        <x:v>UNRESOLVED window</x:v>
      </x:c>
      <x:c r="AV35" s="18" t="str">
        <x:v>6.3±2.2 vs10.7±3.9;3.8±1.0 vs4.8±1.6</x:v>
      </x:c>
    </x:row>
    <x:row r="36">
      <x:c r="A36" s="18" t="str">
        <x:v>Zheng 2025</x:v>
      </x:c>
      <x:c r="B36" s="18" t="str">
        <x:v>ZHENG25_TEAS_vs_SHAM_OPIOID24</x:v>
      </x:c>
      <x:c r="C36" s="18" t="str">
        <x:v>Perioperative TEAS</x:v>
      </x:c>
      <x:c r="D36" s="18" t="str">
        <x:v>Sham/no current</x:v>
      </x:c>
      <x:c r="E36" s="18" t="str">
        <x:v>Opioid consumption</x:v>
      </x:c>
      <x:c r="F36" s="18" t="str">
        <x:v>Exact cumulative postoperative sufentanil mass</x:v>
      </x:c>
      <x:c r="G36" s="18" t="str">
        <x:v>0-24 h</x:v>
      </x:c>
      <x:c r="H36" s="18" t="str">
        <x:v>Not reported</x:v>
      </x:c>
      <x:c r="I36" s="18" t="n">
        <x:v>44</x:v>
      </x:c>
      <x:c r="J36" s="18" t="n">
        <x:v>44</x:v>
      </x:c>
      <x:c r="K36" s="18" t="n">
        <x:v>42</x:v>
      </x:c>
      <x:c r="L36" s="18" t="n">
        <x:v>43</x:v>
      </x:c>
      <x:c r="M36" s="18"/>
      <x:c r="N36" s="18"/>
      <x:c r="O36" s="18"/>
      <x:c r="P36" s="18"/>
      <x:c r="Q36" s="18"/>
      <x:c r="R36" s="18"/>
      <x:c r="S36" s="18"/>
      <x:c r="T36" s="18"/>
      <x:c r="U36" s="18"/>
      <x:c r="V36" s="18"/>
      <x:c r="W36" s="18"/>
      <x:c r="X36" s="18"/>
      <x:c r="Y36" s="18" t="str">
        <x:v>µg sufentanil</x:v>
      </x:c>
      <x:c r="Z36" s="18"/>
      <x:c r="AA36" s="18" t="str">
        <x:v>No</x:v>
      </x:c>
      <x:c r="AB36" s="18" t="str">
        <x:v>No</x:v>
      </x:c>
      <x:c r="AC36" s="18" t="str"/>
      <x:c r="AD36" s="18" t="str"/>
      <x:c r="AE36" s="18" t="str">
        <x:v>No</x:v>
      </x:c>
      <x:c r="AF36" s="18" t="str">
        <x:v>No</x:v>
      </x:c>
      <x:c r="AG36" s="18" t="str">
        <x:v>Not eligible for continuous 24-h opioid meta-analysis without author data</x:v>
      </x:c>
      <x:c r="AH36" s="18" t="str">
        <x:v>No</x:v>
      </x:c>
      <x:c r="AI36" s="18" t="str">
        <x:v>Final PCIA volume/concentration and exact cumulative sufentanil mass are not reported</x:v>
      </x:c>
      <x:c r="AJ36" s="18" t="str">
        <x:v>PCIA formulation section / missing outcome</x:v>
      </x:c>
      <x:c r="AK36" s="18" t="str">
        <x:v>https://drive.google.com/file/d/1-JWKZgQXaQQQBZgMSDqyIP-vG9aAxBqb/view?usp=drivesdk</x:v>
      </x:c>
      <x:c r="AL36" s="18" t="str">
        <x:v>MISSING / AUTHOR DATA NEEDED</x:v>
      </x:c>
      <x:c r="AM36" s="18"/>
      <x:c r="AN36" s="18"/>
      <x:c r="AO36" s="18"/>
      <x:c r="AP36" s="18"/>
      <x:c r="AQ36" s="18" t="n">
        <x:v>0</x:v>
      </x:c>
      <x:c r="AR36" s="18" t="n">
        <x:v>0</x:v>
      </x:c>
      <x:c r="AS36" s="18"/>
      <x:c r="AT36" s="18"/>
      <x:c r="AU36" s="18"/>
      <x:c r="AV36" s="18"/>
    </x:row>
    <x:row r="37">
      <x:c r="A37" s="18" t="str">
        <x:v>Zhan 2020</x:v>
      </x:c>
      <x:c r="B37" s="18" t="str">
        <x:v>ZHAN20_TAPTEAS_vs_TAP_PAIN24</x:v>
      </x:c>
      <x:c r="C37" s="18" t="str">
        <x:v>TAP block + postoperative TEAS</x:v>
      </x:c>
      <x:c r="D37" s="18" t="str">
        <x:v>TAP block</x:v>
      </x:c>
      <x:c r="E37" s="18" t="str">
        <x:v>Pain</x:v>
      </x:c>
      <x:c r="F37" s="18" t="str">
        <x:v>VAS pain intensity</x:v>
      </x:c>
      <x:c r="G37" s="18" t="str">
        <x:v>24 h postoperatively</x:v>
      </x:c>
      <x:c r="H37" s="18" t="str">
        <x:v>Source-format ambiguous</x:v>
      </x:c>
      <x:c r="I37" s="18" t="n">
        <x:v>30</x:v>
      </x:c>
      <x:c r="J37" s="18" t="n">
        <x:v>30</x:v>
      </x:c>
      <x:c r="K37" s="18" t="n">
        <x:v>30</x:v>
      </x:c>
      <x:c r="L37" s="18" t="n">
        <x:v>30</x:v>
      </x:c>
      <x:c r="M37" s="18"/>
      <x:c r="N37" s="18"/>
      <x:c r="O37" s="18"/>
      <x:c r="P37" s="18"/>
      <x:c r="Q37" s="18"/>
      <x:c r="R37" s="18"/>
      <x:c r="S37" s="18"/>
      <x:c r="T37" s="18"/>
      <x:c r="U37" s="18"/>
      <x:c r="V37" s="18"/>
      <x:c r="W37" s="18"/>
      <x:c r="X37" s="18"/>
      <x:c r="Y37" s="18" t="str">
        <x:v>VAS</x:v>
      </x:c>
      <x:c r="Z37" s="18" t="str">
        <x:v>0.03 pairwise</x:v>
      </x:c>
      <x:c r="AA37" s="18" t="str">
        <x:v>Yes</x:v>
      </x:c>
      <x:c r="AB37" s="18" t="str">
        <x:v>No</x:v>
      </x:c>
      <x:c r="AC37" s="18" t="str"/>
      <x:c r="AD37" s="18" t="str"/>
      <x:c r="AE37" s="18" t="str">
        <x:v>No</x:v>
      </x:c>
      <x:c r="AF37" s="18" t="str">
        <x:v>No</x:v>
      </x:c>
      <x:c r="AG37" s="18" t="str">
        <x:v>Qualitative/source-text use only until summary format is clarified</x:v>
      </x:c>
      <x:c r="AH37" s="18" t="str">
        <x:v>Yes</x:v>
      </x:c>
      <x:c r="AI37" s="18" t="str">
        <x:v>Printed source values are TAP+TEAS '2 (1.7 ± 2.2)' vs TAP '2 (2.0 ± 3.0)'; format is not defined as mean/SD, median/IQR, or range</x:v>
      </x:c>
      <x:c r="AJ37" s="18" t="str">
        <x:v>Table 2, p4</x:v>
      </x:c>
      <x:c r="AK37" s="18" t="str">
        <x:v>https://drive.google.com/file/d/1GYG7JxUOQxbt724-Ng7dWv3sYeC8dDSr/view?usp=drivesdk</x:v>
      </x:c>
      <x:c r="AL37" s="18" t="str">
        <x:v>SOURCE-VERIFIED / FORMAT QC</x:v>
      </x:c>
      <x:c r="AM37" s="18"/>
      <x:c r="AN37" s="18"/>
      <x:c r="AO37" s="18"/>
      <x:c r="AP37" s="18"/>
      <x:c r="AQ37" s="18" t="n">
        <x:v>0</x:v>
      </x:c>
      <x:c r="AR37" s="18" t="n">
        <x:v>0</x:v>
      </x:c>
      <x:c r="AS37" s="18"/>
      <x:c r="AT37" s="18"/>
      <x:c r="AU37" s="18"/>
      <x:c r="AV37" s="18"/>
    </x:row>
    <x:row r="38">
      <x:c r="A38" s="18" t="str">
        <x:v>Zhan 2020</x:v>
      </x:c>
      <x:c r="B38" s="18" t="str">
        <x:v>ZHAN20_TAPTEAS_vs_TAP_OPIOID24</x:v>
      </x:c>
      <x:c r="C38" s="18" t="str">
        <x:v>TAP block + postoperative TEAS</x:v>
      </x:c>
      <x:c r="D38" s="18" t="str">
        <x:v>TAP block</x:v>
      </x:c>
      <x:c r="E38" s="18" t="str">
        <x:v>Opioid consumption</x:v>
      </x:c>
      <x:c r="F38" s="18" t="str">
        <x:v>Actual cumulative postoperative sufentanil consumption</x:v>
      </x:c>
      <x:c r="G38" s="18" t="str">
        <x:v>0-24 h</x:v>
      </x:c>
      <x:c r="H38" s="18" t="str">
        <x:v>Not reported</x:v>
      </x:c>
      <x:c r="I38" s="18" t="n">
        <x:v>30</x:v>
      </x:c>
      <x:c r="J38" s="18" t="n">
        <x:v>30</x:v>
      </x:c>
      <x:c r="K38" s="18" t="n">
        <x:v>30</x:v>
      </x:c>
      <x:c r="L38" s="18" t="n">
        <x:v>30</x:v>
      </x:c>
      <x:c r="M38" s="18"/>
      <x:c r="N38" s="18"/>
      <x:c r="O38" s="18"/>
      <x:c r="P38" s="18"/>
      <x:c r="Q38" s="18"/>
      <x:c r="R38" s="18"/>
      <x:c r="S38" s="18"/>
      <x:c r="T38" s="18"/>
      <x:c r="U38" s="18"/>
      <x:c r="V38" s="18"/>
      <x:c r="W38" s="18"/>
      <x:c r="X38" s="18"/>
      <x:c r="Y38" s="18" t="str">
        <x:v>µg sufentanil</x:v>
      </x:c>
      <x:c r="Z38" s="18"/>
      <x:c r="AA38" s="18" t="str">
        <x:v>No</x:v>
      </x:c>
      <x:c r="AB38" s="18" t="str">
        <x:v>No</x:v>
      </x:c>
      <x:c r="AC38" s="18" t="str"/>
      <x:c r="AD38" s="18" t="str"/>
      <x:c r="AE38" s="18" t="str">
        <x:v>No</x:v>
      </x:c>
      <x:c r="AF38" s="18" t="str">
        <x:v>No</x:v>
      </x:c>
      <x:c r="AG38" s="18" t="str">
        <x:v>Not eligible for continuous 24-h opioid meta-analysis</x:v>
      </x:c>
      <x:c r="AH38" s="18" t="str">
        <x:v>Yes</x:v>
      </x:c>
      <x:c r="AI38" s="18" t="str">
        <x:v>Only programmed PCIA reservoir/basal settings are reported; actual group-specific delivered opioid is NR</x:v>
      </x:c>
      <x:c r="AJ38" s="18" t="str">
        <x:v>PCIA protocol / exact 24-h opioid section</x:v>
      </x:c>
      <x:c r="AK38" s="18" t="str">
        <x:v>https://drive.google.com/file/d/1GYG7JxUOQxbt724-Ng7dWv3sYeC8dDSr/view?usp=drivesdk</x:v>
      </x:c>
      <x:c r="AL38" s="18" t="str">
        <x:v>MISSING / NOT OBSERVED</x:v>
      </x:c>
      <x:c r="AM38" s="18"/>
      <x:c r="AN38" s="18"/>
      <x:c r="AO38" s="18"/>
      <x:c r="AP38" s="18"/>
      <x:c r="AQ38" s="18" t="n">
        <x:v>0</x:v>
      </x:c>
      <x:c r="AR38" s="18" t="n">
        <x:v>0</x:v>
      </x:c>
      <x:c r="AS38" s="18"/>
      <x:c r="AT38" s="18"/>
      <x:c r="AU38" s="18"/>
      <x:c r="AV38" s="18"/>
    </x:row>
    <x:row r="39">
      <x:c r="A39" s="18" t="str">
        <x:v>Zhang 2025</x:v>
      </x:c>
      <x:c r="B39" s="18" t="str">
        <x:v>ZHANG25_TEAS_vs_SHAM_SUFPOD1</x:v>
      </x:c>
      <x:c r="C39" s="18" t="str">
        <x:v>Perioperative TEAS</x:v>
      </x:c>
      <x:c r="D39" s="18" t="str">
        <x:v>Sub-sensory sham</x:v>
      </x:c>
      <x:c r="E39" s="18" t="str">
        <x:v>Opioid consumption</x:v>
      </x:c>
      <x:c r="F39" s="18" t="str">
        <x:v>Total sufentanil consumption</x:v>
      </x:c>
      <x:c r="G39" s="18" t="str">
        <x:v>POD1; approximately 24 h but exact clock window not explicit</x:v>
      </x:c>
      <x:c r="H39" s="18" t="str">
        <x:v>Mean/SD</x:v>
      </x:c>
      <x:c r="I39" s="18" t="n">
        <x:v>54</x:v>
      </x:c>
      <x:c r="J39" s="18" t="n">
        <x:v>54</x:v>
      </x:c>
      <x:c r="K39" s="18" t="n">
        <x:v>45</x:v>
      </x:c>
      <x:c r="L39" s="18" t="n">
        <x:v>48</x:v>
      </x:c>
      <x:c r="M39" s="18" t="n">
        <x:v>50.53</x:v>
      </x:c>
      <x:c r="N39" s="18" t="n">
        <x:v>4.46</x:v>
      </x:c>
      <x:c r="O39" s="18"/>
      <x:c r="P39" s="18"/>
      <x:c r="Q39" s="18"/>
      <x:c r="R39" s="18"/>
      <x:c r="S39" s="18" t="n">
        <x:v>53.79</x:v>
      </x:c>
      <x:c r="T39" s="18" t="n">
        <x:v>5.14</x:v>
      </x:c>
      <x:c r="U39" s="18"/>
      <x:c r="V39" s="18"/>
      <x:c r="W39" s="18"/>
      <x:c r="X39" s="18"/>
      <x:c r="Y39" s="18" t="str">
        <x:v>µg sufentanil</x:v>
      </x:c>
      <x:c r="Z39" s="18" t="str">
        <x:v>0.002</x:v>
      </x:c>
      <x:c r="AA39" s="18" t="str">
        <x:v>Yes</x:v>
      </x:c>
      <x:c r="AB39" s="18" t="str">
        <x:v>No</x:v>
      </x:c>
      <x:c r="AC39" s="18" t="str">
        <x:v>MD</x:v>
      </x:c>
      <x:c r="AD39" s="18" t="n">
        <x:v>-3.259999999999998</x:v>
      </x:c>
      <x:c r="AE39" s="18" t="str">
        <x:v>Conditional</x:v>
      </x:c>
      <x:c r="AF39" s="18" t="str">
        <x:v>Conditional</x:v>
      </x:c>
      <x:c r="AG39" s="18" t="str">
        <x:v>Eligible for POD1 opioid analysis; strict 0-24-h use requires confirmation</x:v>
      </x:c>
      <x:c r="AH39" s="18" t="str">
        <x:v>No</x:v>
      </x:c>
      <x:c r="AI39" s="18" t="str">
        <x:v>Endpoint is directly reported as POD1, not explicitly clock-defined 0-24 h; 15/108 excluded after randomization</x:v>
      </x:c>
      <x:c r="AJ39" s="18" t="str">
        <x:v>Table 4, p9</x:v>
      </x:c>
      <x:c r="AK39" s="18" t="str">
        <x:v>https://drive.google.com/file/d/1eHx6Hk16vmIfMgoiZ5eNae4zmCR5ktwJ/view?usp=drivesdk</x:v>
      </x:c>
      <x:c r="AL39" s="18" t="str">
        <x:v>SOURCE-VERIFIED / WINDOW QC</x:v>
      </x:c>
      <x:c r="AM39" s="18"/>
      <x:c r="AN39" s="18"/>
      <x:c r="AO39" s="18"/>
      <x:c r="AP39" s="18"/>
      <x:c r="AQ39" s="18" t="n">
        <x:v>0</x:v>
      </x:c>
      <x:c r="AR39" s="18" t="n">
        <x:v>0</x:v>
      </x:c>
      <x:c r="AS39" s="18"/>
      <x:c r="AT39" s="18"/>
      <x:c r="AU39" s="18"/>
      <x:c r="AV39" s="18"/>
    </x:row>
    <x:row r="40">
      <x:c r="A40" s="18" t="str">
        <x:v>Zhang 2025</x:v>
      </x:c>
      <x:c r="B40" s="18" t="str">
        <x:v>ZHANG25_TEAS_vs_SHAM_RESCUE</x:v>
      </x:c>
      <x:c r="C40" s="18" t="str">
        <x:v>Perioperative TEAS</x:v>
      </x:c>
      <x:c r="D40" s="18" t="str">
        <x:v>Sub-sensory sham</x:v>
      </x:c>
      <x:c r="E40" s="18" t="str">
        <x:v>Rescue analgesia</x:v>
      </x:c>
      <x:c r="F40" s="18" t="str">
        <x:v>Any rescue analgesia demand</x:v>
      </x:c>
      <x:c r="G40" s="18" t="str">
        <x:v>POD1 / postoperative period reported in Table 4</x:v>
      </x:c>
      <x:c r="H40" s="18" t="str">
        <x:v>Events/total</x:v>
      </x:c>
      <x:c r="I40" s="18" t="n">
        <x:v>54</x:v>
      </x:c>
      <x:c r="J40" s="18" t="n">
        <x:v>54</x:v>
      </x:c>
      <x:c r="K40" s="18" t="n">
        <x:v>45</x:v>
      </x:c>
      <x:c r="L40" s="18" t="n">
        <x:v>48</x:v>
      </x:c>
      <x:c r="M40" s="18"/>
      <x:c r="N40" s="18"/>
      <x:c r="O40" s="18"/>
      <x:c r="P40" s="18"/>
      <x:c r="Q40" s="18"/>
      <x:c r="R40" s="18" t="n">
        <x:v>14</x:v>
      </x:c>
      <x:c r="S40" s="18"/>
      <x:c r="T40" s="18"/>
      <x:c r="U40" s="18"/>
      <x:c r="V40" s="18"/>
      <x:c r="W40" s="18"/>
      <x:c r="X40" s="18" t="n">
        <x:v>29</x:v>
      </x:c>
      <x:c r="Y40" s="18" t="str">
        <x:v>participants</x:v>
      </x:c>
      <x:c r="Z40" s="18" t="str">
        <x:v>0.005 in Table 4; 0.002 in prose</x:v>
      </x:c>
      <x:c r="AA40" s="18" t="str">
        <x:v>Yes</x:v>
      </x:c>
      <x:c r="AB40" s="18" t="str">
        <x:v>No</x:v>
      </x:c>
      <x:c r="AC40" s="18" t="str">
        <x:v>RR</x:v>
      </x:c>
      <x:c r="AD40" s="18" t="n">
        <x:v>0.5149425287356322</x:v>
      </x:c>
      <x:c r="AE40" s="18" t="str">
        <x:v>No</x:v>
      </x:c>
      <x:c r="AF40" s="18" t="str">
        <x:v>No</x:v>
      </x:c>
      <x:c r="AG40" s="18" t="str">
        <x:v>Eligible for binary rescue-analgesia analysis using raw counts</x:v>
      </x:c>
      <x:c r="AH40" s="18" t="str">
        <x:v>No</x:v>
      </x:c>
      <x:c r="AI40" s="18" t="str">
        <x:v>Published RR 0.70 (0.44-1.10) conflicts with raw counts (~0.52) and significant P-value; use raw event counts</x:v>
      </x:c>
      <x:c r="AJ40" s="18" t="str">
        <x:v>Table 4, p9</x:v>
      </x:c>
      <x:c r="AK40" s="18" t="str">
        <x:v>https://drive.google.com/file/d/1eHx6Hk16vmIfMgoiZ5eNae4zmCR5ktwJ/view?usp=drivesdk</x:v>
      </x:c>
      <x:c r="AL40" s="18" t="str">
        <x:v>SOURCE-VERIFIED / PUBLISHED EFFECT QC</x:v>
      </x:c>
      <x:c r="AM40" s="18" t="str">
        <x:v>F-mixed/undefined-002</x:v>
      </x:c>
      <x:c r="AN40" s="18" t="str">
        <x:v>F-mixed/undefined</x:v>
      </x:c>
      <x:c r="AO40" s="18" t="str">
        <x:v>F_rescue_mixed_or_undefined</x:v>
      </x:c>
      <x:c r="AP40" s="18" t="str">
        <x:v>MATCHED</x:v>
      </x:c>
      <x:c r="AQ40" s="18" t="n">
        <x:v>0</x:v>
      </x:c>
      <x:c r="AR40" s="18" t="n">
        <x:v>0</x:v>
      </x:c>
      <x:c r="AS40" s="18" t="str">
        <x:v>Some concerns</x:v>
      </x:c>
      <x:c r="AT40" s="18" t="str">
        <x:v>P1</x:v>
      </x:c>
      <x:c r="AU40" s="18" t="str">
        <x:v>DO NOT POOL pending clarification</x:v>
      </x:c>
      <x:c r="AV40" s="18" t="str">
        <x:v>14/45 vs29/48</x:v>
      </x:c>
    </x:row>
    <x:row r="41">
      <x:c r="A41" s="18" t="str">
        <x:v>Zhang 2025</x:v>
      </x:c>
      <x:c r="B41" s="18" t="str">
        <x:v>ZHANG25_TEAS_vs_SHAM_VISCERAL_POD1</x:v>
      </x:c>
      <x:c r="C41" s="18" t="str">
        <x:v>Perioperative TEAS</x:v>
      </x:c>
      <x:c r="D41" s="18" t="str">
        <x:v>Sub-sensory sham</x:v>
      </x:c>
      <x:c r="E41" s="18" t="str">
        <x:v>Pain</x:v>
      </x:c>
      <x:c r="F41" s="18" t="str">
        <x:v>Moderate-to-severe visceral pain</x:v>
      </x:c>
      <x:c r="G41" s="18" t="str">
        <x:v>POD1</x:v>
      </x:c>
      <x:c r="H41" s="18" t="str">
        <x:v>Events/total</x:v>
      </x:c>
      <x:c r="I41" s="18" t="n">
        <x:v>54</x:v>
      </x:c>
      <x:c r="J41" s="18" t="n">
        <x:v>54</x:v>
      </x:c>
      <x:c r="K41" s="18" t="n">
        <x:v>45</x:v>
      </x:c>
      <x:c r="L41" s="18" t="n">
        <x:v>48</x:v>
      </x:c>
      <x:c r="M41" s="18"/>
      <x:c r="N41" s="18"/>
      <x:c r="O41" s="18"/>
      <x:c r="P41" s="18"/>
      <x:c r="Q41" s="18"/>
      <x:c r="R41" s="18" t="n">
        <x:v>4</x:v>
      </x:c>
      <x:c r="S41" s="18"/>
      <x:c r="T41" s="18"/>
      <x:c r="U41" s="18"/>
      <x:c r="V41" s="18"/>
      <x:c r="W41" s="18"/>
      <x:c r="X41" s="18" t="n">
        <x:v>18</x:v>
      </x:c>
      <x:c r="Y41" s="18" t="str">
        <x:v>participants</x:v>
      </x:c>
      <x:c r="Z41" s="18" t="str">
        <x:v>0.001</x:v>
      </x:c>
      <x:c r="AA41" s="18" t="str">
        <x:v>Percentages directly reported; counts reconstructed exactly from denominators</x:v>
      </x:c>
      <x:c r="AB41" s="18" t="str">
        <x:v>Yes</x:v>
      </x:c>
      <x:c r="AC41" s="18" t="str">
        <x:v>RR</x:v>
      </x:c>
      <x:c r="AD41" s="18" t="n">
        <x:v>0.23703703703703705</x:v>
      </x:c>
      <x:c r="AE41" s="18" t="str">
        <x:v>No</x:v>
      </x:c>
      <x:c r="AF41" s="18" t="str">
        <x:v>No</x:v>
      </x:c>
      <x:c r="AG41" s="18" t="str">
        <x:v>Eligible for dichotomous visceral-pain analysis</x:v>
      </x:c>
      <x:c r="AH41" s="18" t="str">
        <x:v>No</x:v>
      </x:c>
      <x:c r="AI41" s="18" t="str">
        <x:v>Figure 3D reports 8.9% vs 37.5%; 4/45 and 18/48 are exact denominator reconstructions</x:v>
      </x:c>
      <x:c r="AJ41" s="18" t="str">
        <x:v>Figure 3D, p8</x:v>
      </x:c>
      <x:c r="AK41" s="18" t="str">
        <x:v>https://drive.google.com/file/d/1eHx6Hk16vmIfMgoiZ5eNae4zmCR5ktwJ/view?usp=drivesdk</x:v>
      </x:c>
      <x:c r="AL41" s="18" t="str">
        <x:v>SOURCE-VERIFIED / COUNTS DERIVED</x:v>
      </x:c>
      <x:c r="AM41" s="18"/>
      <x:c r="AN41" s="18"/>
      <x:c r="AO41" s="18"/>
      <x:c r="AP41" s="18"/>
      <x:c r="AQ41" s="18" t="n">
        <x:v>0</x:v>
      </x:c>
      <x:c r="AR41" s="18" t="n">
        <x:v>0</x:v>
      </x:c>
      <x:c r="AS41" s="18"/>
      <x:c r="AT41" s="18"/>
      <x:c r="AU41" s="18"/>
      <x:c r="AV41" s="18"/>
    </x:row>
    <x:row r="42">
      <x:c r="A42" s="18" t="str">
        <x:v>Zhang 2023</x:v>
      </x:c>
      <x:c r="B42" s="18" t="str">
        <x:v>ZHANG23_TEAS_vs_SHAM_VOID</x:v>
      </x:c>
      <x:c r="C42" s="18" t="str">
        <x:v>TEAS</x:v>
      </x:c>
      <x:c r="D42" s="18" t="str">
        <x:v>Sham/no current</x:v>
      </x:c>
      <x:c r="E42" s="18" t="str">
        <x:v>Urinary recovery</x:v>
      </x:c>
      <x:c r="F42" s="18" t="str">
        <x:v>Time to first spontaneous void</x:v>
      </x:c>
      <x:c r="G42" s="18" t="str">
        <x:v>Postoperative</x:v>
      </x:c>
      <x:c r="H42" s="18" t="str">
        <x:v>Median/IQR</x:v>
      </x:c>
      <x:c r="I42" s="18" t="n">
        <x:v>975</x:v>
      </x:c>
      <x:c r="J42" s="18" t="n">
        <x:v>973</x:v>
      </x:c>
      <x:c r="K42" s="18" t="n">
        <x:v>922</x:v>
      </x:c>
      <x:c r="L42" s="18" t="n">
        <x:v>916</x:v>
      </x:c>
      <x:c r="M42" s="18"/>
      <x:c r="N42" s="18"/>
      <x:c r="O42" s="18" t="n">
        <x:v>5.6</x:v>
      </x:c>
      <x:c r="P42" s="18" t="n">
        <x:v>3.7</x:v>
      </x:c>
      <x:c r="Q42" s="18" t="n">
        <x:v>8</x:v>
      </x:c>
      <x:c r="R42" s="18"/>
      <x:c r="S42" s="18"/>
      <x:c r="T42" s="18"/>
      <x:c r="U42" s="18" t="n">
        <x:v>7.1</x:v>
      </x:c>
      <x:c r="V42" s="18" t="n">
        <x:v>4.7</x:v>
      </x:c>
      <x:c r="W42" s="18" t="n">
        <x:v>9.7</x:v>
      </x:c>
      <x:c r="X42" s="18"/>
      <x:c r="Y42" s="18" t="str">
        <x:v>hours</x:v>
      </x:c>
      <x:c r="Z42" s="18" t="str">
        <x:v>&lt;0.001</x:v>
      </x:c>
      <x:c r="AA42" s="18" t="str">
        <x:v>Yes</x:v>
      </x:c>
      <x:c r="AB42" s="18" t="str">
        <x:v>No</x:v>
      </x:c>
      <x:c r="AC42" s="18" t="str"/>
      <x:c r="AD42" s="18" t="str"/>
      <x:c r="AE42" s="18" t="str">
        <x:v>No</x:v>
      </x:c>
      <x:c r="AF42" s="18" t="str">
        <x:v>No</x:v>
      </x:c>
      <x:c r="AG42" s="18" t="str">
        <x:v>Eligible for urinary-recovery meta-analysis using median/IQR methods</x:v>
      </x:c>
      <x:c r="AH42" s="18" t="str">
        <x:v>No</x:v>
      </x:c>
      <x:c r="AI42" s="18" t="str">
        <x:v>110/1948 randomized participants were excluded from final analysis; abstract gives sham median 7.0 h but Table 2 gives 7.1 h—use table value</x:v>
      </x:c>
      <x:c r="AJ42" s="18" t="str">
        <x:v>Table 2 / primary spontaneous-void outcome</x:v>
      </x:c>
      <x:c r="AK42" s="18" t="str">
        <x:v>https://drive.google.com/file/d/1LXNXNhVJaOcYXBODulFUuMD4FQXC5dph/view?usp=drivesdk</x:v>
      </x:c>
      <x:c r="AL42" s="18" t="str">
        <x:v>SOURCE-VERIFIED / ATTRITION QC</x:v>
      </x:c>
      <x:c r="AM42" s="18"/>
      <x:c r="AN42" s="18"/>
      <x:c r="AO42" s="18"/>
      <x:c r="AP42" s="18"/>
      <x:c r="AQ42" s="18" t="n">
        <x:v>0</x:v>
      </x:c>
      <x:c r="AR42" s="18" t="n">
        <x:v>0</x:v>
      </x:c>
      <x:c r="AS42" s="18"/>
      <x:c r="AT42" s="18"/>
      <x:c r="AU42" s="18"/>
      <x:c r="AV42" s="18"/>
    </x:row>
    <x:row r="43">
      <x:c r="A43" s="18" t="str">
        <x:v>Zhang 2023</x:v>
      </x:c>
      <x:c r="B43" s="18" t="str">
        <x:v>ZHANG23_TEAS_vs_SHAM_DELAYED</x:v>
      </x:c>
      <x:c r="C43" s="18" t="str">
        <x:v>TEAS</x:v>
      </x:c>
      <x:c r="D43" s="18" t="str">
        <x:v>Sham/no current</x:v>
      </x:c>
      <x:c r="E43" s="18" t="str">
        <x:v>Urinary recovery</x:v>
      </x:c>
      <x:c r="F43" s="18" t="str">
        <x:v>Delayed urinary recovery (&gt;12 h without spontaneous void)</x:v>
      </x:c>
      <x:c r="G43" s="18" t="str">
        <x:v>Postoperative</x:v>
      </x:c>
      <x:c r="H43" s="18" t="str">
        <x:v>Events/total</x:v>
      </x:c>
      <x:c r="I43" s="18" t="n">
        <x:v>975</x:v>
      </x:c>
      <x:c r="J43" s="18" t="n">
        <x:v>973</x:v>
      </x:c>
      <x:c r="K43" s="18" t="n">
        <x:v>922</x:v>
      </x:c>
      <x:c r="L43" s="18" t="n">
        <x:v>916</x:v>
      </x:c>
      <x:c r="M43" s="18"/>
      <x:c r="N43" s="18"/>
      <x:c r="O43" s="18"/>
      <x:c r="P43" s="18"/>
      <x:c r="Q43" s="18"/>
      <x:c r="R43" s="18" t="n">
        <x:v>103</x:v>
      </x:c>
      <x:c r="S43" s="18"/>
      <x:c r="T43" s="18"/>
      <x:c r="U43" s="18"/>
      <x:c r="V43" s="18"/>
      <x:c r="W43" s="18"/>
      <x:c r="X43" s="18" t="n">
        <x:v>173</x:v>
      </x:c>
      <x:c r="Y43" s="18" t="str">
        <x:v>participants</x:v>
      </x:c>
      <x:c r="Z43" s="18" t="str">
        <x:v>&lt;0.001</x:v>
      </x:c>
      <x:c r="AA43" s="18" t="str">
        <x:v>Yes</x:v>
      </x:c>
      <x:c r="AB43" s="18" t="str">
        <x:v>No</x:v>
      </x:c>
      <x:c r="AC43" s="18" t="str">
        <x:v>RR</x:v>
      </x:c>
      <x:c r="AD43" s="18" t="n">
        <x:v>0.5915012601406844</x:v>
      </x:c>
      <x:c r="AE43" s="18" t="str">
        <x:v>No</x:v>
      </x:c>
      <x:c r="AF43" s="18" t="str">
        <x:v>No</x:v>
      </x:c>
      <x:c r="AG43" s="18" t="str">
        <x:v>Eligible for dichotomous delayed-voiding analysis</x:v>
      </x:c>
      <x:c r="AH43" s="18" t="str">
        <x:v>No</x:v>
      </x:c>
      <x:c r="AI43" s="18" t="str">
        <x:v>Use analyzed denominators 922 and 916, not randomized denominators</x:v>
      </x:c>
      <x:c r="AJ43" s="18" t="str">
        <x:v>Table 2 / delayed urinary recovery</x:v>
      </x:c>
      <x:c r="AK43" s="18" t="str">
        <x:v>https://drive.google.com/file/d/1LXNXNhVJaOcYXBODulFUuMD4FQXC5dph/view?usp=drivesdk</x:v>
      </x:c>
      <x:c r="AL43" s="18" t="str">
        <x:v>SOURCE-VERIFIED / ATTRITION QC</x:v>
      </x:c>
      <x:c r="AM43" s="18"/>
      <x:c r="AN43" s="18"/>
      <x:c r="AO43" s="18"/>
      <x:c r="AP43" s="18"/>
      <x:c r="AQ43" s="18" t="n">
        <x:v>0</x:v>
      </x:c>
      <x:c r="AR43" s="18" t="n">
        <x:v>0</x:v>
      </x:c>
      <x:c r="AS43" s="18"/>
      <x:c r="AT43" s="18"/>
      <x:c r="AU43" s="18"/>
      <x:c r="AV43" s="18"/>
    </x:row>
    <x:row r="44">
      <x:c r="A44" s="18" t="str">
        <x:v>Zhang 2023</x:v>
      </x:c>
      <x:c r="B44" s="18" t="str">
        <x:v>ZHANG23_TEAS_vs_SHAM_POUR</x:v>
      </x:c>
      <x:c r="C44" s="18" t="str">
        <x:v>TEAS</x:v>
      </x:c>
      <x:c r="D44" s="18" t="str">
        <x:v>Sham/no current</x:v>
      </x:c>
      <x:c r="E44" s="18" t="str">
        <x:v>Urinary recovery</x:v>
      </x:c>
      <x:c r="F44" s="18" t="str">
        <x:v>Postoperative urinary retention</x:v>
      </x:c>
      <x:c r="G44" s="18" t="str">
        <x:v>Postoperative</x:v>
      </x:c>
      <x:c r="H44" s="18" t="str">
        <x:v>Events/total</x:v>
      </x:c>
      <x:c r="I44" s="18" t="n">
        <x:v>975</x:v>
      </x:c>
      <x:c r="J44" s="18" t="n">
        <x:v>973</x:v>
      </x:c>
      <x:c r="K44" s="18" t="n">
        <x:v>922</x:v>
      </x:c>
      <x:c r="L44" s="18" t="n">
        <x:v>916</x:v>
      </x:c>
      <x:c r="M44" s="18"/>
      <x:c r="N44" s="18"/>
      <x:c r="O44" s="18"/>
      <x:c r="P44" s="18"/>
      <x:c r="Q44" s="18"/>
      <x:c r="R44" s="18" t="n">
        <x:v>75</x:v>
      </x:c>
      <x:c r="S44" s="18"/>
      <x:c r="T44" s="18"/>
      <x:c r="U44" s="18"/>
      <x:c r="V44" s="18"/>
      <x:c r="W44" s="18"/>
      <x:c r="X44" s="18" t="n">
        <x:v>104</x:v>
      </x:c>
      <x:c r="Y44" s="18" t="str">
        <x:v>participants</x:v>
      </x:c>
      <x:c r="Z44" s="18" t="str">
        <x:v>0.02</x:v>
      </x:c>
      <x:c r="AA44" s="18" t="str">
        <x:v>Yes</x:v>
      </x:c>
      <x:c r="AB44" s="18" t="str">
        <x:v>No</x:v>
      </x:c>
      <x:c r="AC44" s="18" t="str">
        <x:v>RR</x:v>
      </x:c>
      <x:c r="AD44" s="18" t="n">
        <x:v>0.7164608710161855</x:v>
      </x:c>
      <x:c r="AE44" s="18" t="str">
        <x:v>No</x:v>
      </x:c>
      <x:c r="AF44" s="18" t="str">
        <x:v>No</x:v>
      </x:c>
      <x:c r="AG44" s="18" t="str">
        <x:v>Eligible for dichotomous POUR analysis</x:v>
      </x:c>
      <x:c r="AH44" s="18" t="str">
        <x:v>No</x:v>
      </x:c>
      <x:c r="AI44" s="18" t="str">
        <x:v>Use analyzed denominators 922 and 916</x:v>
      </x:c>
      <x:c r="AJ44" s="18" t="str">
        <x:v>Table 2 / POUR result</x:v>
      </x:c>
      <x:c r="AK44" s="18" t="str">
        <x:v>https://drive.google.com/file/d/1LXNXNhVJaOcYXBODulFUuMD4FQXC5dph/view?usp=drivesdk</x:v>
      </x:c>
      <x:c r="AL44" s="18" t="str">
        <x:v>SOURCE-VERIFIED / ATTRITION QC</x:v>
      </x:c>
      <x:c r="AM44" s="18"/>
      <x:c r="AN44" s="18"/>
      <x:c r="AO44" s="18"/>
      <x:c r="AP44" s="18"/>
      <x:c r="AQ44" s="18" t="n">
        <x:v>0</x:v>
      </x:c>
      <x:c r="AR44" s="18" t="n">
        <x:v>0</x:v>
      </x:c>
      <x:c r="AS44" s="18"/>
      <x:c r="AT44" s="18"/>
      <x:c r="AU44" s="18"/>
      <x:c r="AV44" s="18"/>
    </x:row>
    <x:row r="45">
      <x:c r="A45" s="18" t="str">
        <x:v>Zhang 2023</x:v>
      </x:c>
      <x:c r="B45" s="18" t="str">
        <x:v>ZHANG23_TEAS_vs_SHAM_MME48</x:v>
      </x:c>
      <x:c r="C45" s="18" t="str">
        <x:v>TEAS</x:v>
      </x:c>
      <x:c r="D45" s="18" t="str">
        <x:v>Sham/no current</x:v>
      </x:c>
      <x:c r="E45" s="18" t="str">
        <x:v>Opioid consumption</x:v>
      </x:c>
      <x:c r="F45" s="18" t="str">
        <x:v>Postoperative IV morphine-equivalent consumption</x:v>
      </x:c>
      <x:c r="G45" s="18" t="str">
        <x:v>Within 48 h</x:v>
      </x:c>
      <x:c r="H45" s="18" t="str">
        <x:v>Median/IQR</x:v>
      </x:c>
      <x:c r="I45" s="18" t="n">
        <x:v>975</x:v>
      </x:c>
      <x:c r="J45" s="18" t="n">
        <x:v>973</x:v>
      </x:c>
      <x:c r="K45" s="18" t="n">
        <x:v>922</x:v>
      </x:c>
      <x:c r="L45" s="18" t="n">
        <x:v>916</x:v>
      </x:c>
      <x:c r="M45" s="18"/>
      <x:c r="N45" s="18"/>
      <x:c r="O45" s="18" t="n">
        <x:v>110</x:v>
      </x:c>
      <x:c r="P45" s="18" t="n">
        <x:v>80</x:v>
      </x:c>
      <x:c r="Q45" s="18" t="n">
        <x:v>110</x:v>
      </x:c>
      <x:c r="R45" s="18"/>
      <x:c r="S45" s="18"/>
      <x:c r="T45" s="18"/>
      <x:c r="U45" s="18" t="n">
        <x:v>110</x:v>
      </x:c>
      <x:c r="V45" s="18" t="n">
        <x:v>90</x:v>
      </x:c>
      <x:c r="W45" s="18" t="n">
        <x:v>110</x:v>
      </x:c>
      <x:c r="X45" s="18"/>
      <x:c r="Y45" s="18" t="str">
        <x:v>mg IV morphine-equivalent</x:v>
      </x:c>
      <x:c r="Z45" s="18" t="str">
        <x:v>NR</x:v>
      </x:c>
      <x:c r="AA45" s="18" t="str">
        <x:v>Yes</x:v>
      </x:c>
      <x:c r="AB45" s="18" t="str">
        <x:v>Yes</x:v>
      </x:c>
      <x:c r="AC45" s="18" t="str"/>
      <x:c r="AD45" s="18" t="str"/>
      <x:c r="AE45" s="18" t="str">
        <x:v>No</x:v>
      </x:c>
      <x:c r="AF45" s="18" t="str">
        <x:v>No</x:v>
      </x:c>
      <x:c r="AG45" s="18" t="str">
        <x:v>Potentially eligible for 48-h opioid analysis if median/IQR endpoints are prespecified</x:v>
      </x:c>
      <x:c r="AH45" s="18" t="str">
        <x:v>No</x:v>
      </x:c>
      <x:c r="AI45" s="18" t="str">
        <x:v>Authors converted opioids using ClinCalc; exact 24-h postoperative dose is not reported</x:v>
      </x:c>
      <x:c r="AJ45" s="18" t="str">
        <x:v>Table 1 / postoperative opioid-equivalent result</x:v>
      </x:c>
      <x:c r="AK45" s="18" t="str">
        <x:v>https://drive.google.com/file/d/1LXNXNhVJaOcYXBODulFUuMD4FQXC5dph/view?usp=drivesdk</x:v>
      </x:c>
      <x:c r="AL45" s="18" t="str">
        <x:v>SOURCE-VERIFIED / 48H ONLY</x:v>
      </x:c>
      <x:c r="AM45" s="18" t="str">
        <x:v>A-002</x:v>
      </x:c>
      <x:c r="AN45" s="18" t="str">
        <x:v>A</x:v>
      </x:c>
      <x:c r="AO45" s="18" t="str">
        <x:v>A_0-48h_cumulative_opioid</x:v>
      </x:c>
      <x:c r="AP45" s="18" t="str">
        <x:v>MATCHED</x:v>
      </x:c>
      <x:c r="AQ45" s="18" t="n">
        <x:v>1</x:v>
      </x:c>
      <x:c r="AR45" s="18" t="n">
        <x:v>0</x:v>
      </x:c>
      <x:c r="AS45" s="18" t="str">
        <x:v>Some concerns</x:v>
      </x:c>
      <x:c r="AT45" s="18" t="str">
        <x:v>P2</x:v>
      </x:c>
      <x:c r="AU45" s="18"/>
      <x:c r="AV45" s="18" t="str">
        <x:v>110 (80–110) vs 110 (90–110) mg IV MME</x:v>
      </x:c>
    </x:row>
    <x:row r="46">
      <x:c r="A46" s="18" t="str">
        <x:v>Zhang 2023</x:v>
      </x:c>
      <x:c r="B46" s="18" t="str">
        <x:v>ZHANG23_TEAS_vs_SHAM_OPIOID24</x:v>
      </x:c>
      <x:c r="C46" s="18" t="str">
        <x:v>TEAS</x:v>
      </x:c>
      <x:c r="D46" s="18" t="str">
        <x:v>Sham/no current</x:v>
      </x:c>
      <x:c r="E46" s="18" t="str">
        <x:v>Opioid consumption</x:v>
      </x:c>
      <x:c r="F46" s="18" t="str">
        <x:v>Exact cumulative postoperative opioid dose</x:v>
      </x:c>
      <x:c r="G46" s="18" t="str">
        <x:v>0-24 h</x:v>
      </x:c>
      <x:c r="H46" s="18" t="str">
        <x:v>Not reported</x:v>
      </x:c>
      <x:c r="I46" s="18" t="n">
        <x:v>975</x:v>
      </x:c>
      <x:c r="J46" s="18" t="n">
        <x:v>973</x:v>
      </x:c>
      <x:c r="K46" s="18" t="n">
        <x:v>922</x:v>
      </x:c>
      <x:c r="L46" s="18" t="n">
        <x:v>916</x:v>
      </x:c>
      <x:c r="M46" s="18"/>
      <x:c r="N46" s="18"/>
      <x:c r="O46" s="18"/>
      <x:c r="P46" s="18"/>
      <x:c r="Q46" s="18"/>
      <x:c r="R46" s="18"/>
      <x:c r="S46" s="18"/>
      <x:c r="T46" s="18"/>
      <x:c r="U46" s="18"/>
      <x:c r="V46" s="18"/>
      <x:c r="W46" s="18"/>
      <x:c r="X46" s="18"/>
      <x:c r="Y46" s="18" t="str">
        <x:v>mg IV morphine-equivalent</x:v>
      </x:c>
      <x:c r="Z46" s="18"/>
      <x:c r="AA46" s="18" t="str">
        <x:v>No</x:v>
      </x:c>
      <x:c r="AB46" s="18" t="str">
        <x:v>No</x:v>
      </x:c>
      <x:c r="AC46" s="18" t="str"/>
      <x:c r="AD46" s="18" t="str"/>
      <x:c r="AE46" s="18" t="str">
        <x:v>No</x:v>
      </x:c>
      <x:c r="AF46" s="18" t="str">
        <x:v>No</x:v>
      </x:c>
      <x:c r="AG46" s="18" t="str">
        <x:v>Not eligible for strict continuous 24-h opioid meta-analysis</x:v>
      </x:c>
      <x:c r="AH46" s="18" t="str">
        <x:v>No</x:v>
      </x:c>
      <x:c r="AI46" s="18" t="str">
        <x:v>Only a postoperative 48-h opioid-equivalent endpoint is reported</x:v>
      </x:c>
      <x:c r="AJ46" s="18" t="str">
        <x:v>Exact 24-h endpoint absent</x:v>
      </x:c>
      <x:c r="AK46" s="18" t="str">
        <x:v>https://drive.google.com/file/d/1LXNXNhVJaOcYXBODulFUuMD4FQXC5dph/view?usp=drivesdk</x:v>
      </x:c>
      <x:c r="AL46" s="18" t="str">
        <x:v>MISSING / NOT REPORTED</x:v>
      </x:c>
      <x:c r="AM46" s="18"/>
      <x:c r="AN46" s="18"/>
      <x:c r="AO46" s="18"/>
      <x:c r="AP46" s="18"/>
      <x:c r="AQ46" s="18" t="n">
        <x:v>0</x:v>
      </x:c>
      <x:c r="AR46" s="18" t="n">
        <x:v>0</x:v>
      </x:c>
      <x:c r="AS46" s="18"/>
      <x:c r="AT46" s="18"/>
      <x:c r="AU46" s="18"/>
      <x:c r="AV46" s="18"/>
    </x:row>
    <x:row r="47">
      <x:c r="A47" s="18" t="str">
        <x:v>Zhang 2014</x:v>
      </x:c>
      <x:c r="B47" s="18" t="str">
        <x:v>ZHANG14_TEAS_vs_SHAM_RR</x:v>
      </x:c>
      <x:c r="C47" s="18" t="str">
        <x:v>Preoperative TEAS</x:v>
      </x:c>
      <x:c r="D47" s="18" t="str">
        <x:v>Sham/no current</x:v>
      </x:c>
      <x:c r="E47" s="18" t="str">
        <x:v>Recovery</x:v>
      </x:c>
      <x:c r="F47" s="18" t="str">
        <x:v>Recovery-room stay</x:v>
      </x:c>
      <x:c r="G47" s="18" t="str">
        <x:v>Recovery-room discharge</x:v>
      </x:c>
      <x:c r="H47" s="18" t="str">
        <x:v>Mean/SD</x:v>
      </x:c>
      <x:c r="I47" s="18" t="n">
        <x:v>33</x:v>
      </x:c>
      <x:c r="J47" s="18" t="n">
        <x:v>32</x:v>
      </x:c>
      <x:c r="K47" s="18" t="n">
        <x:v>33</x:v>
      </x:c>
      <x:c r="L47" s="18" t="n">
        <x:v>32</x:v>
      </x:c>
      <x:c r="M47" s="18" t="n">
        <x:v>35.6</x:v>
      </x:c>
      <x:c r="N47" s="18" t="n">
        <x:v>12.9</x:v>
      </x:c>
      <x:c r="O47" s="18"/>
      <x:c r="P47" s="18"/>
      <x:c r="Q47" s="18"/>
      <x:c r="R47" s="18"/>
      <x:c r="S47" s="18" t="n">
        <x:v>48.3</x:v>
      </x:c>
      <x:c r="T47" s="18" t="n">
        <x:v>16.3</x:v>
      </x:c>
      <x:c r="U47" s="18"/>
      <x:c r="V47" s="18"/>
      <x:c r="W47" s="18"/>
      <x:c r="X47" s="18"/>
      <x:c r="Y47" s="18" t="str">
        <x:v>minutes</x:v>
      </x:c>
      <x:c r="Z47" s="18" t="str">
        <x:v>0.01</x:v>
      </x:c>
      <x:c r="AA47" s="18" t="str">
        <x:v>Yes</x:v>
      </x:c>
      <x:c r="AB47" s="18" t="str">
        <x:v>No</x:v>
      </x:c>
      <x:c r="AC47" s="18" t="str">
        <x:v>MD</x:v>
      </x:c>
      <x:c r="AD47" s="18" t="n">
        <x:v>-12.699999999999996</x:v>
      </x:c>
      <x:c r="AE47" s="18" t="str">
        <x:v>No</x:v>
      </x:c>
      <x:c r="AF47" s="18" t="str">
        <x:v>No</x:v>
      </x:c>
      <x:c r="AG47" s="18" t="str">
        <x:v>Eligible for recovery-time analysis</x:v>
      </x:c>
      <x:c r="AH47" s="18" t="str">
        <x:v>No</x:v>
      </x:c>
      <x:c r="AI47" s="18" t="str">
        <x:v>Abstract incorrectly states 72 randomized; detailed flowchart/tables show 65 randomized and analyzed</x:v>
      </x:c>
      <x:c r="AJ47" s="18" t="str">
        <x:v>Primary outcome / recovery-room stay</x:v>
      </x:c>
      <x:c r="AK47" s="18" t="str">
        <x:v>https://drive.google.com/file/d/1lws1zFpIE-wbLY8X9ewYyTuIP-WySa-c/view?usp=drivesdk</x:v>
      </x:c>
      <x:c r="AL47" s="18" t="str">
        <x:v>SOURCE-VERIFIED</x:v>
      </x:c>
      <x:c r="AM47" s="18"/>
      <x:c r="AN47" s="18"/>
      <x:c r="AO47" s="18"/>
      <x:c r="AP47" s="18"/>
      <x:c r="AQ47" s="18" t="n">
        <x:v>0</x:v>
      </x:c>
      <x:c r="AR47" s="18" t="n">
        <x:v>0</x:v>
      </x:c>
      <x:c r="AS47" s="18"/>
      <x:c r="AT47" s="18"/>
      <x:c r="AU47" s="18"/>
      <x:c r="AV47" s="18"/>
    </x:row>
    <x:row r="48">
      <x:c r="A48" s="18" t="str">
        <x:v>Zhang 2014</x:v>
      </x:c>
      <x:c r="B48" s="18" t="str">
        <x:v>ZHANG14_TEAS_vs_SHAM_REMI</x:v>
      </x:c>
      <x:c r="C48" s="18" t="str">
        <x:v>Preoperative TEAS</x:v>
      </x:c>
      <x:c r="D48" s="18" t="str">
        <x:v>Sham/no current</x:v>
      </x:c>
      <x:c r="E48" s="18" t="str">
        <x:v>Intraoperative opioid</x:v>
      </x:c>
      <x:c r="F48" s="18" t="str">
        <x:v>Remifentanil consumption rate</x:v>
      </x:c>
      <x:c r="G48" s="18" t="str">
        <x:v>Intraoperative</x:v>
      </x:c>
      <x:c r="H48" s="18" t="str">
        <x:v>Mean/SD</x:v>
      </x:c>
      <x:c r="I48" s="18" t="n">
        <x:v>33</x:v>
      </x:c>
      <x:c r="J48" s="18" t="n">
        <x:v>32</x:v>
      </x:c>
      <x:c r="K48" s="18" t="n">
        <x:v>33</x:v>
      </x:c>
      <x:c r="L48" s="18" t="n">
        <x:v>32</x:v>
      </x:c>
      <x:c r="M48" s="18" t="n">
        <x:v>0.06</x:v>
      </x:c>
      <x:c r="N48" s="18" t="n">
        <x:v>0.02</x:v>
      </x:c>
      <x:c r="O48" s="18"/>
      <x:c r="P48" s="18"/>
      <x:c r="Q48" s="18"/>
      <x:c r="R48" s="18"/>
      <x:c r="S48" s="18" t="n">
        <x:v>0.09</x:v>
      </x:c>
      <x:c r="T48" s="18" t="n">
        <x:v>0.03</x:v>
      </x:c>
      <x:c r="U48" s="18"/>
      <x:c r="V48" s="18"/>
      <x:c r="W48" s="18"/>
      <x:c r="X48" s="18"/>
      <x:c r="Y48" s="18" t="str">
        <x:v>µg/kg/min</x:v>
      </x:c>
      <x:c r="Z48" s="18" t="str">
        <x:v>0.01</x:v>
      </x:c>
      <x:c r="AA48" s="18" t="str">
        <x:v>Yes</x:v>
      </x:c>
      <x:c r="AB48" s="18" t="str">
        <x:v>No</x:v>
      </x:c>
      <x:c r="AC48" s="18" t="str">
        <x:v>MD</x:v>
      </x:c>
      <x:c r="AD48" s="18" t="n">
        <x:v>-0.03</x:v>
      </x:c>
      <x:c r="AE48" s="18" t="str">
        <x:v>No</x:v>
      </x:c>
      <x:c r="AF48" s="18" t="str">
        <x:v>No</x:v>
      </x:c>
      <x:c r="AG48" s="18" t="str">
        <x:v>Eligible for intraoperative opioid-sparing analysis only</x:v>
      </x:c>
      <x:c r="AH48" s="18" t="str">
        <x:v>No</x:v>
      </x:c>
      <x:c r="AI48" s="18" t="str">
        <x:v>Weight/time-normalized consumption, not absolute remifentanil dose</x:v>
      </x:c>
      <x:c r="AJ48" s="18" t="str">
        <x:v>Table 2 / intraoperative remifentanil</x:v>
      </x:c>
      <x:c r="AK48" s="18" t="str">
        <x:v>https://drive.google.com/file/d/1lws1zFpIE-wbLY8X9ewYyTuIP-WySa-c/view?usp=drivesdk</x:v>
      </x:c>
      <x:c r="AL48" s="18" t="str">
        <x:v>SOURCE-VERIFIED</x:v>
      </x:c>
      <x:c r="AM48" s="18" t="str">
        <x:v>F-intra-003</x:v>
      </x:c>
      <x:c r="AN48" s="18" t="str">
        <x:v>F-intra</x:v>
      </x:c>
      <x:c r="AO48" s="18" t="str">
        <x:v>F_intraop_titrated_requirement</x:v>
      </x:c>
      <x:c r="AP48" s="18" t="str">
        <x:v>MATCHED</x:v>
      </x:c>
      <x:c r="AQ48" s="18" t="n">
        <x:v>1</x:v>
      </x:c>
      <x:c r="AR48" s="18" t="n">
        <x:v>0</x:v>
      </x:c>
      <x:c r="AS48" s="18" t="str">
        <x:v>Some concerns</x:v>
      </x:c>
      <x:c r="AT48" s="18" t="str">
        <x:v>P3</x:v>
      </x:c>
      <x:c r="AU48" s="18"/>
      <x:c r="AV48" s="18" t="str">
        <x:v>0.06±0.02 vs0.09±0.03 μg/kg/min; P=0.01</x:v>
      </x:c>
    </x:row>
    <x:row r="49">
      <x:c r="A49" s="18" t="str">
        <x:v>Zhang 2014</x:v>
      </x:c>
      <x:c r="B49" s="18" t="str">
        <x:v>ZHANG14_TEAS_vs_SHAM_NAUSEA</x:v>
      </x:c>
      <x:c r="C49" s="18" t="str">
        <x:v>Preoperative TEAS</x:v>
      </x:c>
      <x:c r="D49" s="18" t="str">
        <x:v>Sham/no current</x:v>
      </x:c>
      <x:c r="E49" s="18" t="str">
        <x:v>PONV</x:v>
      </x:c>
      <x:c r="F49" s="18" t="str">
        <x:v>Postoperative nausea</x:v>
      </x:c>
      <x:c r="G49" s="18" t="str">
        <x:v>Postoperative</x:v>
      </x:c>
      <x:c r="H49" s="18" t="str">
        <x:v>Events/total</x:v>
      </x:c>
      <x:c r="I49" s="18" t="n">
        <x:v>33</x:v>
      </x:c>
      <x:c r="J49" s="18" t="n">
        <x:v>32</x:v>
      </x:c>
      <x:c r="K49" s="18" t="n">
        <x:v>33</x:v>
      </x:c>
      <x:c r="L49" s="18" t="n">
        <x:v>32</x:v>
      </x:c>
      <x:c r="M49" s="18"/>
      <x:c r="N49" s="18"/>
      <x:c r="O49" s="18"/>
      <x:c r="P49" s="18"/>
      <x:c r="Q49" s="18"/>
      <x:c r="R49" s="18" t="n">
        <x:v>7</x:v>
      </x:c>
      <x:c r="S49" s="18"/>
      <x:c r="T49" s="18"/>
      <x:c r="U49" s="18"/>
      <x:c r="V49" s="18"/>
      <x:c r="W49" s="18"/>
      <x:c r="X49" s="18" t="n">
        <x:v>15</x:v>
      </x:c>
      <x:c r="Y49" s="18" t="str">
        <x:v>participants</x:v>
      </x:c>
      <x:c r="Z49" s="18" t="str">
        <x:v>0.03</x:v>
      </x:c>
      <x:c r="AA49" s="18" t="str">
        <x:v>Yes</x:v>
      </x:c>
      <x:c r="AB49" s="18" t="str">
        <x:v>No</x:v>
      </x:c>
      <x:c r="AC49" s="18" t="str">
        <x:v>RR</x:v>
      </x:c>
      <x:c r="AD49" s="18" t="n">
        <x:v>0.45252525252525255</x:v>
      </x:c>
      <x:c r="AE49" s="18" t="str">
        <x:v>No</x:v>
      </x:c>
      <x:c r="AF49" s="18" t="str">
        <x:v>No</x:v>
      </x:c>
      <x:c r="AG49" s="18" t="str">
        <x:v>Eligible for dichotomous nausea analysis</x:v>
      </x:c>
      <x:c r="AH49" s="18" t="str">
        <x:v>No</x:v>
      </x:c>
      <x:c r="AI49" s="18" t="str">
        <x:v>No exact narrower time window reported in the extraction</x:v>
      </x:c>
      <x:c r="AJ49" s="18" t="str">
        <x:v>Table 3 / postoperative side effects</x:v>
      </x:c>
      <x:c r="AK49" s="18" t="str">
        <x:v>https://drive.google.com/file/d/1lws1zFpIE-wbLY8X9ewYyTuIP-WySa-c/view?usp=drivesdk</x:v>
      </x:c>
      <x:c r="AL49" s="18" t="str">
        <x:v>SOURCE-VERIFIED</x:v>
      </x:c>
      <x:c r="AM49" s="18"/>
      <x:c r="AN49" s="18"/>
      <x:c r="AO49" s="18"/>
      <x:c r="AP49" s="18"/>
      <x:c r="AQ49" s="18" t="n">
        <x:v>0</x:v>
      </x:c>
      <x:c r="AR49" s="18" t="n">
        <x:v>0</x:v>
      </x:c>
      <x:c r="AS49" s="18"/>
      <x:c r="AT49" s="18"/>
      <x:c r="AU49" s="18"/>
      <x:c r="AV49" s="18"/>
    </x:row>
    <x:row r="50">
      <x:c r="A50" s="18" t="str">
        <x:v>Zhang 2014</x:v>
      </x:c>
      <x:c r="B50" s="18" t="str">
        <x:v>ZHANG14_TEAS_vs_SHAM_VOMIT</x:v>
      </x:c>
      <x:c r="C50" s="18" t="str">
        <x:v>Preoperative TEAS</x:v>
      </x:c>
      <x:c r="D50" s="18" t="str">
        <x:v>Sham/no current</x:v>
      </x:c>
      <x:c r="E50" s="18" t="str">
        <x:v>PONV</x:v>
      </x:c>
      <x:c r="F50" s="18" t="str">
        <x:v>Postoperative vomiting</x:v>
      </x:c>
      <x:c r="G50" s="18" t="str">
        <x:v>Postoperative</x:v>
      </x:c>
      <x:c r="H50" s="18" t="str">
        <x:v>Events/total</x:v>
      </x:c>
      <x:c r="I50" s="18" t="n">
        <x:v>33</x:v>
      </x:c>
      <x:c r="J50" s="18" t="n">
        <x:v>32</x:v>
      </x:c>
      <x:c r="K50" s="18" t="n">
        <x:v>33</x:v>
      </x:c>
      <x:c r="L50" s="18" t="n">
        <x:v>32</x:v>
      </x:c>
      <x:c r="M50" s="18"/>
      <x:c r="N50" s="18"/>
      <x:c r="O50" s="18"/>
      <x:c r="P50" s="18"/>
      <x:c r="Q50" s="18"/>
      <x:c r="R50" s="18" t="n">
        <x:v>4</x:v>
      </x:c>
      <x:c r="S50" s="18"/>
      <x:c r="T50" s="18"/>
      <x:c r="U50" s="18"/>
      <x:c r="V50" s="18"/>
      <x:c r="W50" s="18"/>
      <x:c r="X50" s="18" t="n">
        <x:v>11</x:v>
      </x:c>
      <x:c r="Y50" s="18" t="str">
        <x:v>participants</x:v>
      </x:c>
      <x:c r="Z50" s="18" t="str">
        <x:v>0.03</x:v>
      </x:c>
      <x:c r="AA50" s="18" t="str">
        <x:v>Yes</x:v>
      </x:c>
      <x:c r="AB50" s="18" t="str">
        <x:v>No</x:v>
      </x:c>
      <x:c r="AC50" s="18" t="str">
        <x:v>RR</x:v>
      </x:c>
      <x:c r="AD50" s="18" t="n">
        <x:v>0.3526170798898072</x:v>
      </x:c>
      <x:c r="AE50" s="18" t="str">
        <x:v>No</x:v>
      </x:c>
      <x:c r="AF50" s="18" t="str">
        <x:v>No</x:v>
      </x:c>
      <x:c r="AG50" s="18" t="str">
        <x:v>Eligible for dichotomous vomiting analysis</x:v>
      </x:c>
      <x:c r="AH50" s="18" t="str">
        <x:v>No</x:v>
      </x:c>
      <x:c r="AI50" s="18" t="str">
        <x:v>No exact narrower time window reported in the extraction</x:v>
      </x:c>
      <x:c r="AJ50" s="18" t="str">
        <x:v>Table 3 / postoperative side effects</x:v>
      </x:c>
      <x:c r="AK50" s="18" t="str">
        <x:v>https://drive.google.com/file/d/1lws1zFpIE-wbLY8X9ewYyTuIP-WySa-c/view?usp=drivesdk</x:v>
      </x:c>
      <x:c r="AL50" s="18" t="str">
        <x:v>SOURCE-VERIFIED</x:v>
      </x:c>
      <x:c r="AM50" s="18"/>
      <x:c r="AN50" s="18"/>
      <x:c r="AO50" s="18"/>
      <x:c r="AP50" s="18"/>
      <x:c r="AQ50" s="18" t="n">
        <x:v>0</x:v>
      </x:c>
      <x:c r="AR50" s="18" t="n">
        <x:v>0</x:v>
      </x:c>
      <x:c r="AS50" s="18"/>
      <x:c r="AT50" s="18"/>
      <x:c r="AU50" s="18"/>
      <x:c r="AV50" s="18"/>
    </x:row>
    <x:row r="51">
      <x:c r="A51" s="18" t="str">
        <x:v>Zhang 2014</x:v>
      </x:c>
      <x:c r="B51" s="18" t="str">
        <x:v>ZHANG14_TEAS_vs_SHAM_OPIOID24</x:v>
      </x:c>
      <x:c r="C51" s="18" t="str">
        <x:v>Preoperative TEAS</x:v>
      </x:c>
      <x:c r="D51" s="18" t="str">
        <x:v>Sham/no current</x:v>
      </x:c>
      <x:c r="E51" s="18" t="str">
        <x:v>Opioid consumption</x:v>
      </x:c>
      <x:c r="F51" s="18" t="str">
        <x:v>Exact cumulative postoperative opioid dose</x:v>
      </x:c>
      <x:c r="G51" s="18" t="str">
        <x:v>0-24 h</x:v>
      </x:c>
      <x:c r="H51" s="18" t="str">
        <x:v>Not reported</x:v>
      </x:c>
      <x:c r="I51" s="18" t="n">
        <x:v>33</x:v>
      </x:c>
      <x:c r="J51" s="18" t="n">
        <x:v>32</x:v>
      </x:c>
      <x:c r="K51" s="18" t="n">
        <x:v>33</x:v>
      </x:c>
      <x:c r="L51" s="18" t="n">
        <x:v>32</x:v>
      </x:c>
      <x:c r="M51" s="18"/>
      <x:c r="N51" s="18"/>
      <x:c r="O51" s="18"/>
      <x:c r="P51" s="18"/>
      <x:c r="Q51" s="18"/>
      <x:c r="R51" s="18"/>
      <x:c r="S51" s="18"/>
      <x:c r="T51" s="18"/>
      <x:c r="U51" s="18"/>
      <x:c r="V51" s="18"/>
      <x:c r="W51" s="18"/>
      <x:c r="X51" s="18"/>
      <x:c r="Y51" s="18" t="str">
        <x:v>mg/µg</x:v>
      </x:c>
      <x:c r="Z51" s="18"/>
      <x:c r="AA51" s="18" t="str">
        <x:v>No</x:v>
      </x:c>
      <x:c r="AB51" s="18" t="str">
        <x:v>No</x:v>
      </x:c>
      <x:c r="AC51" s="18" t="str"/>
      <x:c r="AD51" s="18" t="str"/>
      <x:c r="AE51" s="18" t="str">
        <x:v>No</x:v>
      </x:c>
      <x:c r="AF51" s="18" t="str">
        <x:v>No</x:v>
      </x:c>
      <x:c r="AG51" s="18" t="str">
        <x:v>Not eligible for continuous 24-h postoperative opioid meta-analysis</x:v>
      </x:c>
      <x:c r="AH51" s="18" t="str">
        <x:v>No</x:v>
      </x:c>
      <x:c r="AI51" s="18" t="str">
        <x:v>Study reports intraoperative remifentanil rate but no exact postoperative opioid-consumption total</x:v>
      </x:c>
      <x:c r="AJ51" s="18" t="str">
        <x:v>Postoperative analgesic section</x:v>
      </x:c>
      <x:c r="AK51" s="18" t="str">
        <x:v>https://drive.google.com/file/d/1lws1zFpIE-wbLY8X9ewYyTuIP-WySa-c/view?usp=drivesdk</x:v>
      </x:c>
      <x:c r="AL51" s="18" t="str">
        <x:v>MISSING / NOT REPORTED</x:v>
      </x:c>
      <x:c r="AM51" s="18"/>
      <x:c r="AN51" s="18"/>
      <x:c r="AO51" s="18"/>
      <x:c r="AP51" s="18"/>
      <x:c r="AQ51" s="18" t="n">
        <x:v>0</x:v>
      </x:c>
      <x:c r="AR51" s="18" t="n">
        <x:v>0</x:v>
      </x:c>
      <x:c r="AS51" s="18"/>
      <x:c r="AT51" s="18"/>
      <x:c r="AU51" s="18"/>
      <x:c r="AV51" s="18"/>
    </x:row>
    <x:row r="52">
      <x:c r="A52" s="18" t="str">
        <x:v>Yang 2024</x:v>
      </x:c>
      <x:c r="B52" s="18" t="str">
        <x:v>YANG24_EA_vs_UC_MORPH24</x:v>
      </x:c>
      <x:c r="C52" s="18" t="str">
        <x:v>Perioperative EA + usual care</x:v>
      </x:c>
      <x:c r="D52" s="18" t="str">
        <x:v>Usual care</x:v>
      </x:c>
      <x:c r="E52" s="18" t="str">
        <x:v>Opioid consumption</x:v>
      </x:c>
      <x:c r="F52" s="18" t="str">
        <x:v>Morphine use via IV PCA</x:v>
      </x:c>
      <x:c r="G52" s="18" t="str">
        <x:v>First 24 h / POD1</x:v>
      </x:c>
      <x:c r="H52" s="18" t="str">
        <x:v>Mean/SD</x:v>
      </x:c>
      <x:c r="I52" s="18" t="n">
        <x:v>90</x:v>
      </x:c>
      <x:c r="J52" s="18" t="n">
        <x:v>90</x:v>
      </x:c>
      <x:c r="K52" s="18" t="n">
        <x:v>90</x:v>
      </x:c>
      <x:c r="L52" s="18" t="n">
        <x:v>90</x:v>
      </x:c>
      <x:c r="M52" s="18" t="n">
        <x:v>43.7</x:v>
      </x:c>
      <x:c r="N52" s="18" t="n">
        <x:v>4.7</x:v>
      </x:c>
      <x:c r="O52" s="18"/>
      <x:c r="P52" s="18"/>
      <x:c r="Q52" s="18"/>
      <x:c r="R52" s="18"/>
      <x:c r="S52" s="18" t="n">
        <x:v>44</x:v>
      </x:c>
      <x:c r="T52" s="18" t="n">
        <x:v>4.9</x:v>
      </x:c>
      <x:c r="U52" s="18"/>
      <x:c r="V52" s="18"/>
      <x:c r="W52" s="18"/>
      <x:c r="X52" s="18"/>
      <x:c r="Y52" s="18" t="str">
        <x:v>mg morphine</x:v>
      </x:c>
      <x:c r="Z52" s="18" t="str">
        <x:v>0.733</x:v>
      </x:c>
      <x:c r="AA52" s="18" t="str">
        <x:v>Yes</x:v>
      </x:c>
      <x:c r="AB52" s="18" t="str">
        <x:v>No</x:v>
      </x:c>
      <x:c r="AC52" s="18" t="str">
        <x:v>MD</x:v>
      </x:c>
      <x:c r="AD52" s="18" t="n">
        <x:v>-0.29999999999999716</x:v>
      </x:c>
      <x:c r="AE52" s="18" t="str">
        <x:v>Yes</x:v>
      </x:c>
      <x:c r="AF52" s="18" t="str">
        <x:v>Yes</x:v>
      </x:c>
      <x:c r="AG52" s="18" t="str">
        <x:v>Primary continuous 24-h opioid outcome</x:v>
      </x:c>
      <x:c r="AH52" s="18" t="str">
        <x:v>No</x:v>
      </x:c>
      <x:c r="AI52" s="18" t="str">
        <x:v>All 180 randomized participants retained in ITT; open-label patients but objective PCA drug-use record</x:v>
      </x:c>
      <x:c r="AJ52" s="18" t="str">
        <x:v>Table 3 / Morphine use on POD1</x:v>
      </x:c>
      <x:c r="AK52" s="18" t="str">
        <x:v>https://drive.google.com/file/d/160N3psd5tLEphwXHJzUEZ3uJfaIXcs5V/view?usp=drivesdk</x:v>
      </x:c>
      <x:c r="AL52" s="18" t="str">
        <x:v>SOURCE-VERIFIED</x:v>
      </x:c>
      <x:c r="AM52" s="18"/>
      <x:c r="AN52" s="18"/>
      <x:c r="AO52" s="18"/>
      <x:c r="AP52" s="18"/>
      <x:c r="AQ52" s="18" t="n">
        <x:v>0</x:v>
      </x:c>
      <x:c r="AR52" s="18" t="n">
        <x:v>0</x:v>
      </x:c>
      <x:c r="AS52" s="18"/>
      <x:c r="AT52" s="18"/>
      <x:c r="AU52" s="18"/>
      <x:c r="AV52" s="18"/>
    </x:row>
    <x:row r="53">
      <x:c r="A53" s="18" t="str">
        <x:v>Yang 2024</x:v>
      </x:c>
      <x:c r="B53" s="18" t="str">
        <x:v>YANG24_EA_vs_UC_FLATUS</x:v>
      </x:c>
      <x:c r="C53" s="18" t="str">
        <x:v>Perioperative EA + usual care</x:v>
      </x:c>
      <x:c r="D53" s="18" t="str">
        <x:v>Usual care</x:v>
      </x:c>
      <x:c r="E53" s="18" t="str">
        <x:v>GI recovery</x:v>
      </x:c>
      <x:c r="F53" s="18" t="str">
        <x:v>Time to first flatus</x:v>
      </x:c>
      <x:c r="G53" s="18" t="str">
        <x:v>Postoperative</x:v>
      </x:c>
      <x:c r="H53" s="18" t="str">
        <x:v>Mean/SD</x:v>
      </x:c>
      <x:c r="I53" s="18" t="n">
        <x:v>90</x:v>
      </x:c>
      <x:c r="J53" s="18" t="n">
        <x:v>90</x:v>
      </x:c>
      <x:c r="K53" s="18" t="n">
        <x:v>90</x:v>
      </x:c>
      <x:c r="L53" s="18" t="n">
        <x:v>90</x:v>
      </x:c>
      <x:c r="M53" s="18" t="n">
        <x:v>15.4</x:v>
      </x:c>
      <x:c r="N53" s="18" t="n">
        <x:v>3.2</x:v>
      </x:c>
      <x:c r="O53" s="18"/>
      <x:c r="P53" s="18"/>
      <x:c r="Q53" s="18"/>
      <x:c r="R53" s="18"/>
      <x:c r="S53" s="18" t="n">
        <x:v>17</x:v>
      </x:c>
      <x:c r="T53" s="18" t="n">
        <x:v>3.7</x:v>
      </x:c>
      <x:c r="U53" s="18"/>
      <x:c r="V53" s="18"/>
      <x:c r="W53" s="18"/>
      <x:c r="X53" s="18"/>
      <x:c r="Y53" s="18" t="str">
        <x:v>hours</x:v>
      </x:c>
      <x:c r="Z53" s="18" t="str">
        <x:v>0.004</x:v>
      </x:c>
      <x:c r="AA53" s="18" t="str">
        <x:v>Yes</x:v>
      </x:c>
      <x:c r="AB53" s="18" t="str">
        <x:v>No</x:v>
      </x:c>
      <x:c r="AC53" s="18" t="str">
        <x:v>MD</x:v>
      </x:c>
      <x:c r="AD53" s="18" t="n">
        <x:v>-1.5999999999999996</x:v>
      </x:c>
      <x:c r="AE53" s="18" t="str">
        <x:v>No</x:v>
      </x:c>
      <x:c r="AF53" s="18" t="str">
        <x:v>No</x:v>
      </x:c>
      <x:c r="AG53" s="18" t="str">
        <x:v>Eligible for GI-recovery meta-analysis</x:v>
      </x:c>
      <x:c r="AH53" s="18" t="str">
        <x:v>No</x:v>
      </x:c>
      <x:c r="AI53" s="18" t="str">
        <x:v>Open-label participants; outcome assessor blinded</x:v>
      </x:c>
      <x:c r="AJ53" s="18" t="str">
        <x:v>Table 2 / primary first-flatus outcome</x:v>
      </x:c>
      <x:c r="AK53" s="18" t="str">
        <x:v>https://drive.google.com/file/d/160N3psd5tLEphwXHJzUEZ3uJfaIXcs5V/view?usp=drivesdk</x:v>
      </x:c>
      <x:c r="AL53" s="18" t="str">
        <x:v>SOURCE-VERIFIED</x:v>
      </x:c>
      <x:c r="AM53" s="18" t="str">
        <x:v>E-003</x:v>
      </x:c>
      <x:c r="AN53" s="18" t="str">
        <x:v>E</x:v>
      </x:c>
      <x:c r="AO53" s="18" t="str">
        <x:v>E_time_to_first_flatus</x:v>
      </x:c>
      <x:c r="AP53" s="18" t="str">
        <x:v>MATCHED</x:v>
      </x:c>
      <x:c r="AQ53" s="18" t="n">
        <x:v>1</x:v>
      </x:c>
      <x:c r="AR53" s="18" t="n">
        <x:v>0</x:v>
      </x:c>
      <x:c r="AS53" s="18" t="str">
        <x:v>High</x:v>
      </x:c>
      <x:c r="AT53" s="18" t="str">
        <x:v>P2</x:v>
      </x:c>
      <x:c r="AU53" s="18"/>
      <x:c r="AV53" s="18" t="str">
        <x:v>15.4±3.2 vs 17.0±3.7 h</x:v>
      </x:c>
    </x:row>
    <x:row r="54">
      <x:c r="A54" s="18" t="str">
        <x:v>Yang 2024</x:v>
      </x:c>
      <x:c r="B54" s="18" t="str">
        <x:v>YANG24_EA_vs_UC_DEFEC</x:v>
      </x:c>
      <x:c r="C54" s="18" t="str">
        <x:v>Perioperative EA + usual care</x:v>
      </x:c>
      <x:c r="D54" s="18" t="str">
        <x:v>Usual care</x:v>
      </x:c>
      <x:c r="E54" s="18" t="str">
        <x:v>GI recovery</x:v>
      </x:c>
      <x:c r="F54" s="18" t="str">
        <x:v>Time to first defecation</x:v>
      </x:c>
      <x:c r="G54" s="18" t="str">
        <x:v>Postoperative</x:v>
      </x:c>
      <x:c r="H54" s="18" t="str">
        <x:v>Mean/SD</x:v>
      </x:c>
      <x:c r="I54" s="18" t="n">
        <x:v>90</x:v>
      </x:c>
      <x:c r="J54" s="18" t="n">
        <x:v>90</x:v>
      </x:c>
      <x:c r="K54" s="18" t="n">
        <x:v>90</x:v>
      </x:c>
      <x:c r="L54" s="18" t="n">
        <x:v>90</x:v>
      </x:c>
      <x:c r="M54" s="18" t="n">
        <x:v>75.9</x:v>
      </x:c>
      <x:c r="N54" s="18" t="n">
        <x:v>7.9</x:v>
      </x:c>
      <x:c r="O54" s="18"/>
      <x:c r="P54" s="18"/>
      <x:c r="Q54" s="18"/>
      <x:c r="R54" s="18"/>
      <x:c r="S54" s="18" t="n">
        <x:v>79.7</x:v>
      </x:c>
      <x:c r="T54" s="18" t="n">
        <x:v>8.1</x:v>
      </x:c>
      <x:c r="U54" s="18"/>
      <x:c r="V54" s="18"/>
      <x:c r="W54" s="18"/>
      <x:c r="X54" s="18"/>
      <x:c r="Y54" s="18" t="str">
        <x:v>hours</x:v>
      </x:c>
      <x:c r="Z54" s="18" t="str">
        <x:v>0.002</x:v>
      </x:c>
      <x:c r="AA54" s="18" t="str">
        <x:v>Yes</x:v>
      </x:c>
      <x:c r="AB54" s="18" t="str">
        <x:v>No</x:v>
      </x:c>
      <x:c r="AC54" s="18" t="str">
        <x:v>MD</x:v>
      </x:c>
      <x:c r="AD54" s="18" t="n">
        <x:v>-3.799999999999997</x:v>
      </x:c>
      <x:c r="AE54" s="18" t="str">
        <x:v>No</x:v>
      </x:c>
      <x:c r="AF54" s="18" t="str">
        <x:v>No</x:v>
      </x:c>
      <x:c r="AG54" s="18" t="str">
        <x:v>Eligible for GI-recovery meta-analysis</x:v>
      </x:c>
      <x:c r="AH54" s="18" t="str">
        <x:v>No</x:v>
      </x:c>
      <x:c r="AI54" s="18" t="str">
        <x:v>Open-label participants; outcome assessor blinded</x:v>
      </x:c>
      <x:c r="AJ54" s="18" t="str">
        <x:v>Table 2 / primary first-defecation outcome</x:v>
      </x:c>
      <x:c r="AK54" s="18" t="str">
        <x:v>https://drive.google.com/file/d/160N3psd5tLEphwXHJzUEZ3uJfaIXcs5V/view?usp=drivesdk</x:v>
      </x:c>
      <x:c r="AL54" s="18" t="str">
        <x:v>SOURCE-VERIFIED</x:v>
      </x:c>
      <x:c r="AM54" s="18"/>
      <x:c r="AN54" s="18"/>
      <x:c r="AO54" s="18"/>
      <x:c r="AP54" s="18"/>
      <x:c r="AQ54" s="18" t="n">
        <x:v>0</x:v>
      </x:c>
      <x:c r="AR54" s="18" t="n">
        <x:v>0</x:v>
      </x:c>
      <x:c r="AS54" s="18"/>
      <x:c r="AT54" s="18"/>
      <x:c r="AU54" s="18"/>
      <x:c r="AV54" s="18"/>
    </x:row>
    <x:row r="55">
      <x:c r="A55" s="18" t="str">
        <x:v>Yang 2024</x:v>
      </x:c>
      <x:c r="B55" s="18" t="str">
        <x:v>YANG24_EA_vs_UC_VOMIT</x:v>
      </x:c>
      <x:c r="C55" s="18" t="str">
        <x:v>Perioperative EA + usual care</x:v>
      </x:c>
      <x:c r="D55" s="18" t="str">
        <x:v>Usual care</x:v>
      </x:c>
      <x:c r="E55" s="18" t="str">
        <x:v>PONV</x:v>
      </x:c>
      <x:c r="F55" s="18" t="str">
        <x:v>Postoperative vomiting</x:v>
      </x:c>
      <x:c r="G55" s="18" t="str">
        <x:v>0-24 h</x:v>
      </x:c>
      <x:c r="H55" s="18" t="str">
        <x:v>Events/total</x:v>
      </x:c>
      <x:c r="I55" s="18" t="n">
        <x:v>90</x:v>
      </x:c>
      <x:c r="J55" s="18" t="n">
        <x:v>90</x:v>
      </x:c>
      <x:c r="K55" s="18" t="n">
        <x:v>90</x:v>
      </x:c>
      <x:c r="L55" s="18" t="n">
        <x:v>90</x:v>
      </x:c>
      <x:c r="M55" s="18"/>
      <x:c r="N55" s="18"/>
      <x:c r="O55" s="18"/>
      <x:c r="P55" s="18"/>
      <x:c r="Q55" s="18"/>
      <x:c r="R55" s="18" t="n">
        <x:v>12</x:v>
      </x:c>
      <x:c r="S55" s="18"/>
      <x:c r="T55" s="18"/>
      <x:c r="U55" s="18"/>
      <x:c r="V55" s="18"/>
      <x:c r="W55" s="18"/>
      <x:c r="X55" s="18" t="n">
        <x:v>25</x:v>
      </x:c>
      <x:c r="Y55" s="18" t="str">
        <x:v>participants</x:v>
      </x:c>
      <x:c r="Z55" s="18" t="str">
        <x:v>0.016</x:v>
      </x:c>
      <x:c r="AA55" s="18" t="str">
        <x:v>Yes</x:v>
      </x:c>
      <x:c r="AB55" s="18" t="str">
        <x:v>No</x:v>
      </x:c>
      <x:c r="AC55" s="18" t="str">
        <x:v>RR</x:v>
      </x:c>
      <x:c r="AD55" s="18" t="n">
        <x:v>0.48</x:v>
      </x:c>
      <x:c r="AE55" s="18" t="str">
        <x:v>No</x:v>
      </x:c>
      <x:c r="AF55" s="18" t="str">
        <x:v>No</x:v>
      </x:c>
      <x:c r="AG55" s="18" t="str">
        <x:v>Separate 0-24 h vomiting analysis; do not relabel as composite PONV</x:v>
      </x:c>
      <x:c r="AH55" s="18" t="str">
        <x:v>No</x:v>
      </x:c>
      <x:c r="AI55" s="18" t="str">
        <x:v>Vomiting 12/90 vs25/90 is the 0-24 h interval; prior v20 label 'within72 h' corrected in AF lock copy.</x:v>
      </x:c>
      <x:c r="AJ55" s="18" t="str">
        <x:v>Secondary outcomes / PONV</x:v>
      </x:c>
      <x:c r="AK55" s="18" t="str">
        <x:v>https://drive.google.com/file/d/160N3psd5tLEphwXHJzUEZ3uJfaIXcs5V/view?usp=drivesdk</x:v>
      </x:c>
      <x:c r="AL55" s="18" t="str">
        <x:v>SOURCE-VERIFIED / AF-CORRECTED</x:v>
      </x:c>
      <x:c r="AM55" s="18" t="str">
        <x:v>D-009</x:v>
      </x:c>
      <x:c r="AN55" s="18" t="str">
        <x:v>D</x:v>
      </x:c>
      <x:c r="AO55" s="18" t="str">
        <x:v>D_vomiting_0-24h</x:v>
      </x:c>
      <x:c r="AP55" s="18" t="str">
        <x:v>CORRECTED_V22</x:v>
      </x:c>
      <x:c r="AQ55" s="18" t="n">
        <x:v>1</x:v>
      </x:c>
      <x:c r="AR55" s="18" t="n">
        <x:v>0</x:v>
      </x:c>
      <x:c r="AS55" s="18" t="str">
        <x:v>Some concerns</x:v>
      </x:c>
      <x:c r="AT55" s="18" t="str">
        <x:v>P2</x:v>
      </x:c>
      <x:c r="AU55" s="18"/>
      <x:c r="AV55" s="18" t="str">
        <x:v>12/90 vs 25/90</x:v>
      </x:c>
    </x:row>
    <x:row r="56">
      <x:c r="A56" s="18" t="str">
        <x:v>Xiong 2021</x:v>
      </x:c>
      <x:c r="B56" s="18" t="str">
        <x:v>XIONG21_TEAS_vs_CTRL_PONV48</x:v>
      </x:c>
      <x:c r="C56" s="18" t="str">
        <x:v>TEAS + dexamethasone + tropisetron</x:v>
      </x:c>
      <x:c r="D56" s="18" t="str">
        <x:v>Dexamethasone + tropisetron</x:v>
      </x:c>
      <x:c r="E56" s="18" t="str">
        <x:v>PONV</x:v>
      </x:c>
      <x:c r="F56" s="18" t="str">
        <x:v>Any PONV</x:v>
      </x:c>
      <x:c r="G56" s="18" t="str">
        <x:v>Within 48 h</x:v>
      </x:c>
      <x:c r="H56" s="18" t="str">
        <x:v>Events/total</x:v>
      </x:c>
      <x:c r="I56" s="18" t="n">
        <x:v>31</x:v>
      </x:c>
      <x:c r="J56" s="18" t="n">
        <x:v>31</x:v>
      </x:c>
      <x:c r="K56" s="18" t="n">
        <x:v>31</x:v>
      </x:c>
      <x:c r="L56" s="18" t="n">
        <x:v>31</x:v>
      </x:c>
      <x:c r="M56" s="18"/>
      <x:c r="N56" s="18"/>
      <x:c r="O56" s="18"/>
      <x:c r="P56" s="18"/>
      <x:c r="Q56" s="18"/>
      <x:c r="R56" s="18" t="n">
        <x:v>13</x:v>
      </x:c>
      <x:c r="S56" s="18"/>
      <x:c r="T56" s="18"/>
      <x:c r="U56" s="18"/>
      <x:c r="V56" s="18"/>
      <x:c r="W56" s="18"/>
      <x:c r="X56" s="18" t="n">
        <x:v>24</x:v>
      </x:c>
      <x:c r="Y56" s="18" t="str">
        <x:v>participants</x:v>
      </x:c>
      <x:c r="Z56" s="18" t="str">
        <x:v>0.004</x:v>
      </x:c>
      <x:c r="AA56" s="18" t="str">
        <x:v>Yes</x:v>
      </x:c>
      <x:c r="AB56" s="18" t="str">
        <x:v>No</x:v>
      </x:c>
      <x:c r="AC56" s="18" t="str">
        <x:v>RR</x:v>
      </x:c>
      <x:c r="AD56" s="18" t="n">
        <x:v>0.5416666666666667</x:v>
      </x:c>
      <x:c r="AE56" s="18" t="str">
        <x:v>No</x:v>
      </x:c>
      <x:c r="AF56" s="18" t="str">
        <x:v>No</x:v>
      </x:c>
      <x:c r="AG56" s="18" t="str">
        <x:v>Eligible for dichotomous 48-h PONV analysis</x:v>
      </x:c>
      <x:c r="AH56" s="18" t="str">
        <x:v>No</x:v>
      </x:c>
      <x:c r="AI56" s="18" t="str">
        <x:v>Participant blinding intended but active postoperative tingling may have revealed allocation</x:v>
      </x:c>
      <x:c r="AJ56" s="18" t="str">
        <x:v>Abstract / 48-h PONV result</x:v>
      </x:c>
      <x:c r="AK56" s="18" t="str">
        <x:v>https://drive.google.com/file/d/1sNaquYeWpsts7_e3XYP9c0CwM-tbQS6T/view?usp=drivesdk</x:v>
      </x:c>
      <x:c r="AL56" s="18" t="str">
        <x:v>SOURCE-VERIFIED</x:v>
      </x:c>
      <x:c r="AM56" s="18" t="str">
        <x:v>D-003</x:v>
      </x:c>
      <x:c r="AN56" s="18" t="str">
        <x:v>D</x:v>
      </x:c>
      <x:c r="AO56" s="18" t="str">
        <x:v>D_PONV_0-48h</x:v>
      </x:c>
      <x:c r="AP56" s="18" t="str">
        <x:v>MATCHED</x:v>
      </x:c>
      <x:c r="AQ56" s="18" t="n">
        <x:v>1</x:v>
      </x:c>
      <x:c r="AR56" s="18" t="n">
        <x:v>0</x:v>
      </x:c>
      <x:c r="AS56" s="18" t="str">
        <x:v>High</x:v>
      </x:c>
      <x:c r="AT56" s="18"/>
      <x:c r="AU56" s="18"/>
      <x:c r="AV56" s="18" t="str">
        <x:v>13/31 vs 24/31</x:v>
      </x:c>
    </x:row>
    <x:row r="57">
      <x:c r="A57" s="18" t="str">
        <x:v>Xiong 2021</x:v>
      </x:c>
      <x:c r="B57" s="18" t="str">
        <x:v>XIONG21_TEAS_vs_CTRL_CIPONV</x:v>
      </x:c>
      <x:c r="C57" s="18" t="str">
        <x:v>TEAS + dexamethasone + tropisetron</x:v>
      </x:c>
      <x:c r="D57" s="18" t="str">
        <x:v>Dexamethasone + tropisetron</x:v>
      </x:c>
      <x:c r="E57" s="18" t="str">
        <x:v>PONV</x:v>
      </x:c>
      <x:c r="F57" s="18" t="str">
        <x:v>Clinically important PONV</x:v>
      </x:c>
      <x:c r="G57" s="18" t="str">
        <x:v>Within 48 h</x:v>
      </x:c>
      <x:c r="H57" s="18" t="str">
        <x:v>Events/total</x:v>
      </x:c>
      <x:c r="I57" s="18" t="n">
        <x:v>31</x:v>
      </x:c>
      <x:c r="J57" s="18" t="n">
        <x:v>31</x:v>
      </x:c>
      <x:c r="K57" s="18" t="n">
        <x:v>31</x:v>
      </x:c>
      <x:c r="L57" s="18" t="n">
        <x:v>31</x:v>
      </x:c>
      <x:c r="M57" s="18"/>
      <x:c r="N57" s="18"/>
      <x:c r="O57" s="18"/>
      <x:c r="P57" s="18"/>
      <x:c r="Q57" s="18"/>
      <x:c r="R57" s="18" t="n">
        <x:v>5</x:v>
      </x:c>
      <x:c r="S57" s="18"/>
      <x:c r="T57" s="18"/>
      <x:c r="U57" s="18"/>
      <x:c r="V57" s="18"/>
      <x:c r="W57" s="18"/>
      <x:c r="X57" s="18" t="n">
        <x:v>15</x:v>
      </x:c>
      <x:c r="Y57" s="18" t="str">
        <x:v>participants</x:v>
      </x:c>
      <x:c r="Z57" s="18" t="str">
        <x:v>0.007</x:v>
      </x:c>
      <x:c r="AA57" s="18" t="str">
        <x:v>Yes</x:v>
      </x:c>
      <x:c r="AB57" s="18" t="str">
        <x:v>No</x:v>
      </x:c>
      <x:c r="AC57" s="18" t="str">
        <x:v>RR</x:v>
      </x:c>
      <x:c r="AD57" s="18" t="n">
        <x:v>0.3333333333333333</x:v>
      </x:c>
      <x:c r="AE57" s="18" t="str">
        <x:v>No</x:v>
      </x:c>
      <x:c r="AF57" s="18" t="str">
        <x:v>No</x:v>
      </x:c>
      <x:c r="AG57" s="18" t="str">
        <x:v>Eligible for dichotomous clinically-important PONV analysis</x:v>
      </x:c>
      <x:c r="AH57" s="18" t="str">
        <x:v>No</x:v>
      </x:c>
      <x:c r="AI57" s="18" t="str">
        <x:v>Patient-reported symptom severity; sensory blinding may be imperfect</x:v>
      </x:c>
      <x:c r="AJ57" s="18" t="str">
        <x:v>Abstract / clinically important PONV</x:v>
      </x:c>
      <x:c r="AK57" s="18" t="str">
        <x:v>https://drive.google.com/file/d/1sNaquYeWpsts7_e3XYP9c0CwM-tbQS6T/view?usp=drivesdk</x:v>
      </x:c>
      <x:c r="AL57" s="18" t="str">
        <x:v>SOURCE-VERIFIED</x:v>
      </x:c>
      <x:c r="AM57" s="18"/>
      <x:c r="AN57" s="18"/>
      <x:c r="AO57" s="18"/>
      <x:c r="AP57" s="18"/>
      <x:c r="AQ57" s="18" t="n">
        <x:v>0</x:v>
      </x:c>
      <x:c r="AR57" s="18" t="n">
        <x:v>0</x:v>
      </x:c>
      <x:c r="AS57" s="18"/>
      <x:c r="AT57" s="18"/>
      <x:c r="AU57" s="18"/>
      <x:c r="AV57" s="18"/>
    </x:row>
    <x:row r="58">
      <x:c r="A58" s="18" t="str">
        <x:v>Xiong 2021</x:v>
      </x:c>
      <x:c r="B58" s="18" t="str">
        <x:v>XIONG21_TEAS_vs_CTRL_RESCUEAE</x:v>
      </x:c>
      <x:c r="C58" s="18" t="str">
        <x:v>TEAS + dexamethasone + tropisetron</x:v>
      </x:c>
      <x:c r="D58" s="18" t="str">
        <x:v>Dexamethasone + tropisetron</x:v>
      </x:c>
      <x:c r="E58" s="18" t="str">
        <x:v>Rescue antiemetic</x:v>
      </x:c>
      <x:c r="F58" s="18" t="str">
        <x:v>Any rescue antiemetic medication</x:v>
      </x:c>
      <x:c r="G58" s="18" t="str">
        <x:v>Within 48 h</x:v>
      </x:c>
      <x:c r="H58" s="18" t="str">
        <x:v>Events/total</x:v>
      </x:c>
      <x:c r="I58" s="18" t="n">
        <x:v>31</x:v>
      </x:c>
      <x:c r="J58" s="18" t="n">
        <x:v>31</x:v>
      </x:c>
      <x:c r="K58" s="18" t="n">
        <x:v>31</x:v>
      </x:c>
      <x:c r="L58" s="18" t="n">
        <x:v>31</x:v>
      </x:c>
      <x:c r="M58" s="18"/>
      <x:c r="N58" s="18"/>
      <x:c r="O58" s="18"/>
      <x:c r="P58" s="18"/>
      <x:c r="Q58" s="18"/>
      <x:c r="R58" s="18" t="n">
        <x:v>9</x:v>
      </x:c>
      <x:c r="S58" s="18"/>
      <x:c r="T58" s="18"/>
      <x:c r="U58" s="18"/>
      <x:c r="V58" s="18"/>
      <x:c r="W58" s="18"/>
      <x:c r="X58" s="18" t="n">
        <x:v>18</x:v>
      </x:c>
      <x:c r="Y58" s="18" t="str">
        <x:v>participants</x:v>
      </x:c>
      <x:c r="Z58" s="18" t="str">
        <x:v>0.021</x:v>
      </x:c>
      <x:c r="AA58" s="18" t="str">
        <x:v>Percentages directly reported; counts exactly reconstructed from 29.0% and 58.1%</x:v>
      </x:c>
      <x:c r="AB58" s="18" t="str">
        <x:v>Yes</x:v>
      </x:c>
      <x:c r="AC58" s="18" t="str">
        <x:v>RR</x:v>
      </x:c>
      <x:c r="AD58" s="18" t="n">
        <x:v>0.5</x:v>
      </x:c>
      <x:c r="AE58" s="18" t="str">
        <x:v>No</x:v>
      </x:c>
      <x:c r="AF58" s="18" t="str">
        <x:v>No</x:v>
      </x:c>
      <x:c r="AG58" s="18" t="str">
        <x:v>Eligible for dichotomous rescue-antiemetic analysis</x:v>
      </x:c>
      <x:c r="AH58" s="18" t="str">
        <x:v>No</x:v>
      </x:c>
      <x:c r="AI58" s="18" t="str">
        <x:v>Counts reconstructed exactly from group denominator 31</x:v>
      </x:c>
      <x:c r="AJ58" s="18" t="str">
        <x:v>Abstract / rescue antiemetic result</x:v>
      </x:c>
      <x:c r="AK58" s="18" t="str">
        <x:v>https://drive.google.com/file/d/1sNaquYeWpsts7_e3XYP9c0CwM-tbQS6T/view?usp=drivesdk</x:v>
      </x:c>
      <x:c r="AL58" s="18" t="str">
        <x:v>SOURCE-VERIFIED / COUNTS DERIVED</x:v>
      </x:c>
      <x:c r="AM58" s="18"/>
      <x:c r="AN58" s="18"/>
      <x:c r="AO58" s="18"/>
      <x:c r="AP58" s="18"/>
      <x:c r="AQ58" s="18" t="n">
        <x:v>0</x:v>
      </x:c>
      <x:c r="AR58" s="18" t="n">
        <x:v>0</x:v>
      </x:c>
      <x:c r="AS58" s="18"/>
      <x:c r="AT58" s="18"/>
      <x:c r="AU58" s="18"/>
      <x:c r="AV58" s="18"/>
    </x:row>
    <x:row r="59">
      <x:c r="A59" s="18" t="str">
        <x:v>Xiong 2021</x:v>
      </x:c>
      <x:c r="B59" s="18" t="str">
        <x:v>XIONG21_TEAS_vs_CTRL_POSTOPMME</x:v>
      </x:c>
      <x:c r="C59" s="18" t="str">
        <x:v>TEAS + dexamethasone + tropisetron</x:v>
      </x:c>
      <x:c r="D59" s="18" t="str">
        <x:v>Dexamethasone + tropisetron</x:v>
      </x:c>
      <x:c r="E59" s="18" t="str">
        <x:v>Opioid consumption</x:v>
      </x:c>
      <x:c r="F59" s="18" t="str">
        <x:v>Postoperative opioid consumption</x:v>
      </x:c>
      <x:c r="G59" s="18" t="str">
        <x:v>Postoperative window unclear</x:v>
      </x:c>
      <x:c r="H59" s="18" t="str">
        <x:v>Mean/SD</x:v>
      </x:c>
      <x:c r="I59" s="18" t="n">
        <x:v>31</x:v>
      </x:c>
      <x:c r="J59" s="18" t="n">
        <x:v>31</x:v>
      </x:c>
      <x:c r="K59" s="18" t="n">
        <x:v>31</x:v>
      </x:c>
      <x:c r="L59" s="18" t="n">
        <x:v>31</x:v>
      </x:c>
      <x:c r="M59" s="18" t="n">
        <x:v>0.6</x:v>
      </x:c>
      <x:c r="N59" s="18" t="n">
        <x:v>0.2</x:v>
      </x:c>
      <x:c r="O59" s="18"/>
      <x:c r="P59" s="18"/>
      <x:c r="Q59" s="18"/>
      <x:c r="R59" s="18"/>
      <x:c r="S59" s="18" t="n">
        <x:v>0.6</x:v>
      </x:c>
      <x:c r="T59" s="18" t="n">
        <x:v>0.1</x:v>
      </x:c>
      <x:c r="U59" s="18"/>
      <x:c r="V59" s="18"/>
      <x:c r="W59" s="18"/>
      <x:c r="X59" s="18"/>
      <x:c r="Y59" s="18" t="str">
        <x:v>mg morphine-equivalent/kg</x:v>
      </x:c>
      <x:c r="Z59" s="18" t="str">
        <x:v>0.908</x:v>
      </x:c>
      <x:c r="AA59" s="18" t="str">
        <x:v>Yes</x:v>
      </x:c>
      <x:c r="AB59" s="18" t="str">
        <x:v>Yes</x:v>
      </x:c>
      <x:c r="AC59" s="18" t="str">
        <x:v>MD</x:v>
      </x:c>
      <x:c r="AD59" s="18" t="n">
        <x:v>0</x:v>
      </x:c>
      <x:c r="AE59" s="18" t="str">
        <x:v>No</x:v>
      </x:c>
      <x:c r="AF59" s="18" t="str">
        <x:v>No</x:v>
      </x:c>
      <x:c r="AG59" s="18" t="str">
        <x:v>Not eligible for strict 0-24-h opioid meta-analysis until time window is clarified</x:v>
      </x:c>
      <x:c r="AH59" s="18" t="str">
        <x:v>No</x:v>
      </x:c>
      <x:c r="AI59" s="18" t="str">
        <x:v>Exact postoperative interval is not stated; route terminology in Results is internally inconsistent</x:v>
      </x:c>
      <x:c r="AJ59" s="18" t="str">
        <x:v>Table 1 / postoperative opioid consumption</x:v>
      </x:c>
      <x:c r="AK59" s="18" t="str">
        <x:v>https://drive.google.com/file/d/1sNaquYeWpsts7_e3XYP9c0CwM-tbQS6T/view?usp=drivesdk</x:v>
      </x:c>
      <x:c r="AL59" s="18" t="str">
        <x:v>SOURCE-VERIFIED / WINDOW QC</x:v>
      </x:c>
      <x:c r="AM59" s="18"/>
      <x:c r="AN59" s="18"/>
      <x:c r="AO59" s="18"/>
      <x:c r="AP59" s="18"/>
      <x:c r="AQ59" s="18" t="n">
        <x:v>0</x:v>
      </x:c>
      <x:c r="AR59" s="18" t="n">
        <x:v>0</x:v>
      </x:c>
      <x:c r="AS59" s="18"/>
      <x:c r="AT59" s="18"/>
      <x:c r="AU59" s="18"/>
      <x:c r="AV59" s="18"/>
    </x:row>
    <x:row r="60">
      <x:c r="A60" s="18" t="str">
        <x:v>Xiong 2021</x:v>
      </x:c>
      <x:c r="B60" s="18" t="str">
        <x:v>XIONG21_TEAS_vs_CTRL_OPIOID24</x:v>
      </x:c>
      <x:c r="C60" s="18" t="str">
        <x:v>TEAS + dexamethasone + tropisetron</x:v>
      </x:c>
      <x:c r="D60" s="18" t="str">
        <x:v>Dexamethasone + tropisetron</x:v>
      </x:c>
      <x:c r="E60" s="18" t="str">
        <x:v>Opioid consumption</x:v>
      </x:c>
      <x:c r="F60" s="18" t="str">
        <x:v>Exact cumulative postoperative opioid dose</x:v>
      </x:c>
      <x:c r="G60" s="18" t="str">
        <x:v>0-24 h</x:v>
      </x:c>
      <x:c r="H60" s="18" t="str">
        <x:v>Not reported</x:v>
      </x:c>
      <x:c r="I60" s="18" t="n">
        <x:v>31</x:v>
      </x:c>
      <x:c r="J60" s="18" t="n">
        <x:v>31</x:v>
      </x:c>
      <x:c r="K60" s="18" t="n">
        <x:v>31</x:v>
      </x:c>
      <x:c r="L60" s="18" t="n">
        <x:v>31</x:v>
      </x:c>
      <x:c r="M60" s="18"/>
      <x:c r="N60" s="18"/>
      <x:c r="O60" s="18"/>
      <x:c r="P60" s="18"/>
      <x:c r="Q60" s="18"/>
      <x:c r="R60" s="18"/>
      <x:c r="S60" s="18"/>
      <x:c r="T60" s="18"/>
      <x:c r="U60" s="18"/>
      <x:c r="V60" s="18"/>
      <x:c r="W60" s="18"/>
      <x:c r="X60" s="18"/>
      <x:c r="Y60" s="18" t="str">
        <x:v>mg morphine-equivalent/kg</x:v>
      </x:c>
      <x:c r="Z60" s="18"/>
      <x:c r="AA60" s="18" t="str">
        <x:v>No</x:v>
      </x:c>
      <x:c r="AB60" s="18" t="str">
        <x:v>No</x:v>
      </x:c>
      <x:c r="AC60" s="18" t="str"/>
      <x:c r="AD60" s="18" t="str"/>
      <x:c r="AE60" s="18" t="str">
        <x:v>No</x:v>
      </x:c>
      <x:c r="AF60" s="18" t="str">
        <x:v>No</x:v>
      </x:c>
      <x:c r="AG60" s="18" t="str">
        <x:v>Not eligible for continuous 24-h opioid meta-analysis</x:v>
      </x:c>
      <x:c r="AH60" s="18" t="str">
        <x:v>No</x:v>
      </x:c>
      <x:c r="AI60" s="18" t="str">
        <x:v>Published opioid-equivalent result lacks a fixed time window</x:v>
      </x:c>
      <x:c r="AJ60" s="18" t="str">
        <x:v>Exact 24-h endpoint absent</x:v>
      </x:c>
      <x:c r="AK60" s="18" t="str">
        <x:v>https://drive.google.com/file/d/1sNaquYeWpsts7_e3XYP9c0CwM-tbQS6T/view?usp=drivesdk</x:v>
      </x:c>
      <x:c r="AL60" s="18" t="str">
        <x:v>MISSING / WINDOW NOT REPORTED</x:v>
      </x:c>
      <x:c r="AM60" s="18"/>
      <x:c r="AN60" s="18"/>
      <x:c r="AO60" s="18"/>
      <x:c r="AP60" s="18"/>
      <x:c r="AQ60" s="18" t="n">
        <x:v>0</x:v>
      </x:c>
      <x:c r="AR60" s="18" t="n">
        <x:v>0</x:v>
      </x:c>
      <x:c r="AS60" s="18"/>
      <x:c r="AT60" s="18"/>
      <x:c r="AU60" s="18"/>
      <x:c r="AV60" s="18"/>
    </x:row>
    <x:row r="61">
      <x:c r="A61" s="18" t="str">
        <x:v>Xing 2022</x:v>
      </x:c>
      <x:c r="B61" s="18" t="str">
        <x:v>XING22_NTG_vs_NG_REMI</x:v>
      </x:c>
      <x:c r="C61" s="18" t="str">
        <x:v>TEAS + active TAPB</x:v>
      </x:c>
      <x:c r="D61" s="18" t="str">
        <x:v>Sham TEAS + active TAPB</x:v>
      </x:c>
      <x:c r="E61" s="18" t="str">
        <x:v>Intraoperative opioid</x:v>
      </x:c>
      <x:c r="F61" s="18" t="str">
        <x:v>Total remifentanil consumption</x:v>
      </x:c>
      <x:c r="G61" s="18" t="str">
        <x:v>Intraoperative</x:v>
      </x:c>
      <x:c r="H61" s="18" t="str">
        <x:v>Mean/SD</x:v>
      </x:c>
      <x:c r="I61" s="18" t="n">
        <x:v>30</x:v>
      </x:c>
      <x:c r="J61" s="18" t="n">
        <x:v>30</x:v>
      </x:c>
      <x:c r="K61" s="18" t="n">
        <x:v>29</x:v>
      </x:c>
      <x:c r="L61" s="18" t="n">
        <x:v>29</x:v>
      </x:c>
      <x:c r="M61" s="18" t="n">
        <x:v>1182.61</x:v>
      </x:c>
      <x:c r="N61" s="18" t="n">
        <x:v>253.61</x:v>
      </x:c>
      <x:c r="O61" s="18"/>
      <x:c r="P61" s="18"/>
      <x:c r="Q61" s="18"/>
      <x:c r="R61" s="18"/>
      <x:c r="S61" s="18" t="n">
        <x:v>1415.41</x:v>
      </x:c>
      <x:c r="T61" s="18" t="n">
        <x:v>295.67</x:v>
      </x:c>
      <x:c r="U61" s="18"/>
      <x:c r="V61" s="18"/>
      <x:c r="W61" s="18"/>
      <x:c r="X61" s="18"/>
      <x:c r="Y61" s="18" t="str">
        <x:v>µg remifentanil</x:v>
      </x:c>
      <x:c r="Z61" s="18" t="str">
        <x:v>&lt;0.05 pairwise</x:v>
      </x:c>
      <x:c r="AA61" s="18" t="str">
        <x:v>Yes</x:v>
      </x:c>
      <x:c r="AB61" s="18" t="str">
        <x:v>No</x:v>
      </x:c>
      <x:c r="AC61" s="18" t="str">
        <x:v>MD</x:v>
      </x:c>
      <x:c r="AD61" s="18" t="n">
        <x:v>-232.80000000000018</x:v>
      </x:c>
      <x:c r="AE61" s="18" t="str">
        <x:v>No</x:v>
      </x:c>
      <x:c r="AF61" s="18" t="str">
        <x:v>No</x:v>
      </x:c>
      <x:c r="AG61" s="18" t="str">
        <x:v>Eligible for incremental TEAS intraoperative opioid-sparing analysis</x:v>
      </x:c>
      <x:c r="AH61" s="18" t="str">
        <x:v>Yes</x:v>
      </x:c>
      <x:c r="AI61" s="18" t="str">
        <x:v>Direct TEAS contrast is NTG vs NG; do not attribute NTG-vs-G combined package entirely to TEAS</x:v>
      </x:c>
      <x:c r="AJ61" s="18" t="str">
        <x:v>Table 3, p10</x:v>
      </x:c>
      <x:c r="AK61" s="18" t="str">
        <x:v>https://drive.google.com/file/d/1h3IGpQ56nSh7H16xBEVyTzCBkWOXRSxK/view?usp=drivesdk</x:v>
      </x:c>
      <x:c r="AL61" s="18" t="str">
        <x:v>SOURCE-VERIFIED</x:v>
      </x:c>
      <x:c r="AM61" s="18" t="str">
        <x:v>F-intra-007</x:v>
      </x:c>
      <x:c r="AN61" s="18" t="str">
        <x:v>F-intra</x:v>
      </x:c>
      <x:c r="AO61" s="18" t="str">
        <x:v>F_intraop_titrated_requirement</x:v>
      </x:c>
      <x:c r="AP61" s="18" t="str">
        <x:v>MATCHED</x:v>
      </x:c>
      <x:c r="AQ61" s="18" t="n">
        <x:v>1</x:v>
      </x:c>
      <x:c r="AR61" s="18" t="n">
        <x:v>0</x:v>
      </x:c>
      <x:c r="AS61" s="18" t="str">
        <x:v>Some concerns</x:v>
      </x:c>
      <x:c r="AT61" s="18" t="str">
        <x:v>P2</x:v>
      </x:c>
      <x:c r="AU61" s="18"/>
      <x:c r="AV61" s="18" t="str">
        <x:v>1182.61±253.61 vs1415.41±295.67 μg; P&lt;0.05</x:v>
      </x:c>
    </x:row>
    <x:row r="62">
      <x:c r="A62" s="18" t="str">
        <x:v>Xing 2022</x:v>
      </x:c>
      <x:c r="B62" s="18" t="str">
        <x:v>XING22_NTG_vs_NG_FLATUS</x:v>
      </x:c>
      <x:c r="C62" s="18" t="str">
        <x:v>TEAS + active TAPB</x:v>
      </x:c>
      <x:c r="D62" s="18" t="str">
        <x:v>Sham TEAS + active TAPB</x:v>
      </x:c>
      <x:c r="E62" s="18" t="str">
        <x:v>GI recovery</x:v>
      </x:c>
      <x:c r="F62" s="18" t="str">
        <x:v>Time to first flatus</x:v>
      </x:c>
      <x:c r="G62" s="18" t="str">
        <x:v>Postoperative</x:v>
      </x:c>
      <x:c r="H62" s="18" t="str">
        <x:v>Mean/SD</x:v>
      </x:c>
      <x:c r="I62" s="18" t="n">
        <x:v>30</x:v>
      </x:c>
      <x:c r="J62" s="18" t="n">
        <x:v>30</x:v>
      </x:c>
      <x:c r="K62" s="18" t="n">
        <x:v>29</x:v>
      </x:c>
      <x:c r="L62" s="18" t="n">
        <x:v>29</x:v>
      </x:c>
      <x:c r="M62" s="18" t="n">
        <x:v>32.57</x:v>
      </x:c>
      <x:c r="N62" s="18" t="n">
        <x:v>6.94</x:v>
      </x:c>
      <x:c r="O62" s="18"/>
      <x:c r="P62" s="18"/>
      <x:c r="Q62" s="18"/>
      <x:c r="R62" s="18"/>
      <x:c r="S62" s="18" t="n">
        <x:v>36.83</x:v>
      </x:c>
      <x:c r="T62" s="18" t="n">
        <x:v>6.19</x:v>
      </x:c>
      <x:c r="U62" s="18"/>
      <x:c r="V62" s="18"/>
      <x:c r="W62" s="18"/>
      <x:c r="X62" s="18"/>
      <x:c r="Y62" s="18" t="str">
        <x:v>hours</x:v>
      </x:c>
      <x:c r="Z62" s="18" t="str">
        <x:v>&lt;0.05 pairwise</x:v>
      </x:c>
      <x:c r="AA62" s="18" t="str">
        <x:v>Yes</x:v>
      </x:c>
      <x:c r="AB62" s="18" t="str">
        <x:v>No</x:v>
      </x:c>
      <x:c r="AC62" s="18" t="str">
        <x:v>MD</x:v>
      </x:c>
      <x:c r="AD62" s="18" t="n">
        <x:v>-4.259999999999998</x:v>
      </x:c>
      <x:c r="AE62" s="18" t="str">
        <x:v>No</x:v>
      </x:c>
      <x:c r="AF62" s="18" t="str">
        <x:v>No</x:v>
      </x:c>
      <x:c r="AG62" s="18" t="str">
        <x:v>Eligible for GI-recovery analysis</x:v>
      </x:c>
      <x:c r="AH62" s="18" t="str">
        <x:v>Yes</x:v>
      </x:c>
      <x:c r="AI62" s="18" t="str">
        <x:v>Three-arm study; use NTG vs NG for incremental TEAS effect</x:v>
      </x:c>
      <x:c r="AJ62" s="18" t="str">
        <x:v>Postoperative recovery results</x:v>
      </x:c>
      <x:c r="AK62" s="18" t="str">
        <x:v>https://drive.google.com/file/d/1h3IGpQ56nSh7H16xBEVyTzCBkWOXRSxK/view?usp=drivesdk</x:v>
      </x:c>
      <x:c r="AL62" s="18" t="str">
        <x:v>SOURCE-VERIFIED</x:v>
      </x:c>
      <x:c r="AM62" s="18" t="str">
        <x:v>E-004</x:v>
      </x:c>
      <x:c r="AN62" s="18" t="str">
        <x:v>E</x:v>
      </x:c>
      <x:c r="AO62" s="18" t="str">
        <x:v>E_time_to_first_flatus</x:v>
      </x:c>
      <x:c r="AP62" s="18" t="str">
        <x:v>MATCHED</x:v>
      </x:c>
      <x:c r="AQ62" s="18" t="n">
        <x:v>1</x:v>
      </x:c>
      <x:c r="AR62" s="18" t="n">
        <x:v>0</x:v>
      </x:c>
      <x:c r="AS62" s="18" t="str">
        <x:v>Some concerns</x:v>
      </x:c>
      <x:c r="AT62" s="18" t="str">
        <x:v>P2</x:v>
      </x:c>
      <x:c r="AU62" s="18"/>
      <x:c r="AV62" s="18" t="str">
        <x:v>32.57±6.94 vs 36.83±6.19 h</x:v>
      </x:c>
    </x:row>
    <x:row r="63">
      <x:c r="A63" s="18" t="str">
        <x:v>Xing 2022</x:v>
      </x:c>
      <x:c r="B63" s="18" t="str">
        <x:v>XING22_NTG_vs_NG_PONV</x:v>
      </x:c>
      <x:c r="C63" s="18" t="str">
        <x:v>TEAS + active TAPB</x:v>
      </x:c>
      <x:c r="D63" s="18" t="str">
        <x:v>Sham TEAS + active TAPB</x:v>
      </x:c>
      <x:c r="E63" s="18" t="str">
        <x:v>PONV</x:v>
      </x:c>
      <x:c r="F63" s="18" t="str">
        <x:v>PONV incidence</x:v>
      </x:c>
      <x:c r="G63" s="18" t="str">
        <x:v>Postoperative</x:v>
      </x:c>
      <x:c r="H63" s="18" t="str">
        <x:v>Events/total</x:v>
      </x:c>
      <x:c r="I63" s="18" t="n">
        <x:v>30</x:v>
      </x:c>
      <x:c r="J63" s="18" t="n">
        <x:v>30</x:v>
      </x:c>
      <x:c r="K63" s="18" t="n">
        <x:v>29</x:v>
      </x:c>
      <x:c r="L63" s="18" t="n">
        <x:v>29</x:v>
      </x:c>
      <x:c r="M63" s="18"/>
      <x:c r="N63" s="18"/>
      <x:c r="O63" s="18"/>
      <x:c r="P63" s="18"/>
      <x:c r="Q63" s="18"/>
      <x:c r="R63" s="18" t="n">
        <x:v>5</x:v>
      </x:c>
      <x:c r="S63" s="18"/>
      <x:c r="T63" s="18"/>
      <x:c r="U63" s="18"/>
      <x:c r="V63" s="18"/>
      <x:c r="W63" s="18"/>
      <x:c r="X63" s="18" t="n">
        <x:v>11</x:v>
      </x:c>
      <x:c r="Y63" s="18" t="str">
        <x:v>participants</x:v>
      </x:c>
      <x:c r="Z63" s="18" t="str">
        <x:v>&lt;0.05 pairwise</x:v>
      </x:c>
      <x:c r="AA63" s="18" t="str">
        <x:v>Percentages reported; counts exactly reconstructed from 17.24% and 37.93%</x:v>
      </x:c>
      <x:c r="AB63" s="18" t="str">
        <x:v>Yes</x:v>
      </x:c>
      <x:c r="AC63" s="18" t="str">
        <x:v>RR</x:v>
      </x:c>
      <x:c r="AD63" s="18" t="n">
        <x:v>0.4545454545454546</x:v>
      </x:c>
      <x:c r="AE63" s="18" t="str">
        <x:v>No</x:v>
      </x:c>
      <x:c r="AF63" s="18" t="str">
        <x:v>No</x:v>
      </x:c>
      <x:c r="AG63" s="18" t="str">
        <x:v>Eligible for dichotomous PONV analysis</x:v>
      </x:c>
      <x:c r="AH63" s="18" t="str">
        <x:v>Yes</x:v>
      </x:c>
      <x:c r="AI63" s="18" t="str">
        <x:v>Counts reconstructed from n=29 analyzed per arm</x:v>
      </x:c>
      <x:c r="AJ63" s="18" t="str">
        <x:v>Postoperative complications</x:v>
      </x:c>
      <x:c r="AK63" s="18" t="str">
        <x:v>https://drive.google.com/file/d/1h3IGpQ56nSh7H16xBEVyTzCBkWOXRSxK/view?usp=drivesdk</x:v>
      </x:c>
      <x:c r="AL63" s="18" t="str">
        <x:v>SOURCE-VERIFIED / COUNTS DERIVED</x:v>
      </x:c>
      <x:c r="AM63" s="18" t="str">
        <x:v>D-004</x:v>
      </x:c>
      <x:c r="AN63" s="18" t="str">
        <x:v>D</x:v>
      </x:c>
      <x:c r="AO63" s="18" t="str">
        <x:v>D_PONV_0-48h</x:v>
      </x:c>
      <x:c r="AP63" s="18" t="str">
        <x:v>MATCHED</x:v>
      </x:c>
      <x:c r="AQ63" s="18" t="n">
        <x:v>1</x:v>
      </x:c>
      <x:c r="AR63" s="18" t="n">
        <x:v>0</x:v>
      </x:c>
      <x:c r="AS63" s="18" t="str">
        <x:v>High</x:v>
      </x:c>
      <x:c r="AT63" s="18" t="str">
        <x:v>P2</x:v>
      </x:c>
      <x:c r="AU63" s="18"/>
      <x:c r="AV63" s="18" t="str">
        <x:v>5/29 vs 11/29</x:v>
      </x:c>
    </x:row>
    <x:row r="64">
      <x:c r="A64" s="18" t="str">
        <x:v>Xing 2022</x:v>
      </x:c>
      <x:c r="B64" s="18" t="str">
        <x:v>XING22_NTG_vs_NG_RESTVAS24</x:v>
      </x:c>
      <x:c r="C64" s="18" t="str">
        <x:v>TEAS + active TAPB</x:v>
      </x:c>
      <x:c r="D64" s="18" t="str">
        <x:v>Sham TEAS + active TAPB</x:v>
      </x:c>
      <x:c r="E64" s="18" t="str">
        <x:v>Pain</x:v>
      </x:c>
      <x:c r="F64" s="18" t="str">
        <x:v>Rest pain VAS</x:v>
      </x:c>
      <x:c r="G64" s="18" t="str">
        <x:v>24 h</x:v>
      </x:c>
      <x:c r="H64" s="18" t="str">
        <x:v>Mean/SD</x:v>
      </x:c>
      <x:c r="I64" s="18" t="n">
        <x:v>30</x:v>
      </x:c>
      <x:c r="J64" s="18" t="n">
        <x:v>30</x:v>
      </x:c>
      <x:c r="K64" s="18" t="n">
        <x:v>29</x:v>
      </x:c>
      <x:c r="L64" s="18" t="n">
        <x:v>29</x:v>
      </x:c>
      <x:c r="M64" s="18" t="n">
        <x:v>1.18</x:v>
      </x:c>
      <x:c r="N64" s="18" t="n">
        <x:v>0.42</x:v>
      </x:c>
      <x:c r="O64" s="18"/>
      <x:c r="P64" s="18"/>
      <x:c r="Q64" s="18"/>
      <x:c r="R64" s="18"/>
      <x:c r="S64" s="18" t="n">
        <x:v>1.4</x:v>
      </x:c>
      <x:c r="T64" s="18" t="n">
        <x:v>0.52</x:v>
      </x:c>
      <x:c r="U64" s="18"/>
      <x:c r="V64" s="18"/>
      <x:c r="W64" s="18"/>
      <x:c r="X64" s="18"/>
      <x:c r="Y64" s="18" t="str">
        <x:v>VAS 0-10</x:v>
      </x:c>
      <x:c r="Z64" s="18" t="str">
        <x:v>NS for NTG vs NG at 24 h</x:v>
      </x:c>
      <x:c r="AA64" s="18" t="str">
        <x:v>Yes</x:v>
      </x:c>
      <x:c r="AB64" s="18" t="str">
        <x:v>No</x:v>
      </x:c>
      <x:c r="AC64" s="18" t="str">
        <x:v>MD</x:v>
      </x:c>
      <x:c r="AD64" s="18" t="n">
        <x:v>-0.21999999999999997</x:v>
      </x:c>
      <x:c r="AE64" s="18" t="str">
        <x:v>No</x:v>
      </x:c>
      <x:c r="AF64" s="18" t="str">
        <x:v>No</x:v>
      </x:c>
      <x:c r="AG64" s="18" t="str">
        <x:v>Eligible for 24-h pain analysis</x:v>
      </x:c>
      <x:c r="AH64" s="18" t="str">
        <x:v>Yes</x:v>
      </x:c>
      <x:c r="AI64" s="18" t="str">
        <x:v>At 24 h both TAPB groups improved versus G, but incremental NTG-vs-NG difference was not reported significant</x:v>
      </x:c>
      <x:c r="AJ64" s="18" t="str">
        <x:v>24-h pain result</x:v>
      </x:c>
      <x:c r="AK64" s="18" t="str">
        <x:v>https://drive.google.com/file/d/1h3IGpQ56nSh7H16xBEVyTzCBkWOXRSxK/view?usp=drivesdk</x:v>
      </x:c>
      <x:c r="AL64" s="18" t="str">
        <x:v>SOURCE-VERIFIED</x:v>
      </x:c>
      <x:c r="AM64" s="18" t="str">
        <x:v>C-001</x:v>
      </x:c>
      <x:c r="AN64" s="18" t="str">
        <x:v>C</x:v>
      </x:c>
      <x:c r="AO64" s="18" t="str">
        <x:v>C_rest_pain_~24h</x:v>
      </x:c>
      <x:c r="AP64" s="18" t="str">
        <x:v>MATCHED</x:v>
      </x:c>
      <x:c r="AQ64" s="18" t="n">
        <x:v>1</x:v>
      </x:c>
      <x:c r="AR64" s="18" t="n">
        <x:v>0</x:v>
      </x:c>
      <x:c r="AS64" s="18" t="str">
        <x:v>High</x:v>
      </x:c>
      <x:c r="AT64" s="18" t="str">
        <x:v>P2</x:v>
      </x:c>
      <x:c r="AU64" s="18"/>
      <x:c r="AV64" s="18" t="str">
        <x:v>1.18±0.42 vs 1.40±0.52</x:v>
      </x:c>
    </x:row>
    <x:row r="65">
      <x:c r="A65" s="18" t="str">
        <x:v>Xing 2022</x:v>
      </x:c>
      <x:c r="B65" s="18" t="str">
        <x:v>XING22_NTG_vs_NG_PRESS</x:v>
      </x:c>
      <x:c r="C65" s="18" t="str">
        <x:v>TEAS + active TAPB</x:v>
      </x:c>
      <x:c r="D65" s="18" t="str">
        <x:v>Sham TEAS + active TAPB</x:v>
      </x:c>
      <x:c r="E65" s="18" t="str">
        <x:v>Opioid demand</x:v>
      </x:c>
      <x:c r="F65" s="18" t="str">
        <x:v>PCIA pump press count</x:v>
      </x:c>
      <x:c r="G65" s="18" t="str">
        <x:v>48-h / 2-day PCIA period</x:v>
      </x:c>
      <x:c r="H65" s="18" t="str">
        <x:v>Mean/SD</x:v>
      </x:c>
      <x:c r="I65" s="18" t="n">
        <x:v>30</x:v>
      </x:c>
      <x:c r="J65" s="18" t="n">
        <x:v>30</x:v>
      </x:c>
      <x:c r="K65" s="18" t="n">
        <x:v>29</x:v>
      </x:c>
      <x:c r="L65" s="18" t="n">
        <x:v>29</x:v>
      </x:c>
      <x:c r="M65" s="18" t="n">
        <x:v>6.55</x:v>
      </x:c>
      <x:c r="N65" s="18" t="n">
        <x:v>3.19</x:v>
      </x:c>
      <x:c r="O65" s="18"/>
      <x:c r="P65" s="18"/>
      <x:c r="Q65" s="18"/>
      <x:c r="R65" s="18"/>
      <x:c r="S65" s="18" t="n">
        <x:v>9.97</x:v>
      </x:c>
      <x:c r="T65" s="18" t="n">
        <x:v>3.8</x:v>
      </x:c>
      <x:c r="U65" s="18"/>
      <x:c r="V65" s="18"/>
      <x:c r="W65" s="18"/>
      <x:c r="X65" s="18"/>
      <x:c r="Y65" s="18" t="str">
        <x:v>presses</x:v>
      </x:c>
      <x:c r="Z65" s="18" t="str">
        <x:v>&lt;0.05 pairwise</x:v>
      </x:c>
      <x:c r="AA65" s="18" t="str">
        <x:v>Yes</x:v>
      </x:c>
      <x:c r="AB65" s="18" t="str">
        <x:v>No</x:v>
      </x:c>
      <x:c r="AC65" s="18" t="str">
        <x:v>MD</x:v>
      </x:c>
      <x:c r="AD65" s="18" t="n">
        <x:v>-3.420000000000001</x:v>
      </x:c>
      <x:c r="AE65" s="18" t="str">
        <x:v>No</x:v>
      </x:c>
      <x:c r="AF65" s="18" t="str">
        <x:v>No</x:v>
      </x:c>
      <x:c r="AG65" s="18" t="str">
        <x:v>Eligible only as PCA-demand outcome, not exact opioid consumption</x:v>
      </x:c>
      <x:c r="AH65" s="18" t="str">
        <x:v>Yes</x:v>
      </x:c>
      <x:c r="AI65" s="18" t="str">
        <x:v>Press attempts may not equal successful delivered boluses; do not multiply by 1 µg</x:v>
      </x:c>
      <x:c r="AJ65" s="18" t="str">
        <x:v>Table 3 / PCIA press count</x:v>
      </x:c>
      <x:c r="AK65" s="18" t="str">
        <x:v>https://drive.google.com/file/d/1h3IGpQ56nSh7H16xBEVyTzCBkWOXRSxK/view?usp=drivesdk</x:v>
      </x:c>
      <x:c r="AL65" s="18" t="str">
        <x:v>SOURCE-VERIFIED / DOSE NOT RECONSTRUCTABLE</x:v>
      </x:c>
      <x:c r="AM65" s="18"/>
      <x:c r="AN65" s="18"/>
      <x:c r="AO65" s="18"/>
      <x:c r="AP65" s="18"/>
      <x:c r="AQ65" s="18" t="n">
        <x:v>0</x:v>
      </x:c>
      <x:c r="AR65" s="18" t="n">
        <x:v>0</x:v>
      </x:c>
      <x:c r="AS65" s="18"/>
      <x:c r="AT65" s="18"/>
      <x:c r="AU65" s="18"/>
      <x:c r="AV65" s="18"/>
    </x:row>
    <x:row r="66">
      <x:c r="A66" s="18" t="str">
        <x:v>Xing 2022</x:v>
      </x:c>
      <x:c r="B66" s="18" t="str">
        <x:v>XING22_NTG_vs_NG_OPIOID24</x:v>
      </x:c>
      <x:c r="C66" s="18" t="str">
        <x:v>TEAS + active TAPB</x:v>
      </x:c>
      <x:c r="D66" s="18" t="str">
        <x:v>Sham TEAS + active TAPB</x:v>
      </x:c>
      <x:c r="E66" s="18" t="str">
        <x:v>Opioid consumption</x:v>
      </x:c>
      <x:c r="F66" s="18" t="str">
        <x:v>Exact cumulative postoperative sufentanil delivered</x:v>
      </x:c>
      <x:c r="G66" s="18" t="str">
        <x:v>0-24 h</x:v>
      </x:c>
      <x:c r="H66" s="18" t="str">
        <x:v>Not reported</x:v>
      </x:c>
      <x:c r="I66" s="18" t="n">
        <x:v>30</x:v>
      </x:c>
      <x:c r="J66" s="18" t="n">
        <x:v>30</x:v>
      </x:c>
      <x:c r="K66" s="18" t="n">
        <x:v>29</x:v>
      </x:c>
      <x:c r="L66" s="18" t="n">
        <x:v>29</x:v>
      </x:c>
      <x:c r="M66" s="18"/>
      <x:c r="N66" s="18"/>
      <x:c r="O66" s="18"/>
      <x:c r="P66" s="18"/>
      <x:c r="Q66" s="18"/>
      <x:c r="R66" s="18"/>
      <x:c r="S66" s="18"/>
      <x:c r="T66" s="18"/>
      <x:c r="U66" s="18"/>
      <x:c r="V66" s="18"/>
      <x:c r="W66" s="18"/>
      <x:c r="X66" s="18"/>
      <x:c r="Y66" s="18" t="str">
        <x:v>µg sufentanil</x:v>
      </x:c>
      <x:c r="Z66" s="18"/>
      <x:c r="AA66" s="18" t="str">
        <x:v>No</x:v>
      </x:c>
      <x:c r="AB66" s="18" t="str">
        <x:v>No</x:v>
      </x:c>
      <x:c r="AC66" s="18" t="str"/>
      <x:c r="AD66" s="18" t="str"/>
      <x:c r="AE66" s="18" t="str">
        <x:v>No</x:v>
      </x:c>
      <x:c r="AF66" s="18" t="str">
        <x:v>No</x:v>
      </x:c>
      <x:c r="AG66" s="18" t="str">
        <x:v>Not eligible for continuous 24-h opioid meta-analysis without author data</x:v>
      </x:c>
      <x:c r="AH66" s="18" t="str">
        <x:v>Yes</x:v>
      </x:c>
      <x:c r="AI66" s="18" t="str">
        <x:v>PCIA wording is internally contradictory and only press counts are reported</x:v>
      </x:c>
      <x:c r="AJ66" s="18" t="str">
        <x:v>Exact 24-h endpoint absent</x:v>
      </x:c>
      <x:c r="AK66" s="18" t="str">
        <x:v>https://drive.google.com/file/d/1h3IGpQ56nSh7H16xBEVyTzCBkWOXRSxK/view?usp=drivesdk</x:v>
      </x:c>
      <x:c r="AL66" s="18" t="str">
        <x:v>MISSING / AUTHOR DATA NEEDED</x:v>
      </x:c>
      <x:c r="AM66" s="18"/>
      <x:c r="AN66" s="18"/>
      <x:c r="AO66" s="18"/>
      <x:c r="AP66" s="18"/>
      <x:c r="AQ66" s="18" t="n">
        <x:v>0</x:v>
      </x:c>
      <x:c r="AR66" s="18" t="n">
        <x:v>0</x:v>
      </x:c>
      <x:c r="AS66" s="18"/>
      <x:c r="AT66" s="18"/>
      <x:c r="AU66" s="18"/>
      <x:c r="AV66" s="18"/>
    </x:row>
    <x:row r="67">
      <x:c r="A67" s="18" t="str">
        <x:v>Xie 2014</x:v>
      </x:c>
      <x:c r="B67" s="18" t="str">
        <x:v>XIE14_EAS_vs_SHAM_TOTALSUF</x:v>
      </x:c>
      <x:c r="C67" s="18" t="str">
        <x:v>Active EAS PC4/PC6</x:v>
      </x:c>
      <x:c r="D67" s="18" t="str">
        <x:v>Sham needling PC4/PC6</x:v>
      </x:c>
      <x:c r="E67" s="18" t="str">
        <x:v>Opioid consumption</x:v>
      </x:c>
      <x:c r="F67" s="18" t="str">
        <x:v>Total postoperative/perioperative sufentanil</x:v>
      </x:c>
      <x:c r="G67" s="18" t="str">
        <x:v>Through postoperative 48 h; published total may include 30-min pre-end-of-surgery sufentanil exposure</x:v>
      </x:c>
      <x:c r="H67" s="18" t="str">
        <x:v>Mean/SD</x:v>
      </x:c>
      <x:c r="I67" s="18" t="n">
        <x:v>20</x:v>
      </x:c>
      <x:c r="J67" s="18" t="n">
        <x:v>20</x:v>
      </x:c>
      <x:c r="K67" s="18" t="n">
        <x:v>20</x:v>
      </x:c>
      <x:c r="L67" s="18" t="n">
        <x:v>20</x:v>
      </x:c>
      <x:c r="M67" s="18" t="n">
        <x:v>115</x:v>
      </x:c>
      <x:c r="N67" s="18" t="n">
        <x:v>6</x:v>
      </x:c>
      <x:c r="O67" s="18"/>
      <x:c r="P67" s="18"/>
      <x:c r="Q67" s="18"/>
      <x:c r="R67" s="18"/>
      <x:c r="S67" s="18" t="n">
        <x:v>133.5</x:v>
      </x:c>
      <x:c r="T67" s="18" t="n">
        <x:v>7</x:v>
      </x:c>
      <x:c r="U67" s="18"/>
      <x:c r="V67" s="18"/>
      <x:c r="W67" s="18"/>
      <x:c r="X67" s="18"/>
      <x:c r="Y67" s="18" t="str">
        <x:v>µg sufentanil</x:v>
      </x:c>
      <x:c r="Z67" s="18" t="str">
        <x:v>&lt;0.05</x:v>
      </x:c>
      <x:c r="AA67" s="18" t="str">
        <x:v>Yes</x:v>
      </x:c>
      <x:c r="AB67" s="18" t="str">
        <x:v>No</x:v>
      </x:c>
      <x:c r="AC67" s="18" t="str">
        <x:v>MD</x:v>
      </x:c>
      <x:c r="AD67" s="18" t="n">
        <x:v>-18.5</x:v>
      </x:c>
      <x:c r="AE67" s="18" t="str">
        <x:v>No</x:v>
      </x:c>
      <x:c r="AF67" s="18" t="str">
        <x:v>No</x:v>
      </x:c>
      <x:c r="AG67" s="18" t="str">
        <x:v>Target A broader/sensitivity 48-h cumulative opioid only; exclude strict postoperative-only primary</x:v>
      </x:c>
      <x:c r="AH67" s="18" t="str">
        <x:v>Yes</x:v>
      </x:c>
      <x:c r="AI67" s="18" t="str">
        <x:v>Sufentanil began 30 min before surgery ended; continuous infusion reported inconsistently as 2.25 vs 2.5 µg/h.</x:v>
      </x:c>
      <x:c r="AJ67" s="18" t="str">
        <x:v>Table 2 / total sufentanil</x:v>
      </x:c>
      <x:c r="AK67" s="18" t="str">
        <x:v>https://drive.google.com/file/d/17faY_h0rMJTuhjPOC5PL_S59jYmHDPee/view?usp=drivesdk</x:v>
      </x:c>
      <x:c r="AL67" s="18" t="str">
        <x:v>SOURCE-VERIFIED / AF-CORRECTED / WINDOW-QC</x:v>
      </x:c>
      <x:c r="AM67" s="18" t="str">
        <x:v>A-004</x:v>
      </x:c>
      <x:c r="AN67" s="18" t="str">
        <x:v>A</x:v>
      </x:c>
      <x:c r="AO67" s="18" t="str">
        <x:v>A_0-48h_cumulative_opioid</x:v>
      </x:c>
      <x:c r="AP67" s="18" t="str">
        <x:v>CORRECTED_V22</x:v>
      </x:c>
      <x:c r="AQ67" s="18" t="n">
        <x:v>0</x:v>
      </x:c>
      <x:c r="AR67" s="18" t="n">
        <x:v>1</x:v>
      </x:c>
      <x:c r="AS67" s="18" t="str">
        <x:v>Some concerns</x:v>
      </x:c>
      <x:c r="AT67" s="18" t="str">
        <x:v>P1</x:v>
      </x:c>
      <x:c r="AU67" s="18"/>
      <x:c r="AV67" s="18" t="str">
        <x:v>115.0±6.0 vs 133.5±7.0 μg (EAS vs sham)</x:v>
      </x:c>
    </x:row>
    <x:row r="68">
      <x:c r="A68" s="18" t="str">
        <x:v>Xie 2014</x:v>
      </x:c>
      <x:c r="B68" s="18" t="str">
        <x:v>XIE14_EAS_vs_CONTROL_TOTALSUF</x:v>
      </x:c>
      <x:c r="C68" s="18" t="str">
        <x:v>Active EAS PC4/PC6</x:v>
      </x:c>
      <x:c r="D68" s="18" t="str">
        <x:v>General-anesthesia control</x:v>
      </x:c>
      <x:c r="E68" s="18" t="str">
        <x:v>Opioid consumption</x:v>
      </x:c>
      <x:c r="F68" s="18" t="str">
        <x:v>Total postoperative/perioperative sufentanil</x:v>
      </x:c>
      <x:c r="G68" s="18" t="str">
        <x:v>Through postoperative 48 h; published total may include 30-min pre-end-of-surgery sufentanil exposure</x:v>
      </x:c>
      <x:c r="H68" s="18" t="str">
        <x:v>Mean/SD</x:v>
      </x:c>
      <x:c r="I68" s="18" t="n">
        <x:v>20</x:v>
      </x:c>
      <x:c r="J68" s="18" t="n">
        <x:v>20</x:v>
      </x:c>
      <x:c r="K68" s="18" t="n">
        <x:v>20</x:v>
      </x:c>
      <x:c r="L68" s="18" t="n">
        <x:v>20</x:v>
      </x:c>
      <x:c r="M68" s="18" t="n">
        <x:v>115</x:v>
      </x:c>
      <x:c r="N68" s="18" t="n">
        <x:v>6</x:v>
      </x:c>
      <x:c r="O68" s="18"/>
      <x:c r="P68" s="18"/>
      <x:c r="Q68" s="18"/>
      <x:c r="R68" s="18"/>
      <x:c r="S68" s="18" t="n">
        <x:v>134.3</x:v>
      </x:c>
      <x:c r="T68" s="18" t="n">
        <x:v>5.9</x:v>
      </x:c>
      <x:c r="U68" s="18"/>
      <x:c r="V68" s="18"/>
      <x:c r="W68" s="18"/>
      <x:c r="X68" s="18"/>
      <x:c r="Y68" s="18" t="str">
        <x:v>µg sufentanil</x:v>
      </x:c>
      <x:c r="Z68" s="18" t="str">
        <x:v>&lt;0.05</x:v>
      </x:c>
      <x:c r="AA68" s="18" t="str">
        <x:v>Yes</x:v>
      </x:c>
      <x:c r="AB68" s="18" t="str">
        <x:v>No</x:v>
      </x:c>
      <x:c r="AC68" s="18" t="str">
        <x:v>MD</x:v>
      </x:c>
      <x:c r="AD68" s="18" t="n">
        <x:v>-19.30000000000001</x:v>
      </x:c>
      <x:c r="AE68" s="18" t="str">
        <x:v>No</x:v>
      </x:c>
      <x:c r="AF68" s="18" t="str">
        <x:v>No</x:v>
      </x:c>
      <x:c r="AG68" s="18" t="str">
        <x:v>Target A broader/sensitivity 48-h cumulative opioid only; exclude strict postoperative-only primary</x:v>
      </x:c>
      <x:c r="AH68" s="18" t="str">
        <x:v>Yes</x:v>
      </x:c>
      <x:c r="AI68" s="18" t="str">
        <x:v>Sufentanil began 30 min before surgery ended; continuous infusion reported inconsistently as 2.25 vs 2.5 µg/h.</x:v>
      </x:c>
      <x:c r="AJ68" s="18" t="str">
        <x:v>Table 2 / total sufentanil</x:v>
      </x:c>
      <x:c r="AK68" s="18" t="str">
        <x:v>https://drive.google.com/file/d/17faY_h0rMJTuhjPOC5PL_S59jYmHDPee/view?usp=drivesdk</x:v>
      </x:c>
      <x:c r="AL68" s="18" t="str">
        <x:v>SOURCE-VERIFIED / AF-CORRECTED / WINDOW-QC</x:v>
      </x:c>
      <x:c r="AM68" s="18" t="str">
        <x:v>A-004</x:v>
      </x:c>
      <x:c r="AN68" s="18" t="str">
        <x:v>A</x:v>
      </x:c>
      <x:c r="AO68" s="18" t="str">
        <x:v>A_0-48h_cumulative_opioid</x:v>
      </x:c>
      <x:c r="AP68" s="18" t="str">
        <x:v>CORRECTED_V22</x:v>
      </x:c>
      <x:c r="AQ68" s="18" t="n">
        <x:v>0</x:v>
      </x:c>
      <x:c r="AR68" s="18" t="n">
        <x:v>1</x:v>
      </x:c>
      <x:c r="AS68" s="18" t="str">
        <x:v>Some concerns</x:v>
      </x:c>
      <x:c r="AT68" s="18" t="str">
        <x:v>P1</x:v>
      </x:c>
      <x:c r="AU68" s="18"/>
      <x:c r="AV68" s="18" t="str">
        <x:v>115.0±6.0 vs 133.5±7.0 μg (EAS vs sham)</x:v>
      </x:c>
    </x:row>
    <x:row r="69">
      <x:c r="A69" s="18" t="str">
        <x:v>Xie 2014</x:v>
      </x:c>
      <x:c r="B69" s="18" t="str">
        <x:v>XIE14_EAS_vs_SHAM_PCADEMAND</x:v>
      </x:c>
      <x:c r="C69" s="18" t="str">
        <x:v>Active EAS PC4/PC6</x:v>
      </x:c>
      <x:c r="D69" s="18" t="str">
        <x:v>Sham needling PC4/PC6</x:v>
      </x:c>
      <x:c r="E69" s="18" t="str">
        <x:v>Opioid demand</x:v>
      </x:c>
      <x:c r="F69" s="18" t="str">
        <x:v>Patient-controlled analgesia demand count</x:v>
      </x:c>
      <x:c r="G69" s="18" t="str">
        <x:v>Study PCA period</x:v>
      </x:c>
      <x:c r="H69" s="18" t="str">
        <x:v>Mean/SD</x:v>
      </x:c>
      <x:c r="I69" s="18" t="n">
        <x:v>20</x:v>
      </x:c>
      <x:c r="J69" s="18" t="n">
        <x:v>20</x:v>
      </x:c>
      <x:c r="K69" s="18" t="n">
        <x:v>20</x:v>
      </x:c>
      <x:c r="L69" s="18" t="n">
        <x:v>20</x:v>
      </x:c>
      <x:c r="M69" s="18" t="n">
        <x:v>16</x:v>
      </x:c>
      <x:c r="N69" s="18" t="n">
        <x:v>3</x:v>
      </x:c>
      <x:c r="O69" s="18"/>
      <x:c r="P69" s="18"/>
      <x:c r="Q69" s="18"/>
      <x:c r="R69" s="18"/>
      <x:c r="S69" s="18" t="n">
        <x:v>43</x:v>
      </x:c>
      <x:c r="T69" s="18" t="n">
        <x:v>3</x:v>
      </x:c>
      <x:c r="U69" s="18"/>
      <x:c r="V69" s="18"/>
      <x:c r="W69" s="18"/>
      <x:c r="X69" s="18"/>
      <x:c r="Y69" s="18" t="str">
        <x:v>demands</x:v>
      </x:c>
      <x:c r="Z69" s="18" t="str">
        <x:v>&lt;0.05</x:v>
      </x:c>
      <x:c r="AA69" s="18" t="str">
        <x:v>Yes</x:v>
      </x:c>
      <x:c r="AB69" s="18" t="str">
        <x:v>No</x:v>
      </x:c>
      <x:c r="AC69" s="18" t="str">
        <x:v>MD</x:v>
      </x:c>
      <x:c r="AD69" s="18" t="n">
        <x:v>-27</x:v>
      </x:c>
      <x:c r="AE69" s="18" t="str">
        <x:v>No</x:v>
      </x:c>
      <x:c r="AF69" s="18" t="str">
        <x:v>No</x:v>
      </x:c>
      <x:c r="AG69" s="18" t="str">
        <x:v>Eligible as analgesic-demand outcome only</x:v>
      </x:c>
      <x:c r="AH69" s="18" t="str">
        <x:v>Yes</x:v>
      </x:c>
      <x:c r="AI69" s="18" t="str">
        <x:v>Demand count should not be converted into delivered sufentanil without confirmation</x:v>
      </x:c>
      <x:c r="AJ69" s="18" t="str">
        <x:v>Table 2 / patient demand</x:v>
      </x:c>
      <x:c r="AK69" s="18" t="str">
        <x:v>https://drive.google.com/file/d/17faY_h0rMJTuhjPOC5PL_S59jYmHDPee/view?usp=drivesdk</x:v>
      </x:c>
      <x:c r="AL69" s="18" t="str">
        <x:v>SOURCE-VERIFIED / DOSE NOT RECONSTRUCTABLE</x:v>
      </x:c>
      <x:c r="AM69" s="18"/>
      <x:c r="AN69" s="18"/>
      <x:c r="AO69" s="18"/>
      <x:c r="AP69" s="18"/>
      <x:c r="AQ69" s="18" t="n">
        <x:v>0</x:v>
      </x:c>
      <x:c r="AR69" s="18" t="n">
        <x:v>0</x:v>
      </x:c>
      <x:c r="AS69" s="18"/>
      <x:c r="AT69" s="18"/>
      <x:c r="AU69" s="18"/>
      <x:c r="AV69" s="18"/>
    </x:row>
    <x:row r="70">
      <x:c r="A70" s="18" t="str">
        <x:v>Xie 2014</x:v>
      </x:c>
      <x:c r="B70" s="18" t="str">
        <x:v>XIE14_EAS_vs_SHAM_OPIOID24</x:v>
      </x:c>
      <x:c r="C70" s="18" t="str">
        <x:v>Active EAS PC4/PC6</x:v>
      </x:c>
      <x:c r="D70" s="18" t="str">
        <x:v>Sham needling PC4/PC6</x:v>
      </x:c>
      <x:c r="E70" s="18" t="str">
        <x:v>Opioid consumption</x:v>
      </x:c>
      <x:c r="F70" s="18" t="str">
        <x:v>Exact cumulative postoperative sufentanil</x:v>
      </x:c>
      <x:c r="G70" s="18" t="str">
        <x:v>0-24 h</x:v>
      </x:c>
      <x:c r="H70" s="18" t="str">
        <x:v>Not reported</x:v>
      </x:c>
      <x:c r="I70" s="18" t="n">
        <x:v>20</x:v>
      </x:c>
      <x:c r="J70" s="18" t="n">
        <x:v>20</x:v>
      </x:c>
      <x:c r="K70" s="18" t="n">
        <x:v>20</x:v>
      </x:c>
      <x:c r="L70" s="18" t="n">
        <x:v>20</x:v>
      </x:c>
      <x:c r="M70" s="18"/>
      <x:c r="N70" s="18"/>
      <x:c r="O70" s="18"/>
      <x:c r="P70" s="18"/>
      <x:c r="Q70" s="18"/>
      <x:c r="R70" s="18"/>
      <x:c r="S70" s="18"/>
      <x:c r="T70" s="18"/>
      <x:c r="U70" s="18"/>
      <x:c r="V70" s="18"/>
      <x:c r="W70" s="18"/>
      <x:c r="X70" s="18"/>
      <x:c r="Y70" s="18" t="str">
        <x:v>µg sufentanil</x:v>
      </x:c>
      <x:c r="Z70" s="18"/>
      <x:c r="AA70" s="18" t="str">
        <x:v>No</x:v>
      </x:c>
      <x:c r="AB70" s="18" t="str">
        <x:v>No</x:v>
      </x:c>
      <x:c r="AC70" s="18" t="str"/>
      <x:c r="AD70" s="18" t="str"/>
      <x:c r="AE70" s="18" t="str">
        <x:v>No</x:v>
      </x:c>
      <x:c r="AF70" s="18" t="str">
        <x:v>No</x:v>
      </x:c>
      <x:c r="AG70" s="18" t="str">
        <x:v>Not eligible for strict continuous 24-h opioid meta-analysis</x:v>
      </x:c>
      <x:c r="AH70" s="18" t="str">
        <x:v>Yes</x:v>
      </x:c>
      <x:c r="AI70" s="18" t="str">
        <x:v>Directly reported total cannot be assigned to a fixed 24-h window</x:v>
      </x:c>
      <x:c r="AJ70" s="18" t="str">
        <x:v>Exact 24-h endpoint absent</x:v>
      </x:c>
      <x:c r="AK70" s="18" t="str">
        <x:v>https://drive.google.com/file/d/17faY_h0rMJTuhjPOC5PL_S59jYmHDPee/view?usp=drivesdk</x:v>
      </x:c>
      <x:c r="AL70" s="18" t="str">
        <x:v>MISSING / TIME WINDOW UNRESOLVED</x:v>
      </x:c>
      <x:c r="AM70" s="18"/>
      <x:c r="AN70" s="18"/>
      <x:c r="AO70" s="18"/>
      <x:c r="AP70" s="18"/>
      <x:c r="AQ70" s="18" t="n">
        <x:v>0</x:v>
      </x:c>
      <x:c r="AR70" s="18" t="n">
        <x:v>0</x:v>
      </x:c>
      <x:c r="AS70" s="18"/>
      <x:c r="AT70" s="18"/>
      <x:c r="AU70" s="18"/>
      <x:c r="AV70" s="18"/>
    </x:row>
    <x:row r="71">
      <x:c r="A71" s="18" t="str">
        <x:v>Wu 2022</x:v>
      </x:c>
      <x:c r="B71" s="18" t="str">
        <x:v>WU22_PTEAS_vs_CTRL_PAINPOD1</x:v>
      </x:c>
      <x:c r="C71" s="18" t="str">
        <x:v>Perioperative pTEAS</x:v>
      </x:c>
      <x:c r="D71" s="18" t="str">
        <x:v>No-current control</x:v>
      </x:c>
      <x:c r="E71" s="18" t="str">
        <x:v>Pain</x:v>
      </x:c>
      <x:c r="F71" s="18" t="str">
        <x:v>VAS pain intensity</x:v>
      </x:c>
      <x:c r="G71" s="18" t="str">
        <x:v>POD1</x:v>
      </x:c>
      <x:c r="H71" s="18" t="str">
        <x:v>Mean/SD</x:v>
      </x:c>
      <x:c r="I71" s="18" t="n">
        <x:v>45</x:v>
      </x:c>
      <x:c r="J71" s="18" t="n">
        <x:v>45</x:v>
      </x:c>
      <x:c r="K71" s="18" t="n">
        <x:v>44</x:v>
      </x:c>
      <x:c r="L71" s="18" t="n">
        <x:v>40</x:v>
      </x:c>
      <x:c r="M71" s="18" t="n">
        <x:v>1.77</x:v>
      </x:c>
      <x:c r="N71" s="18" t="n">
        <x:v>0.91</x:v>
      </x:c>
      <x:c r="O71" s="18"/>
      <x:c r="P71" s="18"/>
      <x:c r="Q71" s="18"/>
      <x:c r="R71" s="18"/>
      <x:c r="S71" s="18" t="n">
        <x:v>2.25</x:v>
      </x:c>
      <x:c r="T71" s="18" t="n">
        <x:v>0.71</x:v>
      </x:c>
      <x:c r="U71" s="18"/>
      <x:c r="V71" s="18"/>
      <x:c r="W71" s="18"/>
      <x:c r="X71" s="18"/>
      <x:c r="Y71" s="18" t="str">
        <x:v>VAS 0-10</x:v>
      </x:c>
      <x:c r="Z71" s="18" t="str">
        <x:v>0.009</x:v>
      </x:c>
      <x:c r="AA71" s="18" t="str">
        <x:v>Yes</x:v>
      </x:c>
      <x:c r="AB71" s="18" t="str">
        <x:v>No</x:v>
      </x:c>
      <x:c r="AC71" s="18" t="str">
        <x:v>MD</x:v>
      </x:c>
      <x:c r="AD71" s="18" t="n">
        <x:v>-0.48</x:v>
      </x:c>
      <x:c r="AE71" s="18" t="str">
        <x:v>No</x:v>
      </x:c>
      <x:c r="AF71" s="18" t="str">
        <x:v>No</x:v>
      </x:c>
      <x:c r="AG71" s="18" t="str">
        <x:v>Eligible for POD1 pain analysis</x:v>
      </x:c>
      <x:c r="AH71" s="18" t="str">
        <x:v>No</x:v>
      </x:c>
      <x:c r="AI71" s="18" t="str">
        <x:v>Asymmetric post-randomization exclusions: 1/45 pTEAS vs 5/45 control; participant sensory blinding not convincing</x:v>
      </x:c>
      <x:c r="AJ71" s="18" t="str">
        <x:v>Table 3 / POD1 pain</x:v>
      </x:c>
      <x:c r="AK71" s="18" t="str">
        <x:v>https://drive.google.com/file/d/1XR_8qmeHR7ulwV7NaaI0CeYbpwKdc_ym/view?usp=drivesdk</x:v>
      </x:c>
      <x:c r="AL71" s="18" t="str">
        <x:v>SOURCE-VERIFIED / ATTRITION QC</x:v>
      </x:c>
      <x:c r="AM71" s="18"/>
      <x:c r="AN71" s="18"/>
      <x:c r="AO71" s="18"/>
      <x:c r="AP71" s="18"/>
      <x:c r="AQ71" s="18" t="n">
        <x:v>0</x:v>
      </x:c>
      <x:c r="AR71" s="18" t="n">
        <x:v>0</x:v>
      </x:c>
      <x:c r="AS71" s="18"/>
      <x:c r="AT71" s="18"/>
      <x:c r="AU71" s="18"/>
      <x:c r="AV71" s="18"/>
    </x:row>
    <x:row r="72">
      <x:c r="A72" s="18" t="str">
        <x:v>Wu 2022</x:v>
      </x:c>
      <x:c r="B72" s="18" t="str">
        <x:v>WU22_PTEAS_vs_CTRL_REMI</x:v>
      </x:c>
      <x:c r="C72" s="18" t="str">
        <x:v>Perioperative pTEAS</x:v>
      </x:c>
      <x:c r="D72" s="18" t="str">
        <x:v>No-current control</x:v>
      </x:c>
      <x:c r="E72" s="18" t="str">
        <x:v>Intraoperative opioid</x:v>
      </x:c>
      <x:c r="F72" s="18" t="str">
        <x:v>Cumulative remifentanil</x:v>
      </x:c>
      <x:c r="G72" s="18" t="str">
        <x:v>Intraoperative</x:v>
      </x:c>
      <x:c r="H72" s="18" t="str">
        <x:v>Mean/SD</x:v>
      </x:c>
      <x:c r="I72" s="18" t="n">
        <x:v>45</x:v>
      </x:c>
      <x:c r="J72" s="18" t="n">
        <x:v>45</x:v>
      </x:c>
      <x:c r="K72" s="18" t="n">
        <x:v>44</x:v>
      </x:c>
      <x:c r="L72" s="18" t="n">
        <x:v>40</x:v>
      </x:c>
      <x:c r="M72" s="18" t="n">
        <x:v>1383</x:v>
      </x:c>
      <x:c r="N72" s="18" t="n">
        <x:v>494</x:v>
      </x:c>
      <x:c r="O72" s="18"/>
      <x:c r="P72" s="18"/>
      <x:c r="Q72" s="18"/>
      <x:c r="R72" s="18"/>
      <x:c r="S72" s="18" t="n">
        <x:v>1637</x:v>
      </x:c>
      <x:c r="T72" s="18" t="n">
        <x:v>630</x:v>
      </x:c>
      <x:c r="U72" s="18"/>
      <x:c r="V72" s="18"/>
      <x:c r="W72" s="18"/>
      <x:c r="X72" s="18"/>
      <x:c r="Y72" s="18" t="str">
        <x:v>µg remifentanil</x:v>
      </x:c>
      <x:c r="Z72" s="18" t="str">
        <x:v>0.042</x:v>
      </x:c>
      <x:c r="AA72" s="18" t="str">
        <x:v>Yes</x:v>
      </x:c>
      <x:c r="AB72" s="18" t="str">
        <x:v>No</x:v>
      </x:c>
      <x:c r="AC72" s="18" t="str">
        <x:v>MD</x:v>
      </x:c>
      <x:c r="AD72" s="18" t="n">
        <x:v>-254</x:v>
      </x:c>
      <x:c r="AE72" s="18" t="str">
        <x:v>No</x:v>
      </x:c>
      <x:c r="AF72" s="18" t="str">
        <x:v>No</x:v>
      </x:c>
      <x:c r="AG72" s="18" t="str">
        <x:v>Eligible for intraoperative opioid-sparing analysis</x:v>
      </x:c>
      <x:c r="AH72" s="18" t="str">
        <x:v>No</x:v>
      </x:c>
      <x:c r="AI72" s="18" t="str">
        <x:v>Complete-case analysis with asymmetric attrition</x:v>
      </x:c>
      <x:c r="AJ72" s="18" t="str">
        <x:v>Table 2 / cumulative remifentanil</x:v>
      </x:c>
      <x:c r="AK72" s="18" t="str">
        <x:v>https://drive.google.com/file/d/1XR_8qmeHR7ulwV7NaaI0CeYbpwKdc_ym/view?usp=drivesdk</x:v>
      </x:c>
      <x:c r="AL72" s="18" t="str">
        <x:v>SOURCE-VERIFIED</x:v>
      </x:c>
      <x:c r="AM72" s="18" t="str">
        <x:v>F-intra-006</x:v>
      </x:c>
      <x:c r="AN72" s="18" t="str">
        <x:v>F-intra</x:v>
      </x:c>
      <x:c r="AO72" s="18" t="str">
        <x:v>F_intraop_titrated_requirement</x:v>
      </x:c>
      <x:c r="AP72" s="18" t="str">
        <x:v>MATCHED</x:v>
      </x:c>
      <x:c r="AQ72" s="18" t="n">
        <x:v>0</x:v>
      </x:c>
      <x:c r="AR72" s="18" t="n">
        <x:v>1</x:v>
      </x:c>
      <x:c r="AS72" s="18" t="str">
        <x:v>Some concerns</x:v>
      </x:c>
      <x:c r="AT72" s="18"/>
      <x:c r="AU72" s="18"/>
      <x:c r="AV72" s="18" t="str">
        <x:v>1383±494 vs1637±630 μg; P=0.042</x:v>
      </x:c>
    </x:row>
    <x:row r="73">
      <x:c r="A73" s="18" t="str">
        <x:v>Wu 2022</x:v>
      </x:c>
      <x:c r="B73" s="18" t="str">
        <x:v>WU22_PTEAS_vs_CTRL_REMIINDEX</x:v>
      </x:c>
      <x:c r="C73" s="18" t="str">
        <x:v>Perioperative pTEAS</x:v>
      </x:c>
      <x:c r="D73" s="18" t="str">
        <x:v>No-current control</x:v>
      </x:c>
      <x:c r="E73" s="18" t="str">
        <x:v>Intraoperative opioid</x:v>
      </x:c>
      <x:c r="F73" s="18" t="str">
        <x:v>Remifentanil dose index</x:v>
      </x:c>
      <x:c r="G73" s="18" t="str">
        <x:v>Intraoperative</x:v>
      </x:c>
      <x:c r="H73" s="18" t="str">
        <x:v>Mean/SD</x:v>
      </x:c>
      <x:c r="I73" s="18" t="n">
        <x:v>45</x:v>
      </x:c>
      <x:c r="J73" s="18" t="n">
        <x:v>45</x:v>
      </x:c>
      <x:c r="K73" s="18" t="n">
        <x:v>44</x:v>
      </x:c>
      <x:c r="L73" s="18" t="n">
        <x:v>40</x:v>
      </x:c>
      <x:c r="M73" s="18" t="n">
        <x:v>0.084</x:v>
      </x:c>
      <x:c r="N73" s="18" t="n">
        <x:v>0.018</x:v>
      </x:c>
      <x:c r="O73" s="18"/>
      <x:c r="P73" s="18"/>
      <x:c r="Q73" s="18"/>
      <x:c r="R73" s="18"/>
      <x:c r="S73" s="18" t="n">
        <x:v>0.114</x:v>
      </x:c>
      <x:c r="T73" s="18" t="n">
        <x:v>0.09</x:v>
      </x:c>
      <x:c r="U73" s="18"/>
      <x:c r="V73" s="18"/>
      <x:c r="W73" s="18"/>
      <x:c r="X73" s="18"/>
      <x:c r="Y73" s="18" t="str">
        <x:v>µg/min/kg</x:v>
      </x:c>
      <x:c r="Z73" s="18" t="str">
        <x:v>0.045</x:v>
      </x:c>
      <x:c r="AA73" s="18" t="str">
        <x:v>Yes</x:v>
      </x:c>
      <x:c r="AB73" s="18" t="str">
        <x:v>No</x:v>
      </x:c>
      <x:c r="AC73" s="18" t="str">
        <x:v>MD</x:v>
      </x:c>
      <x:c r="AD73" s="18" t="n">
        <x:v>-0.03</x:v>
      </x:c>
      <x:c r="AE73" s="18" t="str">
        <x:v>No</x:v>
      </x:c>
      <x:c r="AF73" s="18" t="str">
        <x:v>No</x:v>
      </x:c>
      <x:c r="AG73" s="18" t="str">
        <x:v>Eligible for intraoperative dose-index analysis</x:v>
      </x:c>
      <x:c r="AH73" s="18" t="str">
        <x:v>No</x:v>
      </x:c>
      <x:c r="AI73" s="18" t="str">
        <x:v>Preserve source units as reported</x:v>
      </x:c>
      <x:c r="AJ73" s="18" t="str">
        <x:v>Table 2 / remifentanil index</x:v>
      </x:c>
      <x:c r="AK73" s="18" t="str">
        <x:v>https://drive.google.com/file/d/1XR_8qmeHR7ulwV7NaaI0CeYbpwKdc_ym/view?usp=drivesdk</x:v>
      </x:c>
      <x:c r="AL73" s="18" t="str">
        <x:v>SOURCE-VERIFIED</x:v>
      </x:c>
      <x:c r="AM73" s="18"/>
      <x:c r="AN73" s="18"/>
      <x:c r="AO73" s="18"/>
      <x:c r="AP73" s="18"/>
      <x:c r="AQ73" s="18" t="n">
        <x:v>0</x:v>
      </x:c>
      <x:c r="AR73" s="18" t="n">
        <x:v>0</x:v>
      </x:c>
      <x:c r="AS73" s="18"/>
      <x:c r="AT73" s="18"/>
      <x:c r="AU73" s="18"/>
      <x:c r="AV73" s="18"/>
    </x:row>
    <x:row r="74">
      <x:c r="A74" s="18" t="str">
        <x:v>Wu 2022</x:v>
      </x:c>
      <x:c r="B74" s="18" t="str">
        <x:v>WU22_PTEAS_vs_CTRL_OPIOID24</x:v>
      </x:c>
      <x:c r="C74" s="18" t="str">
        <x:v>Perioperative pTEAS</x:v>
      </x:c>
      <x:c r="D74" s="18" t="str">
        <x:v>No-current control</x:v>
      </x:c>
      <x:c r="E74" s="18" t="str">
        <x:v>Opioid consumption</x:v>
      </x:c>
      <x:c r="F74" s="18" t="str">
        <x:v>Exact cumulative postoperative opioid consumption</x:v>
      </x:c>
      <x:c r="G74" s="18" t="str">
        <x:v>0-24 h</x:v>
      </x:c>
      <x:c r="H74" s="18" t="str">
        <x:v>Not reported</x:v>
      </x:c>
      <x:c r="I74" s="18" t="n">
        <x:v>45</x:v>
      </x:c>
      <x:c r="J74" s="18" t="n">
        <x:v>45</x:v>
      </x:c>
      <x:c r="K74" s="18" t="n">
        <x:v>44</x:v>
      </x:c>
      <x:c r="L74" s="18" t="n">
        <x:v>40</x:v>
      </x:c>
      <x:c r="M74" s="18"/>
      <x:c r="N74" s="18"/>
      <x:c r="O74" s="18"/>
      <x:c r="P74" s="18"/>
      <x:c r="Q74" s="18"/>
      <x:c r="R74" s="18"/>
      <x:c r="S74" s="18"/>
      <x:c r="T74" s="18"/>
      <x:c r="U74" s="18"/>
      <x:c r="V74" s="18"/>
      <x:c r="W74" s="18"/>
      <x:c r="X74" s="18"/>
      <x:c r="Y74" s="18" t="str">
        <x:v>mg/µg</x:v>
      </x:c>
      <x:c r="Z74" s="18"/>
      <x:c r="AA74" s="18" t="str">
        <x:v>No</x:v>
      </x:c>
      <x:c r="AB74" s="18" t="str">
        <x:v>No</x:v>
      </x:c>
      <x:c r="AC74" s="18" t="str"/>
      <x:c r="AD74" s="18" t="str"/>
      <x:c r="AE74" s="18" t="str">
        <x:v>No</x:v>
      </x:c>
      <x:c r="AF74" s="18" t="str">
        <x:v>No</x:v>
      </x:c>
      <x:c r="AG74" s="18" t="str">
        <x:v>Not eligible for continuous 24-h postoperative opioid meta-analysis</x:v>
      </x:c>
      <x:c r="AH74" s="18" t="str">
        <x:v>No</x:v>
      </x:c>
      <x:c r="AI74" s="18" t="str">
        <x:v>Standard end-of-surgery tramadol/fentanyl are reported, but no randomized group-specific 0-24-h opioid total is provided</x:v>
      </x:c>
      <x:c r="AJ74" s="18" t="str">
        <x:v>Postoperative analgesia section</x:v>
      </x:c>
      <x:c r="AK74" s="18" t="str">
        <x:v>https://drive.google.com/file/d/1XR_8qmeHR7ulwV7NaaI0CeYbpwKdc_ym/view?usp=drivesdk</x:v>
      </x:c>
      <x:c r="AL74" s="18" t="str">
        <x:v>MISSING / NOT REPORTED</x:v>
      </x:c>
      <x:c r="AM74" s="18"/>
      <x:c r="AN74" s="18"/>
      <x:c r="AO74" s="18"/>
      <x:c r="AP74" s="18"/>
      <x:c r="AQ74" s="18" t="n">
        <x:v>0</x:v>
      </x:c>
      <x:c r="AR74" s="18" t="n">
        <x:v>0</x:v>
      </x:c>
      <x:c r="AS74" s="18"/>
      <x:c r="AT74" s="18"/>
      <x:c r="AU74" s="18"/>
      <x:c r="AV74" s="18"/>
    </x:row>
    <x:row r="75">
      <x:c r="A75" s="18" t="str">
        <x:v>Wu 2025</x:v>
      </x:c>
      <x:c r="B75" s="18" t="str">
        <x:v>WU25_TEAS_vs_SHAM_VAS24</x:v>
      </x:c>
      <x:c r="C75" s="18" t="str">
        <x:v>PACU TEAS</x:v>
      </x:c>
      <x:c r="D75" s="18" t="str">
        <x:v>Sham/no current</x:v>
      </x:c>
      <x:c r="E75" s="18" t="str">
        <x:v>Pain</x:v>
      </x:c>
      <x:c r="F75" s="18" t="str">
        <x:v>VAS pain intensity</x:v>
      </x:c>
      <x:c r="G75" s="18" t="str">
        <x:v>24 h</x:v>
      </x:c>
      <x:c r="H75" s="18" t="str">
        <x:v>Mean/SD</x:v>
      </x:c>
      <x:c r="I75" s="18" t="n">
        <x:v>50</x:v>
      </x:c>
      <x:c r="J75" s="18" t="n">
        <x:v>50</x:v>
      </x:c>
      <x:c r="K75" s="18" t="n">
        <x:v>50</x:v>
      </x:c>
      <x:c r="L75" s="18" t="n">
        <x:v>50</x:v>
      </x:c>
      <x:c r="M75" s="18" t="n">
        <x:v>1.7</x:v>
      </x:c>
      <x:c r="N75" s="18" t="n">
        <x:v>0.9</x:v>
      </x:c>
      <x:c r="O75" s="18"/>
      <x:c r="P75" s="18"/>
      <x:c r="Q75" s="18"/>
      <x:c r="R75" s="18"/>
      <x:c r="S75" s="18" t="n">
        <x:v>4</x:v>
      </x:c>
      <x:c r="T75" s="18" t="n">
        <x:v>1.4</x:v>
      </x:c>
      <x:c r="U75" s="18"/>
      <x:c r="V75" s="18"/>
      <x:c r="W75" s="18"/>
      <x:c r="X75" s="18"/>
      <x:c r="Y75" s="18" t="str">
        <x:v>VAS 0-10</x:v>
      </x:c>
      <x:c r="Z75" s="18" t="str">
        <x:v>&lt;0.001</x:v>
      </x:c>
      <x:c r="AA75" s="18" t="str">
        <x:v>Yes</x:v>
      </x:c>
      <x:c r="AB75" s="18" t="str">
        <x:v>No</x:v>
      </x:c>
      <x:c r="AC75" s="18" t="str">
        <x:v>MD</x:v>
      </x:c>
      <x:c r="AD75" s="18" t="n">
        <x:v>-2.3</x:v>
      </x:c>
      <x:c r="AE75" s="18" t="str">
        <x:v>No</x:v>
      </x:c>
      <x:c r="AF75" s="18" t="str">
        <x:v>No</x:v>
      </x:c>
      <x:c r="AG75" s="18" t="str">
        <x:v>Eligible for 24-h pain meta-analysis</x:v>
      </x:c>
      <x:c r="AH75" s="18" t="str">
        <x:v>No</x:v>
      </x:c>
      <x:c r="AI75" s="18" t="str">
        <x:v>Three patients could not be contacted at 24 h, yet all 100 were included in ITT; imputation/handling method is not explained</x:v>
      </x:c>
      <x:c r="AJ75" s="18" t="str">
        <x:v>Table 2 / primary 24-h VAS</x:v>
      </x:c>
      <x:c r="AK75" s="18" t="str">
        <x:v>https://drive.google.com/file/d/1ZV6JFjevGSPqnISdX61KPdcC_yEtq3vf/view?usp=drivesdk</x:v>
      </x:c>
      <x:c r="AL75" s="18" t="str">
        <x:v>SOURCE-VERIFIED / MISSING-DATA METHOD QC</x:v>
      </x:c>
      <x:c r="AM75" s="18"/>
      <x:c r="AN75" s="18"/>
      <x:c r="AO75" s="18"/>
      <x:c r="AP75" s="18"/>
      <x:c r="AQ75" s="18" t="n">
        <x:v>0</x:v>
      </x:c>
      <x:c r="AR75" s="18" t="n">
        <x:v>0</x:v>
      </x:c>
      <x:c r="AS75" s="18"/>
      <x:c r="AT75" s="18"/>
      <x:c r="AU75" s="18"/>
      <x:c r="AV75" s="18"/>
    </x:row>
    <x:row r="76">
      <x:c r="A76" s="18" t="str">
        <x:v>Wu 2025</x:v>
      </x:c>
      <x:c r="B76" s="18" t="str">
        <x:v>WU25_TEAS_vs_SHAM_MODPAIN12</x:v>
      </x:c>
      <x:c r="C76" s="18" t="str">
        <x:v>PACU TEAS</x:v>
      </x:c>
      <x:c r="D76" s="18" t="str">
        <x:v>Sham/no current</x:v>
      </x:c>
      <x:c r="E76" s="18" t="str">
        <x:v>Pain</x:v>
      </x:c>
      <x:c r="F76" s="18" t="str">
        <x:v>Moderate-to-severe pain (VAS &gt;4)</x:v>
      </x:c>
      <x:c r="G76" s="18" t="str">
        <x:v>Within 12 h</x:v>
      </x:c>
      <x:c r="H76" s="18" t="str">
        <x:v>Events/total</x:v>
      </x:c>
      <x:c r="I76" s="18" t="n">
        <x:v>50</x:v>
      </x:c>
      <x:c r="J76" s="18" t="n">
        <x:v>50</x:v>
      </x:c>
      <x:c r="K76" s="18" t="n">
        <x:v>50</x:v>
      </x:c>
      <x:c r="L76" s="18" t="n">
        <x:v>50</x:v>
      </x:c>
      <x:c r="M76" s="18"/>
      <x:c r="N76" s="18"/>
      <x:c r="O76" s="18"/>
      <x:c r="P76" s="18"/>
      <x:c r="Q76" s="18"/>
      <x:c r="R76" s="18" t="n">
        <x:v>6</x:v>
      </x:c>
      <x:c r="S76" s="18"/>
      <x:c r="T76" s="18"/>
      <x:c r="U76" s="18"/>
      <x:c r="V76" s="18"/>
      <x:c r="W76" s="18"/>
      <x:c r="X76" s="18" t="n">
        <x:v>37</x:v>
      </x:c>
      <x:c r="Y76" s="18" t="str">
        <x:v>participants</x:v>
      </x:c>
      <x:c r="Z76" s="18" t="str">
        <x:v>&lt;0.001</x:v>
      </x:c>
      <x:c r="AA76" s="18" t="str">
        <x:v>Yes</x:v>
      </x:c>
      <x:c r="AB76" s="18" t="str">
        <x:v>No</x:v>
      </x:c>
      <x:c r="AC76" s="18" t="str">
        <x:v>RR</x:v>
      </x:c>
      <x:c r="AD76" s="18" t="n">
        <x:v>0.16216216216216217</x:v>
      </x:c>
      <x:c r="AE76" s="18" t="str">
        <x:v>No</x:v>
      </x:c>
      <x:c r="AF76" s="18" t="str">
        <x:v>No</x:v>
      </x:c>
      <x:c r="AG76" s="18" t="str">
        <x:v>Eligible for dichotomous early postoperative pain analysis</x:v>
      </x:c>
      <x:c r="AH76" s="18" t="str">
        <x:v>No</x:v>
      </x:c>
      <x:c r="AI76" s="18" t="str">
        <x:v>Very large subjective effect; interpret with incomplete sensory blinding</x:v>
      </x:c>
      <x:c r="AJ76" s="18" t="str">
        <x:v>Moderate-to-severe pain outcome</x:v>
      </x:c>
      <x:c r="AK76" s="18" t="str">
        <x:v>https://drive.google.com/file/d/1ZV6JFjevGSPqnISdX61KPdcC_yEtq3vf/view?usp=drivesdk</x:v>
      </x:c>
      <x:c r="AL76" s="18" t="str">
        <x:v>SOURCE-VERIFIED</x:v>
      </x:c>
      <x:c r="AM76" s="18"/>
      <x:c r="AN76" s="18"/>
      <x:c r="AO76" s="18"/>
      <x:c r="AP76" s="18"/>
      <x:c r="AQ76" s="18" t="n">
        <x:v>0</x:v>
      </x:c>
      <x:c r="AR76" s="18" t="n">
        <x:v>0</x:v>
      </x:c>
      <x:c r="AS76" s="18"/>
      <x:c r="AT76" s="18"/>
      <x:c r="AU76" s="18"/>
      <x:c r="AV76" s="18"/>
    </x:row>
    <x:row r="77">
      <x:c r="A77" s="18" t="str">
        <x:v>Wu 2025</x:v>
      </x:c>
      <x:c r="B77" s="18" t="str">
        <x:v>WU25_TEAS_vs_SHAM_INTRAOPSUF</x:v>
      </x:c>
      <x:c r="C77" s="18" t="str">
        <x:v>PACU TEAS</x:v>
      </x:c>
      <x:c r="D77" s="18" t="str">
        <x:v>Sham/no current</x:v>
      </x:c>
      <x:c r="E77" s="18" t="str">
        <x:v>Intraoperative opioid</x:v>
      </x:c>
      <x:c r="F77" s="18" t="str">
        <x:v>Sufentanil consumption</x:v>
      </x:c>
      <x:c r="G77" s="18" t="str">
        <x:v>Intraoperative</x:v>
      </x:c>
      <x:c r="H77" s="18" t="str">
        <x:v>Mean/SD</x:v>
      </x:c>
      <x:c r="I77" s="18" t="n">
        <x:v>50</x:v>
      </x:c>
      <x:c r="J77" s="18" t="n">
        <x:v>50</x:v>
      </x:c>
      <x:c r="K77" s="18" t="n">
        <x:v>50</x:v>
      </x:c>
      <x:c r="L77" s="18" t="n">
        <x:v>50</x:v>
      </x:c>
      <x:c r="M77" s="18" t="n">
        <x:v>24.2</x:v>
      </x:c>
      <x:c r="N77" s="18" t="n">
        <x:v>9.5</x:v>
      </x:c>
      <x:c r="O77" s="18"/>
      <x:c r="P77" s="18"/>
      <x:c r="Q77" s="18"/>
      <x:c r="R77" s="18"/>
      <x:c r="S77" s="18" t="n">
        <x:v>24.3</x:v>
      </x:c>
      <x:c r="T77" s="18" t="n">
        <x:v>10.9</x:v>
      </x:c>
      <x:c r="U77" s="18"/>
      <x:c r="V77" s="18"/>
      <x:c r="W77" s="18"/>
      <x:c r="X77" s="18"/>
      <x:c r="Y77" s="18" t="str">
        <x:v>µg sufentanil</x:v>
      </x:c>
      <x:c r="Z77" s="18" t="str">
        <x:v>0.953</x:v>
      </x:c>
      <x:c r="AA77" s="18" t="str">
        <x:v>Yes</x:v>
      </x:c>
      <x:c r="AB77" s="18" t="str">
        <x:v>No</x:v>
      </x:c>
      <x:c r="AC77" s="18" t="str">
        <x:v>MD</x:v>
      </x:c>
      <x:c r="AD77" s="18" t="n">
        <x:v>-0.10000000000000142</x:v>
      </x:c>
      <x:c r="AE77" s="18" t="str">
        <x:v>No</x:v>
      </x:c>
      <x:c r="AF77" s="18" t="str">
        <x:v>No</x:v>
      </x:c>
      <x:c r="AG77" s="18" t="str">
        <x:v>Eligible for intraoperative opioid analysis</x:v>
      </x:c>
      <x:c r="AH77" s="18" t="str">
        <x:v>No</x:v>
      </x:c>
      <x:c r="AI77" s="18" t="str">
        <x:v>No intraoperative opioid-sparing effect</x:v>
      </x:c>
      <x:c r="AJ77" s="18" t="str">
        <x:v>Table 1 / sufentanil</x:v>
      </x:c>
      <x:c r="AK77" s="18" t="str">
        <x:v>https://drive.google.com/file/d/1ZV6JFjevGSPqnISdX61KPdcC_yEtq3vf/view?usp=drivesdk</x:v>
      </x:c>
      <x:c r="AL77" s="18" t="str">
        <x:v>SOURCE-VERIFIED</x:v>
      </x:c>
      <x:c r="AM77" s="18" t="str">
        <x:v>F-exposure-007</x:v>
      </x:c>
      <x:c r="AN77" s="18" t="str">
        <x:v>F-exposure</x:v>
      </x:c>
      <x:c r="AO77" s="18" t="str">
        <x:v>F_intraop_fixed_or_unclear_exposure</x:v>
      </x:c>
      <x:c r="AP77" s="18" t="str">
        <x:v>MATCHED</x:v>
      </x:c>
      <x:c r="AQ77" s="18" t="n">
        <x:v>0</x:v>
      </x:c>
      <x:c r="AR77" s="18" t="n">
        <x:v>0</x:v>
      </x:c>
      <x:c r="AS77" s="18" t="str">
        <x:v>Some concerns</x:v>
      </x:c>
      <x:c r="AT77" s="18"/>
      <x:c r="AU77" s="18" t="str">
        <x:v>EXCLUDE treatment effect</x:v>
      </x:c>
      <x:c r="AV77" s="18" t="str">
        <x:v>Table 1 only</x:v>
      </x:c>
    </x:row>
    <x:row r="78">
      <x:c r="A78" s="18" t="str">
        <x:v>Wu 2025</x:v>
      </x:c>
      <x:c r="B78" s="18" t="str">
        <x:v>WU25_TEAS_vs_SHAM_INTRAOPREMI</x:v>
      </x:c>
      <x:c r="C78" s="18" t="str">
        <x:v>PACU TEAS</x:v>
      </x:c>
      <x:c r="D78" s="18" t="str">
        <x:v>Sham/no current</x:v>
      </x:c>
      <x:c r="E78" s="18" t="str">
        <x:v>Intraoperative opioid</x:v>
      </x:c>
      <x:c r="F78" s="18" t="str">
        <x:v>Remifentanil consumption</x:v>
      </x:c>
      <x:c r="G78" s="18" t="str">
        <x:v>Intraoperative</x:v>
      </x:c>
      <x:c r="H78" s="18" t="str">
        <x:v>Mean/SD</x:v>
      </x:c>
      <x:c r="I78" s="18" t="n">
        <x:v>50</x:v>
      </x:c>
      <x:c r="J78" s="18" t="n">
        <x:v>50</x:v>
      </x:c>
      <x:c r="K78" s="18" t="n">
        <x:v>50</x:v>
      </x:c>
      <x:c r="L78" s="18" t="n">
        <x:v>50</x:v>
      </x:c>
      <x:c r="M78" s="18" t="n">
        <x:v>489.4</x:v>
      </x:c>
      <x:c r="N78" s="18" t="n">
        <x:v>226</x:v>
      </x:c>
      <x:c r="O78" s="18"/>
      <x:c r="P78" s="18"/>
      <x:c r="Q78" s="18"/>
      <x:c r="R78" s="18"/>
      <x:c r="S78" s="18" t="n">
        <x:v>533.8</x:v>
      </x:c>
      <x:c r="T78" s="18" t="n">
        <x:v>263.6</x:v>
      </x:c>
      <x:c r="U78" s="18"/>
      <x:c r="V78" s="18"/>
      <x:c r="W78" s="18"/>
      <x:c r="X78" s="18"/>
      <x:c r="Y78" s="18" t="str">
        <x:v>µg remifentanil</x:v>
      </x:c>
      <x:c r="Z78" s="18" t="str">
        <x:v>0.368</x:v>
      </x:c>
      <x:c r="AA78" s="18" t="str">
        <x:v>Yes</x:v>
      </x:c>
      <x:c r="AB78" s="18" t="str">
        <x:v>No</x:v>
      </x:c>
      <x:c r="AC78" s="18" t="str">
        <x:v>MD</x:v>
      </x:c>
      <x:c r="AD78" s="18" t="n">
        <x:v>-44.39999999999998</x:v>
      </x:c>
      <x:c r="AE78" s="18" t="str">
        <x:v>No</x:v>
      </x:c>
      <x:c r="AF78" s="18" t="str">
        <x:v>No</x:v>
      </x:c>
      <x:c r="AG78" s="18" t="str">
        <x:v>Eligible for intraoperative opioid analysis</x:v>
      </x:c>
      <x:c r="AH78" s="18" t="str">
        <x:v>No</x:v>
      </x:c>
      <x:c r="AI78" s="18" t="str">
        <x:v>No significant intraoperative opioid-sparing effect</x:v>
      </x:c>
      <x:c r="AJ78" s="18" t="str">
        <x:v>Table 1 / remifentanil</x:v>
      </x:c>
      <x:c r="AK78" s="18" t="str">
        <x:v>https://drive.google.com/file/d/1ZV6JFjevGSPqnISdX61KPdcC_yEtq3vf/view?usp=drivesdk</x:v>
      </x:c>
      <x:c r="AL78" s="18" t="str">
        <x:v>SOURCE-VERIFIED</x:v>
      </x:c>
      <x:c r="AM78" s="18" t="str">
        <x:v>F-exposure-007</x:v>
      </x:c>
      <x:c r="AN78" s="18" t="str">
        <x:v>F-exposure</x:v>
      </x:c>
      <x:c r="AO78" s="18" t="str">
        <x:v>F_intraop_fixed_or_unclear_exposure</x:v>
      </x:c>
      <x:c r="AP78" s="18" t="str">
        <x:v>MATCHED</x:v>
      </x:c>
      <x:c r="AQ78" s="18" t="n">
        <x:v>0</x:v>
      </x:c>
      <x:c r="AR78" s="18" t="n">
        <x:v>0</x:v>
      </x:c>
      <x:c r="AS78" s="18" t="str">
        <x:v>Some concerns</x:v>
      </x:c>
      <x:c r="AT78" s="18"/>
      <x:c r="AU78" s="18" t="str">
        <x:v>EXCLUDE treatment effect</x:v>
      </x:c>
      <x:c r="AV78" s="18" t="str">
        <x:v>Table 1 only</x:v>
      </x:c>
    </x:row>
    <x:row r="79">
      <x:c r="A79" s="18" t="str">
        <x:v>Wu 2025</x:v>
      </x:c>
      <x:c r="B79" s="18" t="str">
        <x:v>WU25_TEAS_vs_SHAM_OPIOID24</x:v>
      </x:c>
      <x:c r="C79" s="18" t="str">
        <x:v>PACU TEAS</x:v>
      </x:c>
      <x:c r="D79" s="18" t="str">
        <x:v>Sham/no current</x:v>
      </x:c>
      <x:c r="E79" s="18" t="str">
        <x:v>Opioid consumption</x:v>
      </x:c>
      <x:c r="F79" s="18" t="str">
        <x:v>Exact postoperative opioid/MME consumption</x:v>
      </x:c>
      <x:c r="G79" s="18" t="str">
        <x:v>0-24 h</x:v>
      </x:c>
      <x:c r="H79" s="18" t="str">
        <x:v>Not calculable</x:v>
      </x:c>
      <x:c r="I79" s="18" t="n">
        <x:v>50</x:v>
      </x:c>
      <x:c r="J79" s="18" t="n">
        <x:v>50</x:v>
      </x:c>
      <x:c r="K79" s="18" t="n">
        <x:v>50</x:v>
      </x:c>
      <x:c r="L79" s="18" t="n">
        <x:v>50</x:v>
      </x:c>
      <x:c r="M79" s="18"/>
      <x:c r="N79" s="18"/>
      <x:c r="O79" s="18"/>
      <x:c r="P79" s="18"/>
      <x:c r="Q79" s="18"/>
      <x:c r="R79" s="18"/>
      <x:c r="S79" s="18"/>
      <x:c r="T79" s="18"/>
      <x:c r="U79" s="18"/>
      <x:c r="V79" s="18"/>
      <x:c r="W79" s="18"/>
      <x:c r="X79" s="18"/>
      <x:c r="Y79" s="18" t="str">
        <x:v>MME</x:v>
      </x:c>
      <x:c r="Z79" s="18"/>
      <x:c r="AA79" s="18" t="str">
        <x:v>No</x:v>
      </x:c>
      <x:c r="AB79" s="18" t="str">
        <x:v>No</x:v>
      </x:c>
      <x:c r="AC79" s="18" t="str"/>
      <x:c r="AD79" s="18" t="str"/>
      <x:c r="AE79" s="18" t="str">
        <x:v>No</x:v>
      </x:c>
      <x:c r="AF79" s="18" t="str">
        <x:v>No</x:v>
      </x:c>
      <x:c r="AG79" s="18" t="str">
        <x:v>Not eligible for continuous 24-h opioid meta-analysis</x:v>
      </x:c>
      <x:c r="AH79" s="18" t="str">
        <x:v>No</x:v>
      </x:c>
      <x:c r="AI79" s="18" t="str">
        <x:v>Oxycodone/acetaminophen rescue strength is not reported; rescue regimen is mixed opioid/non-opioid</x:v>
      </x:c>
      <x:c r="AJ79" s="18" t="str">
        <x:v>Postoperative rescue-analgesia section</x:v>
      </x:c>
      <x:c r="AK79" s="18" t="str">
        <x:v>https://drive.google.com/file/d/1ZV6JFjevGSPqnISdX61KPdcC_yEtq3vf/view?usp=drivesdk</x:v>
      </x:c>
      <x:c r="AL79" s="18" t="str">
        <x:v>MISSING / MME NOT CALCULABLE</x:v>
      </x:c>
      <x:c r="AM79" s="18"/>
      <x:c r="AN79" s="18"/>
      <x:c r="AO79" s="18"/>
      <x:c r="AP79" s="18"/>
      <x:c r="AQ79" s="18" t="n">
        <x:v>0</x:v>
      </x:c>
      <x:c r="AR79" s="18" t="n">
        <x:v>0</x:v>
      </x:c>
      <x:c r="AS79" s="18"/>
      <x:c r="AT79" s="18"/>
      <x:c r="AU79" s="18"/>
      <x:c r="AV79" s="18"/>
    </x:row>
    <x:row r="80">
      <x:c r="A80" s="18" t="str">
        <x:v>Wang 2023</x:v>
      </x:c>
      <x:c r="B80" s="18" t="str">
        <x:v>WANG23_TEAS_vs_SHAM_SLEEPD1</x:v>
      </x:c>
      <x:c r="C80" s="18" t="str">
        <x:v>Nighttime TEAS</x:v>
      </x:c>
      <x:c r="D80" s="18" t="str">
        <x:v>Sham/no current</x:v>
      </x:c>
      <x:c r="E80" s="18" t="str">
        <x:v>Sleep quality</x:v>
      </x:c>
      <x:c r="F80" s="18" t="str">
        <x:v>PSQI and AIS postoperative sleep quality</x:v>
      </x:c>
      <x:c r="G80" s="18" t="str">
        <x:v>POD1</x:v>
      </x:c>
      <x:c r="H80" s="18" t="str">
        <x:v>Graph-only continuous data</x:v>
      </x:c>
      <x:c r="I80" s="18" t="n">
        <x:v>43</x:v>
      </x:c>
      <x:c r="J80" s="18" t="n">
        <x:v>45</x:v>
      </x:c>
      <x:c r="K80" s="18" t="n">
        <x:v>40</x:v>
      </x:c>
      <x:c r="L80" s="18" t="n">
        <x:v>43</x:v>
      </x:c>
      <x:c r="M80" s="18"/>
      <x:c r="N80" s="18"/>
      <x:c r="O80" s="18"/>
      <x:c r="P80" s="18"/>
      <x:c r="Q80" s="18"/>
      <x:c r="R80" s="18"/>
      <x:c r="S80" s="18"/>
      <x:c r="T80" s="18"/>
      <x:c r="U80" s="18"/>
      <x:c r="V80" s="18"/>
      <x:c r="W80" s="18"/>
      <x:c r="X80" s="18"/>
      <x:c r="Y80" s="18" t="str">
        <x:v>PSQI/AIS points</x:v>
      </x:c>
      <x:c r="Z80" s="18" t="str">
        <x:v>&lt;0.05 between groups</x:v>
      </x:c>
      <x:c r="AA80" s="18" t="str">
        <x:v>No</x:v>
      </x:c>
      <x:c r="AB80" s="18" t="str">
        <x:v>No</x:v>
      </x:c>
      <x:c r="AC80" s="18" t="str"/>
      <x:c r="AD80" s="18" t="str"/>
      <x:c r="AE80" s="18" t="str">
        <x:v>No</x:v>
      </x:c>
      <x:c r="AF80" s="18" t="str">
        <x:v>No</x:v>
      </x:c>
      <x:c r="AG80" s="18" t="str">
        <x:v>Not ready for continuous meta-analysis without formal graph digitization or author data</x:v>
      </x:c>
      <x:c r="AH80" s="18" t="str">
        <x:v>No</x:v>
      </x:c>
      <x:c r="AI80" s="18" t="str">
        <x:v>Exact POD1 means/SDs are figure-only; do not use fabricated exact AIS/PSQI values</x:v>
      </x:c>
      <x:c r="AJ80" s="18" t="str">
        <x:v>Figure 3, p8</x:v>
      </x:c>
      <x:c r="AK80" s="18" t="str">
        <x:v>https://drive.google.com/file/d/177A4aH42GD90DhsvvtD-VOBSChBBpIWL/view?usp=drivesdk</x:v>
      </x:c>
      <x:c r="AL80" s="18" t="str">
        <x:v>FIGURE ONLY / DIGITIZATION NEEDED</x:v>
      </x:c>
      <x:c r="AM80" s="18"/>
      <x:c r="AN80" s="18"/>
      <x:c r="AO80" s="18"/>
      <x:c r="AP80" s="18"/>
      <x:c r="AQ80" s="18" t="n">
        <x:v>0</x:v>
      </x:c>
      <x:c r="AR80" s="18" t="n">
        <x:v>0</x:v>
      </x:c>
      <x:c r="AS80" s="18"/>
      <x:c r="AT80" s="18"/>
      <x:c r="AU80" s="18"/>
      <x:c r="AV80" s="18"/>
    </x:row>
    <x:row r="81">
      <x:c r="A81" s="18" t="str">
        <x:v>Wang 2023</x:v>
      </x:c>
      <x:c r="B81" s="18" t="str">
        <x:v>WANG23_TEAS_vs_SHAM_RESCUEDOSE</x:v>
      </x:c>
      <x:c r="C81" s="18" t="str">
        <x:v>Nighttime TEAS</x:v>
      </x:c>
      <x:c r="D81" s="18" t="str">
        <x:v>Sham/no current</x:v>
      </x:c>
      <x:c r="E81" s="18" t="str">
        <x:v>Rescue analgesia</x:v>
      </x:c>
      <x:c r="F81" s="18" t="str">
        <x:v>Cumulative number of additional rescue-analgesia doses</x:v>
      </x:c>
      <x:c r="G81" s="18" t="str">
        <x:v>0-72 h</x:v>
      </x:c>
      <x:c r="H81" s="18" t="str">
        <x:v>Mean/SD</x:v>
      </x:c>
      <x:c r="I81" s="18" t="n">
        <x:v>43</x:v>
      </x:c>
      <x:c r="J81" s="18" t="n">
        <x:v>45</x:v>
      </x:c>
      <x:c r="K81" s="18" t="n">
        <x:v>40</x:v>
      </x:c>
      <x:c r="L81" s="18" t="n">
        <x:v>43</x:v>
      </x:c>
      <x:c r="M81" s="18" t="n">
        <x:v>0.53</x:v>
      </x:c>
      <x:c r="N81" s="18" t="n">
        <x:v>0.55</x:v>
      </x:c>
      <x:c r="O81" s="18"/>
      <x:c r="P81" s="18"/>
      <x:c r="Q81" s="18"/>
      <x:c r="R81" s="18"/>
      <x:c r="S81" s="18" t="n">
        <x:v>0.98</x:v>
      </x:c>
      <x:c r="T81" s="18" t="n">
        <x:v>0.96</x:v>
      </x:c>
      <x:c r="U81" s="18"/>
      <x:c r="V81" s="18"/>
      <x:c r="W81" s="18"/>
      <x:c r="X81" s="18"/>
      <x:c r="Y81" s="18" t="str">
        <x:v>rescue doses</x:v>
      </x:c>
      <x:c r="Z81" s="18" t="str">
        <x:v>0.011</x:v>
      </x:c>
      <x:c r="AA81" s="18" t="str">
        <x:v>Yes</x:v>
      </x:c>
      <x:c r="AB81" s="18" t="str">
        <x:v>No</x:v>
      </x:c>
      <x:c r="AC81" s="18" t="str">
        <x:v>MD</x:v>
      </x:c>
      <x:c r="AD81" s="18" t="n">
        <x:v>-0.44999999999999996</x:v>
      </x:c>
      <x:c r="AE81" s="18" t="str">
        <x:v>No</x:v>
      </x:c>
      <x:c r="AF81" s="18" t="str">
        <x:v>No</x:v>
      </x:c>
      <x:c r="AG81" s="18" t="str">
        <x:v>Eligible as rescue-analgesia frequency outcome only</x:v>
      </x:c>
      <x:c r="AH81" s="18" t="str">
        <x:v>No</x:v>
      </x:c>
      <x:c r="AI81" s="18" t="str">
        <x:v>Rescue drug, dose, route and opioid/non-opioid identity are not specified in the main article</x:v>
      </x:c>
      <x:c r="AJ81" s="18" t="str">
        <x:v>Table 2 / rescue analgesia</x:v>
      </x:c>
      <x:c r="AK81" s="18" t="str">
        <x:v>https://drive.google.com/file/d/177A4aH42GD90DhsvvtD-VOBSChBBpIWL/view?usp=drivesdk</x:v>
      </x:c>
      <x:c r="AL81" s="18" t="str">
        <x:v>SOURCE-VERIFIED / DRUG IDENTITY MISSING</x:v>
      </x:c>
      <x:c r="AM81" s="18" t="str">
        <x:v>F-mixed/undefined-001</x:v>
      </x:c>
      <x:c r="AN81" s="18" t="str">
        <x:v>F-mixed/undefined</x:v>
      </x:c>
      <x:c r="AO81" s="18" t="str">
        <x:v>F_rescue_mixed_or_undefined</x:v>
      </x:c>
      <x:c r="AP81" s="18" t="str">
        <x:v>MATCHED</x:v>
      </x:c>
      <x:c r="AQ81" s="18" t="n">
        <x:v>0</x:v>
      </x:c>
      <x:c r="AR81" s="18" t="n">
        <x:v>0</x:v>
      </x:c>
      <x:c r="AS81" s="18" t="str">
        <x:v>Some concerns</x:v>
      </x:c>
      <x:c r="AT81" s="18" t="str">
        <x:v>P1</x:v>
      </x:c>
      <x:c r="AU81" s="18" t="str">
        <x:v>UNRESOLVED</x:v>
      </x:c>
      <x:c r="AV81" s="18" t="str">
        <x:v>0.53±0.55 vs0.98±0.96 doses; P=0.011</x:v>
      </x:c>
    </x:row>
    <x:row r="82">
      <x:c r="A82" s="18" t="str">
        <x:v>Wang 2023</x:v>
      </x:c>
      <x:c r="B82" s="18" t="str">
        <x:v>WANG23_TEAS_vs_SHAM_FLATUS</x:v>
      </x:c>
      <x:c r="C82" s="18" t="str">
        <x:v>Nighttime TEAS</x:v>
      </x:c>
      <x:c r="D82" s="18" t="str">
        <x:v>Sham/no current</x:v>
      </x:c>
      <x:c r="E82" s="18" t="str">
        <x:v>GI recovery</x:v>
      </x:c>
      <x:c r="F82" s="18" t="str">
        <x:v>Time to first flatus</x:v>
      </x:c>
      <x:c r="G82" s="18" t="str">
        <x:v>Postoperative</x:v>
      </x:c>
      <x:c r="H82" s="18" t="str">
        <x:v>Mean/SD</x:v>
      </x:c>
      <x:c r="I82" s="18" t="n">
        <x:v>43</x:v>
      </x:c>
      <x:c r="J82" s="18" t="n">
        <x:v>45</x:v>
      </x:c>
      <x:c r="K82" s="18" t="n">
        <x:v>40</x:v>
      </x:c>
      <x:c r="L82" s="18" t="n">
        <x:v>43</x:v>
      </x:c>
      <x:c r="M82" s="18" t="n">
        <x:v>54.57</x:v>
      </x:c>
      <x:c r="N82" s="18" t="n">
        <x:v>16.62</x:v>
      </x:c>
      <x:c r="O82" s="18"/>
      <x:c r="P82" s="18"/>
      <x:c r="Q82" s="18"/>
      <x:c r="R82" s="18"/>
      <x:c r="S82" s="18" t="n">
        <x:v>60.7</x:v>
      </x:c>
      <x:c r="T82" s="18" t="n">
        <x:v>19.1</x:v>
      </x:c>
      <x:c r="U82" s="18"/>
      <x:c r="V82" s="18"/>
      <x:c r="W82" s="18"/>
      <x:c r="X82" s="18"/>
      <x:c r="Y82" s="18" t="str">
        <x:v>hours</x:v>
      </x:c>
      <x:c r="Z82" s="18" t="str">
        <x:v>0.124</x:v>
      </x:c>
      <x:c r="AA82" s="18" t="str">
        <x:v>Yes</x:v>
      </x:c>
      <x:c r="AB82" s="18" t="str">
        <x:v>No</x:v>
      </x:c>
      <x:c r="AC82" s="18" t="str">
        <x:v>MD</x:v>
      </x:c>
      <x:c r="AD82" s="18" t="n">
        <x:v>-6.130000000000003</x:v>
      </x:c>
      <x:c r="AE82" s="18" t="str">
        <x:v>No</x:v>
      </x:c>
      <x:c r="AF82" s="18" t="str">
        <x:v>No</x:v>
      </x:c>
      <x:c r="AG82" s="18" t="str">
        <x:v>Eligible for GI-recovery analysis</x:v>
      </x:c>
      <x:c r="AH82" s="18" t="str">
        <x:v>No</x:v>
      </x:c>
      <x:c r="AI82" s="18" t="str">
        <x:v>5/88 randomized participants excluded for protocol breaches; no full ITT</x:v>
      </x:c>
      <x:c r="AJ82" s="18" t="str">
        <x:v>Table 1 / postoperative first flatus</x:v>
      </x:c>
      <x:c r="AK82" s="18" t="str">
        <x:v>https://drive.google.com/file/d/177A4aH42GD90DhsvvtD-VOBSChBBpIWL/view?usp=drivesdk</x:v>
      </x:c>
      <x:c r="AL82" s="18" t="str">
        <x:v>SOURCE-VERIFIED / ATTRITION QC</x:v>
      </x:c>
      <x:c r="AM82" s="18"/>
      <x:c r="AN82" s="18"/>
      <x:c r="AO82" s="18"/>
      <x:c r="AP82" s="18"/>
      <x:c r="AQ82" s="18" t="n">
        <x:v>0</x:v>
      </x:c>
      <x:c r="AR82" s="18" t="n">
        <x:v>0</x:v>
      </x:c>
      <x:c r="AS82" s="18"/>
      <x:c r="AT82" s="18"/>
      <x:c r="AU82" s="18"/>
      <x:c r="AV82" s="18"/>
    </x:row>
    <x:row r="83">
      <x:c r="A83" s="18" t="str">
        <x:v>Wang 2023</x:v>
      </x:c>
      <x:c r="B83" s="18" t="str">
        <x:v>WANG23_TEAS_vs_SHAM_PAIN24</x:v>
      </x:c>
      <x:c r="C83" s="18" t="str">
        <x:v>Nighttime TEAS</x:v>
      </x:c>
      <x:c r="D83" s="18" t="str">
        <x:v>Sham/no current</x:v>
      </x:c>
      <x:c r="E83" s="18" t="str">
        <x:v>Pain</x:v>
      </x:c>
      <x:c r="F83" s="18" t="str">
        <x:v>Activity pain VAS</x:v>
      </x:c>
      <x:c r="G83" s="18" t="str">
        <x:v>24 h</x:v>
      </x:c>
      <x:c r="H83" s="18" t="str">
        <x:v>Graph-only mean/SD</x:v>
      </x:c>
      <x:c r="I83" s="18" t="n">
        <x:v>43</x:v>
      </x:c>
      <x:c r="J83" s="18" t="n">
        <x:v>45</x:v>
      </x:c>
      <x:c r="K83" s="18" t="n">
        <x:v>40</x:v>
      </x:c>
      <x:c r="L83" s="18" t="n">
        <x:v>43</x:v>
      </x:c>
      <x:c r="M83" s="18"/>
      <x:c r="N83" s="18"/>
      <x:c r="O83" s="18"/>
      <x:c r="P83" s="18"/>
      <x:c r="Q83" s="18"/>
      <x:c r="R83" s="18"/>
      <x:c r="S83" s="18"/>
      <x:c r="T83" s="18"/>
      <x:c r="U83" s="18"/>
      <x:c r="V83" s="18"/>
      <x:c r="W83" s="18"/>
      <x:c r="X83" s="18"/>
      <x:c r="Y83" s="18" t="str">
        <x:v>VAS 0-10</x:v>
      </x:c>
      <x:c r="Z83" s="18" t="str">
        <x:v>&lt;0.05</x:v>
      </x:c>
      <x:c r="AA83" s="18" t="str">
        <x:v>No</x:v>
      </x:c>
      <x:c r="AB83" s="18" t="str">
        <x:v>No</x:v>
      </x:c>
      <x:c r="AC83" s="18" t="str"/>
      <x:c r="AD83" s="18" t="str"/>
      <x:c r="AE83" s="18" t="str">
        <x:v>No</x:v>
      </x:c>
      <x:c r="AF83" s="18" t="str">
        <x:v>No</x:v>
      </x:c>
      <x:c r="AG83" s="18" t="str">
        <x:v>Not ready for quantitative pooling without formal digitization or author data</x:v>
      </x:c>
      <x:c r="AH83" s="18" t="str">
        <x:v>No</x:v>
      </x:c>
      <x:c r="AI83" s="18" t="str">
        <x:v>Exact 24-h activity VAS values are only shown graphically; stored derivative exact values were fabricated</x:v>
      </x:c>
      <x:c r="AJ83" s="18" t="str">
        <x:v>Figure 4, p8</x:v>
      </x:c>
      <x:c r="AK83" s="18" t="str">
        <x:v>https://drive.google.com/file/d/177A4aH42GD90DhsvvtD-VOBSChBBpIWL/view?usp=drivesdk</x:v>
      </x:c>
      <x:c r="AL83" s="18" t="str">
        <x:v>FIGURE ONLY / DIGITIZATION NEEDED</x:v>
      </x:c>
      <x:c r="AM83" s="18"/>
      <x:c r="AN83" s="18"/>
      <x:c r="AO83" s="18"/>
      <x:c r="AP83" s="18"/>
      <x:c r="AQ83" s="18" t="n">
        <x:v>0</x:v>
      </x:c>
      <x:c r="AR83" s="18" t="n">
        <x:v>0</x:v>
      </x:c>
      <x:c r="AS83" s="18"/>
      <x:c r="AT83" s="18"/>
      <x:c r="AU83" s="18"/>
      <x:c r="AV83" s="18"/>
    </x:row>
    <x:row r="84">
      <x:c r="A84" s="18" t="str">
        <x:v>Wang 2023</x:v>
      </x:c>
      <x:c r="B84" s="18" t="str">
        <x:v>WANG23_TEAS_vs_SHAM_OPIOID24</x:v>
      </x:c>
      <x:c r="C84" s="18" t="str">
        <x:v>Nighttime TEAS</x:v>
      </x:c>
      <x:c r="D84" s="18" t="str">
        <x:v>Sham/no current</x:v>
      </x:c>
      <x:c r="E84" s="18" t="str">
        <x:v>Opioid consumption</x:v>
      </x:c>
      <x:c r="F84" s="18" t="str">
        <x:v>Exact cumulative postoperative opioid dose</x:v>
      </x:c>
      <x:c r="G84" s="18" t="str">
        <x:v>0-24 h</x:v>
      </x:c>
      <x:c r="H84" s="18" t="str">
        <x:v>Not reported</x:v>
      </x:c>
      <x:c r="I84" s="18" t="n">
        <x:v>43</x:v>
      </x:c>
      <x:c r="J84" s="18" t="n">
        <x:v>45</x:v>
      </x:c>
      <x:c r="K84" s="18" t="n">
        <x:v>40</x:v>
      </x:c>
      <x:c r="L84" s="18" t="n">
        <x:v>43</x:v>
      </x:c>
      <x:c r="M84" s="18"/>
      <x:c r="N84" s="18"/>
      <x:c r="O84" s="18"/>
      <x:c r="P84" s="18"/>
      <x:c r="Q84" s="18"/>
      <x:c r="R84" s="18"/>
      <x:c r="S84" s="18"/>
      <x:c r="T84" s="18"/>
      <x:c r="U84" s="18"/>
      <x:c r="V84" s="18"/>
      <x:c r="W84" s="18"/>
      <x:c r="X84" s="18"/>
      <x:c r="Y84" s="18" t="str">
        <x:v>mg/µg</x:v>
      </x:c>
      <x:c r="Z84" s="18"/>
      <x:c r="AA84" s="18" t="str">
        <x:v>No</x:v>
      </x:c>
      <x:c r="AB84" s="18" t="str">
        <x:v>No</x:v>
      </x:c>
      <x:c r="AC84" s="18" t="str"/>
      <x:c r="AD84" s="18" t="str"/>
      <x:c r="AE84" s="18" t="str">
        <x:v>No</x:v>
      </x:c>
      <x:c r="AF84" s="18" t="str">
        <x:v>No</x:v>
      </x:c>
      <x:c r="AG84" s="18" t="str">
        <x:v>Not eligible for continuous 24-h opioid meta-analysis</x:v>
      </x:c>
      <x:c r="AH84" s="18" t="str">
        <x:v>No</x:v>
      </x:c>
      <x:c r="AI84" s="18" t="str">
        <x:v>Only rescue-dose counts are reported and the rescue drug is not identified</x:v>
      </x:c>
      <x:c r="AJ84" s="18" t="str">
        <x:v>Postoperative analgesia outcomes</x:v>
      </x:c>
      <x:c r="AK84" s="18" t="str">
        <x:v>https://drive.google.com/file/d/177A4aH42GD90DhsvvtD-VOBSChBBpIWL/view?usp=drivesdk</x:v>
      </x:c>
      <x:c r="AL84" s="18" t="str">
        <x:v>MISSING / DRUG IDENTITY NOT REPORTED</x:v>
      </x:c>
      <x:c r="AM84" s="18"/>
      <x:c r="AN84" s="18"/>
      <x:c r="AO84" s="18"/>
      <x:c r="AP84" s="18"/>
      <x:c r="AQ84" s="18" t="n">
        <x:v>0</x:v>
      </x:c>
      <x:c r="AR84" s="18" t="n">
        <x:v>0</x:v>
      </x:c>
      <x:c r="AS84" s="18"/>
      <x:c r="AT84" s="18"/>
      <x:c r="AU84" s="18"/>
      <x:c r="AV84" s="18"/>
    </x:row>
    <x:row r="85">
      <x:c r="A85" s="18" t="str">
        <x:v>Wang 2024</x:v>
      </x:c>
      <x:c r="B85" s="18" t="str">
        <x:v>WANG24_SNVP_ODT_vs_OD_PONV6_12</x:v>
      </x:c>
      <x:c r="C85" s="18" t="str">
        <x:v>SNVP: ondansetron+dexamethasone+TEAS</x:v>
      </x:c>
      <x:c r="D85" s="18" t="str">
        <x:v>SNVP: ondansetron+dexamethasone</x:v>
      </x:c>
      <x:c r="E85" s="18" t="str">
        <x:v>PONV</x:v>
      </x:c>
      <x:c r="F85" s="18" t="str">
        <x:v>PONV incidence</x:v>
      </x:c>
      <x:c r="G85" s="18" t="str">
        <x:v>6-12 h</x:v>
      </x:c>
      <x:c r="H85" s="18" t="str">
        <x:v>Events/total</x:v>
      </x:c>
      <x:c r="I85" s="18" t="n">
        <x:v>35</x:v>
      </x:c>
      <x:c r="J85" s="18" t="n">
        <x:v>35</x:v>
      </x:c>
      <x:c r="K85" s="18" t="n">
        <x:v>33</x:v>
      </x:c>
      <x:c r="L85" s="18" t="n">
        <x:v>35</x:v>
      </x:c>
      <x:c r="M85" s="18"/>
      <x:c r="N85" s="18"/>
      <x:c r="O85" s="18"/>
      <x:c r="P85" s="18"/>
      <x:c r="Q85" s="18"/>
      <x:c r="R85" s="18" t="n">
        <x:v>7</x:v>
      </x:c>
      <x:c r="S85" s="18"/>
      <x:c r="T85" s="18"/>
      <x:c r="U85" s="18"/>
      <x:c r="V85" s="18"/>
      <x:c r="W85" s="18"/>
      <x:c r="X85" s="18" t="n">
        <x:v>16</x:v>
      </x:c>
      <x:c r="Y85" s="18" t="str">
        <x:v>participants</x:v>
      </x:c>
      <x:c r="Z85" s="18" t="str">
        <x:v>0.033</x:v>
      </x:c>
      <x:c r="AA85" s="18" t="str">
        <x:v>Yes</x:v>
      </x:c>
      <x:c r="AB85" s="18" t="str">
        <x:v>No</x:v>
      </x:c>
      <x:c r="AC85" s="18" t="str">
        <x:v>RR</x:v>
      </x:c>
      <x:c r="AD85" s="18" t="n">
        <x:v>0.46401515151515155</x:v>
      </x:c>
      <x:c r="AE85" s="18" t="str">
        <x:v>No</x:v>
      </x:c>
      <x:c r="AF85" s="18" t="str">
        <x:v>No</x:v>
      </x:c>
      <x:c r="AG85" s="18" t="str">
        <x:v>Eligible for stratum-specific dichotomous PONV analysis</x:v>
      </x:c>
      <x:c r="AH85" s="18" t="str">
        <x:v>No</x:v>
      </x:c>
      <x:c r="AI85" s="18" t="str">
        <x:v>Do not pool across SNVP/MNVP as if strata were randomized; 2 ODT patients excluded after randomization due postoperative fever</x:v>
      </x:c>
      <x:c r="AJ85" s="18" t="str">
        <x:v>Table 3 / SNVP randomized contrast</x:v>
      </x:c>
      <x:c r="AK85" s="18" t="str">
        <x:v>https://drive.google.com/file/d/1U8tkq6mKFO0IkA2glfgLjN4Krwku3FZn/view?usp=drivesdk</x:v>
      </x:c>
      <x:c r="AL85" s="18" t="str">
        <x:v>SOURCE-VERIFIED / STRATIFIED RCT</x:v>
      </x:c>
      <x:c r="AM85" s="18"/>
      <x:c r="AN85" s="18"/>
      <x:c r="AO85" s="18"/>
      <x:c r="AP85" s="18"/>
      <x:c r="AQ85" s="18" t="n">
        <x:v>0</x:v>
      </x:c>
      <x:c r="AR85" s="18" t="n">
        <x:v>0</x:v>
      </x:c>
      <x:c r="AS85" s="18"/>
      <x:c r="AT85" s="18"/>
      <x:c r="AU85" s="18"/>
      <x:c r="AV85" s="18"/>
    </x:row>
    <x:row r="86">
      <x:c r="A86" s="18" t="str">
        <x:v>Wang 2024</x:v>
      </x:c>
      <x:c r="B86" s="18" t="str">
        <x:v>WANG24_SNVP_ODT_vs_OD_PONV12_24</x:v>
      </x:c>
      <x:c r="C86" s="18" t="str">
        <x:v>SNVP: ondansetron+dexamethasone+TEAS</x:v>
      </x:c>
      <x:c r="D86" s="18" t="str">
        <x:v>SNVP: ondansetron+dexamethasone</x:v>
      </x:c>
      <x:c r="E86" s="18" t="str">
        <x:v>PONV</x:v>
      </x:c>
      <x:c r="F86" s="18" t="str">
        <x:v>PONV incidence</x:v>
      </x:c>
      <x:c r="G86" s="18" t="str">
        <x:v>12-24 h</x:v>
      </x:c>
      <x:c r="H86" s="18" t="str">
        <x:v>Events/total</x:v>
      </x:c>
      <x:c r="I86" s="18" t="n">
        <x:v>35</x:v>
      </x:c>
      <x:c r="J86" s="18" t="n">
        <x:v>35</x:v>
      </x:c>
      <x:c r="K86" s="18" t="n">
        <x:v>33</x:v>
      </x:c>
      <x:c r="L86" s="18" t="n">
        <x:v>35</x:v>
      </x:c>
      <x:c r="M86" s="18"/>
      <x:c r="N86" s="18"/>
      <x:c r="O86" s="18"/>
      <x:c r="P86" s="18"/>
      <x:c r="Q86" s="18"/>
      <x:c r="R86" s="18" t="n">
        <x:v>2</x:v>
      </x:c>
      <x:c r="S86" s="18"/>
      <x:c r="T86" s="18"/>
      <x:c r="U86" s="18"/>
      <x:c r="V86" s="18"/>
      <x:c r="W86" s="18"/>
      <x:c r="X86" s="18" t="n">
        <x:v>11</x:v>
      </x:c>
      <x:c r="Y86" s="18" t="str">
        <x:v>participants</x:v>
      </x:c>
      <x:c r="Z86" s="18" t="str">
        <x:v>0.008</x:v>
      </x:c>
      <x:c r="AA86" s="18" t="str">
        <x:v>Yes</x:v>
      </x:c>
      <x:c r="AB86" s="18" t="str">
        <x:v>No</x:v>
      </x:c>
      <x:c r="AC86" s="18" t="str">
        <x:v>RR</x:v>
      </x:c>
      <x:c r="AD86" s="18" t="n">
        <x:v>0.1928374655647383</x:v>
      </x:c>
      <x:c r="AE86" s="18" t="str">
        <x:v>No</x:v>
      </x:c>
      <x:c r="AF86" s="18" t="str">
        <x:v>No</x:v>
      </x:c>
      <x:c r="AG86" s="18" t="str">
        <x:v>Eligible for stratum-specific dichotomous PONV analysis</x:v>
      </x:c>
      <x:c r="AH86" s="18" t="str">
        <x:v>No</x:v>
      </x:c>
      <x:c r="AI86" s="18" t="str">
        <x:v>Two post-randomization ODT exclusions; marked surgical-procedure imbalance (radical mastectomy + axillary dissection 36.4% vs 71.4%)</x:v>
      </x:c>
      <x:c r="AJ86" s="18" t="str">
        <x:v>Table 3 / SNVP randomized contrast</x:v>
      </x:c>
      <x:c r="AK86" s="18" t="str">
        <x:v>https://drive.google.com/file/d/1U8tkq6mKFO0IkA2glfgLjN4Krwku3FZn/view?usp=drivesdk</x:v>
      </x:c>
      <x:c r="AL86" s="18" t="str">
        <x:v>SOURCE-VERIFIED / STRATIFIED RCT / ATTRITION QC</x:v>
      </x:c>
      <x:c r="AM86" s="18"/>
      <x:c r="AN86" s="18"/>
      <x:c r="AO86" s="18"/>
      <x:c r="AP86" s="18"/>
      <x:c r="AQ86" s="18" t="n">
        <x:v>0</x:v>
      </x:c>
      <x:c r="AR86" s="18" t="n">
        <x:v>0</x:v>
      </x:c>
      <x:c r="AS86" s="18"/>
      <x:c r="AT86" s="18"/>
      <x:c r="AU86" s="18"/>
      <x:c r="AV86" s="18"/>
    </x:row>
    <x:row r="87">
      <x:c r="A87" s="18" t="str">
        <x:v>Wang 2024</x:v>
      </x:c>
      <x:c r="B87" s="18" t="str">
        <x:v>WANG24_SNVP_ODT_vs_OD_TOTALPONV</x:v>
      </x:c>
      <x:c r="C87" s="18" t="str">
        <x:v>SNVP: ondansetron+dexamethasone+TEAS</x:v>
      </x:c>
      <x:c r="D87" s="18" t="str">
        <x:v>SNVP: ondansetron+dexamethasone</x:v>
      </x:c>
      <x:c r="E87" s="18" t="str">
        <x:v>PONV</x:v>
      </x:c>
      <x:c r="F87" s="18" t="str">
        <x:v>Any PONV over reported follow-up</x:v>
      </x:c>
      <x:c r="G87" s="18" t="str">
        <x:v>0-36 h</x:v>
      </x:c>
      <x:c r="H87" s="18" t="str">
        <x:v>Events/total</x:v>
      </x:c>
      <x:c r="I87" s="18" t="n">
        <x:v>35</x:v>
      </x:c>
      <x:c r="J87" s="18" t="n">
        <x:v>35</x:v>
      </x:c>
      <x:c r="K87" s="18" t="n">
        <x:v>33</x:v>
      </x:c>
      <x:c r="L87" s="18" t="n">
        <x:v>35</x:v>
      </x:c>
      <x:c r="M87" s="18"/>
      <x:c r="N87" s="18"/>
      <x:c r="O87" s="18"/>
      <x:c r="P87" s="18"/>
      <x:c r="Q87" s="18"/>
      <x:c r="R87" s="18" t="n">
        <x:v>14</x:v>
      </x:c>
      <x:c r="S87" s="18"/>
      <x:c r="T87" s="18"/>
      <x:c r="U87" s="18"/>
      <x:c r="V87" s="18"/>
      <x:c r="W87" s="18"/>
      <x:c r="X87" s="18" t="n">
        <x:v>20</x:v>
      </x:c>
      <x:c r="Y87" s="18" t="str">
        <x:v>participants</x:v>
      </x:c>
      <x:c r="Z87" s="18" t="str">
        <x:v>0.225</x:v>
      </x:c>
      <x:c r="AA87" s="18" t="str">
        <x:v>Yes</x:v>
      </x:c>
      <x:c r="AB87" s="18" t="str">
        <x:v>No</x:v>
      </x:c>
      <x:c r="AC87" s="18" t="str">
        <x:v>RR</x:v>
      </x:c>
      <x:c r="AD87" s="18" t="n">
        <x:v>0.7424242424242424</x:v>
      </x:c>
      <x:c r="AE87" s="18" t="str">
        <x:v>No</x:v>
      </x:c>
      <x:c r="AF87" s="18" t="str">
        <x:v>No</x:v>
      </x:c>
      <x:c r="AG87" s="18" t="str">
        <x:v>Eligible for stratum-specific total-PONV analysis</x:v>
      </x:c>
      <x:c r="AH87" s="18" t="str">
        <x:v>No</x:v>
      </x:c>
      <x:c r="AI87" s="18" t="str">
        <x:v>No significant overall treatment effect despite time-specific benefits</x:v>
      </x:c>
      <x:c r="AJ87" s="18" t="str">
        <x:v>Table 3 / total PONV</x:v>
      </x:c>
      <x:c r="AK87" s="18" t="str">
        <x:v>https://drive.google.com/file/d/1U8tkq6mKFO0IkA2glfgLjN4Krwku3FZn/view?usp=drivesdk</x:v>
      </x:c>
      <x:c r="AL87" s="18" t="str">
        <x:v>SOURCE-VERIFIED / STRATIFIED RCT</x:v>
      </x:c>
      <x:c r="AM87" s="18"/>
      <x:c r="AN87" s="18"/>
      <x:c r="AO87" s="18"/>
      <x:c r="AP87" s="18"/>
      <x:c r="AQ87" s="18" t="n">
        <x:v>0</x:v>
      </x:c>
      <x:c r="AR87" s="18" t="n">
        <x:v>0</x:v>
      </x:c>
      <x:c r="AS87" s="18"/>
      <x:c r="AT87" s="18"/>
      <x:c r="AU87" s="18"/>
      <x:c r="AV87" s="18"/>
    </x:row>
    <x:row r="88">
      <x:c r="A88" s="18" t="str">
        <x:v>Wang 2024</x:v>
      </x:c>
      <x:c r="B88" s="18" t="str">
        <x:v>WANG24_MNVP_ODT_vs_OD_PONV0_2</x:v>
      </x:c>
      <x:c r="C88" s="18" t="str">
        <x:v>MNVP: ondansetron+dexamethasone+TEAS</x:v>
      </x:c>
      <x:c r="D88" s="18" t="str">
        <x:v>MNVP: ondansetron+dexamethasone</x:v>
      </x:c>
      <x:c r="E88" s="18" t="str">
        <x:v>PONV</x:v>
      </x:c>
      <x:c r="F88" s="18" t="str">
        <x:v>PONV incidence</x:v>
      </x:c>
      <x:c r="G88" s="18" t="str">
        <x:v>0-2 h</x:v>
      </x:c>
      <x:c r="H88" s="18" t="str">
        <x:v>Events/total</x:v>
      </x:c>
      <x:c r="I88" s="18" t="n">
        <x:v>35</x:v>
      </x:c>
      <x:c r="J88" s="18" t="n">
        <x:v>35</x:v>
      </x:c>
      <x:c r="K88" s="18" t="n">
        <x:v>35</x:v>
      </x:c>
      <x:c r="L88" s="18" t="n">
        <x:v>35</x:v>
      </x:c>
      <x:c r="M88" s="18"/>
      <x:c r="N88" s="18"/>
      <x:c r="O88" s="18"/>
      <x:c r="P88" s="18"/>
      <x:c r="Q88" s="18"/>
      <x:c r="R88" s="18" t="n">
        <x:v>2</x:v>
      </x:c>
      <x:c r="S88" s="18"/>
      <x:c r="T88" s="18"/>
      <x:c r="U88" s="18"/>
      <x:c r="V88" s="18"/>
      <x:c r="W88" s="18"/>
      <x:c r="X88" s="18" t="n">
        <x:v>9</x:v>
      </x:c>
      <x:c r="Y88" s="18" t="str">
        <x:v>participants</x:v>
      </x:c>
      <x:c r="Z88" s="18" t="str">
        <x:v>0.022</x:v>
      </x:c>
      <x:c r="AA88" s="18" t="str">
        <x:v>Yes</x:v>
      </x:c>
      <x:c r="AB88" s="18" t="str">
        <x:v>No</x:v>
      </x:c>
      <x:c r="AC88" s="18" t="str">
        <x:v>RR</x:v>
      </x:c>
      <x:c r="AD88" s="18" t="n">
        <x:v>0.22222222222222224</x:v>
      </x:c>
      <x:c r="AE88" s="18" t="str">
        <x:v>No</x:v>
      </x:c>
      <x:c r="AF88" s="18" t="str">
        <x:v>No</x:v>
      </x:c>
      <x:c r="AG88" s="18" t="str">
        <x:v>Eligible for stratum-specific dichotomous PONV analysis</x:v>
      </x:c>
      <x:c r="AH88" s="18" t="str">
        <x:v>No</x:v>
      </x:c>
      <x:c r="AI88" s="18" t="str">
        <x:v>Keep separate from SNVP; MNVP-ODT had more segmental mastectomy + axillary dissection (20.0% vs 2.9%)</x:v>
      </x:c>
      <x:c r="AJ88" s="18" t="str">
        <x:v>Table 3 / MNVP randomized contrast</x:v>
      </x:c>
      <x:c r="AK88" s="18" t="str">
        <x:v>https://drive.google.com/file/d/1U8tkq6mKFO0IkA2glfgLjN4Krwku3FZn/view?usp=drivesdk</x:v>
      </x:c>
      <x:c r="AL88" s="18" t="str">
        <x:v>SOURCE-VERIFIED / STRATIFIED RCT</x:v>
      </x:c>
      <x:c r="AM88" s="18"/>
      <x:c r="AN88" s="18"/>
      <x:c r="AO88" s="18"/>
      <x:c r="AP88" s="18"/>
      <x:c r="AQ88" s="18" t="n">
        <x:v>0</x:v>
      </x:c>
      <x:c r="AR88" s="18" t="n">
        <x:v>0</x:v>
      </x:c>
      <x:c r="AS88" s="18"/>
      <x:c r="AT88" s="18"/>
      <x:c r="AU88" s="18"/>
      <x:c r="AV88" s="18"/>
    </x:row>
    <x:row r="89">
      <x:c r="A89" s="18" t="str">
        <x:v>Wang 2024</x:v>
      </x:c>
      <x:c r="B89" s="18" t="str">
        <x:v>WANG24_MNVP_ODT_vs_OD_PONV2_6</x:v>
      </x:c>
      <x:c r="C89" s="18" t="str">
        <x:v>MNVP: ondansetron+dexamethasone+TEAS</x:v>
      </x:c>
      <x:c r="D89" s="18" t="str">
        <x:v>MNVP: ondansetron+dexamethasone</x:v>
      </x:c>
      <x:c r="E89" s="18" t="str">
        <x:v>PONV</x:v>
      </x:c>
      <x:c r="F89" s="18" t="str">
        <x:v>PONV incidence</x:v>
      </x:c>
      <x:c r="G89" s="18" t="str">
        <x:v>2-6 h</x:v>
      </x:c>
      <x:c r="H89" s="18" t="str">
        <x:v>Events/total</x:v>
      </x:c>
      <x:c r="I89" s="18" t="n">
        <x:v>35</x:v>
      </x:c>
      <x:c r="J89" s="18" t="n">
        <x:v>35</x:v>
      </x:c>
      <x:c r="K89" s="18" t="n">
        <x:v>35</x:v>
      </x:c>
      <x:c r="L89" s="18" t="n">
        <x:v>35</x:v>
      </x:c>
      <x:c r="M89" s="18"/>
      <x:c r="N89" s="18"/>
      <x:c r="O89" s="18"/>
      <x:c r="P89" s="18"/>
      <x:c r="Q89" s="18"/>
      <x:c r="R89" s="18" t="n">
        <x:v>2</x:v>
      </x:c>
      <x:c r="S89" s="18"/>
      <x:c r="T89" s="18"/>
      <x:c r="U89" s="18"/>
      <x:c r="V89" s="18"/>
      <x:c r="W89" s="18"/>
      <x:c r="X89" s="18" t="n">
        <x:v>8</x:v>
      </x:c>
      <x:c r="Y89" s="18" t="str">
        <x:v>participants</x:v>
      </x:c>
      <x:c r="Z89" s="18" t="str">
        <x:v>0.040</x:v>
      </x:c>
      <x:c r="AA89" s="18" t="str">
        <x:v>Yes</x:v>
      </x:c>
      <x:c r="AB89" s="18" t="str">
        <x:v>No</x:v>
      </x:c>
      <x:c r="AC89" s="18" t="str">
        <x:v>RR</x:v>
      </x:c>
      <x:c r="AD89" s="18" t="n">
        <x:v>0.25</x:v>
      </x:c>
      <x:c r="AE89" s="18" t="str">
        <x:v>No</x:v>
      </x:c>
      <x:c r="AF89" s="18" t="str">
        <x:v>No</x:v>
      </x:c>
      <x:c r="AG89" s="18" t="str">
        <x:v>Eligible for stratum-specific dichotomous PONV analysis</x:v>
      </x:c>
      <x:c r="AH89" s="18" t="str">
        <x:v>No</x:v>
      </x:c>
      <x:c r="AI89" s="18" t="str">
        <x:v>Keep separate from SNVP risk stratum</x:v>
      </x:c>
      <x:c r="AJ89" s="18" t="str">
        <x:v>Table 3 / MNVP randomized contrast</x:v>
      </x:c>
      <x:c r="AK89" s="18" t="str">
        <x:v>https://drive.google.com/file/d/1U8tkq6mKFO0IkA2glfgLjN4Krwku3FZn/view?usp=drivesdk</x:v>
      </x:c>
      <x:c r="AL89" s="18" t="str">
        <x:v>SOURCE-VERIFIED / STRATIFIED RCT</x:v>
      </x:c>
      <x:c r="AM89" s="18"/>
      <x:c r="AN89" s="18"/>
      <x:c r="AO89" s="18"/>
      <x:c r="AP89" s="18"/>
      <x:c r="AQ89" s="18" t="n">
        <x:v>0</x:v>
      </x:c>
      <x:c r="AR89" s="18" t="n">
        <x:v>0</x:v>
      </x:c>
      <x:c r="AS89" s="18"/>
      <x:c r="AT89" s="18"/>
      <x:c r="AU89" s="18"/>
      <x:c r="AV89" s="18"/>
    </x:row>
    <x:row r="90">
      <x:c r="A90" s="18" t="str">
        <x:v>Wang 2024</x:v>
      </x:c>
      <x:c r="B90" s="18" t="str">
        <x:v>WANG24_MNVP_ODT_vs_OD_TOTALPONV</x:v>
      </x:c>
      <x:c r="C90" s="18" t="str">
        <x:v>MNVP: ondansetron+dexamethasone+TEAS</x:v>
      </x:c>
      <x:c r="D90" s="18" t="str">
        <x:v>MNVP: ondansetron+dexamethasone</x:v>
      </x:c>
      <x:c r="E90" s="18" t="str">
        <x:v>PONV</x:v>
      </x:c>
      <x:c r="F90" s="18" t="str">
        <x:v>Any PONV over reported follow-up</x:v>
      </x:c>
      <x:c r="G90" s="18" t="str">
        <x:v>0-36 h</x:v>
      </x:c>
      <x:c r="H90" s="18" t="str">
        <x:v>Events/total</x:v>
      </x:c>
      <x:c r="I90" s="18" t="n">
        <x:v>35</x:v>
      </x:c>
      <x:c r="J90" s="18" t="n">
        <x:v>35</x:v>
      </x:c>
      <x:c r="K90" s="18" t="n">
        <x:v>35</x:v>
      </x:c>
      <x:c r="L90" s="18" t="n">
        <x:v>35</x:v>
      </x:c>
      <x:c r="M90" s="18"/>
      <x:c r="N90" s="18"/>
      <x:c r="O90" s="18"/>
      <x:c r="P90" s="18"/>
      <x:c r="Q90" s="18"/>
      <x:c r="R90" s="18" t="n">
        <x:v>5</x:v>
      </x:c>
      <x:c r="S90" s="18"/>
      <x:c r="T90" s="18"/>
      <x:c r="U90" s="18"/>
      <x:c r="V90" s="18"/>
      <x:c r="W90" s="18"/>
      <x:c r="X90" s="18" t="n">
        <x:v>10</x:v>
      </x:c>
      <x:c r="Y90" s="18" t="str">
        <x:v>participants</x:v>
      </x:c>
      <x:c r="Z90" s="18" t="str">
        <x:v>0.145</x:v>
      </x:c>
      <x:c r="AA90" s="18" t="str">
        <x:v>Yes</x:v>
      </x:c>
      <x:c r="AB90" s="18" t="str">
        <x:v>No</x:v>
      </x:c>
      <x:c r="AC90" s="18" t="str">
        <x:v>RR</x:v>
      </x:c>
      <x:c r="AD90" s="18" t="n">
        <x:v>0.5</x:v>
      </x:c>
      <x:c r="AE90" s="18" t="str">
        <x:v>No</x:v>
      </x:c>
      <x:c r="AF90" s="18" t="str">
        <x:v>No</x:v>
      </x:c>
      <x:c r="AG90" s="18" t="str">
        <x:v>Eligible for stratum-specific total-PONV analysis</x:v>
      </x:c>
      <x:c r="AH90" s="18" t="str">
        <x:v>No</x:v>
      </x:c>
      <x:c r="AI90" s="18" t="str">
        <x:v>No significant overall treatment effect despite early time-specific benefit</x:v>
      </x:c>
      <x:c r="AJ90" s="18" t="str">
        <x:v>Table 3 / total PONV</x:v>
      </x:c>
      <x:c r="AK90" s="18" t="str">
        <x:v>https://drive.google.com/file/d/1U8tkq6mKFO0IkA2glfgLjN4Krwku3FZn/view?usp=drivesdk</x:v>
      </x:c>
      <x:c r="AL90" s="18" t="str">
        <x:v>SOURCE-VERIFIED / STRATIFIED RCT</x:v>
      </x:c>
      <x:c r="AM90" s="18"/>
      <x:c r="AN90" s="18"/>
      <x:c r="AO90" s="18"/>
      <x:c r="AP90" s="18"/>
      <x:c r="AQ90" s="18" t="n">
        <x:v>0</x:v>
      </x:c>
      <x:c r="AR90" s="18" t="n">
        <x:v>0</x:v>
      </x:c>
      <x:c r="AS90" s="18"/>
      <x:c r="AT90" s="18"/>
      <x:c r="AU90" s="18"/>
      <x:c r="AV90" s="18"/>
    </x:row>
    <x:row r="91">
      <x:c r="A91" s="18" t="str">
        <x:v>Wang 2024</x:v>
      </x:c>
      <x:c r="B91" s="18" t="str">
        <x:v>WANG24_SNVP_ODT_vs_OD_INTRAOPSUF</x:v>
      </x:c>
      <x:c r="C91" s="18" t="str">
        <x:v>SNVP: ondansetron+dexamethasone+TEAS</x:v>
      </x:c>
      <x:c r="D91" s="18" t="str">
        <x:v>SNVP: ondansetron+dexamethasone</x:v>
      </x:c>
      <x:c r="E91" s="18" t="str">
        <x:v>Intraoperative opioid</x:v>
      </x:c>
      <x:c r="F91" s="18" t="str">
        <x:v>Total sufentanil</x:v>
      </x:c>
      <x:c r="G91" s="18" t="str">
        <x:v>Intraoperative</x:v>
      </x:c>
      <x:c r="H91" s="18" t="str">
        <x:v>Mean/SD</x:v>
      </x:c>
      <x:c r="I91" s="18" t="n">
        <x:v>35</x:v>
      </x:c>
      <x:c r="J91" s="18" t="n">
        <x:v>35</x:v>
      </x:c>
      <x:c r="K91" s="18" t="n">
        <x:v>33</x:v>
      </x:c>
      <x:c r="L91" s="18" t="n">
        <x:v>35</x:v>
      </x:c>
      <x:c r="M91" s="18" t="n">
        <x:v>21.2</x:v>
      </x:c>
      <x:c r="N91" s="18" t="n">
        <x:v>3.1</x:v>
      </x:c>
      <x:c r="O91" s="18"/>
      <x:c r="P91" s="18"/>
      <x:c r="Q91" s="18"/>
      <x:c r="R91" s="18"/>
      <x:c r="S91" s="18" t="n">
        <x:v>21.9</x:v>
      </x:c>
      <x:c r="T91" s="18" t="n">
        <x:v>3.2</x:v>
      </x:c>
      <x:c r="U91" s="18"/>
      <x:c r="V91" s="18"/>
      <x:c r="W91" s="18"/>
      <x:c r="X91" s="18"/>
      <x:c r="Y91" s="18" t="str">
        <x:v>µg sufentanil</x:v>
      </x:c>
      <x:c r="Z91" s="18" t="str">
        <x:v>0.402</x:v>
      </x:c>
      <x:c r="AA91" s="18" t="str">
        <x:v>Yes</x:v>
      </x:c>
      <x:c r="AB91" s="18" t="str">
        <x:v>No</x:v>
      </x:c>
      <x:c r="AC91" s="18" t="str">
        <x:v>MD</x:v>
      </x:c>
      <x:c r="AD91" s="18" t="n">
        <x:v>-0.6999999999999993</x:v>
      </x:c>
      <x:c r="AE91" s="18" t="str">
        <x:v>No</x:v>
      </x:c>
      <x:c r="AF91" s="18" t="str">
        <x:v>No</x:v>
      </x:c>
      <x:c r="AG91" s="18" t="str">
        <x:v>Eligible for intraoperative opioid analysis</x:v>
      </x:c>
      <x:c r="AH91" s="18" t="str">
        <x:v>No</x:v>
      </x:c>
      <x:c r="AI91" s="18" t="str">
        <x:v>No intraoperative opioid-sparing effect</x:v>
      </x:c>
      <x:c r="AJ91" s="18" t="str">
        <x:v>Table 1 / SNVP sufentanil</x:v>
      </x:c>
      <x:c r="AK91" s="18" t="str">
        <x:v>https://drive.google.com/file/d/1U8tkq6mKFO0IkA2glfgLjN4Krwku3FZn/view?usp=drivesdk</x:v>
      </x:c>
      <x:c r="AL91" s="18" t="str">
        <x:v>SOURCE-VERIFIED</x:v>
      </x:c>
      <x:c r="AM91" s="18"/>
      <x:c r="AN91" s="18"/>
      <x:c r="AO91" s="18"/>
      <x:c r="AP91" s="18"/>
      <x:c r="AQ91" s="18" t="n">
        <x:v>0</x:v>
      </x:c>
      <x:c r="AR91" s="18" t="n">
        <x:v>0</x:v>
      </x:c>
      <x:c r="AS91" s="18"/>
      <x:c r="AT91" s="18"/>
      <x:c r="AU91" s="18"/>
      <x:c r="AV91" s="18"/>
    </x:row>
    <x:row r="92">
      <x:c r="A92" s="18" t="str">
        <x:v>Wang 2024</x:v>
      </x:c>
      <x:c r="B92" s="18" t="str">
        <x:v>WANG24_MNVP_ODT_vs_OD_INTRAOPSUF</x:v>
      </x:c>
      <x:c r="C92" s="18" t="str">
        <x:v>MNVP: ondansetron+dexamethasone+TEAS</x:v>
      </x:c>
      <x:c r="D92" s="18" t="str">
        <x:v>MNVP: ondansetron+dexamethasone</x:v>
      </x:c>
      <x:c r="E92" s="18" t="str">
        <x:v>Intraoperative opioid</x:v>
      </x:c>
      <x:c r="F92" s="18" t="str">
        <x:v>Total sufentanil</x:v>
      </x:c>
      <x:c r="G92" s="18" t="str">
        <x:v>Intraoperative</x:v>
      </x:c>
      <x:c r="H92" s="18" t="str">
        <x:v>Mean/SD</x:v>
      </x:c>
      <x:c r="I92" s="18" t="n">
        <x:v>35</x:v>
      </x:c>
      <x:c r="J92" s="18" t="n">
        <x:v>35</x:v>
      </x:c>
      <x:c r="K92" s="18" t="n">
        <x:v>35</x:v>
      </x:c>
      <x:c r="L92" s="18" t="n">
        <x:v>35</x:v>
      </x:c>
      <x:c r="M92" s="18" t="n">
        <x:v>21</x:v>
      </x:c>
      <x:c r="N92" s="18" t="n">
        <x:v>3.4</x:v>
      </x:c>
      <x:c r="O92" s="18"/>
      <x:c r="P92" s="18"/>
      <x:c r="Q92" s="18"/>
      <x:c r="R92" s="18"/>
      <x:c r="S92" s="18" t="n">
        <x:v>20.9</x:v>
      </x:c>
      <x:c r="T92" s="18" t="n">
        <x:v>3.1</x:v>
      </x:c>
      <x:c r="U92" s="18"/>
      <x:c r="V92" s="18"/>
      <x:c r="W92" s="18"/>
      <x:c r="X92" s="18"/>
      <x:c r="Y92" s="18" t="str">
        <x:v>µg sufentanil</x:v>
      </x:c>
      <x:c r="Z92" s="18" t="str">
        <x:v>0.854</x:v>
      </x:c>
      <x:c r="AA92" s="18" t="str">
        <x:v>Yes</x:v>
      </x:c>
      <x:c r="AB92" s="18" t="str">
        <x:v>No</x:v>
      </x:c>
      <x:c r="AC92" s="18" t="str">
        <x:v>MD</x:v>
      </x:c>
      <x:c r="AD92" s="18" t="n">
        <x:v>0.10000000000000142</x:v>
      </x:c>
      <x:c r="AE92" s="18" t="str">
        <x:v>No</x:v>
      </x:c>
      <x:c r="AF92" s="18" t="str">
        <x:v>No</x:v>
      </x:c>
      <x:c r="AG92" s="18" t="str">
        <x:v>Eligible for intraoperative opioid analysis</x:v>
      </x:c>
      <x:c r="AH92" s="18" t="str">
        <x:v>No</x:v>
      </x:c>
      <x:c r="AI92" s="18" t="str">
        <x:v>No intraoperative opioid-sparing effect</x:v>
      </x:c>
      <x:c r="AJ92" s="18" t="str">
        <x:v>Table 1 / MNVP sufentanil</x:v>
      </x:c>
      <x:c r="AK92" s="18" t="str">
        <x:v>https://drive.google.com/file/d/1U8tkq6mKFO0IkA2glfgLjN4Krwku3FZn/view?usp=drivesdk</x:v>
      </x:c>
      <x:c r="AL92" s="18" t="str">
        <x:v>SOURCE-VERIFIED</x:v>
      </x:c>
      <x:c r="AM92" s="18"/>
      <x:c r="AN92" s="18"/>
      <x:c r="AO92" s="18"/>
      <x:c r="AP92" s="18"/>
      <x:c r="AQ92" s="18" t="n">
        <x:v>0</x:v>
      </x:c>
      <x:c r="AR92" s="18" t="n">
        <x:v>0</x:v>
      </x:c>
      <x:c r="AS92" s="18"/>
      <x:c r="AT92" s="18"/>
      <x:c r="AU92" s="18"/>
      <x:c r="AV92" s="18"/>
    </x:row>
    <x:row r="93">
      <x:c r="A93" s="18" t="str">
        <x:v>Wang 2024</x:v>
      </x:c>
      <x:c r="B93" s="18" t="str">
        <x:v>WANG24_POSTOP_OPIOID24</x:v>
      </x:c>
      <x:c r="C93" s="18" t="str">
        <x:v>TEAS within risk strata</x:v>
      </x:c>
      <x:c r="D93" s="18" t="str">
        <x:v>OD within risk strata</x:v>
      </x:c>
      <x:c r="E93" s="18" t="str">
        <x:v>Opioid consumption</x:v>
      </x:c>
      <x:c r="F93" s="18" t="str">
        <x:v>Postoperative opioid consumption</x:v>
      </x:c>
      <x:c r="G93" s="18" t="str">
        <x:v>0-24 h</x:v>
      </x:c>
      <x:c r="H93" s="18" t="str">
        <x:v>Not reported</x:v>
      </x:c>
      <x:c r="I93" s="18"/>
      <x:c r="J93" s="18"/>
      <x:c r="K93" s="18"/>
      <x:c r="L93" s="18"/>
      <x:c r="M93" s="18"/>
      <x:c r="N93" s="18"/>
      <x:c r="O93" s="18"/>
      <x:c r="P93" s="18"/>
      <x:c r="Q93" s="18"/>
      <x:c r="R93" s="18"/>
      <x:c r="S93" s="18"/>
      <x:c r="T93" s="18"/>
      <x:c r="U93" s="18"/>
      <x:c r="V93" s="18"/>
      <x:c r="W93" s="18"/>
      <x:c r="X93" s="18"/>
      <x:c r="Y93" s="18" t="str">
        <x:v>mg/µg</x:v>
      </x:c>
      <x:c r="Z93" s="18"/>
      <x:c r="AA93" s="18" t="str">
        <x:v>No</x:v>
      </x:c>
      <x:c r="AB93" s="18" t="str">
        <x:v>No</x:v>
      </x:c>
      <x:c r="AC93" s="18" t="str"/>
      <x:c r="AD93" s="18" t="str"/>
      <x:c r="AE93" s="18" t="str">
        <x:v>No</x:v>
      </x:c>
      <x:c r="AF93" s="18" t="str">
        <x:v>No</x:v>
      </x:c>
      <x:c r="AG93" s="18" t="str">
        <x:v>Not eligible for postoperative 24-h opioid meta-analysis</x:v>
      </x:c>
      <x:c r="AH93" s="18" t="str">
        <x:v>No</x:v>
      </x:c>
      <x:c r="AI93" s="18" t="str">
        <x:v>Postoperative rescue analgesia was non-opioid flurbiprofen; no postoperative opioid-consumption endpoint</x:v>
      </x:c>
      <x:c r="AJ93" s="18" t="str">
        <x:v>Postoperative analgesia section</x:v>
      </x:c>
      <x:c r="AK93" s="18" t="str">
        <x:v>https://drive.google.com/file/d/1U8tkq6mKFO0IkA2glfgLjN4Krwku3FZn/view?usp=drivesdk</x:v>
      </x:c>
      <x:c r="AL93" s="18" t="str">
        <x:v>NOT REPORTED / NO POSTOP OPIOID ENDPOINT</x:v>
      </x:c>
      <x:c r="AM93" s="18"/>
      <x:c r="AN93" s="18"/>
      <x:c r="AO93" s="18"/>
      <x:c r="AP93" s="18"/>
      <x:c r="AQ93" s="18" t="n">
        <x:v>0</x:v>
      </x:c>
      <x:c r="AR93" s="18" t="n">
        <x:v>0</x:v>
      </x:c>
      <x:c r="AS93" s="18"/>
      <x:c r="AT93" s="18"/>
      <x:c r="AU93" s="18"/>
      <x:c r="AV93" s="18"/>
    </x:row>
    <x:row r="94">
      <x:c r="A94" s="18" t="str">
        <x:v>Tu 2024</x:v>
      </x:c>
      <x:c r="B94" s="18" t="str">
        <x:v>TU24_TEAS_vs_SHAM_VOMIT2_6</x:v>
      </x:c>
      <x:c r="C94" s="18" t="str">
        <x:v>Postoperative TEAS</x:v>
      </x:c>
      <x:c r="D94" s="18" t="str">
        <x:v>Sham/no current</x:v>
      </x:c>
      <x:c r="E94" s="18" t="str">
        <x:v>PONV</x:v>
      </x:c>
      <x:c r="F94" s="18" t="str">
        <x:v>Vomiting incidence</x:v>
      </x:c>
      <x:c r="G94" s="18" t="str">
        <x:v>2-6 h</x:v>
      </x:c>
      <x:c r="H94" s="18" t="str">
        <x:v>Events/total</x:v>
      </x:c>
      <x:c r="I94" s="18" t="n">
        <x:v>60</x:v>
      </x:c>
      <x:c r="J94" s="18" t="n">
        <x:v>60</x:v>
      </x:c>
      <x:c r="K94" s="18" t="n">
        <x:v>57</x:v>
      </x:c>
      <x:c r="L94" s="18" t="n">
        <x:v>58</x:v>
      </x:c>
      <x:c r="M94" s="18"/>
      <x:c r="N94" s="18"/>
      <x:c r="O94" s="18"/>
      <x:c r="P94" s="18"/>
      <x:c r="Q94" s="18"/>
      <x:c r="R94" s="18" t="n">
        <x:v>8</x:v>
      </x:c>
      <x:c r="S94" s="18"/>
      <x:c r="T94" s="18"/>
      <x:c r="U94" s="18"/>
      <x:c r="V94" s="18"/>
      <x:c r="W94" s="18"/>
      <x:c r="X94" s="18" t="n">
        <x:v>17</x:v>
      </x:c>
      <x:c r="Y94" s="18" t="str">
        <x:v>participants</x:v>
      </x:c>
      <x:c r="Z94" s="18" t="str">
        <x:v>0.047</x:v>
      </x:c>
      <x:c r="AA94" s="18" t="str">
        <x:v>Yes</x:v>
      </x:c>
      <x:c r="AB94" s="18" t="str">
        <x:v>No</x:v>
      </x:c>
      <x:c r="AC94" s="18" t="str">
        <x:v>RR</x:v>
      </x:c>
      <x:c r="AD94" s="18" t="n">
        <x:v>0.478844169246646</x:v>
      </x:c>
      <x:c r="AE94" s="18" t="str">
        <x:v>No</x:v>
      </x:c>
      <x:c r="AF94" s="18" t="str">
        <x:v>No</x:v>
      </x:c>
      <x:c r="AG94" s="18" t="str">
        <x:v>Eligible for dichotomous vomiting analysis</x:v>
      </x:c>
      <x:c r="AH94" s="18" t="str">
        <x:v>No</x:v>
      </x:c>
      <x:c r="AI94" s="18" t="str">
        <x:v>Five post-randomization exclusions include one sham participant excluded specifically for vomiting caused by intracranial hypertension</x:v>
      </x:c>
      <x:c r="AJ94" s="18" t="str">
        <x:v>Table 3 / vomiting 2-6 h</x:v>
      </x:c>
      <x:c r="AK94" s="18" t="str">
        <x:v>https://drive.google.com/file/d/1xQ9SbXVZblphUrb0-T9xpnAXk-_z5nBX/view?usp=drivesdk</x:v>
      </x:c>
      <x:c r="AL94" s="18" t="str">
        <x:v>SOURCE-VERIFIED / MISSINGNESS QC</x:v>
      </x:c>
      <x:c r="AM94" s="18"/>
      <x:c r="AN94" s="18"/>
      <x:c r="AO94" s="18"/>
      <x:c r="AP94" s="18"/>
      <x:c r="AQ94" s="18" t="n">
        <x:v>0</x:v>
      </x:c>
      <x:c r="AR94" s="18" t="n">
        <x:v>0</x:v>
      </x:c>
      <x:c r="AS94" s="18"/>
      <x:c r="AT94" s="18"/>
      <x:c r="AU94" s="18"/>
      <x:c r="AV94" s="18"/>
    </x:row>
    <x:row r="95">
      <x:c r="A95" s="18" t="str">
        <x:v>Tu 2024</x:v>
      </x:c>
      <x:c r="B95" s="18" t="str">
        <x:v>TU24_TEAS_vs_SHAM_VOMIT6_24</x:v>
      </x:c>
      <x:c r="C95" s="18" t="str">
        <x:v>Postoperative TEAS</x:v>
      </x:c>
      <x:c r="D95" s="18" t="str">
        <x:v>Sham/no current</x:v>
      </x:c>
      <x:c r="E95" s="18" t="str">
        <x:v>PONV</x:v>
      </x:c>
      <x:c r="F95" s="18" t="str">
        <x:v>Vomiting incidence</x:v>
      </x:c>
      <x:c r="G95" s="18" t="str">
        <x:v>6-24 h</x:v>
      </x:c>
      <x:c r="H95" s="18" t="str">
        <x:v>Events/total</x:v>
      </x:c>
      <x:c r="I95" s="18" t="n">
        <x:v>60</x:v>
      </x:c>
      <x:c r="J95" s="18" t="n">
        <x:v>60</x:v>
      </x:c>
      <x:c r="K95" s="18" t="n">
        <x:v>57</x:v>
      </x:c>
      <x:c r="L95" s="18" t="n">
        <x:v>58</x:v>
      </x:c>
      <x:c r="M95" s="18"/>
      <x:c r="N95" s="18"/>
      <x:c r="O95" s="18"/>
      <x:c r="P95" s="18"/>
      <x:c r="Q95" s="18"/>
      <x:c r="R95" s="18" t="n">
        <x:v>11</x:v>
      </x:c>
      <x:c r="S95" s="18"/>
      <x:c r="T95" s="18"/>
      <x:c r="U95" s="18"/>
      <x:c r="V95" s="18"/>
      <x:c r="W95" s="18"/>
      <x:c r="X95" s="18" t="n">
        <x:v>15</x:v>
      </x:c>
      <x:c r="Y95" s="18" t="str">
        <x:v>participants</x:v>
      </x:c>
      <x:c r="Z95" s="18" t="str">
        <x:v>0.405</x:v>
      </x:c>
      <x:c r="AA95" s="18" t="str">
        <x:v>Yes</x:v>
      </x:c>
      <x:c r="AB95" s="18" t="str">
        <x:v>No</x:v>
      </x:c>
      <x:c r="AC95" s="18" t="str">
        <x:v>RR</x:v>
      </x:c>
      <x:c r="AD95" s="18" t="n">
        <x:v>0.7461988304093566</x:v>
      </x:c>
      <x:c r="AE95" s="18" t="str">
        <x:v>No</x:v>
      </x:c>
      <x:c r="AF95" s="18" t="str">
        <x:v>No</x:v>
      </x:c>
      <x:c r="AG95" s="18" t="str">
        <x:v>Eligible for dichotomous vomiting analysis</x:v>
      </x:c>
      <x:c r="AH95" s="18" t="str">
        <x:v>No</x:v>
      </x:c>
      <x:c r="AI95" s="18" t="str">
        <x:v>Same post-randomization exclusion concern</x:v>
      </x:c>
      <x:c r="AJ95" s="18" t="str">
        <x:v>Table 3 / vomiting 6-24 h</x:v>
      </x:c>
      <x:c r="AK95" s="18" t="str">
        <x:v>https://drive.google.com/file/d/1xQ9SbXVZblphUrb0-T9xpnAXk-_z5nBX/view?usp=drivesdk</x:v>
      </x:c>
      <x:c r="AL95" s="18" t="str">
        <x:v>SOURCE-VERIFIED / MISSINGNESS QC</x:v>
      </x:c>
      <x:c r="AM95" s="18"/>
      <x:c r="AN95" s="18"/>
      <x:c r="AO95" s="18"/>
      <x:c r="AP95" s="18"/>
      <x:c r="AQ95" s="18" t="n">
        <x:v>0</x:v>
      </x:c>
      <x:c r="AR95" s="18" t="n">
        <x:v>0</x:v>
      </x:c>
      <x:c r="AS95" s="18"/>
      <x:c r="AT95" s="18"/>
      <x:c r="AU95" s="18"/>
      <x:c r="AV95" s="18"/>
    </x:row>
    <x:row r="96">
      <x:c r="A96" s="18" t="str">
        <x:v>Tu 2024</x:v>
      </x:c>
      <x:c r="B96" s="18" t="str">
        <x:v>TU24_TEAS_vs_SHAM_PAIN6_24</x:v>
      </x:c>
      <x:c r="C96" s="18" t="str">
        <x:v>Postoperative TEAS</x:v>
      </x:c>
      <x:c r="D96" s="18" t="str">
        <x:v>Sham/no current</x:v>
      </x:c>
      <x:c r="E96" s="18" t="str">
        <x:v>Pain</x:v>
      </x:c>
      <x:c r="F96" s="18" t="str">
        <x:v>VAS pain intensity</x:v>
      </x:c>
      <x:c r="G96" s="18" t="str">
        <x:v>6-24 h</x:v>
      </x:c>
      <x:c r="H96" s="18" t="str">
        <x:v>Median/IQR</x:v>
      </x:c>
      <x:c r="I96" s="18" t="n">
        <x:v>60</x:v>
      </x:c>
      <x:c r="J96" s="18" t="n">
        <x:v>60</x:v>
      </x:c>
      <x:c r="K96" s="18" t="n">
        <x:v>57</x:v>
      </x:c>
      <x:c r="L96" s="18" t="n">
        <x:v>58</x:v>
      </x:c>
      <x:c r="M96" s="18"/>
      <x:c r="N96" s="18"/>
      <x:c r="O96" s="18" t="n">
        <x:v>2</x:v>
      </x:c>
      <x:c r="P96" s="18" t="n">
        <x:v>0.5</x:v>
      </x:c>
      <x:c r="Q96" s="18" t="n">
        <x:v>3</x:v>
      </x:c>
      <x:c r="R96" s="18"/>
      <x:c r="S96" s="18"/>
      <x:c r="T96" s="18"/>
      <x:c r="U96" s="18" t="n">
        <x:v>4</x:v>
      </x:c>
      <x:c r="V96" s="18" t="n">
        <x:v>3</x:v>
      </x:c>
      <x:c r="W96" s="18" t="n">
        <x:v>4</x:v>
      </x:c>
      <x:c r="X96" s="18"/>
      <x:c r="Y96" s="18" t="str">
        <x:v>VAS 0-10</x:v>
      </x:c>
      <x:c r="Z96" s="18" t="str">
        <x:v>0.001</x:v>
      </x:c>
      <x:c r="AA96" s="18" t="str">
        <x:v>Yes</x:v>
      </x:c>
      <x:c r="AB96" s="18" t="str">
        <x:v>No</x:v>
      </x:c>
      <x:c r="AC96" s="18" t="str"/>
      <x:c r="AD96" s="18" t="str"/>
      <x:c r="AE96" s="18" t="str">
        <x:v>No</x:v>
      </x:c>
      <x:c r="AF96" s="18" t="str">
        <x:v>No</x:v>
      </x:c>
      <x:c r="AG96" s="18" t="str">
        <x:v>Eligible for pain analysis using median/IQR methods</x:v>
      </x:c>
      <x:c r="AH96" s="18" t="str">
        <x:v>No</x:v>
      </x:c>
      <x:c r="AI96" s="18" t="str">
        <x:v>Subjective outcome; sensory difference between active de qi and no-current sham may affect participant masking</x:v>
      </x:c>
      <x:c r="AJ96" s="18" t="str">
        <x:v>Pain outcome 6-24 h</x:v>
      </x:c>
      <x:c r="AK96" s="18" t="str">
        <x:v>https://drive.google.com/file/d/1xQ9SbXVZblphUrb0-T9xpnAXk-_z5nBX/view?usp=drivesdk</x:v>
      </x:c>
      <x:c r="AL96" s="18" t="str">
        <x:v>SOURCE-VERIFIED / SUBJECTIVE OUTCOME QC</x:v>
      </x:c>
      <x:c r="AM96" s="18"/>
      <x:c r="AN96" s="18"/>
      <x:c r="AO96" s="18"/>
      <x:c r="AP96" s="18"/>
      <x:c r="AQ96" s="18" t="n">
        <x:v>0</x:v>
      </x:c>
      <x:c r="AR96" s="18" t="n">
        <x:v>0</x:v>
      </x:c>
      <x:c r="AS96" s="18"/>
      <x:c r="AT96" s="18"/>
      <x:c r="AU96" s="18"/>
      <x:c r="AV96" s="18"/>
    </x:row>
    <x:row r="97">
      <x:c r="A97" s="18" t="str">
        <x:v>Tu 2024</x:v>
      </x:c>
      <x:c r="B97" s="18" t="str">
        <x:v>TU24_TEAS_vs_SHAM_TRAMADOL</x:v>
      </x:c>
      <x:c r="C97" s="18" t="str">
        <x:v>Postoperative TEAS</x:v>
      </x:c>
      <x:c r="D97" s="18" t="str">
        <x:v>Sham/no current</x:v>
      </x:c>
      <x:c r="E97" s="18" t="str">
        <x:v>Rescue opioid use</x:v>
      </x:c>
      <x:c r="F97" s="18" t="str">
        <x:v>Any rescue tramadol use</x:v>
      </x:c>
      <x:c r="G97" s="18" t="str">
        <x:v>Within 24 h</x:v>
      </x:c>
      <x:c r="H97" s="18" t="str">
        <x:v>Events/total</x:v>
      </x:c>
      <x:c r="I97" s="18" t="n">
        <x:v>60</x:v>
      </x:c>
      <x:c r="J97" s="18" t="n">
        <x:v>60</x:v>
      </x:c>
      <x:c r="K97" s="18" t="n">
        <x:v>57</x:v>
      </x:c>
      <x:c r="L97" s="18" t="n">
        <x:v>58</x:v>
      </x:c>
      <x:c r="M97" s="18"/>
      <x:c r="N97" s="18"/>
      <x:c r="O97" s="18"/>
      <x:c r="P97" s="18"/>
      <x:c r="Q97" s="18"/>
      <x:c r="R97" s="18" t="n">
        <x:v>3</x:v>
      </x:c>
      <x:c r="S97" s="18"/>
      <x:c r="T97" s="18"/>
      <x:c r="U97" s="18"/>
      <x:c r="V97" s="18"/>
      <x:c r="W97" s="18"/>
      <x:c r="X97" s="18" t="n">
        <x:v>6</x:v>
      </x:c>
      <x:c r="Y97" s="18" t="str">
        <x:v>participants</x:v>
      </x:c>
      <x:c r="Z97" s="18" t="str">
        <x:v>0.315</x:v>
      </x:c>
      <x:c r="AA97" s="18" t="str">
        <x:v>Yes</x:v>
      </x:c>
      <x:c r="AB97" s="18" t="str">
        <x:v>No</x:v>
      </x:c>
      <x:c r="AC97" s="18" t="str">
        <x:v>RR</x:v>
      </x:c>
      <x:c r="AD97" s="18" t="n">
        <x:v>0.5087719298245614</x:v>
      </x:c>
      <x:c r="AE97" s="18" t="str">
        <x:v>No</x:v>
      </x:c>
      <x:c r="AF97" s="18" t="str">
        <x:v>No</x:v>
      </x:c>
      <x:c r="AG97" s="18" t="str">
        <x:v>Eligible only for binary rescue-opioid-use analysis</x:v>
      </x:c>
      <x:c r="AH97" s="18" t="str">
        <x:v>No</x:v>
      </x:c>
      <x:c r="AI97" s="18" t="str">
        <x:v>Tramadol was 10 mg IM for VAS &gt;6; number of doses/cumulative tramadol per patient is not reported</x:v>
      </x:c>
      <x:c r="AJ97" s="18" t="str">
        <x:v>Rescue analgesia outcome</x:v>
      </x:c>
      <x:c r="AK97" s="18" t="str">
        <x:v>https://drive.google.com/file/d/1xQ9SbXVZblphUrb0-T9xpnAXk-_z5nBX/view?usp=drivesdk</x:v>
      </x:c>
      <x:c r="AL97" s="18" t="str">
        <x:v>SOURCE-VERIFIED / DOSE MISSING</x:v>
      </x:c>
      <x:c r="AM97" s="18" t="str">
        <x:v>F-rescue-opioid-007</x:v>
      </x:c>
      <x:c r="AN97" s="18" t="str">
        <x:v>F-rescue-opioid</x:v>
      </x:c>
      <x:c r="AO97" s="18" t="str">
        <x:v>F_rescue_opioid</x:v>
      </x:c>
      <x:c r="AP97" s="18" t="str">
        <x:v>MATCHED</x:v>
      </x:c>
      <x:c r="AQ97" s="18" t="n">
        <x:v>1</x:v>
      </x:c>
      <x:c r="AR97" s="18" t="n">
        <x:v>0</x:v>
      </x:c>
      <x:c r="AS97" s="18" t="str">
        <x:v>Some concerns</x:v>
      </x:c>
      <x:c r="AT97" s="18"/>
      <x:c r="AU97" s="18"/>
      <x:c r="AV97" s="18" t="str">
        <x:v>3/57 vs6/58; P=0.315</x:v>
      </x:c>
    </x:row>
    <x:row r="98">
      <x:c r="A98" s="18" t="str">
        <x:v>Tu 2024</x:v>
      </x:c>
      <x:c r="B98" s="18" t="str">
        <x:v>TU24_TEAS_vs_SHAM_OPIOID24</x:v>
      </x:c>
      <x:c r="C98" s="18" t="str">
        <x:v>Postoperative TEAS</x:v>
      </x:c>
      <x:c r="D98" s="18" t="str">
        <x:v>Sham/no current</x:v>
      </x:c>
      <x:c r="E98" s="18" t="str">
        <x:v>Opioid consumption</x:v>
      </x:c>
      <x:c r="F98" s="18" t="str">
        <x:v>Cumulative rescue tramadol consumption</x:v>
      </x:c>
      <x:c r="G98" s="18" t="str">
        <x:v>0-24 h</x:v>
      </x:c>
      <x:c r="H98" s="18" t="str">
        <x:v>Not reported</x:v>
      </x:c>
      <x:c r="I98" s="18" t="n">
        <x:v>60</x:v>
      </x:c>
      <x:c r="J98" s="18" t="n">
        <x:v>60</x:v>
      </x:c>
      <x:c r="K98" s="18" t="n">
        <x:v>57</x:v>
      </x:c>
      <x:c r="L98" s="18" t="n">
        <x:v>58</x:v>
      </x:c>
      <x:c r="M98" s="18"/>
      <x:c r="N98" s="18"/>
      <x:c r="O98" s="18"/>
      <x:c r="P98" s="18"/>
      <x:c r="Q98" s="18"/>
      <x:c r="R98" s="18"/>
      <x:c r="S98" s="18"/>
      <x:c r="T98" s="18"/>
      <x:c r="U98" s="18"/>
      <x:c r="V98" s="18"/>
      <x:c r="W98" s="18"/>
      <x:c r="X98" s="18"/>
      <x:c r="Y98" s="18" t="str">
        <x:v>mg tramadol</x:v>
      </x:c>
      <x:c r="Z98" s="18"/>
      <x:c r="AA98" s="18" t="str">
        <x:v>No</x:v>
      </x:c>
      <x:c r="AB98" s="18" t="str">
        <x:v>No</x:v>
      </x:c>
      <x:c r="AC98" s="18" t="str"/>
      <x:c r="AD98" s="18" t="str"/>
      <x:c r="AE98" s="18" t="str">
        <x:v>No</x:v>
      </x:c>
      <x:c r="AF98" s="18" t="str">
        <x:v>No</x:v>
      </x:c>
      <x:c r="AG98" s="18" t="str">
        <x:v>Not eligible for continuous 24-h opioid meta-analysis</x:v>
      </x:c>
      <x:c r="AH98" s="18" t="str">
        <x:v>No</x:v>
      </x:c>
      <x:c r="AI98" s="18" t="str">
        <x:v>Only number of patients receiving rescue tramadol is reported; cumulative dose is unavailable</x:v>
      </x:c>
      <x:c r="AJ98" s="18" t="str">
        <x:v>Rescue analgesia section</x:v>
      </x:c>
      <x:c r="AK98" s="18" t="str">
        <x:v>https://drive.google.com/file/d/1xQ9SbXVZblphUrb0-T9xpnAXk-_z5nBX/view?usp=drivesdk</x:v>
      </x:c>
      <x:c r="AL98" s="18" t="str">
        <x:v>MISSING / CUMULATIVE DOSE NOT REPORTED</x:v>
      </x:c>
      <x:c r="AM98" s="18"/>
      <x:c r="AN98" s="18"/>
      <x:c r="AO98" s="18"/>
      <x:c r="AP98" s="18"/>
      <x:c r="AQ98" s="18" t="n">
        <x:v>0</x:v>
      </x:c>
      <x:c r="AR98" s="18" t="n">
        <x:v>0</x:v>
      </x:c>
      <x:c r="AS98" s="18"/>
      <x:c r="AT98" s="18"/>
      <x:c r="AU98" s="18"/>
      <x:c r="AV98" s="18"/>
    </x:row>
    <x:row r="99">
      <x:c r="A99" s="18" t="str">
        <x:v>Sun 2017</x:v>
      </x:c>
      <x:c r="B99" s="18" t="str">
        <x:v>SUN17_TSS_vs_SSS_ACTIVITY24</x:v>
      </x:c>
      <x:c r="C99" s="18" t="str">
        <x:v>Preoperative true TEAS only</x:v>
      </x:c>
      <x:c r="D99" s="18" t="str">
        <x:v>All-period sham TEAS (SSS)</x:v>
      </x:c>
      <x:c r="E99" s="18" t="str">
        <x:v>Pain</x:v>
      </x:c>
      <x:c r="F99" s="18" t="str">
        <x:v>Activity-evoked VAS</x:v>
      </x:c>
      <x:c r="G99" s="18" t="str">
        <x:v>24 h</x:v>
      </x:c>
      <x:c r="H99" s="18" t="str">
        <x:v>Median/IQR</x:v>
      </x:c>
      <x:c r="I99" s="18" t="n">
        <x:v>95</x:v>
      </x:c>
      <x:c r="J99" s="18" t="n">
        <x:v>95</x:v>
      </x:c>
      <x:c r="K99" s="18" t="n">
        <x:v>91</x:v>
      </x:c>
      <x:c r="L99" s="18" t="n">
        <x:v>90</x:v>
      </x:c>
      <x:c r="M99" s="18"/>
      <x:c r="N99" s="18"/>
      <x:c r="O99" s="18" t="n">
        <x:v>4</x:v>
      </x:c>
      <x:c r="P99" s="18" t="n">
        <x:v>4</x:v>
      </x:c>
      <x:c r="Q99" s="18" t="n">
        <x:v>5</x:v>
      </x:c>
      <x:c r="R99" s="18"/>
      <x:c r="S99" s="18"/>
      <x:c r="T99" s="18"/>
      <x:c r="U99" s="18" t="n">
        <x:v>4</x:v>
      </x:c>
      <x:c r="V99" s="18" t="n">
        <x:v>3.8</x:v>
      </x:c>
      <x:c r="W99" s="18" t="n">
        <x:v>5</x:v>
      </x:c>
      <x:c r="X99" s="18"/>
      <x:c r="Y99" s="18" t="str">
        <x:v>VAS 0-10</x:v>
      </x:c>
      <x:c r="Z99" s="18" t="str">
        <x:v>&lt;0.001 reported comparisons</x:v>
      </x:c>
      <x:c r="AA99" s="18" t="str">
        <x:v>Yes</x:v>
      </x:c>
      <x:c r="AB99" s="18" t="str">
        <x:v>No</x:v>
      </x:c>
      <x:c r="AC99" s="18" t="str"/>
      <x:c r="AD99" s="18" t="str"/>
      <x:c r="AE99" s="18" t="str">
        <x:v>No</x:v>
      </x:c>
      <x:c r="AF99" s="18" t="str">
        <x:v>No</x:v>
      </x:c>
      <x:c r="AG99" s="18" t="str">
        <x:v>Eligible for 24-h movement-pain analysis with multi-arm/shared-control adjustment</x:v>
      </x:c>
      <x:c r="AH99" s="18" t="str">
        <x:v>Yes</x:v>
      </x:c>
      <x:c r="AI99" s="18" t="str">
        <x:v>Four-arm timing trial; sham received 5 min perceptible low-current stimulation, not electrically inert</x:v>
      </x:c>
      <x:c r="AJ99" s="18" t="str">
        <x:v>Primary activity-pain outcome, 24 h</x:v>
      </x:c>
      <x:c r="AK99" s="18" t="str">
        <x:v>https://drive.google.com/file/d/1lELlw0IpkhqoB8OuintAI22fxKfNEcEd/view?usp=drivesdk</x:v>
      </x:c>
      <x:c r="AL99" s="18" t="str">
        <x:v>SOURCE-VERIFIED</x:v>
      </x:c>
      <x:c r="AM99" s="18"/>
      <x:c r="AN99" s="18"/>
      <x:c r="AO99" s="18"/>
      <x:c r="AP99" s="18"/>
      <x:c r="AQ99" s="18" t="n">
        <x:v>0</x:v>
      </x:c>
      <x:c r="AR99" s="18" t="n">
        <x:v>0</x:v>
      </x:c>
      <x:c r="AS99" s="18"/>
      <x:c r="AT99" s="18"/>
      <x:c r="AU99" s="18"/>
      <x:c r="AV99" s="18"/>
    </x:row>
    <x:row r="100">
      <x:c r="A100" s="18" t="str">
        <x:v>Sun 2017</x:v>
      </x:c>
      <x:c r="B100" s="18" t="str">
        <x:v>SUN17_TTS_vs_SSS_ACTIVITY24</x:v>
      </x:c>
      <x:c r="C100" s="18" t="str">
        <x:v>Preoperative + intraoperative true TEAS</x:v>
      </x:c>
      <x:c r="D100" s="18" t="str">
        <x:v>All-period sham TEAS (SSS)</x:v>
      </x:c>
      <x:c r="E100" s="18" t="str">
        <x:v>Pain</x:v>
      </x:c>
      <x:c r="F100" s="18" t="str">
        <x:v>Activity-evoked VAS</x:v>
      </x:c>
      <x:c r="G100" s="18" t="str">
        <x:v>24 h</x:v>
      </x:c>
      <x:c r="H100" s="18" t="str">
        <x:v>Median/IQR</x:v>
      </x:c>
      <x:c r="I100" s="18" t="n">
        <x:v>95</x:v>
      </x:c>
      <x:c r="J100" s="18" t="n">
        <x:v>95</x:v>
      </x:c>
      <x:c r="K100" s="18" t="n">
        <x:v>91</x:v>
      </x:c>
      <x:c r="L100" s="18" t="n">
        <x:v>90</x:v>
      </x:c>
      <x:c r="M100" s="18"/>
      <x:c r="N100" s="18"/>
      <x:c r="O100" s="18" t="n">
        <x:v>4</x:v>
      </x:c>
      <x:c r="P100" s="18" t="n">
        <x:v>3</x:v>
      </x:c>
      <x:c r="Q100" s="18" t="n">
        <x:v>4</x:v>
      </x:c>
      <x:c r="R100" s="18"/>
      <x:c r="S100" s="18"/>
      <x:c r="T100" s="18"/>
      <x:c r="U100" s="18" t="n">
        <x:v>4</x:v>
      </x:c>
      <x:c r="V100" s="18" t="n">
        <x:v>3.8</x:v>
      </x:c>
      <x:c r="W100" s="18" t="n">
        <x:v>5</x:v>
      </x:c>
      <x:c r="X100" s="18"/>
      <x:c r="Y100" s="18" t="str">
        <x:v>VAS 0-10</x:v>
      </x:c>
      <x:c r="Z100" s="18" t="str">
        <x:v>&lt;0.001 reported comparisons</x:v>
      </x:c>
      <x:c r="AA100" s="18" t="str">
        <x:v>Yes</x:v>
      </x:c>
      <x:c r="AB100" s="18" t="str">
        <x:v>No</x:v>
      </x:c>
      <x:c r="AC100" s="18" t="str"/>
      <x:c r="AD100" s="18" t="str"/>
      <x:c r="AE100" s="18" t="str">
        <x:v>No</x:v>
      </x:c>
      <x:c r="AF100" s="18" t="str">
        <x:v>No</x:v>
      </x:c>
      <x:c r="AG100" s="18" t="str">
        <x:v>Eligible for 24-h movement-pain analysis with multi-arm/shared-control adjustment</x:v>
      </x:c>
      <x:c r="AH100" s="18" t="str">
        <x:v>Yes</x:v>
      </x:c>
      <x:c r="AI100" s="18" t="str">
        <x:v>Four-arm timing trial; sham received 5 min perceptible low-current stimulation, not electrically inert</x:v>
      </x:c>
      <x:c r="AJ100" s="18" t="str">
        <x:v>Primary activity-pain outcome, 24 h</x:v>
      </x:c>
      <x:c r="AK100" s="18" t="str">
        <x:v>https://drive.google.com/file/d/1lELlw0IpkhqoB8OuintAI22fxKfNEcEd/view?usp=drivesdk</x:v>
      </x:c>
      <x:c r="AL100" s="18" t="str">
        <x:v>SOURCE-VERIFIED</x:v>
      </x:c>
      <x:c r="AM100" s="18"/>
      <x:c r="AN100" s="18"/>
      <x:c r="AO100" s="18"/>
      <x:c r="AP100" s="18"/>
      <x:c r="AQ100" s="18" t="n">
        <x:v>0</x:v>
      </x:c>
      <x:c r="AR100" s="18" t="n">
        <x:v>0</x:v>
      </x:c>
      <x:c r="AS100" s="18"/>
      <x:c r="AT100" s="18"/>
      <x:c r="AU100" s="18"/>
      <x:c r="AV100" s="18"/>
    </x:row>
    <x:row r="101">
      <x:c r="A101" s="18" t="str">
        <x:v>Sun 2017</x:v>
      </x:c>
      <x:c r="B101" s="18" t="str">
        <x:v>SUN17_TST_vs_SSS_ACTIVITY24</x:v>
      </x:c>
      <x:c r="C101" s="18" t="str">
        <x:v>Preoperative + postoperative true TEAS</x:v>
      </x:c>
      <x:c r="D101" s="18" t="str">
        <x:v>All-period sham TEAS (SSS)</x:v>
      </x:c>
      <x:c r="E101" s="18" t="str">
        <x:v>Pain</x:v>
      </x:c>
      <x:c r="F101" s="18" t="str">
        <x:v>Activity-evoked VAS</x:v>
      </x:c>
      <x:c r="G101" s="18" t="str">
        <x:v>24 h</x:v>
      </x:c>
      <x:c r="H101" s="18" t="str">
        <x:v>Median/IQR</x:v>
      </x:c>
      <x:c r="I101" s="18" t="n">
        <x:v>95</x:v>
      </x:c>
      <x:c r="J101" s="18" t="n">
        <x:v>95</x:v>
      </x:c>
      <x:c r="K101" s="18" t="n">
        <x:v>89</x:v>
      </x:c>
      <x:c r="L101" s="18" t="n">
        <x:v>90</x:v>
      </x:c>
      <x:c r="M101" s="18"/>
      <x:c r="N101" s="18"/>
      <x:c r="O101" s="18" t="n">
        <x:v>3</x:v>
      </x:c>
      <x:c r="P101" s="18" t="n">
        <x:v>3</x:v>
      </x:c>
      <x:c r="Q101" s="18" t="n">
        <x:v>4</x:v>
      </x:c>
      <x:c r="R101" s="18"/>
      <x:c r="S101" s="18"/>
      <x:c r="T101" s="18"/>
      <x:c r="U101" s="18" t="n">
        <x:v>4</x:v>
      </x:c>
      <x:c r="V101" s="18" t="n">
        <x:v>3.8</x:v>
      </x:c>
      <x:c r="W101" s="18" t="n">
        <x:v>5</x:v>
      </x:c>
      <x:c r="X101" s="18"/>
      <x:c r="Y101" s="18" t="str">
        <x:v>VAS 0-10</x:v>
      </x:c>
      <x:c r="Z101" s="18" t="str">
        <x:v>&lt;0.001 reported comparisons</x:v>
      </x:c>
      <x:c r="AA101" s="18" t="str">
        <x:v>Yes</x:v>
      </x:c>
      <x:c r="AB101" s="18" t="str">
        <x:v>No</x:v>
      </x:c>
      <x:c r="AC101" s="18" t="str"/>
      <x:c r="AD101" s="18" t="str"/>
      <x:c r="AE101" s="18" t="str">
        <x:v>No</x:v>
      </x:c>
      <x:c r="AF101" s="18" t="str">
        <x:v>No</x:v>
      </x:c>
      <x:c r="AG101" s="18" t="str">
        <x:v>Eligible for 24-h movement-pain analysis with multi-arm/shared-control adjustment</x:v>
      </x:c>
      <x:c r="AH101" s="18" t="str">
        <x:v>Yes</x:v>
      </x:c>
      <x:c r="AI101" s="18" t="str">
        <x:v>Four-arm timing trial; sham received 5 min perceptible low-current stimulation, not electrically inert</x:v>
      </x:c>
      <x:c r="AJ101" s="18" t="str">
        <x:v>Primary activity-pain outcome, 24 h</x:v>
      </x:c>
      <x:c r="AK101" s="18" t="str">
        <x:v>https://drive.google.com/file/d/1lELlw0IpkhqoB8OuintAI22fxKfNEcEd/view?usp=drivesdk</x:v>
      </x:c>
      <x:c r="AL101" s="18" t="str">
        <x:v>SOURCE-VERIFIED</x:v>
      </x:c>
      <x:c r="AM101" s="18"/>
      <x:c r="AN101" s="18"/>
      <x:c r="AO101" s="18"/>
      <x:c r="AP101" s="18"/>
      <x:c r="AQ101" s="18" t="n">
        <x:v>0</x:v>
      </x:c>
      <x:c r="AR101" s="18" t="n">
        <x:v>0</x:v>
      </x:c>
      <x:c r="AS101" s="18"/>
      <x:c r="AT101" s="18"/>
      <x:c r="AU101" s="18"/>
      <x:c r="AV101" s="18"/>
    </x:row>
    <x:row r="102">
      <x:c r="A102" s="18" t="str">
        <x:v>Sun 2017</x:v>
      </x:c>
      <x:c r="B102" s="18" t="str">
        <x:v>SUN17_TSS_vs_SSS_NSAID48</x:v>
      </x:c>
      <x:c r="C102" s="18" t="str">
        <x:v>Preoperative true TEAS only</x:v>
      </x:c>
      <x:c r="D102" s="18" t="str">
        <x:v>All-period sham TEAS (SSS)</x:v>
      </x:c>
      <x:c r="E102" s="18" t="str">
        <x:v>Rescue analgesia</x:v>
      </x:c>
      <x:c r="F102" s="18" t="str">
        <x:v>Supplemental flurbiprofen axetil requirement</x:v>
      </x:c>
      <x:c r="G102" s="18" t="str">
        <x:v>Within 48 h</x:v>
      </x:c>
      <x:c r="H102" s="18" t="str">
        <x:v>Published percentage</x:v>
      </x:c>
      <x:c r="I102" s="18" t="n">
        <x:v>95</x:v>
      </x:c>
      <x:c r="J102" s="18" t="n">
        <x:v>95</x:v>
      </x:c>
      <x:c r="K102" s="18" t="n">
        <x:v>91</x:v>
      </x:c>
      <x:c r="L102" s="18" t="n">
        <x:v>90</x:v>
      </x:c>
      <x:c r="M102" s="18"/>
      <x:c r="N102" s="18"/>
      <x:c r="O102" s="18"/>
      <x:c r="P102" s="18"/>
      <x:c r="Q102" s="18"/>
      <x:c r="R102" s="18"/>
      <x:c r="S102" s="18"/>
      <x:c r="T102" s="18"/>
      <x:c r="U102" s="18"/>
      <x:c r="V102" s="18"/>
      <x:c r="W102" s="18"/>
      <x:c r="X102" s="18"/>
      <x:c r="Y102" s="18" t="str">
        <x:v>11.0% intervention vs 23.3% SSS</x:v>
      </x:c>
      <x:c r="Z102" s="18" t="str">
        <x:v>0.020 overall; TST vs SSS significant</x:v>
      </x:c>
      <x:c r="AA102" s="18" t="str">
        <x:v>Yes</x:v>
      </x:c>
      <x:c r="AB102" s="18" t="str">
        <x:v>No</x:v>
      </x:c>
      <x:c r="AC102" s="18" t="str"/>
      <x:c r="AD102" s="18" t="str"/>
      <x:c r="AE102" s="18" t="str">
        <x:v>No</x:v>
      </x:c>
      <x:c r="AF102" s="18" t="str">
        <x:v>No</x:v>
      </x:c>
      <x:c r="AG102" s="18" t="str">
        <x:v>Eligible for 48-h non-opioid rescue-analgesia analysis; not an opioid outcome</x:v>
      </x:c>
      <x:c r="AH102" s="18" t="str">
        <x:v>Yes</x:v>
      </x:c>
      <x:c r="AI102" s="18" t="str">
        <x:v>Do not convert printed percentages to exact event counts without confirmation</x:v>
      </x:c>
      <x:c r="AJ102" s="18" t="str">
        <x:v>Table 2 / supplemental analgesic requirement</x:v>
      </x:c>
      <x:c r="AK102" s="18" t="str">
        <x:v>https://drive.google.com/file/d/1lELlw0IpkhqoB8OuintAI22fxKfNEcEd/view?usp=drivesdk</x:v>
      </x:c>
      <x:c r="AL102" s="18" t="str">
        <x:v>SOURCE-VERIFIED / PERCENTAGES ONLY</x:v>
      </x:c>
      <x:c r="AM102" s="18" t="str">
        <x:v>F-rescue-nonopioid-003</x:v>
      </x:c>
      <x:c r="AN102" s="18" t="str">
        <x:v>F-rescue-nonopioid</x:v>
      </x:c>
      <x:c r="AO102" s="18" t="str">
        <x:v>F_rescue_nonopioid</x:v>
      </x:c>
      <x:c r="AP102" s="18" t="str">
        <x:v>MATCHED</x:v>
      </x:c>
      <x:c r="AQ102" s="18" t="n">
        <x:v>0</x:v>
      </x:c>
      <x:c r="AR102" s="18" t="n">
        <x:v>1</x:v>
      </x:c>
      <x:c r="AS102" s="18" t="str">
        <x:v>Some concerns</x:v>
      </x:c>
      <x:c r="AT102" s="18"/>
      <x:c r="AU102" s="18"/>
      <x:c r="AV102" s="18" t="str">
        <x:v>SSS23.3%, TSS11.0%, TTS15.4%, TST7.9%</x:v>
      </x:c>
    </x:row>
    <x:row r="103">
      <x:c r="A103" s="18" t="str">
        <x:v>Sun 2017</x:v>
      </x:c>
      <x:c r="B103" s="18" t="str">
        <x:v>SUN17_TTS_vs_SSS_NSAID48</x:v>
      </x:c>
      <x:c r="C103" s="18" t="str">
        <x:v>Preoperative + intraoperative true TEAS</x:v>
      </x:c>
      <x:c r="D103" s="18" t="str">
        <x:v>All-period sham TEAS (SSS)</x:v>
      </x:c>
      <x:c r="E103" s="18" t="str">
        <x:v>Rescue analgesia</x:v>
      </x:c>
      <x:c r="F103" s="18" t="str">
        <x:v>Supplemental flurbiprofen axetil requirement</x:v>
      </x:c>
      <x:c r="G103" s="18" t="str">
        <x:v>Within 48 h</x:v>
      </x:c>
      <x:c r="H103" s="18" t="str">
        <x:v>Published percentage</x:v>
      </x:c>
      <x:c r="I103" s="18" t="n">
        <x:v>95</x:v>
      </x:c>
      <x:c r="J103" s="18" t="n">
        <x:v>95</x:v>
      </x:c>
      <x:c r="K103" s="18" t="n">
        <x:v>91</x:v>
      </x:c>
      <x:c r="L103" s="18" t="n">
        <x:v>90</x:v>
      </x:c>
      <x:c r="M103" s="18"/>
      <x:c r="N103" s="18"/>
      <x:c r="O103" s="18"/>
      <x:c r="P103" s="18"/>
      <x:c r="Q103" s="18"/>
      <x:c r="R103" s="18"/>
      <x:c r="S103" s="18"/>
      <x:c r="T103" s="18"/>
      <x:c r="U103" s="18"/>
      <x:c r="V103" s="18"/>
      <x:c r="W103" s="18"/>
      <x:c r="X103" s="18"/>
      <x:c r="Y103" s="18" t="str">
        <x:v>15.4% intervention vs 23.3% SSS</x:v>
      </x:c>
      <x:c r="Z103" s="18" t="str">
        <x:v>0.020 overall; TST vs SSS significant</x:v>
      </x:c>
      <x:c r="AA103" s="18" t="str">
        <x:v>Yes</x:v>
      </x:c>
      <x:c r="AB103" s="18" t="str">
        <x:v>No</x:v>
      </x:c>
      <x:c r="AC103" s="18" t="str"/>
      <x:c r="AD103" s="18" t="str"/>
      <x:c r="AE103" s="18" t="str">
        <x:v>No</x:v>
      </x:c>
      <x:c r="AF103" s="18" t="str">
        <x:v>No</x:v>
      </x:c>
      <x:c r="AG103" s="18" t="str">
        <x:v>Eligible for 48-h non-opioid rescue-analgesia analysis; not an opioid outcome</x:v>
      </x:c>
      <x:c r="AH103" s="18" t="str">
        <x:v>Yes</x:v>
      </x:c>
      <x:c r="AI103" s="18" t="str">
        <x:v>Do not convert printed percentages to exact event counts without confirmation</x:v>
      </x:c>
      <x:c r="AJ103" s="18" t="str">
        <x:v>Table 2 / supplemental analgesic requirement</x:v>
      </x:c>
      <x:c r="AK103" s="18" t="str">
        <x:v>https://drive.google.com/file/d/1lELlw0IpkhqoB8OuintAI22fxKfNEcEd/view?usp=drivesdk</x:v>
      </x:c>
      <x:c r="AL103" s="18" t="str">
        <x:v>SOURCE-VERIFIED / PERCENTAGES ONLY</x:v>
      </x:c>
      <x:c r="AM103" s="18" t="str">
        <x:v>F-rescue-nonopioid-003</x:v>
      </x:c>
      <x:c r="AN103" s="18" t="str">
        <x:v>F-rescue-nonopioid</x:v>
      </x:c>
      <x:c r="AO103" s="18" t="str">
        <x:v>F_rescue_nonopioid</x:v>
      </x:c>
      <x:c r="AP103" s="18" t="str">
        <x:v>MATCHED</x:v>
      </x:c>
      <x:c r="AQ103" s="18" t="n">
        <x:v>0</x:v>
      </x:c>
      <x:c r="AR103" s="18" t="n">
        <x:v>1</x:v>
      </x:c>
      <x:c r="AS103" s="18" t="str">
        <x:v>Some concerns</x:v>
      </x:c>
      <x:c r="AT103" s="18"/>
      <x:c r="AU103" s="18"/>
      <x:c r="AV103" s="18" t="str">
        <x:v>SSS23.3%, TSS11.0%, TTS15.4%, TST7.9%</x:v>
      </x:c>
    </x:row>
    <x:row r="104">
      <x:c r="A104" s="18" t="str">
        <x:v>Sun 2017</x:v>
      </x:c>
      <x:c r="B104" s="18" t="str">
        <x:v>SUN17_TST_vs_SSS_NSAID48</x:v>
      </x:c>
      <x:c r="C104" s="18" t="str">
        <x:v>Preoperative + postoperative true TEAS</x:v>
      </x:c>
      <x:c r="D104" s="18" t="str">
        <x:v>All-period sham TEAS (SSS)</x:v>
      </x:c>
      <x:c r="E104" s="18" t="str">
        <x:v>Rescue analgesia</x:v>
      </x:c>
      <x:c r="F104" s="18" t="str">
        <x:v>Supplemental flurbiprofen axetil requirement</x:v>
      </x:c>
      <x:c r="G104" s="18" t="str">
        <x:v>Within 48 h</x:v>
      </x:c>
      <x:c r="H104" s="18" t="str">
        <x:v>Published percentage</x:v>
      </x:c>
      <x:c r="I104" s="18" t="n">
        <x:v>95</x:v>
      </x:c>
      <x:c r="J104" s="18" t="n">
        <x:v>95</x:v>
      </x:c>
      <x:c r="K104" s="18" t="n">
        <x:v>89</x:v>
      </x:c>
      <x:c r="L104" s="18" t="n">
        <x:v>90</x:v>
      </x:c>
      <x:c r="M104" s="18"/>
      <x:c r="N104" s="18"/>
      <x:c r="O104" s="18"/>
      <x:c r="P104" s="18"/>
      <x:c r="Q104" s="18"/>
      <x:c r="R104" s="18"/>
      <x:c r="S104" s="18"/>
      <x:c r="T104" s="18"/>
      <x:c r="U104" s="18"/>
      <x:c r="V104" s="18"/>
      <x:c r="W104" s="18"/>
      <x:c r="X104" s="18"/>
      <x:c r="Y104" s="18" t="str">
        <x:v>7.9% intervention vs 23.3% SSS</x:v>
      </x:c>
      <x:c r="Z104" s="18" t="str">
        <x:v>0.020 overall; TST vs SSS significant</x:v>
      </x:c>
      <x:c r="AA104" s="18" t="str">
        <x:v>Yes</x:v>
      </x:c>
      <x:c r="AB104" s="18" t="str">
        <x:v>No</x:v>
      </x:c>
      <x:c r="AC104" s="18" t="str"/>
      <x:c r="AD104" s="18" t="str"/>
      <x:c r="AE104" s="18" t="str">
        <x:v>No</x:v>
      </x:c>
      <x:c r="AF104" s="18" t="str">
        <x:v>No</x:v>
      </x:c>
      <x:c r="AG104" s="18" t="str">
        <x:v>Eligible for 48-h non-opioid rescue-analgesia analysis; not an opioid outcome</x:v>
      </x:c>
      <x:c r="AH104" s="18" t="str">
        <x:v>Yes</x:v>
      </x:c>
      <x:c r="AI104" s="18" t="str">
        <x:v>Do not convert printed percentages to exact event counts without confirmation</x:v>
      </x:c>
      <x:c r="AJ104" s="18" t="str">
        <x:v>Table 2 / supplemental analgesic requirement</x:v>
      </x:c>
      <x:c r="AK104" s="18" t="str">
        <x:v>https://drive.google.com/file/d/1lELlw0IpkhqoB8OuintAI22fxKfNEcEd/view?usp=drivesdk</x:v>
      </x:c>
      <x:c r="AL104" s="18" t="str">
        <x:v>SOURCE-VERIFIED / PERCENTAGES ONLY</x:v>
      </x:c>
      <x:c r="AM104" s="18" t="str">
        <x:v>F-rescue-nonopioid-003</x:v>
      </x:c>
      <x:c r="AN104" s="18" t="str">
        <x:v>F-rescue-nonopioid</x:v>
      </x:c>
      <x:c r="AO104" s="18" t="str">
        <x:v>F_rescue_nonopioid</x:v>
      </x:c>
      <x:c r="AP104" s="18" t="str">
        <x:v>MATCHED</x:v>
      </x:c>
      <x:c r="AQ104" s="18" t="n">
        <x:v>0</x:v>
      </x:c>
      <x:c r="AR104" s="18" t="n">
        <x:v>1</x:v>
      </x:c>
      <x:c r="AS104" s="18" t="str">
        <x:v>Some concerns</x:v>
      </x:c>
      <x:c r="AT104" s="18"/>
      <x:c r="AU104" s="18"/>
      <x:c r="AV104" s="18" t="str">
        <x:v>SSS23.3%, TSS11.0%, TTS15.4%, TST7.9%</x:v>
      </x:c>
    </x:row>
    <x:row r="105">
      <x:c r="A105" s="18" t="str">
        <x:v>Sun 2017</x:v>
      </x:c>
      <x:c r="B105" s="18" t="str">
        <x:v>SUN17_INTRAOP_MORPH_EQUIV</x:v>
      </x:c>
      <x:c r="C105" s="18" t="str">
        <x:v>Pre/intraoperative TEAS timing arms</x:v>
      </x:c>
      <x:c r="D105" s="18" t="str">
        <x:v>All-period sham TEAS</x:v>
      </x:c>
      <x:c r="E105" s="18" t="str">
        <x:v>Intraoperative opioid</x:v>
      </x:c>
      <x:c r="F105" s="18" t="str">
        <x:v>Author-defined intraoperative morphine-equivalent exposure</x:v>
      </x:c>
      <x:c r="G105" s="18" t="str">
        <x:v>Intraoperative</x:v>
      </x:c>
      <x:c r="H105" s="18" t="str">
        <x:v>Study-defined converted metric</x:v>
      </x:c>
      <x:c r="I105" s="18" t="n">
        <x:v>95</x:v>
      </x:c>
      <x:c r="J105" s="18" t="n">
        <x:v>95</x:v>
      </x:c>
      <x:c r="K105" s="18" t="n">
        <x:v>91</x:v>
      </x:c>
      <x:c r="L105" s="18" t="n">
        <x:v>90</x:v>
      </x:c>
      <x:c r="M105" s="18"/>
      <x:c r="N105" s="18"/>
      <x:c r="O105" s="18"/>
      <x:c r="P105" s="18"/>
      <x:c r="Q105" s="18"/>
      <x:c r="R105" s="18"/>
      <x:c r="S105" s="18"/>
      <x:c r="T105" s="18"/>
      <x:c r="U105" s="18"/>
      <x:c r="V105" s="18"/>
      <x:c r="W105" s="18"/>
      <x:c r="X105" s="18"/>
      <x:c r="Y105" s="18" t="str">
        <x:v>mg/kg morphine-equivalent</x:v>
      </x:c>
      <x:c r="Z105" s="18" t="str">
        <x:v>0.303</x:v>
      </x:c>
      <x:c r="AA105" s="18" t="str">
        <x:v>Yes</x:v>
      </x:c>
      <x:c r="AB105" s="18" t="str">
        <x:v>Yes</x:v>
      </x:c>
      <x:c r="AC105" s="18" t="str"/>
      <x:c r="AD105" s="18" t="str"/>
      <x:c r="AE105" s="18" t="str">
        <x:v>No</x:v>
      </x:c>
      <x:c r="AF105" s="18" t="str">
        <x:v>No</x:v>
      </x:c>
      <x:c r="AG105" s="18" t="str">
        <x:v>Not directly harmonized to review MME until conversion method is adjudicated</x:v>
      </x:c>
      <x:c r="AH105" s="18" t="str">
        <x:v>Yes</x:v>
      </x:c>
      <x:c r="AI105" s="18" t="str">
        <x:v>Values ~1.5-1.6 mg/kg across all four groups; study-specific conversion of sufentanil/remifentanil</x:v>
      </x:c>
      <x:c r="AJ105" s="18" t="str">
        <x:v>Table 2 / intraoperative anesthetic consumption</x:v>
      </x:c>
      <x:c r="AK105" s="18" t="str">
        <x:v>https://drive.google.com/file/d/1lELlw0IpkhqoB8OuintAI22fxKfNEcEd/view?usp=drivesdk</x:v>
      </x:c>
      <x:c r="AL105" s="18" t="str">
        <x:v>SOURCE-VERIFIED / STUDY-DEFINED CONVERSION</x:v>
      </x:c>
      <x:c r="AM105" s="18" t="str">
        <x:v>F-exposure-005</x:v>
      </x:c>
      <x:c r="AN105" s="18" t="str">
        <x:v>F-exposure</x:v>
      </x:c>
      <x:c r="AO105" s="18" t="str">
        <x:v>F_intraop_fixed_or_unclear_exposure</x:v>
      </x:c>
      <x:c r="AP105" s="18" t="str">
        <x:v>MATCHED</x:v>
      </x:c>
      <x:c r="AQ105" s="18" t="n">
        <x:v>0</x:v>
      </x:c>
      <x:c r="AR105" s="18" t="n">
        <x:v>1</x:v>
      </x:c>
      <x:c r="AS105" s="18" t="str">
        <x:v>Some concerns</x:v>
      </x:c>
      <x:c r="AT105" s="18"/>
      <x:c r="AU105" s="18"/>
      <x:c r="AV105" s="18" t="str">
        <x:v>1.5–1.6 mg/kg across arms; P=0.303</x:v>
      </x:c>
    </x:row>
    <x:row r="106">
      <x:c r="A106" s="18" t="str">
        <x:v>Sun 2017</x:v>
      </x:c>
      <x:c r="B106" s="18" t="str">
        <x:v>SUN17_POSTOP_OPIOID24</x:v>
      </x:c>
      <x:c r="C106" s="18" t="str">
        <x:v>True TEAS timing arms</x:v>
      </x:c>
      <x:c r="D106" s="18" t="str">
        <x:v>All-period sham TEAS</x:v>
      </x:c>
      <x:c r="E106" s="18" t="str">
        <x:v>Opioid consumption</x:v>
      </x:c>
      <x:c r="F106" s="18" t="str">
        <x:v>Postoperative opioid consumption</x:v>
      </x:c>
      <x:c r="G106" s="18" t="str">
        <x:v>0-24 h</x:v>
      </x:c>
      <x:c r="H106" s="18" t="str">
        <x:v>Not applicable / not reported</x:v>
      </x:c>
      <x:c r="I106" s="18" t="n">
        <x:v>95</x:v>
      </x:c>
      <x:c r="J106" s="18" t="n">
        <x:v>95</x:v>
      </x:c>
      <x:c r="K106" s="18"/>
      <x:c r="L106" s="18"/>
      <x:c r="M106" s="18"/>
      <x:c r="N106" s="18"/>
      <x:c r="O106" s="18"/>
      <x:c r="P106" s="18"/>
      <x:c r="Q106" s="18"/>
      <x:c r="R106" s="18"/>
      <x:c r="S106" s="18"/>
      <x:c r="T106" s="18"/>
      <x:c r="U106" s="18"/>
      <x:c r="V106" s="18"/>
      <x:c r="W106" s="18"/>
      <x:c r="X106" s="18"/>
      <x:c r="Y106" s="18" t="str">
        <x:v>mg/µg</x:v>
      </x:c>
      <x:c r="Z106" s="18"/>
      <x:c r="AA106" s="18" t="str">
        <x:v>No</x:v>
      </x:c>
      <x:c r="AB106" s="18" t="str">
        <x:v>No</x:v>
      </x:c>
      <x:c r="AC106" s="18" t="str"/>
      <x:c r="AD106" s="18" t="str"/>
      <x:c r="AE106" s="18" t="str">
        <x:v>No</x:v>
      </x:c>
      <x:c r="AF106" s="18" t="str">
        <x:v>No</x:v>
      </x:c>
      <x:c r="AG106" s="18" t="str">
        <x:v>Not eligible for postoperative opioid meta-analysis</x:v>
      </x:c>
      <x:c r="AH106" s="18" t="str">
        <x:v>Yes</x:v>
      </x:c>
      <x:c r="AI106" s="18" t="str">
        <x:v>Postoperative rescue analgesia was flurbiprofen axetil (NSAID), not an opioid</x:v>
      </x:c>
      <x:c r="AJ106" s="18" t="str">
        <x:v>Postoperative analgesia protocol</x:v>
      </x:c>
      <x:c r="AK106" s="18" t="str">
        <x:v>https://drive.google.com/file/d/1lELlw0IpkhqoB8OuintAI22fxKfNEcEd/view?usp=drivesdk</x:v>
      </x:c>
      <x:c r="AL106" s="18" t="str">
        <x:v>NO POSTOPERATIVE OPIOID OUTCOME</x:v>
      </x:c>
      <x:c r="AM106" s="18"/>
      <x:c r="AN106" s="18"/>
      <x:c r="AO106" s="18"/>
      <x:c r="AP106" s="18"/>
      <x:c r="AQ106" s="18" t="n">
        <x:v>0</x:v>
      </x:c>
      <x:c r="AR106" s="18" t="n">
        <x:v>0</x:v>
      </x:c>
      <x:c r="AS106" s="18"/>
      <x:c r="AT106" s="18"/>
      <x:c r="AU106" s="18"/>
      <x:c r="AV106" s="18"/>
    </x:row>
    <x:row r="107">
      <x:c r="A107" s="18" t="str">
        <x:v>Sim 2002</x:v>
      </x:c>
      <x:c r="B107" s="18" t="str">
        <x:v>SIM02_PREOP_vs_PLACEBO_MORPH24</x:v>
      </x:c>
      <x:c r="C107" s="18" t="str">
        <x:v>Preoperative EA</x:v>
      </x:c>
      <x:c r="D107" s="18" t="str">
        <x:v>Placebo EA</x:v>
      </x:c>
      <x:c r="E107" s="18" t="str">
        <x:v>Opioid consumption</x:v>
      </x:c>
      <x:c r="F107" s="18" t="str">
        <x:v>Cumulative postoperative IV PCA morphine</x:v>
      </x:c>
      <x:c r="G107" s="18" t="str">
        <x:v>0-24 h</x:v>
      </x:c>
      <x:c r="H107" s="18" t="str">
        <x:v>Mean/SD</x:v>
      </x:c>
      <x:c r="I107" s="18" t="n">
        <x:v>30</x:v>
      </x:c>
      <x:c r="J107" s="18" t="n">
        <x:v>30</x:v>
      </x:c>
      <x:c r="K107" s="18" t="n">
        <x:v>30</x:v>
      </x:c>
      <x:c r="L107" s="18" t="n">
        <x:v>30</x:v>
      </x:c>
      <x:c r="M107" s="18" t="n">
        <x:v>0.52</x:v>
      </x:c>
      <x:c r="N107" s="18" t="n">
        <x:v>0.19</x:v>
      </x:c>
      <x:c r="O107" s="18"/>
      <x:c r="P107" s="18"/>
      <x:c r="Q107" s="18"/>
      <x:c r="R107" s="18"/>
      <x:c r="S107" s="18" t="n">
        <x:v>0.68</x:v>
      </x:c>
      <x:c r="T107" s="18" t="n">
        <x:v>0.38</x:v>
      </x:c>
      <x:c r="U107" s="18"/>
      <x:c r="V107" s="18"/>
      <x:c r="W107" s="18"/>
      <x:c r="X107" s="18"/>
      <x:c r="Y107" s="18" t="str">
        <x:v>mg/kg morphine</x:v>
      </x:c>
      <x:c r="Z107" s="18" t="str">
        <x:v>NS overall 24-h cumulative comparison</x:v>
      </x:c>
      <x:c r="AA107" s="18" t="str">
        <x:v>Yes</x:v>
      </x:c>
      <x:c r="AB107" s="18" t="str">
        <x:v>No</x:v>
      </x:c>
      <x:c r="AC107" s="18" t="str">
        <x:v>MD</x:v>
      </x:c>
      <x:c r="AD107" s="18" t="n">
        <x:v>-0.16000000000000003</x:v>
      </x:c>
      <x:c r="AE107" s="18" t="str">
        <x:v>Yes</x:v>
      </x:c>
      <x:c r="AF107" s="18" t="str">
        <x:v>Conditional</x:v>
      </x:c>
      <x:c r="AG107" s="18" t="str">
        <x:v>Direct weight-normalized 24-h morphine endpoint; pool only if protocol permits mg/kg or a prespecified standardization method</x:v>
      </x:c>
      <x:c r="AH107" s="18" t="str">
        <x:v>Yes</x:v>
      </x:c>
      <x:c r="AI107" s="18" t="str">
        <x:v>Do not convert mg/kg to absolute mg using group mean body weight; aggregate means cannot reconstruct individual absolute dose</x:v>
      </x:c>
      <x:c r="AJ107" s="18" t="str">
        <x:v>Figure 4 / cumulative 24-h morphine</x:v>
      </x:c>
      <x:c r="AK107" s="18" t="str">
        <x:v>https://drive.google.com/file/d/1YsNHL-J3Kgfu8mCanRrNu_bHk_roj0w6/view?usp=drivesdk</x:v>
      </x:c>
      <x:c r="AL107" s="18" t="str">
        <x:v>SOURCE-VERIFIED</x:v>
      </x:c>
      <x:c r="AM107" s="18"/>
      <x:c r="AN107" s="18"/>
      <x:c r="AO107" s="18"/>
      <x:c r="AP107" s="18"/>
      <x:c r="AQ107" s="18" t="n">
        <x:v>0</x:v>
      </x:c>
      <x:c r="AR107" s="18" t="n">
        <x:v>0</x:v>
      </x:c>
      <x:c r="AS107" s="18"/>
      <x:c r="AT107" s="18"/>
      <x:c r="AU107" s="18"/>
      <x:c r="AV107" s="18"/>
    </x:row>
    <x:row r="108">
      <x:c r="A108" s="18" t="str">
        <x:v>Sim 2002</x:v>
      </x:c>
      <x:c r="B108" s="18" t="str">
        <x:v>SIM02_POSTOP_vs_PLACEBO_MORPH24</x:v>
      </x:c>
      <x:c r="C108" s="18" t="str">
        <x:v>Postoperative EA</x:v>
      </x:c>
      <x:c r="D108" s="18" t="str">
        <x:v>Placebo EA</x:v>
      </x:c>
      <x:c r="E108" s="18" t="str">
        <x:v>Opioid consumption</x:v>
      </x:c>
      <x:c r="F108" s="18" t="str">
        <x:v>Cumulative postoperative IV PCA morphine</x:v>
      </x:c>
      <x:c r="G108" s="18" t="str">
        <x:v>0-24 h</x:v>
      </x:c>
      <x:c r="H108" s="18" t="str">
        <x:v>Mean/SD</x:v>
      </x:c>
      <x:c r="I108" s="18" t="n">
        <x:v>30</x:v>
      </x:c>
      <x:c r="J108" s="18" t="n">
        <x:v>30</x:v>
      </x:c>
      <x:c r="K108" s="18" t="n">
        <x:v>30</x:v>
      </x:c>
      <x:c r="L108" s="18" t="n">
        <x:v>30</x:v>
      </x:c>
      <x:c r="M108" s="18" t="n">
        <x:v>0.58</x:v>
      </x:c>
      <x:c r="N108" s="18" t="n">
        <x:v>0.27</x:v>
      </x:c>
      <x:c r="O108" s="18"/>
      <x:c r="P108" s="18"/>
      <x:c r="Q108" s="18"/>
      <x:c r="R108" s="18"/>
      <x:c r="S108" s="18" t="n">
        <x:v>0.68</x:v>
      </x:c>
      <x:c r="T108" s="18" t="n">
        <x:v>0.38</x:v>
      </x:c>
      <x:c r="U108" s="18"/>
      <x:c r="V108" s="18"/>
      <x:c r="W108" s="18"/>
      <x:c r="X108" s="18"/>
      <x:c r="Y108" s="18" t="str">
        <x:v>mg/kg morphine</x:v>
      </x:c>
      <x:c r="Z108" s="18" t="str">
        <x:v>NS overall 24-h cumulative comparison</x:v>
      </x:c>
      <x:c r="AA108" s="18" t="str">
        <x:v>Yes</x:v>
      </x:c>
      <x:c r="AB108" s="18" t="str">
        <x:v>No</x:v>
      </x:c>
      <x:c r="AC108" s="18" t="str">
        <x:v>MD</x:v>
      </x:c>
      <x:c r="AD108" s="18" t="n">
        <x:v>-0.10000000000000009</x:v>
      </x:c>
      <x:c r="AE108" s="18" t="str">
        <x:v>Yes</x:v>
      </x:c>
      <x:c r="AF108" s="18" t="str">
        <x:v>Conditional</x:v>
      </x:c>
      <x:c r="AG108" s="18" t="str">
        <x:v>Timing-comparator 24-h morphine endpoint</x:v>
      </x:c>
      <x:c r="AH108" s="18" t="str">
        <x:v>Yes</x:v>
      </x:c>
      <x:c r="AI108" s="18" t="str">
        <x:v>Postoperative EA is a distinct randomized timing arm and must not be merged with preoperative EA</x:v>
      </x:c>
      <x:c r="AJ108" s="18" t="str">
        <x:v>Figure 4 / cumulative 24-h morphine</x:v>
      </x:c>
      <x:c r="AK108" s="18" t="str">
        <x:v>https://drive.google.com/file/d/1YsNHL-J3Kgfu8mCanRrNu_bHk_roj0w6/view?usp=drivesdk</x:v>
      </x:c>
      <x:c r="AL108" s="18" t="str">
        <x:v>SOURCE-VERIFIED</x:v>
      </x:c>
      <x:c r="AM108" s="18"/>
      <x:c r="AN108" s="18"/>
      <x:c r="AO108" s="18"/>
      <x:c r="AP108" s="18"/>
      <x:c r="AQ108" s="18" t="n">
        <x:v>0</x:v>
      </x:c>
      <x:c r="AR108" s="18" t="n">
        <x:v>0</x:v>
      </x:c>
      <x:c r="AS108" s="18"/>
      <x:c r="AT108" s="18"/>
      <x:c r="AU108" s="18"/>
      <x:c r="AV108" s="18"/>
    </x:row>
    <x:row r="109">
      <x:c r="A109" s="18" t="str">
        <x:v>Sim 2002</x:v>
      </x:c>
      <x:c r="B109" s="18" t="str">
        <x:v>SIM02_PREOP_vs_PLACEBO_MORPH6_12</x:v>
      </x:c>
      <x:c r="C109" s="18" t="str">
        <x:v>Preoperative EA</x:v>
      </x:c>
      <x:c r="D109" s="18" t="str">
        <x:v>Placebo EA</x:v>
      </x:c>
      <x:c r="E109" s="18" t="str">
        <x:v>Opioid consumption</x:v>
      </x:c>
      <x:c r="F109" s="18" t="str">
        <x:v>Postoperative IV PCA morphine</x:v>
      </x:c>
      <x:c r="G109" s="18" t="str">
        <x:v>6-12 h</x:v>
      </x:c>
      <x:c r="H109" s="18" t="str">
        <x:v>Median/IQR</x:v>
      </x:c>
      <x:c r="I109" s="18" t="n">
        <x:v>30</x:v>
      </x:c>
      <x:c r="J109" s="18" t="n">
        <x:v>30</x:v>
      </x:c>
      <x:c r="K109" s="18" t="n">
        <x:v>30</x:v>
      </x:c>
      <x:c r="L109" s="18" t="n">
        <x:v>30</x:v>
      </x:c>
      <x:c r="M109" s="18"/>
      <x:c r="N109" s="18"/>
      <x:c r="O109" s="18" t="n">
        <x:v>0.03</x:v>
      </x:c>
      <x:c r="P109" s="18"/>
      <x:c r="Q109" s="18"/>
      <x:c r="R109" s="18"/>
      <x:c r="S109" s="18"/>
      <x:c r="T109" s="18"/>
      <x:c r="U109" s="18" t="n">
        <x:v>0.1</x:v>
      </x:c>
      <x:c r="V109" s="18"/>
      <x:c r="W109" s="18"/>
      <x:c r="X109" s="18"/>
      <x:c r="Y109" s="18" t="str">
        <x:v>mg/kg morphine</x:v>
      </x:c>
      <x:c r="Z109" s="18" t="str">
        <x:v>0.015</x:v>
      </x:c>
      <x:c r="AA109" s="18" t="str">
        <x:v>Yes</x:v>
      </x:c>
      <x:c r="AB109" s="18" t="str">
        <x:v>No</x:v>
      </x:c>
      <x:c r="AC109" s="18" t="str"/>
      <x:c r="AD109" s="18" t="str"/>
      <x:c r="AE109" s="18" t="str">
        <x:v>No</x:v>
      </x:c>
      <x:c r="AF109" s="18" t="str">
        <x:v>No</x:v>
      </x:c>
      <x:c r="AG109" s="18" t="str">
        <x:v>Eligible for interval-specific opioid analysis only</x:v>
      </x:c>
      <x:c r="AH109" s="18" t="str">
        <x:v>Yes</x:v>
      </x:c>
      <x:c r="AI109" s="18" t="str">
        <x:v>Source reports median (IQR) as 0.03 (0.05) vs 0.10 (0.11); IQR is reported as a single width rather than Q1/Q3</x:v>
      </x:c>
      <x:c r="AJ109" s="18" t="str">
        <x:v>6-12-h morphine interval</x:v>
      </x:c>
      <x:c r="AK109" s="18" t="str">
        <x:v>https://drive.google.com/file/d/1YsNHL-J3Kgfu8mCanRrNu_bHk_roj0w6/view?usp=drivesdk</x:v>
      </x:c>
      <x:c r="AL109" s="18" t="str">
        <x:v>SOURCE-VERIFIED / IQR FORMAT QC</x:v>
      </x:c>
      <x:c r="AM109" s="18"/>
      <x:c r="AN109" s="18"/>
      <x:c r="AO109" s="18"/>
      <x:c r="AP109" s="18"/>
      <x:c r="AQ109" s="18" t="n">
        <x:v>0</x:v>
      </x:c>
      <x:c r="AR109" s="18" t="n">
        <x:v>0</x:v>
      </x:c>
      <x:c r="AS109" s="18"/>
      <x:c r="AT109" s="18"/>
      <x:c r="AU109" s="18"/>
      <x:c r="AV109" s="18"/>
    </x:row>
    <x:row r="110">
      <x:c r="A110" s="18" t="str">
        <x:v>Sim 2002</x:v>
      </x:c>
      <x:c r="B110" s="18" t="str">
        <x:v>SIM02_PREOP_vs_PLACEBO_ALFENT</x:v>
      </x:c>
      <x:c r="C110" s="18" t="str">
        <x:v>Preoperative EA</x:v>
      </x:c>
      <x:c r="D110" s="18" t="str">
        <x:v>Placebo EA</x:v>
      </x:c>
      <x:c r="E110" s="18" t="str">
        <x:v>Intraoperative opioid</x:v>
      </x:c>
      <x:c r="F110" s="18" t="str">
        <x:v>Alfentanil requirement rate</x:v>
      </x:c>
      <x:c r="G110" s="18" t="str">
        <x:v>Intraoperative</x:v>
      </x:c>
      <x:c r="H110" s="18" t="str">
        <x:v>Mean/SD</x:v>
      </x:c>
      <x:c r="I110" s="18" t="n">
        <x:v>30</x:v>
      </x:c>
      <x:c r="J110" s="18" t="n">
        <x:v>30</x:v>
      </x:c>
      <x:c r="K110" s="18" t="n">
        <x:v>30</x:v>
      </x:c>
      <x:c r="L110" s="18" t="n">
        <x:v>30</x:v>
      </x:c>
      <x:c r="M110" s="18" t="n">
        <x:v>0.44</x:v>
      </x:c>
      <x:c r="N110" s="18" t="n">
        <x:v>0.15</x:v>
      </x:c>
      <x:c r="O110" s="18"/>
      <x:c r="P110" s="18"/>
      <x:c r="Q110" s="18"/>
      <x:c r="R110" s="18"/>
      <x:c r="S110" s="18" t="n">
        <x:v>0.51</x:v>
      </x:c>
      <x:c r="T110" s="18" t="n">
        <x:v>0.21</x:v>
      </x:c>
      <x:c r="U110" s="18"/>
      <x:c r="V110" s="18"/>
      <x:c r="W110" s="18"/>
      <x:c r="X110" s="18"/>
      <x:c r="Y110" s="18" t="str">
        <x:v>µg/kg/min</x:v>
      </x:c>
      <x:c r="Z110" s="18" t="str">
        <x:v>0.472</x:v>
      </x:c>
      <x:c r="AA110" s="18" t="str">
        <x:v>Yes</x:v>
      </x:c>
      <x:c r="AB110" s="18" t="str">
        <x:v>No</x:v>
      </x:c>
      <x:c r="AC110" s="18" t="str">
        <x:v>MD</x:v>
      </x:c>
      <x:c r="AD110" s="18" t="n">
        <x:v>-0.07</x:v>
      </x:c>
      <x:c r="AE110" s="18" t="str">
        <x:v>No</x:v>
      </x:c>
      <x:c r="AF110" s="18" t="str">
        <x:v>No</x:v>
      </x:c>
      <x:c r="AG110" s="18" t="str">
        <x:v>Eligible for intraoperative opioid analysis</x:v>
      </x:c>
      <x:c r="AH110" s="18" t="str">
        <x:v>Yes</x:v>
      </x:c>
      <x:c r="AI110" s="18" t="str">
        <x:v>No significant placebo-controlled intraoperative opioid-sparing effect</x:v>
      </x:c>
      <x:c r="AJ110" s="18" t="str">
        <x:v>Figure 2 / alfentanil requirement</x:v>
      </x:c>
      <x:c r="AK110" s="18" t="str">
        <x:v>https://drive.google.com/file/d/1YsNHL-J3Kgfu8mCanRrNu_bHk_roj0w6/view?usp=drivesdk</x:v>
      </x:c>
      <x:c r="AL110" s="18" t="str">
        <x:v>SOURCE-VERIFIED</x:v>
      </x:c>
      <x:c r="AM110" s="18" t="str">
        <x:v>F-intra-005</x:v>
      </x:c>
      <x:c r="AN110" s="18" t="str">
        <x:v>F-intra</x:v>
      </x:c>
      <x:c r="AO110" s="18" t="str">
        <x:v>F_intraop_titrated_requirement</x:v>
      </x:c>
      <x:c r="AP110" s="18" t="str">
        <x:v>MATCHED</x:v>
      </x:c>
      <x:c r="AQ110" s="18" t="n">
        <x:v>1</x:v>
      </x:c>
      <x:c r="AR110" s="18" t="n">
        <x:v>0</x:v>
      </x:c>
      <x:c r="AS110" s="18" t="str">
        <x:v>Some concerns</x:v>
      </x:c>
      <x:c r="AT110" s="18"/>
      <x:c r="AU110" s="18"/>
      <x:c r="AV110" s="18" t="str">
        <x:v>0.44±0.15 vs0.51±0.21 μg/kg/min; P=0.472</x:v>
      </x:c>
    </x:row>
    <x:row r="111">
      <x:c r="A111" s="18" t="str">
        <x:v>Ntritsou 2014</x:v>
      </x:c>
      <x:c r="B111" s="18" t="str">
        <x:v>NTRI14_EA_vs_SHAM_TRAMSUM</x:v>
      </x:c>
      <x:c r="C111" s="18" t="str">
        <x:v>Perioperative EA + tramadol/ketamine</x:v>
      </x:c>
      <x:c r="D111" s="18" t="str">
        <x:v>Sham + tramadol/ketamine</x:v>
      </x:c>
      <x:c r="E111" s="18" t="str">
        <x:v>Opioid consumption</x:v>
      </x:c>
      <x:c r="F111" s="18" t="str">
        <x:v>Total tramadol exposure</x:v>
      </x:c>
      <x:c r="G111" s="18" t="str">
        <x:v>Perioperative / first 24 h most consistent with protocol; table does not restate window</x:v>
      </x:c>
      <x:c r="H111" s="18" t="str">
        <x:v>Mean/SD</x:v>
      </x:c>
      <x:c r="I111" s="18" t="n">
        <x:v>37</x:v>
      </x:c>
      <x:c r="J111" s="18" t="n">
        <x:v>38</x:v>
      </x:c>
      <x:c r="K111" s="18" t="n">
        <x:v>35</x:v>
      </x:c>
      <x:c r="L111" s="18" t="n">
        <x:v>35</x:v>
      </x:c>
      <x:c r="M111" s="18" t="n">
        <x:v>443.7</x:v>
      </x:c>
      <x:c r="N111" s="18" t="n">
        <x:v>67.4</x:v>
      </x:c>
      <x:c r="O111" s="18"/>
      <x:c r="P111" s="18"/>
      <x:c r="Q111" s="18"/>
      <x:c r="R111" s="18"/>
      <x:c r="S111" s="18" t="n">
        <x:v>461.5</x:v>
      </x:c>
      <x:c r="T111" s="18" t="n">
        <x:v>63.2</x:v>
      </x:c>
      <x:c r="U111" s="18"/>
      <x:c r="V111" s="18"/>
      <x:c r="W111" s="18"/>
      <x:c r="X111" s="18"/>
      <x:c r="Y111" s="18" t="str">
        <x:v>mg tramadol</x:v>
      </x:c>
      <x:c r="Z111" s="18" t="str">
        <x:v>0.257</x:v>
      </x:c>
      <x:c r="AA111" s="18" t="str">
        <x:v>Yes</x:v>
      </x:c>
      <x:c r="AB111" s="18" t="str">
        <x:v>No</x:v>
      </x:c>
      <x:c r="AC111" s="18" t="str">
        <x:v>MD</x:v>
      </x:c>
      <x:c r="AD111" s="18" t="n">
        <x:v>-17.80000000000001</x:v>
      </x:c>
      <x:c r="AE111" s="18" t="str">
        <x:v>Conditional</x:v>
      </x:c>
      <x:c r="AF111" s="18" t="str">
        <x:v>No</x:v>
      </x:c>
      <x:c r="AG111" s="18" t="str">
        <x:v>Continuous opioid-related quantity available, but not suitable as complete 24-h MME without confirming window and rescue morphine</x:v>
      </x:c>
      <x:c r="AH111" s="18" t="str">
        <x:v>No</x:v>
      </x:c>
      <x:c r="AI111" s="18" t="str">
        <x:v>Includes scheduled/background tramadol and likely rescue tramadol; rescue morphine quantity not reported</x:v>
      </x:c>
      <x:c r="AJ111" s="18" t="str">
        <x:v>Table 1 / tramadol sum</x:v>
      </x:c>
      <x:c r="AK111" s="18" t="str">
        <x:v>https://drive.google.com/file/d/1u_kNuuXF8upB3gJA2aDq8NldYDfhnWy3/view?usp=drivesdk</x:v>
      </x:c>
      <x:c r="AL111" s="18" t="str">
        <x:v>SOURCE-VERIFIED / WINDOW + CO-OPIOID QC</x:v>
      </x:c>
      <x:c r="AM111" s="18"/>
      <x:c r="AN111" s="18"/>
      <x:c r="AO111" s="18"/>
      <x:c r="AP111" s="18"/>
      <x:c r="AQ111" s="18" t="n">
        <x:v>0</x:v>
      </x:c>
      <x:c r="AR111" s="18" t="n">
        <x:v>0</x:v>
      </x:c>
      <x:c r="AS111" s="18"/>
      <x:c r="AT111" s="18"/>
      <x:c r="AU111" s="18"/>
      <x:c r="AV111" s="18"/>
    </x:row>
    <x:row r="112">
      <x:c r="A112" s="18" t="str">
        <x:v>Ntritsou 2014</x:v>
      </x:c>
      <x:c r="B112" s="18" t="str">
        <x:v>NTRI14_EA_vs_SHAM_REMI</x:v>
      </x:c>
      <x:c r="C112" s="18" t="str">
        <x:v>Perioperative EA + tramadol/ketamine</x:v>
      </x:c>
      <x:c r="D112" s="18" t="str">
        <x:v>Sham + tramadol/ketamine</x:v>
      </x:c>
      <x:c r="E112" s="18" t="str">
        <x:v>Intraoperative opioid</x:v>
      </x:c>
      <x:c r="F112" s="18" t="str">
        <x:v>Remifentanil consumption</x:v>
      </x:c>
      <x:c r="G112" s="18" t="str">
        <x:v>Intraoperative</x:v>
      </x:c>
      <x:c r="H112" s="18" t="str">
        <x:v>Mean/SD</x:v>
      </x:c>
      <x:c r="I112" s="18" t="n">
        <x:v>37</x:v>
      </x:c>
      <x:c r="J112" s="18" t="n">
        <x:v>38</x:v>
      </x:c>
      <x:c r="K112" s="18" t="n">
        <x:v>35</x:v>
      </x:c>
      <x:c r="L112" s="18" t="n">
        <x:v>35</x:v>
      </x:c>
      <x:c r="M112" s="18" t="n">
        <x:v>1003.6</x:v>
      </x:c>
      <x:c r="N112" s="18" t="n">
        <x:v>522.7</x:v>
      </x:c>
      <x:c r="O112" s="18"/>
      <x:c r="P112" s="18"/>
      <x:c r="Q112" s="18"/>
      <x:c r="R112" s="18"/>
      <x:c r="S112" s="18" t="n">
        <x:v>1041.9</x:v>
      </x:c>
      <x:c r="T112" s="18" t="n">
        <x:v>631.9</x:v>
      </x:c>
      <x:c r="U112" s="18"/>
      <x:c r="V112" s="18"/>
      <x:c r="W112" s="18"/>
      <x:c r="X112" s="18"/>
      <x:c r="Y112" s="18" t="str">
        <x:v>µg remifentanil</x:v>
      </x:c>
      <x:c r="Z112" s="18" t="str">
        <x:v>0.783</x:v>
      </x:c>
      <x:c r="AA112" s="18" t="str">
        <x:v>Yes</x:v>
      </x:c>
      <x:c r="AB112" s="18" t="str">
        <x:v>No</x:v>
      </x:c>
      <x:c r="AC112" s="18" t="str">
        <x:v>MD</x:v>
      </x:c>
      <x:c r="AD112" s="18" t="n">
        <x:v>-38.30000000000007</x:v>
      </x:c>
      <x:c r="AE112" s="18" t="str">
        <x:v>No</x:v>
      </x:c>
      <x:c r="AF112" s="18" t="str">
        <x:v>No</x:v>
      </x:c>
      <x:c r="AG112" s="18" t="str">
        <x:v>Eligible for intraoperative opioid analysis</x:v>
      </x:c>
      <x:c r="AH112" s="18" t="str">
        <x:v>No</x:v>
      </x:c>
      <x:c r="AI112" s="18" t="str">
        <x:v>No significant intraoperative opioid-sparing effect</x:v>
      </x:c>
      <x:c r="AJ112" s="18" t="str">
        <x:v>Table 1 / remifentanil</x:v>
      </x:c>
      <x:c r="AK112" s="18" t="str">
        <x:v>https://drive.google.com/file/d/1u_kNuuXF8upB3gJA2aDq8NldYDfhnWy3/view?usp=drivesdk</x:v>
      </x:c>
      <x:c r="AL112" s="18" t="str">
        <x:v>SOURCE-VERIFIED</x:v>
      </x:c>
      <x:c r="AM112" s="18" t="str">
        <x:v>F-exposure-004</x:v>
      </x:c>
      <x:c r="AN112" s="18" t="str">
        <x:v>F-exposure</x:v>
      </x:c>
      <x:c r="AO112" s="18" t="str">
        <x:v>F_intraop_fixed_or_unclear_exposure</x:v>
      </x:c>
      <x:c r="AP112" s="18" t="str">
        <x:v>MATCHED</x:v>
      </x:c>
      <x:c r="AQ112" s="18" t="n">
        <x:v>0</x:v>
      </x:c>
      <x:c r="AR112" s="18" t="n">
        <x:v>1</x:v>
      </x:c>
      <x:c r="AS112" s="18" t="str">
        <x:v>Some concerns</x:v>
      </x:c>
      <x:c r="AT112" s="18" t="str">
        <x:v>P1</x:v>
      </x:c>
      <x:c r="AU112" s="18"/>
      <x:c r="AV112" s="18" t="str">
        <x:v>1003.6±522.7 vs1041.9±631.9 μg; P=0.783</x:v>
      </x:c>
    </x:row>
    <x:row r="113">
      <x:c r="A113" s="18" t="str">
        <x:v>Ntritsou 2014</x:v>
      </x:c>
      <x:c r="B113" s="18" t="str">
        <x:v>NTRI14_EA_vs_SHAM_RESCUE</x:v>
      </x:c>
      <x:c r="C113" s="18" t="str">
        <x:v>Perioperative EA + tramadol/ketamine</x:v>
      </x:c>
      <x:c r="D113" s="18" t="str">
        <x:v>Sham + tramadol/ketamine</x:v>
      </x:c>
      <x:c r="E113" s="18" t="str">
        <x:v>Rescue opioid use</x:v>
      </x:c>
      <x:c r="F113" s="18" t="str">
        <x:v>Total rescue analgesia</x:v>
      </x:c>
      <x:c r="G113" s="18" t="str">
        <x:v>First 24 h</x:v>
      </x:c>
      <x:c r="H113" s="18" t="str">
        <x:v>Qualitative / exact quantities unavailable</x:v>
      </x:c>
      <x:c r="I113" s="18" t="n">
        <x:v>37</x:v>
      </x:c>
      <x:c r="J113" s="18" t="n">
        <x:v>38</x:v>
      </x:c>
      <x:c r="K113" s="18" t="n">
        <x:v>35</x:v>
      </x:c>
      <x:c r="L113" s="18" t="n">
        <x:v>35</x:v>
      </x:c>
      <x:c r="M113" s="18"/>
      <x:c r="N113" s="18"/>
      <x:c r="O113" s="18"/>
      <x:c r="P113" s="18"/>
      <x:c r="Q113" s="18"/>
      <x:c r="R113" s="18"/>
      <x:c r="S113" s="18"/>
      <x:c r="T113" s="18"/>
      <x:c r="U113" s="18"/>
      <x:c r="V113" s="18"/>
      <x:c r="W113" s="18"/>
      <x:c r="X113" s="18"/>
      <x:c r="Y113" s="18" t="str">
        <x:v>tramadol 50 mg IV then morphine 2 mg IV as needed</x:v>
      </x:c>
      <x:c r="Z113" s="18" t="str">
        <x:v>P&lt;0.001 reported</x:v>
      </x:c>
      <x:c r="AA113" s="18" t="str">
        <x:v>No</x:v>
      </x:c>
      <x:c r="AB113" s="18" t="str">
        <x:v>No</x:v>
      </x:c>
      <x:c r="AC113" s="18" t="str"/>
      <x:c r="AD113" s="18" t="str"/>
      <x:c r="AE113" s="18" t="str">
        <x:v>No</x:v>
      </x:c>
      <x:c r="AF113" s="18" t="str">
        <x:v>No</x:v>
      </x:c>
      <x:c r="AG113" s="18" t="str">
        <x:v>Not quantitatively poolable from main article</x:v>
      </x:c>
      <x:c r="AH113" s="18" t="str">
        <x:v>No</x:v>
      </x:c>
      <x:c r="AI113" s="18" t="str">
        <x:v>Main article reports significantly less total rescue analgesia but does not tabulate exact rescue tramadol/morphine quantities</x:v>
      </x:c>
      <x:c r="AJ113" s="18" t="str">
        <x:v>Rescue analgesia results</x:v>
      </x:c>
      <x:c r="AK113" s="18" t="str">
        <x:v>https://drive.google.com/file/d/1u_kNuuXF8upB3gJA2aDq8NldYDfhnWy3/view?usp=drivesdk</x:v>
      </x:c>
      <x:c r="AL113" s="18" t="str">
        <x:v>MISSING / EXACT RESCUE DOSES NOT REPORTED</x:v>
      </x:c>
      <x:c r="AM113" s="18" t="str">
        <x:v>F-rescue-opioid-005</x:v>
      </x:c>
      <x:c r="AN113" s="18" t="str">
        <x:v>F-rescue-opioid</x:v>
      </x:c>
      <x:c r="AO113" s="18" t="str">
        <x:v>F_rescue_opioid</x:v>
      </x:c>
      <x:c r="AP113" s="18" t="str">
        <x:v>MATCHED</x:v>
      </x:c>
      <x:c r="AQ113" s="18" t="n">
        <x:v>0</x:v>
      </x:c>
      <x:c r="AR113" s="18" t="n">
        <x:v>0</x:v>
      </x:c>
      <x:c r="AS113" s="18" t="str">
        <x:v>Some concerns</x:v>
      </x:c>
      <x:c r="AT113" s="18" t="str">
        <x:v>P1</x:v>
      </x:c>
      <x:c r="AU113" s="18"/>
      <x:c r="AV113" s="18" t="str">
        <x:v>Significantly lower at45 min/overall; exact quantities NR</x:v>
      </x:c>
    </x:row>
    <x:row r="114">
      <x:c r="A114" s="18" t="str">
        <x:v>Ntritsou 2014</x:v>
      </x:c>
      <x:c r="B114" s="18" t="str">
        <x:v>NTRI14_EA_vs_SHAM_MME24</x:v>
      </x:c>
      <x:c r="C114" s="18" t="str">
        <x:v>Perioperative EA + tramadol/ketamine</x:v>
      </x:c>
      <x:c r="D114" s="18" t="str">
        <x:v>Sham + tramadol/ketamine</x:v>
      </x:c>
      <x:c r="E114" s="18" t="str">
        <x:v>Opioid consumption</x:v>
      </x:c>
      <x:c r="F114" s="18" t="str">
        <x:v>Complete 24-h opioid/MME exposure</x:v>
      </x:c>
      <x:c r="G114" s="18" t="str">
        <x:v>0-24 h</x:v>
      </x:c>
      <x:c r="H114" s="18" t="str">
        <x:v>Not calculable</x:v>
      </x:c>
      <x:c r="I114" s="18" t="n">
        <x:v>37</x:v>
      </x:c>
      <x:c r="J114" s="18" t="n">
        <x:v>38</x:v>
      </x:c>
      <x:c r="K114" s="18" t="n">
        <x:v>35</x:v>
      </x:c>
      <x:c r="L114" s="18" t="n">
        <x:v>35</x:v>
      </x:c>
      <x:c r="M114" s="18"/>
      <x:c r="N114" s="18"/>
      <x:c r="O114" s="18"/>
      <x:c r="P114" s="18"/>
      <x:c r="Q114" s="18"/>
      <x:c r="R114" s="18"/>
      <x:c r="S114" s="18"/>
      <x:c r="T114" s="18"/>
      <x:c r="U114" s="18"/>
      <x:c r="V114" s="18"/>
      <x:c r="W114" s="18"/>
      <x:c r="X114" s="18"/>
      <x:c r="Y114" s="18" t="str">
        <x:v>MME</x:v>
      </x:c>
      <x:c r="Z114" s="18"/>
      <x:c r="AA114" s="18" t="str">
        <x:v>No</x:v>
      </x:c>
      <x:c r="AB114" s="18" t="str">
        <x:v>No</x:v>
      </x:c>
      <x:c r="AC114" s="18" t="str"/>
      <x:c r="AD114" s="18" t="str"/>
      <x:c r="AE114" s="18" t="str">
        <x:v>No</x:v>
      </x:c>
      <x:c r="AF114" s="18" t="str">
        <x:v>No</x:v>
      </x:c>
      <x:c r="AG114" s="18" t="str">
        <x:v>Not eligible for final 24-h MME until rescue morphine and tramadol-sum window are confirmed</x:v>
      </x:c>
      <x:c r="AH114" s="18" t="str">
        <x:v>No</x:v>
      </x:c>
      <x:c r="AI114" s="18" t="str">
        <x:v>Do not equate lower rescue use with significantly lower total opioid exposure</x:v>
      </x:c>
      <x:c r="AJ114" s="18" t="str">
        <x:v>Combined opioid exposure</x:v>
      </x:c>
      <x:c r="AK114" s="18" t="str">
        <x:v>https://drive.google.com/file/d/1u_kNuuXF8upB3gJA2aDq8NldYDfhnWy3/view?usp=drivesdk</x:v>
      </x:c>
      <x:c r="AL114" s="18" t="str">
        <x:v>MISSING / AUTHOR DATA NEEDED</x:v>
      </x:c>
      <x:c r="AM114" s="18"/>
      <x:c r="AN114" s="18"/>
      <x:c r="AO114" s="18"/>
      <x:c r="AP114" s="18"/>
      <x:c r="AQ114" s="18" t="n">
        <x:v>0</x:v>
      </x:c>
      <x:c r="AR114" s="18" t="n">
        <x:v>0</x:v>
      </x:c>
      <x:c r="AS114" s="18"/>
      <x:c r="AT114" s="18"/>
      <x:c r="AU114" s="18"/>
      <x:c r="AV114" s="18"/>
    </x:row>
    <x:row r="115">
      <x:c r="A115" s="18" t="str">
        <x:v>Ng 2013</x:v>
      </x:c>
      <x:c r="B115" s="18" t="str">
        <x:v>NG13_EA_vs_SHAM_BOWEL</x:v>
      </x:c>
      <x:c r="C115" s="18" t="str">
        <x:v>Electroacupuncture</x:v>
      </x:c>
      <x:c r="D115" s="18" t="str">
        <x:v>Sham acupuncture</x:v>
      </x:c>
      <x:c r="E115" s="18" t="str">
        <x:v>GI recovery</x:v>
      </x:c>
      <x:c r="F115" s="18" t="str">
        <x:v>Time to first bowel motion / defecation</x:v>
      </x:c>
      <x:c r="G115" s="18" t="str">
        <x:v>Postoperative</x:v>
      </x:c>
      <x:c r="H115" s="18" t="str">
        <x:v>Mean/SD</x:v>
      </x:c>
      <x:c r="I115" s="18" t="n">
        <x:v>55</x:v>
      </x:c>
      <x:c r="J115" s="18" t="n">
        <x:v>55</x:v>
      </x:c>
      <x:c r="K115" s="18" t="n">
        <x:v>55</x:v>
      </x:c>
      <x:c r="L115" s="18" t="n">
        <x:v>55</x:v>
      </x:c>
      <x:c r="M115" s="18" t="n">
        <x:v>85.9</x:v>
      </x:c>
      <x:c r="N115" s="18" t="n">
        <x:v>36.1</x:v>
      </x:c>
      <x:c r="O115" s="18"/>
      <x:c r="P115" s="18"/>
      <x:c r="Q115" s="18"/>
      <x:c r="R115" s="18"/>
      <x:c r="S115" s="18" t="n">
        <x:v>107.5</x:v>
      </x:c>
      <x:c r="T115" s="18" t="n">
        <x:v>46.2</x:v>
      </x:c>
      <x:c r="U115" s="18"/>
      <x:c r="V115" s="18"/>
      <x:c r="W115" s="18"/>
      <x:c r="X115" s="18"/>
      <x:c r="Y115" s="18" t="str">
        <x:v>hours</x:v>
      </x:c>
      <x:c r="Z115" s="18" t="str">
        <x:v>0.007</x:v>
      </x:c>
      <x:c r="AA115" s="18" t="str">
        <x:v>Yes</x:v>
      </x:c>
      <x:c r="AB115" s="18" t="str">
        <x:v>No</x:v>
      </x:c>
      <x:c r="AC115" s="18" t="str">
        <x:v>MD</x:v>
      </x:c>
      <x:c r="AD115" s="18" t="n">
        <x:v>-21.599999999999994</x:v>
      </x:c>
      <x:c r="AE115" s="18" t="str">
        <x:v>No</x:v>
      </x:c>
      <x:c r="AF115" s="18" t="str">
        <x:v>No</x:v>
      </x:c>
      <x:c r="AG115" s="18" t="str">
        <x:v>Eligible for GI-recovery meta-analysis</x:v>
      </x:c>
      <x:c r="AH115" s="18" t="str">
        <x:v>Yes</x:v>
      </x:c>
      <x:c r="AI115" s="18" t="str">
        <x:v>Allocation used sealed nonopaque envelopes; EA-vs-sham participants and outcome assessors were blinded</x:v>
      </x:c>
      <x:c r="AJ115" s="18" t="str">
        <x:v>Primary outcome / first bowel motion</x:v>
      </x:c>
      <x:c r="AK115" s="18" t="str">
        <x:v>https://drive.google.com/file/d/1R1zCiyfWvuSp99Hi2U_K1__8kgdi90gd/view?usp=drivesdk</x:v>
      </x:c>
      <x:c r="AL115" s="18" t="str">
        <x:v>SOURCE-VERIFIED / ALLOCATION-CONCEALMENT QC</x:v>
      </x:c>
      <x:c r="AM115" s="18"/>
      <x:c r="AN115" s="18"/>
      <x:c r="AO115" s="18"/>
      <x:c r="AP115" s="18"/>
      <x:c r="AQ115" s="18" t="n">
        <x:v>0</x:v>
      </x:c>
      <x:c r="AR115" s="18" t="n">
        <x:v>0</x:v>
      </x:c>
      <x:c r="AS115" s="18"/>
      <x:c r="AT115" s="18"/>
      <x:c r="AU115" s="18"/>
      <x:c r="AV115" s="18"/>
    </x:row>
    <x:row r="116">
      <x:c r="A116" s="18" t="str">
        <x:v>Ng 2013</x:v>
      </x:c>
      <x:c r="B116" s="18" t="str">
        <x:v>NG13_EA_vs_NOACU_BOWEL</x:v>
      </x:c>
      <x:c r="C116" s="18" t="str">
        <x:v>Electroacupuncture</x:v>
      </x:c>
      <x:c r="D116" s="18" t="str">
        <x:v>No acupuncture</x:v>
      </x:c>
      <x:c r="E116" s="18" t="str">
        <x:v>GI recovery</x:v>
      </x:c>
      <x:c r="F116" s="18" t="str">
        <x:v>Time to first bowel motion / defecation</x:v>
      </x:c>
      <x:c r="G116" s="18" t="str">
        <x:v>Postoperative</x:v>
      </x:c>
      <x:c r="H116" s="18" t="str">
        <x:v>Mean/SD</x:v>
      </x:c>
      <x:c r="I116" s="18" t="n">
        <x:v>55</x:v>
      </x:c>
      <x:c r="J116" s="18" t="n">
        <x:v>55</x:v>
      </x:c>
      <x:c r="K116" s="18" t="n">
        <x:v>55</x:v>
      </x:c>
      <x:c r="L116" s="18" t="n">
        <x:v>55</x:v>
      </x:c>
      <x:c r="M116" s="18" t="n">
        <x:v>85.9</x:v>
      </x:c>
      <x:c r="N116" s="18" t="n">
        <x:v>36.1</x:v>
      </x:c>
      <x:c r="O116" s="18"/>
      <x:c r="P116" s="18"/>
      <x:c r="Q116" s="18"/>
      <x:c r="R116" s="18"/>
      <x:c r="S116" s="18" t="n">
        <x:v>122.1</x:v>
      </x:c>
      <x:c r="T116" s="18" t="n">
        <x:v>53.5</x:v>
      </x:c>
      <x:c r="U116" s="18"/>
      <x:c r="V116" s="18"/>
      <x:c r="W116" s="18"/>
      <x:c r="X116" s="18"/>
      <x:c r="Y116" s="18" t="str">
        <x:v>hours</x:v>
      </x:c>
      <x:c r="Z116" s="18" t="str">
        <x:v>&lt;0.001</x:v>
      </x:c>
      <x:c r="AA116" s="18" t="str">
        <x:v>Yes</x:v>
      </x:c>
      <x:c r="AB116" s="18" t="str">
        <x:v>No</x:v>
      </x:c>
      <x:c r="AC116" s="18" t="str">
        <x:v>MD</x:v>
      </x:c>
      <x:c r="AD116" s="18" t="n">
        <x:v>-36.19999999999999</x:v>
      </x:c>
      <x:c r="AE116" s="18" t="str">
        <x:v>No</x:v>
      </x:c>
      <x:c r="AF116" s="18" t="str">
        <x:v>No</x:v>
      </x:c>
      <x:c r="AG116" s="18" t="str">
        <x:v>Eligible for GI-recovery meta-analysis as active-vs-usual-care contrast</x:v>
      </x:c>
      <x:c r="AH116" s="18" t="str">
        <x:v>Yes</x:v>
      </x:c>
      <x:c r="AI116" s="18" t="str">
        <x:v>No-acupuncture group could not be participant blinded</x:v>
      </x:c>
      <x:c r="AJ116" s="18" t="str">
        <x:v>Primary outcome / first bowel motion</x:v>
      </x:c>
      <x:c r="AK116" s="18" t="str">
        <x:v>https://drive.google.com/file/d/1R1zCiyfWvuSp99Hi2U_K1__8kgdi90gd/view?usp=drivesdk</x:v>
      </x:c>
      <x:c r="AL116" s="18" t="str">
        <x:v>SOURCE-VERIFIED</x:v>
      </x:c>
      <x:c r="AM116" s="18"/>
      <x:c r="AN116" s="18"/>
      <x:c r="AO116" s="18"/>
      <x:c r="AP116" s="18"/>
      <x:c r="AQ116" s="18" t="n">
        <x:v>0</x:v>
      </x:c>
      <x:c r="AR116" s="18" t="n">
        <x:v>0</x:v>
      </x:c>
      <x:c r="AS116" s="18"/>
      <x:c r="AT116" s="18"/>
      <x:c r="AU116" s="18"/>
      <x:c r="AV116" s="18"/>
    </x:row>
    <x:row r="117">
      <x:c r="A117" s="18" t="str">
        <x:v>Ng 2013</x:v>
      </x:c>
      <x:c r="B117" s="18" t="str">
        <x:v>NG13_EA_vs_SHAM_FLATUS</x:v>
      </x:c>
      <x:c r="C117" s="18" t="str">
        <x:v>Electroacupuncture</x:v>
      </x:c>
      <x:c r="D117" s="18" t="str">
        <x:v>Sham acupuncture</x:v>
      </x:c>
      <x:c r="E117" s="18" t="str">
        <x:v>GI recovery</x:v>
      </x:c>
      <x:c r="F117" s="18" t="str">
        <x:v>Time to first flatus</x:v>
      </x:c>
      <x:c r="G117" s="18" t="str">
        <x:v>Postoperative</x:v>
      </x:c>
      <x:c r="H117" s="18" t="str">
        <x:v>Mean/SD</x:v>
      </x:c>
      <x:c r="I117" s="18" t="n">
        <x:v>55</x:v>
      </x:c>
      <x:c r="J117" s="18" t="n">
        <x:v>55</x:v>
      </x:c>
      <x:c r="K117" s="18" t="n">
        <x:v>55</x:v>
      </x:c>
      <x:c r="L117" s="18" t="n">
        <x:v>55</x:v>
      </x:c>
      <x:c r="M117" s="18" t="n">
        <x:v>2</x:v>
      </x:c>
      <x:c r="N117" s="18" t="n">
        <x:v>0.9</x:v>
      </x:c>
      <x:c r="O117" s="18"/>
      <x:c r="P117" s="18"/>
      <x:c r="Q117" s="18"/>
      <x:c r="R117" s="18"/>
      <x:c r="S117" s="18" t="n">
        <x:v>2.3</x:v>
      </x:c>
      <x:c r="T117" s="18" t="n">
        <x:v>1.1</x:v>
      </x:c>
      <x:c r="U117" s="18"/>
      <x:c r="V117" s="18"/>
      <x:c r="W117" s="18"/>
      <x:c r="X117" s="18"/>
      <x:c r="Y117" s="18" t="str">
        <x:v>days</x:v>
      </x:c>
      <x:c r="Z117" s="18" t="str">
        <x:v>0.095</x:v>
      </x:c>
      <x:c r="AA117" s="18" t="str">
        <x:v>Yes</x:v>
      </x:c>
      <x:c r="AB117" s="18" t="str">
        <x:v>No</x:v>
      </x:c>
      <x:c r="AC117" s="18" t="str">
        <x:v>MD</x:v>
      </x:c>
      <x:c r="AD117" s="18" t="n">
        <x:v>-0.2999999999999998</x:v>
      </x:c>
      <x:c r="AE117" s="18" t="str">
        <x:v>No</x:v>
      </x:c>
      <x:c r="AF117" s="18" t="str">
        <x:v>No</x:v>
      </x:c>
      <x:c r="AG117" s="18" t="str">
        <x:v>Eligible for GI-recovery analysis</x:v>
      </x:c>
      <x:c r="AH117" s="18" t="str">
        <x:v>Yes</x:v>
      </x:c>
      <x:c r="AI117" s="18" t="str">
        <x:v>No statistically significant EA-vs-sham difference</x:v>
      </x:c>
      <x:c r="AJ117" s="18" t="str">
        <x:v>Secondary outcome / first flatus</x:v>
      </x:c>
      <x:c r="AK117" s="18" t="str">
        <x:v>https://drive.google.com/file/d/1R1zCiyfWvuSp99Hi2U_K1__8kgdi90gd/view?usp=drivesdk</x:v>
      </x:c>
      <x:c r="AL117" s="18" t="str">
        <x:v>SOURCE-VERIFIED</x:v>
      </x:c>
      <x:c r="AM117" s="18" t="str">
        <x:v>E-007</x:v>
      </x:c>
      <x:c r="AN117" s="18" t="str">
        <x:v>E</x:v>
      </x:c>
      <x:c r="AO117" s="18" t="str">
        <x:v>E_time_to_first_flatus</x:v>
      </x:c>
      <x:c r="AP117" s="18" t="str">
        <x:v>MATCHED</x:v>
      </x:c>
      <x:c r="AQ117" s="18" t="n">
        <x:v>1</x:v>
      </x:c>
      <x:c r="AR117" s="18" t="n">
        <x:v>0</x:v>
      </x:c>
      <x:c r="AS117" s="18" t="str">
        <x:v>Some concerns</x:v>
      </x:c>
      <x:c r="AT117" s="18" t="str">
        <x:v>P2</x:v>
      </x:c>
      <x:c r="AU117" s="18"/>
      <x:c r="AV117" s="18" t="str">
        <x:v>2.0±0.9 vs 2.3±1.1 days</x:v>
      </x:c>
    </x:row>
    <x:row r="118">
      <x:c r="A118" s="18" t="str">
        <x:v>Ng 2013</x:v>
      </x:c>
      <x:c r="B118" s="18" t="str">
        <x:v>NG13_EA_vs_SHAM_PAINPOD1</x:v>
      </x:c>
      <x:c r="C118" s="18" t="str">
        <x:v>Electroacupuncture</x:v>
      </x:c>
      <x:c r="D118" s="18" t="str">
        <x:v>Sham acupuncture</x:v>
      </x:c>
      <x:c r="E118" s="18" t="str">
        <x:v>Pain</x:v>
      </x:c>
      <x:c r="F118" s="18" t="str">
        <x:v>VAS pain intensity</x:v>
      </x:c>
      <x:c r="G118" s="18" t="str">
        <x:v>POD1</x:v>
      </x:c>
      <x:c r="H118" s="18" t="str">
        <x:v>Mean/SD</x:v>
      </x:c>
      <x:c r="I118" s="18" t="n">
        <x:v>55</x:v>
      </x:c>
      <x:c r="J118" s="18" t="n">
        <x:v>55</x:v>
      </x:c>
      <x:c r="K118" s="18" t="n">
        <x:v>55</x:v>
      </x:c>
      <x:c r="L118" s="18" t="n">
        <x:v>55</x:v>
      </x:c>
      <x:c r="M118" s="18" t="n">
        <x:v>5.6</x:v>
      </x:c>
      <x:c r="N118" s="18" t="n">
        <x:v>2</x:v>
      </x:c>
      <x:c r="O118" s="18"/>
      <x:c r="P118" s="18"/>
      <x:c r="Q118" s="18"/>
      <x:c r="R118" s="18"/>
      <x:c r="S118" s="18" t="n">
        <x:v>5.8</x:v>
      </x:c>
      <x:c r="T118" s="18" t="n">
        <x:v>1.9</x:v>
      </x:c>
      <x:c r="U118" s="18"/>
      <x:c r="V118" s="18"/>
      <x:c r="W118" s="18"/>
      <x:c r="X118" s="18"/>
      <x:c r="Y118" s="18" t="str">
        <x:v>VAS 0-10</x:v>
      </x:c>
      <x:c r="Z118" s="18" t="str">
        <x:v>0.655</x:v>
      </x:c>
      <x:c r="AA118" s="18" t="str">
        <x:v>Yes</x:v>
      </x:c>
      <x:c r="AB118" s="18" t="str">
        <x:v>No</x:v>
      </x:c>
      <x:c r="AC118" s="18" t="str">
        <x:v>MD</x:v>
      </x:c>
      <x:c r="AD118" s="18" t="n">
        <x:v>-0.20000000000000018</x:v>
      </x:c>
      <x:c r="AE118" s="18" t="str">
        <x:v>No</x:v>
      </x:c>
      <x:c r="AF118" s="18" t="str">
        <x:v>No</x:v>
      </x:c>
      <x:c r="AG118" s="18" t="str">
        <x:v>Eligible for POD1 pain analysis if POD1 timing meets protocol</x:v>
      </x:c>
      <x:c r="AH118" s="18" t="str">
        <x:v>Yes</x:v>
      </x:c>
      <x:c r="AI118" s="18" t="str">
        <x:v>POD1 is not an exact clock-defined 24-h point</x:v>
      </x:c>
      <x:c r="AJ118" s="18" t="str">
        <x:v>Pain outcome / POD1</x:v>
      </x:c>
      <x:c r="AK118" s="18" t="str">
        <x:v>https://drive.google.com/file/d/1R1zCiyfWvuSp99Hi2U_K1__8kgdi90gd/view?usp=drivesdk</x:v>
      </x:c>
      <x:c r="AL118" s="18" t="str">
        <x:v>SOURCE-VERIFIED / POD LABEL</x:v>
      </x:c>
      <x:c r="AM118" s="18"/>
      <x:c r="AN118" s="18"/>
      <x:c r="AO118" s="18"/>
      <x:c r="AP118" s="18"/>
      <x:c r="AQ118" s="18" t="n">
        <x:v>0</x:v>
      </x:c>
      <x:c r="AR118" s="18" t="n">
        <x:v>0</x:v>
      </x:c>
      <x:c r="AS118" s="18"/>
      <x:c r="AT118" s="18"/>
      <x:c r="AU118" s="18"/>
      <x:c r="AV118" s="18"/>
    </x:row>
    <x:row r="119">
      <x:c r="A119" s="18" t="str">
        <x:v>Ng 2013</x:v>
      </x:c>
      <x:c r="B119" s="18" t="str">
        <x:v>NG13_EA_vs_SHAM_PETHCOUNT</x:v>
      </x:c>
      <x:c r="C119" s="18" t="str">
        <x:v>Electroacupuncture</x:v>
      </x:c>
      <x:c r="D119" s="18" t="str">
        <x:v>Sham acupuncture</x:v>
      </x:c>
      <x:c r="E119" s="18" t="str">
        <x:v>Opioid demand</x:v>
      </x:c>
      <x:c r="F119" s="18" t="str">
        <x:v>Number of postoperative pethidine injections</x:v>
      </x:c>
      <x:c r="G119" s="18" t="str">
        <x:v>Postoperative; exact window NR</x:v>
      </x:c>
      <x:c r="H119" s="18" t="str">
        <x:v>Mean/SD</x:v>
      </x:c>
      <x:c r="I119" s="18" t="n">
        <x:v>55</x:v>
      </x:c>
      <x:c r="J119" s="18" t="n">
        <x:v>55</x:v>
      </x:c>
      <x:c r="K119" s="18" t="n">
        <x:v>55</x:v>
      </x:c>
      <x:c r="L119" s="18" t="n">
        <x:v>55</x:v>
      </x:c>
      <x:c r="M119" s="18" t="n">
        <x:v>2.7</x:v>
      </x:c>
      <x:c r="N119" s="18" t="n">
        <x:v>2.3</x:v>
      </x:c>
      <x:c r="O119" s="18"/>
      <x:c r="P119" s="18"/>
      <x:c r="Q119" s="18"/>
      <x:c r="R119" s="18"/>
      <x:c r="S119" s="18" t="n">
        <x:v>5.2</x:v>
      </x:c>
      <x:c r="T119" s="18" t="n">
        <x:v>4.7</x:v>
      </x:c>
      <x:c r="U119" s="18"/>
      <x:c r="V119" s="18"/>
      <x:c r="W119" s="18"/>
      <x:c r="X119" s="18"/>
      <x:c r="Y119" s="18" t="str">
        <x:v>number of injections</x:v>
      </x:c>
      <x:c r="Z119" s="18" t="str">
        <x:v>NR</x:v>
      </x:c>
      <x:c r="AA119" s="18" t="str">
        <x:v>Yes</x:v>
      </x:c>
      <x:c r="AB119" s="18" t="str">
        <x:v>No</x:v>
      </x:c>
      <x:c r="AC119" s="18" t="str">
        <x:v>MD</x:v>
      </x:c>
      <x:c r="AD119" s="18" t="n">
        <x:v>-2.5</x:v>
      </x:c>
      <x:c r="AE119" s="18" t="str">
        <x:v>No</x:v>
      </x:c>
      <x:c r="AF119" s="18" t="str">
        <x:v>No</x:v>
      </x:c>
      <x:c r="AG119" s="18" t="str">
        <x:v>Eligible only as opioid-injection-count outcome after time-window clarification</x:v>
      </x:c>
      <x:c r="AH119" s="18" t="str">
        <x:v>Yes</x:v>
      </x:c>
      <x:c r="AI119" s="18" t="str">
        <x:v>Methods say 1 mg/kg q4h PRN, tables say 50-mg injections; exact observation window and route not clearly defined</x:v>
      </x:c>
      <x:c r="AJ119" s="18" t="str">
        <x:v>Analgesic requirement tables</x:v>
      </x:c>
      <x:c r="AK119" s="18" t="str">
        <x:v>https://drive.google.com/file/d/1R1zCiyfWvuSp99Hi2U_K1__8kgdi90gd/view?usp=drivesdk</x:v>
      </x:c>
      <x:c r="AL119" s="18" t="str">
        <x:v>SOURCE-VERIFIED / DOSE + WINDOW QC</x:v>
      </x:c>
      <x:c r="AM119" s="18"/>
      <x:c r="AN119" s="18"/>
      <x:c r="AO119" s="18"/>
      <x:c r="AP119" s="18"/>
      <x:c r="AQ119" s="18" t="n">
        <x:v>0</x:v>
      </x:c>
      <x:c r="AR119" s="18" t="n">
        <x:v>0</x:v>
      </x:c>
      <x:c r="AS119" s="18"/>
      <x:c r="AT119" s="18"/>
      <x:c r="AU119" s="18"/>
      <x:c r="AV119" s="18"/>
    </x:row>
    <x:row r="120">
      <x:c r="A120" s="18" t="str">
        <x:v>Ng 2013</x:v>
      </x:c>
      <x:c r="B120" s="18" t="str">
        <x:v>NG13_EA_vs_SHAM_OPIOID24</x:v>
      </x:c>
      <x:c r="C120" s="18" t="str">
        <x:v>Electroacupuncture</x:v>
      </x:c>
      <x:c r="D120" s="18" t="str">
        <x:v>Sham acupuncture</x:v>
      </x:c>
      <x:c r="E120" s="18" t="str">
        <x:v>Opioid consumption</x:v>
      </x:c>
      <x:c r="F120" s="18" t="str">
        <x:v>Cumulative pethidine consumption</x:v>
      </x:c>
      <x:c r="G120" s="18" t="str">
        <x:v>0-24 h</x:v>
      </x:c>
      <x:c r="H120" s="18" t="str">
        <x:v>Not reported</x:v>
      </x:c>
      <x:c r="I120" s="18" t="n">
        <x:v>55</x:v>
      </x:c>
      <x:c r="J120" s="18" t="n">
        <x:v>55</x:v>
      </x:c>
      <x:c r="K120" s="18" t="n">
        <x:v>55</x:v>
      </x:c>
      <x:c r="L120" s="18" t="n">
        <x:v>55</x:v>
      </x:c>
      <x:c r="M120" s="18"/>
      <x:c r="N120" s="18"/>
      <x:c r="O120" s="18"/>
      <x:c r="P120" s="18"/>
      <x:c r="Q120" s="18"/>
      <x:c r="R120" s="18"/>
      <x:c r="S120" s="18"/>
      <x:c r="T120" s="18"/>
      <x:c r="U120" s="18"/>
      <x:c r="V120" s="18"/>
      <x:c r="W120" s="18"/>
      <x:c r="X120" s="18"/>
      <x:c r="Y120" s="18" t="str">
        <x:v>mg pethidine</x:v>
      </x:c>
      <x:c r="Z120" s="18"/>
      <x:c r="AA120" s="18" t="str">
        <x:v>No</x:v>
      </x:c>
      <x:c r="AB120" s="18" t="str">
        <x:v>No</x:v>
      </x:c>
      <x:c r="AC120" s="18" t="str"/>
      <x:c r="AD120" s="18" t="str"/>
      <x:c r="AE120" s="18" t="str">
        <x:v>No</x:v>
      </x:c>
      <x:c r="AF120" s="18" t="str">
        <x:v>No</x:v>
      </x:c>
      <x:c r="AG120" s="18" t="str">
        <x:v>Not eligible for strict continuous 24-h opioid meta-analysis without author data</x:v>
      </x:c>
      <x:c r="AH120" s="18" t="str">
        <x:v>Yes</x:v>
      </x:c>
      <x:c r="AI120" s="18" t="str">
        <x:v>Do not multiply injection counts by 50 mg and call it a 24-h dose; source time window/dosing statement is ambiguous</x:v>
      </x:c>
      <x:c r="AJ120" s="18" t="str">
        <x:v>Exact 24-h opioid endpoint absent</x:v>
      </x:c>
      <x:c r="AK120" s="18" t="str">
        <x:v>https://drive.google.com/file/d/1R1zCiyfWvuSp99Hi2U_K1__8kgdi90gd/view?usp=drivesdk</x:v>
      </x:c>
      <x:c r="AL120" s="18" t="str">
        <x:v>MISSING / AUTHOR DATA NEEDED</x:v>
      </x:c>
      <x:c r="AM120" s="18"/>
      <x:c r="AN120" s="18"/>
      <x:c r="AO120" s="18"/>
      <x:c r="AP120" s="18"/>
      <x:c r="AQ120" s="18" t="n">
        <x:v>0</x:v>
      </x:c>
      <x:c r="AR120" s="18" t="n">
        <x:v>0</x:v>
      </x:c>
      <x:c r="AS120" s="18"/>
      <x:c r="AT120" s="18"/>
      <x:c r="AU120" s="18"/>
      <x:c r="AV120" s="18"/>
    </x:row>
    <x:row r="121">
      <x:c r="A121" s="18" t="str">
        <x:v>Ma 2026</x:v>
      </x:c>
      <x:c r="B121" s="18" t="str">
        <x:v>MA26_T_vs_S_PAIN24</x:v>
      </x:c>
      <x:c r="C121" s="18" t="str">
        <x:v>Group T: sleep disturbance + preop TEAS</x:v>
      </x:c>
      <x:c r="D121" s="18" t="str">
        <x:v>Group S: sleep disturbance, no TEAS</x:v>
      </x:c>
      <x:c r="E121" s="18" t="str">
        <x:v>Pain</x:v>
      </x:c>
      <x:c r="F121" s="18" t="str">
        <x:v>Resting NRS pain</x:v>
      </x:c>
      <x:c r="G121" s="18" t="str">
        <x:v>24 h</x:v>
      </x:c>
      <x:c r="H121" s="18" t="str">
        <x:v>Graph-only continuous data</x:v>
      </x:c>
      <x:c r="I121" s="18" t="n">
        <x:v>18</x:v>
      </x:c>
      <x:c r="J121" s="18" t="n">
        <x:v>17</x:v>
      </x:c>
      <x:c r="K121" s="18" t="n">
        <x:v>17</x:v>
      </x:c>
      <x:c r="L121" s="18" t="n">
        <x:v>16</x:v>
      </x:c>
      <x:c r="M121" s="18"/>
      <x:c r="N121" s="18"/>
      <x:c r="O121" s="18"/>
      <x:c r="P121" s="18"/>
      <x:c r="Q121" s="18"/>
      <x:c r="R121" s="18"/>
      <x:c r="S121" s="18"/>
      <x:c r="T121" s="18"/>
      <x:c r="U121" s="18"/>
      <x:c r="V121" s="18"/>
      <x:c r="W121" s="18"/>
      <x:c r="X121" s="18"/>
      <x:c r="Y121" s="18" t="str">
        <x:v>NRS 0-10</x:v>
      </x:c>
      <x:c r="Z121" s="18" t="str">
        <x:v>P&lt;0.05 T vs S</x:v>
      </x:c>
      <x:c r="AA121" s="18" t="str">
        <x:v>No</x:v>
      </x:c>
      <x:c r="AB121" s="18" t="str">
        <x:v>No</x:v>
      </x:c>
      <x:c r="AC121" s="18" t="str"/>
      <x:c r="AD121" s="18" t="str"/>
      <x:c r="AE121" s="18" t="str">
        <x:v>No</x:v>
      </x:c>
      <x:c r="AF121" s="18" t="str">
        <x:v>No</x:v>
      </x:c>
      <x:c r="AG121" s="18" t="str">
        <x:v>Not ready for continuous meta-analysis without formal graph digitization or author data</x:v>
      </x:c>
      <x:c r="AH121" s="18" t="str">
        <x:v>No</x:v>
      </x:c>
      <x:c r="AI121" s="18" t="str">
        <x:v>Partially randomized trial: only T vs S is randomized. Exact 24-h means/SDs are graph-only and must not be inferred from Antigravity candidate values</x:v>
      </x:c>
      <x:c r="AJ121" s="18" t="str">
        <x:v>Figure / 24-h postoperative NRS</x:v>
      </x:c>
      <x:c r="AK121" s="18" t="str">
        <x:v>https://drive.google.com/file/d/1tMEOwvRWIMeEmBmKfeHEt7YF10yxslUe/view?usp=drivesdk</x:v>
      </x:c>
      <x:c r="AL121" s="18" t="str">
        <x:v>FIGURE ONLY / DIGITIZATION NEEDED</x:v>
      </x:c>
      <x:c r="AM121" s="18"/>
      <x:c r="AN121" s="18"/>
      <x:c r="AO121" s="18"/>
      <x:c r="AP121" s="18"/>
      <x:c r="AQ121" s="18" t="n">
        <x:v>0</x:v>
      </x:c>
      <x:c r="AR121" s="18" t="n">
        <x:v>0</x:v>
      </x:c>
      <x:c r="AS121" s="18"/>
      <x:c r="AT121" s="18"/>
      <x:c r="AU121" s="18"/>
      <x:c r="AV121" s="18"/>
    </x:row>
    <x:row r="122">
      <x:c r="A122" s="18" t="str">
        <x:v>Ma 2026</x:v>
      </x:c>
      <x:c r="B122" s="18" t="str">
        <x:v>MA26_T_vs_S_AISPOD1</x:v>
      </x:c>
      <x:c r="C122" s="18" t="str">
        <x:v>Group T: sleep disturbance + preop TEAS</x:v>
      </x:c>
      <x:c r="D122" s="18" t="str">
        <x:v>Group S: sleep disturbance, no TEAS</x:v>
      </x:c>
      <x:c r="E122" s="18" t="str">
        <x:v>Sleep quality</x:v>
      </x:c>
      <x:c r="F122" s="18" t="str">
        <x:v>Athens Insomnia Scale</x:v>
      </x:c>
      <x:c r="G122" s="18" t="str">
        <x:v>POD1</x:v>
      </x:c>
      <x:c r="H122" s="18" t="str">
        <x:v>Graph-only continuous data</x:v>
      </x:c>
      <x:c r="I122" s="18" t="n">
        <x:v>18</x:v>
      </x:c>
      <x:c r="J122" s="18" t="n">
        <x:v>17</x:v>
      </x:c>
      <x:c r="K122" s="18" t="n">
        <x:v>17</x:v>
      </x:c>
      <x:c r="L122" s="18" t="n">
        <x:v>16</x:v>
      </x:c>
      <x:c r="M122" s="18"/>
      <x:c r="N122" s="18"/>
      <x:c r="O122" s="18"/>
      <x:c r="P122" s="18"/>
      <x:c r="Q122" s="18"/>
      <x:c r="R122" s="18"/>
      <x:c r="S122" s="18"/>
      <x:c r="T122" s="18"/>
      <x:c r="U122" s="18"/>
      <x:c r="V122" s="18"/>
      <x:c r="W122" s="18"/>
      <x:c r="X122" s="18"/>
      <x:c r="Y122" s="18" t="str">
        <x:v>AIS points</x:v>
      </x:c>
      <x:c r="Z122" s="18" t="str">
        <x:v>P&lt;0.05 T vs S</x:v>
      </x:c>
      <x:c r="AA122" s="18" t="str">
        <x:v>No</x:v>
      </x:c>
      <x:c r="AB122" s="18" t="str">
        <x:v>No</x:v>
      </x:c>
      <x:c r="AC122" s="18" t="str"/>
      <x:c r="AD122" s="18" t="str"/>
      <x:c r="AE122" s="18" t="str">
        <x:v>No</x:v>
      </x:c>
      <x:c r="AF122" s="18" t="str">
        <x:v>No</x:v>
      </x:c>
      <x:c r="AG122" s="18" t="str">
        <x:v>Not ready for continuous meta-analysis without formal graph digitization or author data</x:v>
      </x:c>
      <x:c r="AH122" s="18" t="str">
        <x:v>No</x:v>
      </x:c>
      <x:c r="AI122" s="18" t="str">
        <x:v>Exact postoperative AIS means/SDs are graph-only; Group C is non-randomized and must not be used as a randomized comparator</x:v>
      </x:c>
      <x:c r="AJ122" s="18" t="str">
        <x:v>Figure 4 / POD1 AIS</x:v>
      </x:c>
      <x:c r="AK122" s="18" t="str">
        <x:v>https://drive.google.com/file/d/1tMEOwvRWIMeEmBmKfeHEt7YF10yxslUe/view?usp=drivesdk</x:v>
      </x:c>
      <x:c r="AL122" s="18" t="str">
        <x:v>FIGURE ONLY / DIGITIZATION NEEDED</x:v>
      </x:c>
      <x:c r="AM122" s="18"/>
      <x:c r="AN122" s="18"/>
      <x:c r="AO122" s="18"/>
      <x:c r="AP122" s="18"/>
      <x:c r="AQ122" s="18" t="n">
        <x:v>0</x:v>
      </x:c>
      <x:c r="AR122" s="18" t="n">
        <x:v>0</x:v>
      </x:c>
      <x:c r="AS122" s="18"/>
      <x:c r="AT122" s="18"/>
      <x:c r="AU122" s="18"/>
      <x:c r="AV122" s="18"/>
    </x:row>
    <x:row r="123">
      <x:c r="A123" s="18" t="str">
        <x:v>Ma 2026</x:v>
      </x:c>
      <x:c r="B123" s="18" t="str">
        <x:v>MA26_T_vs_S_NAUSEA24</x:v>
      </x:c>
      <x:c r="C123" s="18" t="str">
        <x:v>Group T: sleep disturbance + preop TEAS</x:v>
      </x:c>
      <x:c r="D123" s="18" t="str">
        <x:v>Group S: sleep disturbance, no TEAS</x:v>
      </x:c>
      <x:c r="E123" s="18" t="str">
        <x:v>PONV</x:v>
      </x:c>
      <x:c r="F123" s="18" t="str">
        <x:v>Nausea</x:v>
      </x:c>
      <x:c r="G123" s="18" t="str">
        <x:v>24 h</x:v>
      </x:c>
      <x:c r="H123" s="18" t="str">
        <x:v>Events/total</x:v>
      </x:c>
      <x:c r="I123" s="18" t="n">
        <x:v>18</x:v>
      </x:c>
      <x:c r="J123" s="18" t="n">
        <x:v>17</x:v>
      </x:c>
      <x:c r="K123" s="18" t="n">
        <x:v>17</x:v>
      </x:c>
      <x:c r="L123" s="18" t="n">
        <x:v>16</x:v>
      </x:c>
      <x:c r="M123" s="18"/>
      <x:c r="N123" s="18"/>
      <x:c r="O123" s="18"/>
      <x:c r="P123" s="18"/>
      <x:c r="Q123" s="18"/>
      <x:c r="R123" s="18" t="n">
        <x:v>6</x:v>
      </x:c>
      <x:c r="S123" s="18"/>
      <x:c r="T123" s="18"/>
      <x:c r="U123" s="18"/>
      <x:c r="V123" s="18"/>
      <x:c r="W123" s="18"/>
      <x:c r="X123" s="18" t="n">
        <x:v>8</x:v>
      </x:c>
      <x:c r="Y123" s="18" t="str">
        <x:v>participants</x:v>
      </x:c>
      <x:c r="Z123" s="18" t="str">
        <x:v>Overall 3-group P=0.590; randomized T-vs-S pairwise NR</x:v>
      </x:c>
      <x:c r="AA123" s="18" t="str">
        <x:v>Yes</x:v>
      </x:c>
      <x:c r="AB123" s="18" t="str">
        <x:v>No</x:v>
      </x:c>
      <x:c r="AC123" s="18" t="str">
        <x:v>RR</x:v>
      </x:c>
      <x:c r="AD123" s="18" t="n">
        <x:v>0.7058823529411765</x:v>
      </x:c>
      <x:c r="AE123" s="18" t="str">
        <x:v>No</x:v>
      </x:c>
      <x:c r="AF123" s="18" t="str">
        <x:v>No</x:v>
      </x:c>
      <x:c r="AG123" s="18" t="str">
        <x:v>Eligible for dichotomous 24-h nausea analysis using randomized T vs S contrast</x:v>
      </x:c>
      <x:c r="AH123" s="18" t="str">
        <x:v>No</x:v>
      </x:c>
      <x:c r="AI123" s="18" t="str">
        <x:v>Overall P-value includes non-randomized Group C; do not treat it as the randomized pairwise P-value</x:v>
      </x:c>
      <x:c r="AJ123" s="18" t="str">
        <x:v>24-h PONV table</x:v>
      </x:c>
      <x:c r="AK123" s="18" t="str">
        <x:v>https://drive.google.com/file/d/1tMEOwvRWIMeEmBmKfeHEt7YF10yxslUe/view?usp=drivesdk</x:v>
      </x:c>
      <x:c r="AL123" s="18" t="str">
        <x:v>SOURCE-VERIFIED</x:v>
      </x:c>
      <x:c r="AM123" s="18" t="str">
        <x:v>D-007</x:v>
      </x:c>
      <x:c r="AN123" s="18" t="str">
        <x:v>D</x:v>
      </x:c>
      <x:c r="AO123" s="18" t="str">
        <x:v>D_nausea_0-24h</x:v>
      </x:c>
      <x:c r="AP123" s="18" t="str">
        <x:v>MATCHED</x:v>
      </x:c>
      <x:c r="AQ123" s="18" t="n">
        <x:v>1</x:v>
      </x:c>
      <x:c r="AR123" s="18" t="n">
        <x:v>0</x:v>
      </x:c>
      <x:c r="AS123" s="18" t="str">
        <x:v>High</x:v>
      </x:c>
      <x:c r="AT123" s="18"/>
      <x:c r="AU123" s="18"/>
      <x:c r="AV123" s="18" t="str">
        <x:v>6/17 vs 8/16</x:v>
      </x:c>
    </x:row>
    <x:row r="124">
      <x:c r="A124" s="18" t="str">
        <x:v>Ma 2026</x:v>
      </x:c>
      <x:c r="B124" s="18" t="str">
        <x:v>MA26_T_vs_S_VOMIT24</x:v>
      </x:c>
      <x:c r="C124" s="18" t="str">
        <x:v>Group T: sleep disturbance + preop TEAS</x:v>
      </x:c>
      <x:c r="D124" s="18" t="str">
        <x:v>Group S: sleep disturbance, no TEAS</x:v>
      </x:c>
      <x:c r="E124" s="18" t="str">
        <x:v>PONV</x:v>
      </x:c>
      <x:c r="F124" s="18" t="str">
        <x:v>Vomiting</x:v>
      </x:c>
      <x:c r="G124" s="18" t="str">
        <x:v>24 h</x:v>
      </x:c>
      <x:c r="H124" s="18" t="str">
        <x:v>Events/total</x:v>
      </x:c>
      <x:c r="I124" s="18" t="n">
        <x:v>18</x:v>
      </x:c>
      <x:c r="J124" s="18" t="n">
        <x:v>17</x:v>
      </x:c>
      <x:c r="K124" s="18" t="n">
        <x:v>17</x:v>
      </x:c>
      <x:c r="L124" s="18" t="n">
        <x:v>16</x:v>
      </x:c>
      <x:c r="M124" s="18"/>
      <x:c r="N124" s="18"/>
      <x:c r="O124" s="18"/>
      <x:c r="P124" s="18"/>
      <x:c r="Q124" s="18"/>
      <x:c r="R124" s="18" t="n">
        <x:v>6</x:v>
      </x:c>
      <x:c r="S124" s="18"/>
      <x:c r="T124" s="18"/>
      <x:c r="U124" s="18"/>
      <x:c r="V124" s="18"/>
      <x:c r="W124" s="18"/>
      <x:c r="X124" s="18" t="n">
        <x:v>7</x:v>
      </x:c>
      <x:c r="Y124" s="18" t="str">
        <x:v>participants</x:v>
      </x:c>
      <x:c r="Z124" s="18" t="str">
        <x:v>Overall 3-group P=0.863; randomized T-vs-S pairwise NR</x:v>
      </x:c>
      <x:c r="AA124" s="18" t="str">
        <x:v>Yes</x:v>
      </x:c>
      <x:c r="AB124" s="18" t="str">
        <x:v>No</x:v>
      </x:c>
      <x:c r="AC124" s="18" t="str">
        <x:v>RR</x:v>
      </x:c>
      <x:c r="AD124" s="18" t="n">
        <x:v>0.8067226890756303</x:v>
      </x:c>
      <x:c r="AE124" s="18" t="str">
        <x:v>No</x:v>
      </x:c>
      <x:c r="AF124" s="18" t="str">
        <x:v>No</x:v>
      </x:c>
      <x:c r="AG124" s="18" t="str">
        <x:v>Eligible for dichotomous 24-h vomiting analysis using randomized T vs S contrast</x:v>
      </x:c>
      <x:c r="AH124" s="18" t="str">
        <x:v>No</x:v>
      </x:c>
      <x:c r="AI124" s="18" t="str">
        <x:v>Overall P-value includes non-randomized Group C</x:v>
      </x:c>
      <x:c r="AJ124" s="18" t="str">
        <x:v>24-h PONV table</x:v>
      </x:c>
      <x:c r="AK124" s="18" t="str">
        <x:v>https://drive.google.com/file/d/1tMEOwvRWIMeEmBmKfeHEt7YF10yxslUe/view?usp=drivesdk</x:v>
      </x:c>
      <x:c r="AL124" s="18" t="str">
        <x:v>SOURCE-VERIFIED</x:v>
      </x:c>
      <x:c r="AM124" s="18" t="str">
        <x:v>D-010</x:v>
      </x:c>
      <x:c r="AN124" s="18" t="str">
        <x:v>D</x:v>
      </x:c>
      <x:c r="AO124" s="18" t="str">
        <x:v>D_vomiting_0-24h</x:v>
      </x:c>
      <x:c r="AP124" s="18" t="str">
        <x:v>MATCHED</x:v>
      </x:c>
      <x:c r="AQ124" s="18" t="n">
        <x:v>1</x:v>
      </x:c>
      <x:c r="AR124" s="18" t="n">
        <x:v>0</x:v>
      </x:c>
      <x:c r="AS124" s="18" t="str">
        <x:v>Some concerns</x:v>
      </x:c>
      <x:c r="AT124" s="18"/>
      <x:c r="AU124" s="18"/>
      <x:c r="AV124" s="18" t="str">
        <x:v>6/17 vs 7/16</x:v>
      </x:c>
    </x:row>
    <x:row r="125">
      <x:c r="A125" s="18" t="str">
        <x:v>Ma 2026</x:v>
      </x:c>
      <x:c r="B125" s="18" t="str">
        <x:v>MA26_T_vs_S_OPIOID24</x:v>
      </x:c>
      <x:c r="C125" s="18" t="str">
        <x:v>Group T: sleep disturbance + preop TEAS</x:v>
      </x:c>
      <x:c r="D125" s="18" t="str">
        <x:v>Group S: sleep disturbance, no TEAS</x:v>
      </x:c>
      <x:c r="E125" s="18" t="str">
        <x:v>Opioid consumption</x:v>
      </x:c>
      <x:c r="F125" s="18" t="str">
        <x:v>Cumulative postoperative opioid consumption</x:v>
      </x:c>
      <x:c r="G125" s="18" t="str">
        <x:v>0-24 h</x:v>
      </x:c>
      <x:c r="H125" s="18" t="str">
        <x:v>Not reported</x:v>
      </x:c>
      <x:c r="I125" s="18" t="n">
        <x:v>18</x:v>
      </x:c>
      <x:c r="J125" s="18" t="n">
        <x:v>17</x:v>
      </x:c>
      <x:c r="K125" s="18" t="n">
        <x:v>17</x:v>
      </x:c>
      <x:c r="L125" s="18" t="n">
        <x:v>16</x:v>
      </x:c>
      <x:c r="M125" s="18"/>
      <x:c r="N125" s="18"/>
      <x:c r="O125" s="18"/>
      <x:c r="P125" s="18"/>
      <x:c r="Q125" s="18"/>
      <x:c r="R125" s="18"/>
      <x:c r="S125" s="18"/>
      <x:c r="T125" s="18"/>
      <x:c r="U125" s="18"/>
      <x:c r="V125" s="18"/>
      <x:c r="W125" s="18"/>
      <x:c r="X125" s="18"/>
      <x:c r="Y125" s="18" t="str">
        <x:v>mg/µg</x:v>
      </x:c>
      <x:c r="Z125" s="18"/>
      <x:c r="AA125" s="18" t="str">
        <x:v>No</x:v>
      </x:c>
      <x:c r="AB125" s="18" t="str">
        <x:v>No</x:v>
      </x:c>
      <x:c r="AC125" s="18" t="str"/>
      <x:c r="AD125" s="18" t="str"/>
      <x:c r="AE125" s="18" t="str">
        <x:v>No</x:v>
      </x:c>
      <x:c r="AF125" s="18" t="str">
        <x:v>No</x:v>
      </x:c>
      <x:c r="AG125" s="18" t="str">
        <x:v>Not eligible for continuous 24-h opioid meta-analysis</x:v>
      </x:c>
      <x:c r="AH125" s="18" t="str">
        <x:v>No</x:v>
      </x:c>
      <x:c r="AI125" s="18" t="str">
        <x:v>Routine postoperative analgesia was non-opioid flurbiprofen; whether any postoperative opioid was given is not reported</x:v>
      </x:c>
      <x:c r="AJ125" s="18" t="str">
        <x:v>Postoperative analgesia section</x:v>
      </x:c>
      <x:c r="AK125" s="18" t="str">
        <x:v>https://drive.google.com/file/d/1tMEOwvRWIMeEmBmKfeHEt7YF10yxslUe/view?usp=drivesdk</x:v>
      </x:c>
      <x:c r="AL125" s="18" t="str">
        <x:v>MISSING / POSTOP OPIOID USE NR</x:v>
      </x:c>
      <x:c r="AM125" s="18"/>
      <x:c r="AN125" s="18"/>
      <x:c r="AO125" s="18"/>
      <x:c r="AP125" s="18"/>
      <x:c r="AQ125" s="18" t="n">
        <x:v>0</x:v>
      </x:c>
      <x:c r="AR125" s="18" t="n">
        <x:v>0</x:v>
      </x:c>
      <x:c r="AS125" s="18"/>
      <x:c r="AT125" s="18"/>
      <x:c r="AU125" s="18"/>
      <x:c r="AV125" s="18"/>
    </x:row>
    <x:row r="126">
      <x:c r="A126" s="18" t="str">
        <x:v>Lu 2021</x:v>
      </x:c>
      <x:c r="B126" s="18" t="str">
        <x:v>LU21_COMB_vs_SHAM_CHRONIC6M</x:v>
      </x:c>
      <x:c r="C126" s="18" t="str">
        <x:v>Combined PC6+CV17 TEAS</x:v>
      </x:c>
      <x:c r="D126" s="18" t="str">
        <x:v>Sham/no current</x:v>
      </x:c>
      <x:c r="E126" s="18" t="str">
        <x:v>Chronic pain</x:v>
      </x:c>
      <x:c r="F126" s="18" t="str">
        <x:v>Post-mastectomy chronic pain incidence</x:v>
      </x:c>
      <x:c r="G126" s="18" t="str">
        <x:v>6 months</x:v>
      </x:c>
      <x:c r="H126" s="18" t="str">
        <x:v>Events/total</x:v>
      </x:c>
      <x:c r="I126" s="18" t="n">
        <x:v>190</x:v>
      </x:c>
      <x:c r="J126" s="18" t="n">
        <x:v>188</x:v>
      </x:c>
      <x:c r="K126" s="18" t="n">
        <x:v>190</x:v>
      </x:c>
      <x:c r="L126" s="18" t="n">
        <x:v>188</x:v>
      </x:c>
      <x:c r="M126" s="18"/>
      <x:c r="N126" s="18"/>
      <x:c r="O126" s="18"/>
      <x:c r="P126" s="18"/>
      <x:c r="Q126" s="18"/>
      <x:c r="R126" s="18" t="n">
        <x:v>42</x:v>
      </x:c>
      <x:c r="S126" s="18"/>
      <x:c r="T126" s="18"/>
      <x:c r="U126" s="18"/>
      <x:c r="V126" s="18"/>
      <x:c r="W126" s="18"/>
      <x:c r="X126" s="18" t="n">
        <x:v>65</x:v>
      </x:c>
      <x:c r="Y126" s="18" t="str">
        <x:v>participants</x:v>
      </x:c>
      <x:c r="Z126" s="18" t="str">
        <x:v>Overall P=0.005; combined vs sham pairwise P varies by article section</x:v>
      </x:c>
      <x:c r="AA126" s="18" t="str">
        <x:v>Yes</x:v>
      </x:c>
      <x:c r="AB126" s="18" t="str">
        <x:v>No</x:v>
      </x:c>
      <x:c r="AC126" s="18" t="str">
        <x:v>RR</x:v>
      </x:c>
      <x:c r="AD126" s="18" t="n">
        <x:v>0.6393522267206477</x:v>
      </x:c>
      <x:c r="AE126" s="18" t="str">
        <x:v>No</x:v>
      </x:c>
      <x:c r="AF126" s="18" t="str">
        <x:v>No</x:v>
      </x:c>
      <x:c r="AG126" s="18" t="str">
        <x:v>Eligible for dichotomous chronic-pain analysis using raw event counts</x:v>
      </x:c>
      <x:c r="AH126" s="18" t="str">
        <x:v>Yes</x:v>
      </x:c>
      <x:c r="AI126" s="18" t="str">
        <x:v>Printed RR/P-values conflict across abstract, Results and Table 2; raw counts 42/190 vs 65/188 are the stable source facts</x:v>
      </x:c>
      <x:c r="AJ126" s="18" t="str">
        <x:v>Table 2 / primary 6-month chronic pain</x:v>
      </x:c>
      <x:c r="AK126" s="18" t="str">
        <x:v>https://drive.google.com/file/d/1MgD_OucfiyNEDdDe3osh8W01U1yYZs08/view?usp=drivesdk</x:v>
      </x:c>
      <x:c r="AL126" s="18" t="str">
        <x:v>SOURCE-VERIFIED / PUBLISHED EFFECT QC</x:v>
      </x:c>
      <x:c r="AM126" s="18"/>
      <x:c r="AN126" s="18"/>
      <x:c r="AO126" s="18"/>
      <x:c r="AP126" s="18"/>
      <x:c r="AQ126" s="18" t="n">
        <x:v>0</x:v>
      </x:c>
      <x:c r="AR126" s="18" t="n">
        <x:v>0</x:v>
      </x:c>
      <x:c r="AS126" s="18"/>
      <x:c r="AT126" s="18"/>
      <x:c r="AU126" s="18"/>
      <x:c r="AV126" s="18"/>
    </x:row>
    <x:row r="127">
      <x:c r="A127" s="18" t="str">
        <x:v>Lu 2021</x:v>
      </x:c>
      <x:c r="B127" s="18" t="str">
        <x:v>LU21_SINGLE_vs_SHAM_CHRONIC6M</x:v>
      </x:c>
      <x:c r="C127" s="18" t="str">
        <x:v>Single PC6 TEAS</x:v>
      </x:c>
      <x:c r="D127" s="18" t="str">
        <x:v>Sham/no current</x:v>
      </x:c>
      <x:c r="E127" s="18" t="str">
        <x:v>Chronic pain</x:v>
      </x:c>
      <x:c r="F127" s="18" t="str">
        <x:v>Post-mastectomy chronic pain incidence</x:v>
      </x:c>
      <x:c r="G127" s="18" t="str">
        <x:v>6 months</x:v>
      </x:c>
      <x:c r="H127" s="18" t="str">
        <x:v>Events/total</x:v>
      </x:c>
      <x:c r="I127" s="18" t="n">
        <x:v>198</x:v>
      </x:c>
      <x:c r="J127" s="18" t="n">
        <x:v>188</x:v>
      </x:c>
      <x:c r="K127" s="18" t="n">
        <x:v>198</x:v>
      </x:c>
      <x:c r="L127" s="18" t="n">
        <x:v>188</x:v>
      </x:c>
      <x:c r="M127" s="18"/>
      <x:c r="N127" s="18"/>
      <x:c r="O127" s="18"/>
      <x:c r="P127" s="18"/>
      <x:c r="Q127" s="18"/>
      <x:c r="R127" s="18" t="n">
        <x:v>72</x:v>
      </x:c>
      <x:c r="S127" s="18"/>
      <x:c r="T127" s="18"/>
      <x:c r="U127" s="18"/>
      <x:c r="V127" s="18"/>
      <x:c r="W127" s="18"/>
      <x:c r="X127" s="18" t="n">
        <x:v>65</x:v>
      </x:c>
      <x:c r="Y127" s="18" t="str">
        <x:v>participants</x:v>
      </x:c>
      <x:c r="Z127" s="18" t="str">
        <x:v>Overall P=0.005; single vs sham pairwise P reported 0.71 in Table 2</x:v>
      </x:c>
      <x:c r="AA127" s="18" t="str">
        <x:v>Yes</x:v>
      </x:c>
      <x:c r="AB127" s="18" t="str">
        <x:v>No</x:v>
      </x:c>
      <x:c r="AC127" s="18" t="str">
        <x:v>RR</x:v>
      </x:c>
      <x:c r="AD127" s="18" t="n">
        <x:v>1.0517482517482517</x:v>
      </x:c>
      <x:c r="AE127" s="18" t="str">
        <x:v>No</x:v>
      </x:c>
      <x:c r="AF127" s="18" t="str">
        <x:v>No</x:v>
      </x:c>
      <x:c r="AG127" s="18" t="str">
        <x:v>Eligible only with explicit source-conflict sensitivity handling</x:v>
      </x:c>
      <x:c r="AH127" s="18" t="str">
        <x:v>Yes</x:v>
      </x:c>
      <x:c r="AI127" s="18" t="str">
        <x:v>Table 2 gives 72/198; Results prose gives 79/196. Preserve Table 2 here and flag conflict rather than silently reconcile</x:v>
      </x:c>
      <x:c r="AJ127" s="18" t="str">
        <x:v>Table 2 / primary 6-month chronic pain</x:v>
      </x:c>
      <x:c r="AK127" s="18" t="str">
        <x:v>https://drive.google.com/file/d/1MgD_OucfiyNEDdDe3osh8W01U1yYZs08/view?usp=drivesdk</x:v>
      </x:c>
      <x:c r="AL127" s="18" t="str">
        <x:v>SOURCE-VERIFIED / DENOMINATOR CONFLICT</x:v>
      </x:c>
      <x:c r="AM127" s="18"/>
      <x:c r="AN127" s="18"/>
      <x:c r="AO127" s="18"/>
      <x:c r="AP127" s="18"/>
      <x:c r="AQ127" s="18" t="n">
        <x:v>0</x:v>
      </x:c>
      <x:c r="AR127" s="18" t="n">
        <x:v>0</x:v>
      </x:c>
      <x:c r="AS127" s="18"/>
      <x:c r="AT127" s="18"/>
      <x:c r="AU127" s="18"/>
      <x:c r="AV127" s="18"/>
    </x:row>
    <x:row r="128">
      <x:c r="A128" s="18" t="str">
        <x:v>Lu 2021</x:v>
      </x:c>
      <x:c r="B128" s="18" t="str">
        <x:v>LU21_COMB_vs_SHAM_REMI</x:v>
      </x:c>
      <x:c r="C128" s="18" t="str">
        <x:v>Combined PC6+CV17 TEAS</x:v>
      </x:c>
      <x:c r="D128" s="18" t="str">
        <x:v>Sham/no current</x:v>
      </x:c>
      <x:c r="E128" s="18" t="str">
        <x:v>Intraoperative opioid</x:v>
      </x:c>
      <x:c r="F128" s="18" t="str">
        <x:v>Total remifentanil</x:v>
      </x:c>
      <x:c r="G128" s="18" t="str">
        <x:v>Intraoperative</x:v>
      </x:c>
      <x:c r="H128" s="18" t="str">
        <x:v>Mean/SD</x:v>
      </x:c>
      <x:c r="I128" s="18" t="n">
        <x:v>190</x:v>
      </x:c>
      <x:c r="J128" s="18" t="n">
        <x:v>188</x:v>
      </x:c>
      <x:c r="K128" s="18" t="n">
        <x:v>190</x:v>
      </x:c>
      <x:c r="L128" s="18" t="n">
        <x:v>188</x:v>
      </x:c>
      <x:c r="M128" s="18" t="n">
        <x:v>1.2</x:v>
      </x:c>
      <x:c r="N128" s="18" t="n">
        <x:v>0.5</x:v>
      </x:c>
      <x:c r="O128" s="18"/>
      <x:c r="P128" s="18"/>
      <x:c r="Q128" s="18"/>
      <x:c r="R128" s="18"/>
      <x:c r="S128" s="18" t="n">
        <x:v>1.4</x:v>
      </x:c>
      <x:c r="T128" s="18" t="n">
        <x:v>0.7</x:v>
      </x:c>
      <x:c r="U128" s="18"/>
      <x:c r="V128" s="18"/>
      <x:c r="W128" s="18"/>
      <x:c r="X128" s="18"/>
      <x:c r="Y128" s="18" t="str">
        <x:v>mg remifentanil</x:v>
      </x:c>
      <x:c r="Z128" s="18" t="str">
        <x:v>P&lt;0.001 combined vs sham</x:v>
      </x:c>
      <x:c r="AA128" s="18" t="str">
        <x:v>Yes</x:v>
      </x:c>
      <x:c r="AB128" s="18" t="str">
        <x:v>No</x:v>
      </x:c>
      <x:c r="AC128" s="18" t="str">
        <x:v>MD</x:v>
      </x:c>
      <x:c r="AD128" s="18" t="n">
        <x:v>-0.19999999999999996</x:v>
      </x:c>
      <x:c r="AE128" s="18" t="str">
        <x:v>No</x:v>
      </x:c>
      <x:c r="AF128" s="18" t="str">
        <x:v>No</x:v>
      </x:c>
      <x:c r="AG128" s="18" t="str">
        <x:v>Eligible for intraoperative opioid-sparing analysis</x:v>
      </x:c>
      <x:c r="AH128" s="18" t="str">
        <x:v>Yes</x:v>
      </x:c>
      <x:c r="AI128" s="18" t="str">
        <x:v>Three-arm trial; sham is a shared comparator</x:v>
      </x:c>
      <x:c r="AJ128" s="18" t="str">
        <x:v>Table 3 / intraoperative remifentanil</x:v>
      </x:c>
      <x:c r="AK128" s="18" t="str">
        <x:v>https://drive.google.com/file/d/1MgD_OucfiyNEDdDe3osh8W01U1yYZs08/view?usp=drivesdk</x:v>
      </x:c>
      <x:c r="AL128" s="18" t="str">
        <x:v>SOURCE-VERIFIED</x:v>
      </x:c>
      <x:c r="AM128" s="18" t="str">
        <x:v>F-intra-008</x:v>
      </x:c>
      <x:c r="AN128" s="18" t="str">
        <x:v>F-intra</x:v>
      </x:c>
      <x:c r="AO128" s="18" t="str">
        <x:v>F_intraop_titrated_requirement</x:v>
      </x:c>
      <x:c r="AP128" s="18" t="str">
        <x:v>MATCHED</x:v>
      </x:c>
      <x:c r="AQ128" s="18" t="n">
        <x:v>1</x:v>
      </x:c>
      <x:c r="AR128" s="18" t="n">
        <x:v>0</x:v>
      </x:c>
      <x:c r="AS128" s="18" t="str">
        <x:v>Some concerns</x:v>
      </x:c>
      <x:c r="AT128" s="18" t="str">
        <x:v>P1</x:v>
      </x:c>
      <x:c r="AU128" s="18"/>
      <x:c r="AV128" s="18" t="str">
        <x:v>1.2±0.5 vs1.4±0.7 mg; MD −0.20 mg; P&lt;0.001</x:v>
      </x:c>
    </x:row>
    <x:row r="129">
      <x:c r="A129" s="18" t="str">
        <x:v>Lu 2021</x:v>
      </x:c>
      <x:c r="B129" s="18" t="str">
        <x:v>LU21_SINGLE_vs_SHAM_REMI</x:v>
      </x:c>
      <x:c r="C129" s="18" t="str">
        <x:v>Single PC6 TEAS</x:v>
      </x:c>
      <x:c r="D129" s="18" t="str">
        <x:v>Sham/no current</x:v>
      </x:c>
      <x:c r="E129" s="18" t="str">
        <x:v>Intraoperative opioid</x:v>
      </x:c>
      <x:c r="F129" s="18" t="str">
        <x:v>Total remifentanil</x:v>
      </x:c>
      <x:c r="G129" s="18" t="str">
        <x:v>Intraoperative</x:v>
      </x:c>
      <x:c r="H129" s="18" t="str">
        <x:v>Mean/SD</x:v>
      </x:c>
      <x:c r="I129" s="18" t="n">
        <x:v>198</x:v>
      </x:c>
      <x:c r="J129" s="18" t="n">
        <x:v>188</x:v>
      </x:c>
      <x:c r="K129" s="18" t="n">
        <x:v>198</x:v>
      </x:c>
      <x:c r="L129" s="18" t="n">
        <x:v>188</x:v>
      </x:c>
      <x:c r="M129" s="18" t="n">
        <x:v>1.3</x:v>
      </x:c>
      <x:c r="N129" s="18" t="n">
        <x:v>0.6</x:v>
      </x:c>
      <x:c r="O129" s="18"/>
      <x:c r="P129" s="18"/>
      <x:c r="Q129" s="18"/>
      <x:c r="R129" s="18"/>
      <x:c r="S129" s="18" t="n">
        <x:v>1.4</x:v>
      </x:c>
      <x:c r="T129" s="18" t="n">
        <x:v>0.7</x:v>
      </x:c>
      <x:c r="U129" s="18"/>
      <x:c r="V129" s="18"/>
      <x:c r="W129" s="18"/>
      <x:c r="X129" s="18"/>
      <x:c r="Y129" s="18" t="str">
        <x:v>mg remifentanil</x:v>
      </x:c>
      <x:c r="Z129" s="18" t="str">
        <x:v>P=0.04 single vs sham; not significant after Bonferroni alpha 0.0125</x:v>
      </x:c>
      <x:c r="AA129" s="18" t="str">
        <x:v>Yes</x:v>
      </x:c>
      <x:c r="AB129" s="18" t="str">
        <x:v>No</x:v>
      </x:c>
      <x:c r="AC129" s="18" t="str">
        <x:v>MD</x:v>
      </x:c>
      <x:c r="AD129" s="18" t="n">
        <x:v>-0.09999999999999987</x:v>
      </x:c>
      <x:c r="AE129" s="18" t="str">
        <x:v>No</x:v>
      </x:c>
      <x:c r="AF129" s="18" t="str">
        <x:v>No</x:v>
      </x:c>
      <x:c r="AG129" s="18" t="str">
        <x:v>Eligible for intraoperative opioid analysis with multiplicity-aware interpretation</x:v>
      </x:c>
      <x:c r="AH129" s="18" t="str">
        <x:v>Yes</x:v>
      </x:c>
      <x:c r="AI129" s="18" t="str">
        <x:v>Three-arm trial; do not describe P=0.04 as multiplicity-adjusted significant</x:v>
      </x:c>
      <x:c r="AJ129" s="18" t="str">
        <x:v>Table 3 / intraoperative remifentanil</x:v>
      </x:c>
      <x:c r="AK129" s="18" t="str">
        <x:v>https://drive.google.com/file/d/1MgD_OucfiyNEDdDe3osh8W01U1yYZs08/view?usp=drivesdk</x:v>
      </x:c>
      <x:c r="AL129" s="18" t="str">
        <x:v>SOURCE-VERIFIED</x:v>
      </x:c>
      <x:c r="AM129" s="18"/>
      <x:c r="AN129" s="18"/>
      <x:c r="AO129" s="18"/>
      <x:c r="AP129" s="18"/>
      <x:c r="AQ129" s="18" t="n">
        <x:v>0</x:v>
      </x:c>
      <x:c r="AR129" s="18" t="n">
        <x:v>0</x:v>
      </x:c>
      <x:c r="AS129" s="18"/>
      <x:c r="AT129" s="18"/>
      <x:c r="AU129" s="18"/>
      <x:c r="AV129" s="18"/>
    </x:row>
    <x:row r="130">
      <x:c r="A130" s="18" t="str">
        <x:v>Lu 2021</x:v>
      </x:c>
      <x:c r="B130" s="18" t="str">
        <x:v>LU21_COMB_vs_SHAM_PONV24</x:v>
      </x:c>
      <x:c r="C130" s="18" t="str">
        <x:v>Combined PC6+CV17 TEAS</x:v>
      </x:c>
      <x:c r="D130" s="18" t="str">
        <x:v>Sham/no current</x:v>
      </x:c>
      <x:c r="E130" s="18" t="str">
        <x:v>PONV</x:v>
      </x:c>
      <x:c r="F130" s="18" t="str">
        <x:v>Any PONV</x:v>
      </x:c>
      <x:c r="G130" s="18" t="str">
        <x:v>24 h</x:v>
      </x:c>
      <x:c r="H130" s="18" t="str">
        <x:v>Events/total</x:v>
      </x:c>
      <x:c r="I130" s="18" t="n">
        <x:v>190</x:v>
      </x:c>
      <x:c r="J130" s="18" t="n">
        <x:v>188</x:v>
      </x:c>
      <x:c r="K130" s="18" t="n">
        <x:v>190</x:v>
      </x:c>
      <x:c r="L130" s="18" t="n">
        <x:v>188</x:v>
      </x:c>
      <x:c r="M130" s="18"/>
      <x:c r="N130" s="18"/>
      <x:c r="O130" s="18"/>
      <x:c r="P130" s="18"/>
      <x:c r="Q130" s="18"/>
      <x:c r="R130" s="18" t="n">
        <x:v>35</x:v>
      </x:c>
      <x:c r="S130" s="18"/>
      <x:c r="T130" s="18"/>
      <x:c r="U130" s="18"/>
      <x:c r="V130" s="18"/>
      <x:c r="W130" s="18"/>
      <x:c r="X130" s="18" t="n">
        <x:v>68</x:v>
      </x:c>
      <x:c r="Y130" s="18" t="str">
        <x:v>participants</x:v>
      </x:c>
      <x:c r="Z130" s="18" t="str">
        <x:v>Overall P=0.0001</x:v>
      </x:c>
      <x:c r="AA130" s="18" t="str">
        <x:v>Yes</x:v>
      </x:c>
      <x:c r="AB130" s="18" t="str">
        <x:v>No</x:v>
      </x:c>
      <x:c r="AC130" s="18" t="str">
        <x:v>RR</x:v>
      </x:c>
      <x:c r="AD130" s="18" t="n">
        <x:v>0.5092879256965943</x:v>
      </x:c>
      <x:c r="AE130" s="18" t="str">
        <x:v>No</x:v>
      </x:c>
      <x:c r="AF130" s="18" t="str">
        <x:v>No</x:v>
      </x:c>
      <x:c r="AG130" s="18" t="str">
        <x:v>Eligible for dichotomous 24-h PONV analysis</x:v>
      </x:c>
      <x:c r="AH130" s="18" t="str">
        <x:v>Yes</x:v>
      </x:c>
      <x:c r="AI130" s="18" t="str">
        <x:v>Use raw event counts; three-arm shared sham comparator</x:v>
      </x:c>
      <x:c r="AJ130" s="18" t="str">
        <x:v>24-h PONV table</x:v>
      </x:c>
      <x:c r="AK130" s="18" t="str">
        <x:v>https://drive.google.com/file/d/1MgD_OucfiyNEDdDe3osh8W01U1yYZs08/view?usp=drivesdk</x:v>
      </x:c>
      <x:c r="AL130" s="18" t="str">
        <x:v>SOURCE-VERIFIED</x:v>
      </x:c>
      <x:c r="AM130" s="18" t="str">
        <x:v>D-002</x:v>
      </x:c>
      <x:c r="AN130" s="18" t="str">
        <x:v>D</x:v>
      </x:c>
      <x:c r="AO130" s="18" t="str">
        <x:v>D_PONV_0-24h</x:v>
      </x:c>
      <x:c r="AP130" s="18" t="str">
        <x:v>MATCHED</x:v>
      </x:c>
      <x:c r="AQ130" s="18" t="n">
        <x:v>1</x:v>
      </x:c>
      <x:c r="AR130" s="18" t="n">
        <x:v>0</x:v>
      </x:c>
      <x:c r="AS130" s="18" t="str">
        <x:v>High</x:v>
      </x:c>
      <x:c r="AT130" s="18" t="str">
        <x:v>P1</x:v>
      </x:c>
      <x:c r="AU130" s="18"/>
      <x:c r="AV130" s="18" t="str">
        <x:v>35/190 vs 68/188</x:v>
      </x:c>
    </x:row>
    <x:row r="131">
      <x:c r="A131" s="18" t="str">
        <x:v>Lu 2021</x:v>
      </x:c>
      <x:c r="B131" s="18" t="str">
        <x:v>LU21_SINGLE_vs_SHAM_PONV24</x:v>
      </x:c>
      <x:c r="C131" s="18" t="str">
        <x:v>Single PC6 TEAS</x:v>
      </x:c>
      <x:c r="D131" s="18" t="str">
        <x:v>Sham/no current</x:v>
      </x:c>
      <x:c r="E131" s="18" t="str">
        <x:v>PONV</x:v>
      </x:c>
      <x:c r="F131" s="18" t="str">
        <x:v>Any PONV</x:v>
      </x:c>
      <x:c r="G131" s="18" t="str">
        <x:v>24 h</x:v>
      </x:c>
      <x:c r="H131" s="18" t="str">
        <x:v>Events/total</x:v>
      </x:c>
      <x:c r="I131" s="18" t="n">
        <x:v>198</x:v>
      </x:c>
      <x:c r="J131" s="18" t="n">
        <x:v>188</x:v>
      </x:c>
      <x:c r="K131" s="18" t="n">
        <x:v>198</x:v>
      </x:c>
      <x:c r="L131" s="18" t="n">
        <x:v>188</x:v>
      </x:c>
      <x:c r="M131" s="18"/>
      <x:c r="N131" s="18"/>
      <x:c r="O131" s="18"/>
      <x:c r="P131" s="18"/>
      <x:c r="Q131" s="18"/>
      <x:c r="R131" s="18" t="n">
        <x:v>59</x:v>
      </x:c>
      <x:c r="S131" s="18"/>
      <x:c r="T131" s="18"/>
      <x:c r="U131" s="18"/>
      <x:c r="V131" s="18"/>
      <x:c r="W131" s="18"/>
      <x:c r="X131" s="18" t="n">
        <x:v>68</x:v>
      </x:c>
      <x:c r="Y131" s="18" t="str">
        <x:v>participants</x:v>
      </x:c>
      <x:c r="Z131" s="18" t="str">
        <x:v>Overall P=0.0001</x:v>
      </x:c>
      <x:c r="AA131" s="18" t="str">
        <x:v>Yes</x:v>
      </x:c>
      <x:c r="AB131" s="18" t="str">
        <x:v>No</x:v>
      </x:c>
      <x:c r="AC131" s="18" t="str">
        <x:v>RR</x:v>
      </x:c>
      <x:c r="AD131" s="18" t="n">
        <x:v>0.8238265002970884</x:v>
      </x:c>
      <x:c r="AE131" s="18" t="str">
        <x:v>No</x:v>
      </x:c>
      <x:c r="AF131" s="18" t="str">
        <x:v>No</x:v>
      </x:c>
      <x:c r="AG131" s="18" t="str">
        <x:v>Eligible for dichotomous 24-h PONV analysis with multi-arm adjustment</x:v>
      </x:c>
      <x:c r="AH131" s="18" t="str">
        <x:v>Yes</x:v>
      </x:c>
      <x:c r="AI131" s="18" t="str">
        <x:v>Overall P is three-group; pairwise significance should not be inferred unless directly reported</x:v>
      </x:c>
      <x:c r="AJ131" s="18" t="str">
        <x:v>24-h PONV table</x:v>
      </x:c>
      <x:c r="AK131" s="18" t="str">
        <x:v>https://drive.google.com/file/d/1MgD_OucfiyNEDdDe3osh8W01U1yYZs08/view?usp=drivesdk</x:v>
      </x:c>
      <x:c r="AL131" s="18" t="str">
        <x:v>SOURCE-VERIFIED</x:v>
      </x:c>
      <x:c r="AM131" s="18"/>
      <x:c r="AN131" s="18"/>
      <x:c r="AO131" s="18"/>
      <x:c r="AP131" s="18"/>
      <x:c r="AQ131" s="18" t="n">
        <x:v>0</x:v>
      </x:c>
      <x:c r="AR131" s="18" t="n">
        <x:v>0</x:v>
      </x:c>
      <x:c r="AS131" s="18"/>
      <x:c r="AT131" s="18"/>
      <x:c r="AU131" s="18"/>
      <x:c r="AV131" s="18"/>
    </x:row>
    <x:row r="132">
      <x:c r="A132" s="18" t="str">
        <x:v>Lu 2021</x:v>
      </x:c>
      <x:c r="B132" s="18" t="str">
        <x:v>LU21_POSTOP_OPIOID24</x:v>
      </x:c>
      <x:c r="C132" s="18" t="str">
        <x:v>TEAS arms</x:v>
      </x:c>
      <x:c r="D132" s="18" t="str">
        <x:v>Sham/no current</x:v>
      </x:c>
      <x:c r="E132" s="18" t="str">
        <x:v>Opioid consumption</x:v>
      </x:c>
      <x:c r="F132" s="18" t="str">
        <x:v>Cumulative postoperative sufentanil PCA consumption</x:v>
      </x:c>
      <x:c r="G132" s="18" t="str">
        <x:v>0-24 h</x:v>
      </x:c>
      <x:c r="H132" s="18" t="str">
        <x:v>Not reported</x:v>
      </x:c>
      <x:c r="I132" s="18"/>
      <x:c r="J132" s="18"/>
      <x:c r="K132" s="18"/>
      <x:c r="L132" s="18"/>
      <x:c r="M132" s="18"/>
      <x:c r="N132" s="18"/>
      <x:c r="O132" s="18"/>
      <x:c r="P132" s="18"/>
      <x:c r="Q132" s="18"/>
      <x:c r="R132" s="18"/>
      <x:c r="S132" s="18"/>
      <x:c r="T132" s="18"/>
      <x:c r="U132" s="18"/>
      <x:c r="V132" s="18"/>
      <x:c r="W132" s="18"/>
      <x:c r="X132" s="18"/>
      <x:c r="Y132" s="18" t="str">
        <x:v>µg sufentanil</x:v>
      </x:c>
      <x:c r="Z132" s="18"/>
      <x:c r="AA132" s="18" t="str">
        <x:v>No</x:v>
      </x:c>
      <x:c r="AB132" s="18" t="str">
        <x:v>No</x:v>
      </x:c>
      <x:c r="AC132" s="18" t="str"/>
      <x:c r="AD132" s="18" t="str"/>
      <x:c r="AE132" s="18" t="str">
        <x:v>No</x:v>
      </x:c>
      <x:c r="AF132" s="18" t="str">
        <x:v>No</x:v>
      </x:c>
      <x:c r="AG132" s="18" t="str">
        <x:v>Not eligible for continuous 24-h postoperative opioid meta-analysis</x:v>
      </x:c>
      <x:c r="AH132" s="18" t="str">
        <x:v>Yes</x:v>
      </x:c>
      <x:c r="AI132" s="18" t="str">
        <x:v>PCA opioid is sufentanil but prescription and cumulative 24-h consumption are not reported</x:v>
      </x:c>
      <x:c r="AJ132" s="18" t="str">
        <x:v>Postoperative PCA section</x:v>
      </x:c>
      <x:c r="AK132" s="18" t="str">
        <x:v>https://drive.google.com/file/d/1MgD_OucfiyNEDdDe3osh8W01U1yYZs08/view?usp=drivesdk</x:v>
      </x:c>
      <x:c r="AL132" s="18" t="str">
        <x:v>MISSING / AUTHOR DATA NEEDED</x:v>
      </x:c>
      <x:c r="AM132" s="18"/>
      <x:c r="AN132" s="18"/>
      <x:c r="AO132" s="18"/>
      <x:c r="AP132" s="18"/>
      <x:c r="AQ132" s="18" t="n">
        <x:v>0</x:v>
      </x:c>
      <x:c r="AR132" s="18" t="n">
        <x:v>0</x:v>
      </x:c>
      <x:c r="AS132" s="18"/>
      <x:c r="AT132" s="18"/>
      <x:c r="AU132" s="18"/>
      <x:c r="AV132" s="18"/>
    </x:row>
    <x:row r="133">
      <x:c r="A133" s="18" t="str">
        <x:v>Lu 2022</x:v>
      </x:c>
      <x:c r="B133" s="18" t="str">
        <x:v>LU22_TEAS_vs_CTRL_DISCHARGE</x:v>
      </x:c>
      <x:c r="C133" s="18" t="str">
        <x:v>TEAS + ERAS</x:v>
      </x:c>
      <x:c r="D133" s="18" t="str">
        <x:v>No-current control + ERAS</x:v>
      </x:c>
      <x:c r="E133" s="18" t="str">
        <x:v>Recovery</x:v>
      </x:c>
      <x:c r="F133" s="18" t="str">
        <x:v>Time to meet discharge criteria</x:v>
      </x:c>
      <x:c r="G133" s="18" t="str">
        <x:v>Postoperative</x:v>
      </x:c>
      <x:c r="H133" s="18" t="str">
        <x:v>Mean/SD</x:v>
      </x:c>
      <x:c r="I133" s="18" t="n">
        <x:v>50</x:v>
      </x:c>
      <x:c r="J133" s="18" t="n">
        <x:v>50</x:v>
      </x:c>
      <x:c r="K133" s="18" t="n">
        <x:v>47</x:v>
      </x:c>
      <x:c r="L133" s="18" t="n">
        <x:v>47</x:v>
      </x:c>
      <x:c r="M133" s="18" t="n">
        <x:v>6</x:v>
      </x:c>
      <x:c r="N133" s="18" t="n">
        <x:v>1.8</x:v>
      </x:c>
      <x:c r="O133" s="18"/>
      <x:c r="P133" s="18"/>
      <x:c r="Q133" s="18"/>
      <x:c r="R133" s="18"/>
      <x:c r="S133" s="18" t="n">
        <x:v>7</x:v>
      </x:c>
      <x:c r="T133" s="18" t="n">
        <x:v>2.4</x:v>
      </x:c>
      <x:c r="U133" s="18"/>
      <x:c r="V133" s="18"/>
      <x:c r="W133" s="18"/>
      <x:c r="X133" s="18"/>
      <x:c r="Y133" s="18" t="str">
        <x:v>days</x:v>
      </x:c>
      <x:c r="Z133" s="18" t="str">
        <x:v>0.02</x:v>
      </x:c>
      <x:c r="AA133" s="18" t="str">
        <x:v>Yes</x:v>
      </x:c>
      <x:c r="AB133" s="18" t="str">
        <x:v>No</x:v>
      </x:c>
      <x:c r="AC133" s="18" t="str">
        <x:v>MD</x:v>
      </x:c>
      <x:c r="AD133" s="18" t="n">
        <x:v>-1</x:v>
      </x:c>
      <x:c r="AE133" s="18" t="str">
        <x:v>No</x:v>
      </x:c>
      <x:c r="AF133" s="18" t="str">
        <x:v>No</x:v>
      </x:c>
      <x:c r="AG133" s="18" t="str">
        <x:v>Eligible for recovery-time meta-analysis</x:v>
      </x:c>
      <x:c r="AH133" s="18" t="str">
        <x:v>No</x:v>
      </x:c>
      <x:c r="AI133" s="18" t="str">
        <x:v>Six randomized patients were excluded because they did not receive allocated intervention; open conversion is plausibly related to discharge time</x:v>
      </x:c>
      <x:c r="AJ133" s="18" t="str">
        <x:v>Primary outcome / time to discharge</x:v>
      </x:c>
      <x:c r="AK133" s="18" t="str">
        <x:v>https://drive.google.com/file/d/12Y86huNMuLC8cPH-L2vwlEd7r1X1Qela/view?usp=drivesdk</x:v>
      </x:c>
      <x:c r="AL133" s="18" t="str">
        <x:v>SOURCE-VERIFIED / ATTRITION QC</x:v>
      </x:c>
      <x:c r="AM133" s="18"/>
      <x:c r="AN133" s="18"/>
      <x:c r="AO133" s="18"/>
      <x:c r="AP133" s="18"/>
      <x:c r="AQ133" s="18" t="n">
        <x:v>0</x:v>
      </x:c>
      <x:c r="AR133" s="18" t="n">
        <x:v>0</x:v>
      </x:c>
      <x:c r="AS133" s="18"/>
      <x:c r="AT133" s="18"/>
      <x:c r="AU133" s="18"/>
      <x:c r="AV133" s="18"/>
    </x:row>
    <x:row r="134">
      <x:c r="A134" s="18" t="str">
        <x:v>Lu 2022</x:v>
      </x:c>
      <x:c r="B134" s="18" t="str">
        <x:v>LU22_TEAS_vs_CTRL_FLATUS</x:v>
      </x:c>
      <x:c r="C134" s="18" t="str">
        <x:v>TEAS + ERAS</x:v>
      </x:c>
      <x:c r="D134" s="18" t="str">
        <x:v>No-current control + ERAS</x:v>
      </x:c>
      <x:c r="E134" s="18" t="str">
        <x:v>GI recovery</x:v>
      </x:c>
      <x:c r="F134" s="18" t="str">
        <x:v>Time to first flatus</x:v>
      </x:c>
      <x:c r="G134" s="18" t="str">
        <x:v>Postoperative</x:v>
      </x:c>
      <x:c r="H134" s="18" t="str">
        <x:v>Mean/SD</x:v>
      </x:c>
      <x:c r="I134" s="18" t="n">
        <x:v>50</x:v>
      </x:c>
      <x:c r="J134" s="18" t="n">
        <x:v>50</x:v>
      </x:c>
      <x:c r="K134" s="18" t="n">
        <x:v>47</x:v>
      </x:c>
      <x:c r="L134" s="18" t="n">
        <x:v>47</x:v>
      </x:c>
      <x:c r="M134" s="18" t="n">
        <x:v>34.5</x:v>
      </x:c>
      <x:c r="N134" s="18" t="n">
        <x:v>16.7</x:v>
      </x:c>
      <x:c r="O134" s="18"/>
      <x:c r="P134" s="18"/>
      <x:c r="Q134" s="18"/>
      <x:c r="R134" s="18"/>
      <x:c r="S134" s="18" t="n">
        <x:v>42.4</x:v>
      </x:c>
      <x:c r="T134" s="18" t="n">
        <x:v>22.9</x:v>
      </x:c>
      <x:c r="U134" s="18"/>
      <x:c r="V134" s="18"/>
      <x:c r="W134" s="18"/>
      <x:c r="X134" s="18"/>
      <x:c r="Y134" s="18" t="str">
        <x:v>hours</x:v>
      </x:c>
      <x:c r="Z134" s="18" t="str">
        <x:v>0.03</x:v>
      </x:c>
      <x:c r="AA134" s="18" t="str">
        <x:v>Yes</x:v>
      </x:c>
      <x:c r="AB134" s="18" t="str">
        <x:v>No</x:v>
      </x:c>
      <x:c r="AC134" s="18" t="str">
        <x:v>MD</x:v>
      </x:c>
      <x:c r="AD134" s="18" t="n">
        <x:v>-7.899999999999999</x:v>
      </x:c>
      <x:c r="AE134" s="18" t="str">
        <x:v>No</x:v>
      </x:c>
      <x:c r="AF134" s="18" t="str">
        <x:v>No</x:v>
      </x:c>
      <x:c r="AG134" s="18" t="str">
        <x:v>Eligible for GI-recovery meta-analysis</x:v>
      </x:c>
      <x:c r="AH134" s="18" t="str">
        <x:v>No</x:v>
      </x:c>
      <x:c r="AI134" s="18" t="str">
        <x:v>Same 6 post-randomization exclusions apply</x:v>
      </x:c>
      <x:c r="AJ134" s="18" t="str">
        <x:v>First flatus result</x:v>
      </x:c>
      <x:c r="AK134" s="18" t="str">
        <x:v>https://drive.google.com/file/d/12Y86huNMuLC8cPH-L2vwlEd7r1X1Qela/view?usp=drivesdk</x:v>
      </x:c>
      <x:c r="AL134" s="18" t="str">
        <x:v>SOURCE-VERIFIED / ATTRITION QC</x:v>
      </x:c>
      <x:c r="AM134" s="18" t="str">
        <x:v>E-006</x:v>
      </x:c>
      <x:c r="AN134" s="18" t="str">
        <x:v>E</x:v>
      </x:c>
      <x:c r="AO134" s="18" t="str">
        <x:v>E_time_to_first_flatus</x:v>
      </x:c>
      <x:c r="AP134" s="18" t="str">
        <x:v>MATCHED</x:v>
      </x:c>
      <x:c r="AQ134" s="18" t="n">
        <x:v>1</x:v>
      </x:c>
      <x:c r="AR134" s="18" t="n">
        <x:v>0</x:v>
      </x:c>
      <x:c r="AS134" s="18" t="str">
        <x:v>Some concerns</x:v>
      </x:c>
      <x:c r="AT134" s="18" t="str">
        <x:v>P2</x:v>
      </x:c>
      <x:c r="AU134" s="18"/>
      <x:c r="AV134" s="18" t="str">
        <x:v>34.5±16.7 vs 42.4±22.9 h</x:v>
      </x:c>
    </x:row>
    <x:row r="135">
      <x:c r="A135" s="18" t="str">
        <x:v>Lu 2022</x:v>
      </x:c>
      <x:c r="B135" s="18" t="str">
        <x:v>LU22_TEAS_vs_CTRL_DEFEC</x:v>
      </x:c>
      <x:c r="C135" s="18" t="str">
        <x:v>TEAS + ERAS</x:v>
      </x:c>
      <x:c r="D135" s="18" t="str">
        <x:v>No-current control + ERAS</x:v>
      </x:c>
      <x:c r="E135" s="18" t="str">
        <x:v>GI recovery</x:v>
      </x:c>
      <x:c r="F135" s="18" t="str">
        <x:v>Time to first defecation</x:v>
      </x:c>
      <x:c r="G135" s="18" t="str">
        <x:v>Postoperative</x:v>
      </x:c>
      <x:c r="H135" s="18" t="str">
        <x:v>Mean/SD</x:v>
      </x:c>
      <x:c r="I135" s="18" t="n">
        <x:v>50</x:v>
      </x:c>
      <x:c r="J135" s="18" t="n">
        <x:v>50</x:v>
      </x:c>
      <x:c r="K135" s="18" t="n">
        <x:v>47</x:v>
      </x:c>
      <x:c r="L135" s="18" t="n">
        <x:v>47</x:v>
      </x:c>
      <x:c r="M135" s="18" t="n">
        <x:v>42</x:v>
      </x:c>
      <x:c r="N135" s="18" t="n">
        <x:v>25</x:v>
      </x:c>
      <x:c r="O135" s="18"/>
      <x:c r="P135" s="18"/>
      <x:c r="Q135" s="18"/>
      <x:c r="R135" s="18"/>
      <x:c r="S135" s="18" t="n">
        <x:v>55.4</x:v>
      </x:c>
      <x:c r="T135" s="18" t="n">
        <x:v>29.7</x:v>
      </x:c>
      <x:c r="U135" s="18"/>
      <x:c r="V135" s="18"/>
      <x:c r="W135" s="18"/>
      <x:c r="X135" s="18"/>
      <x:c r="Y135" s="18" t="str">
        <x:v>hours</x:v>
      </x:c>
      <x:c r="Z135" s="18" t="str">
        <x:v>0.03</x:v>
      </x:c>
      <x:c r="AA135" s="18" t="str">
        <x:v>Yes</x:v>
      </x:c>
      <x:c r="AB135" s="18" t="str">
        <x:v>No</x:v>
      </x:c>
      <x:c r="AC135" s="18" t="str">
        <x:v>MD</x:v>
      </x:c>
      <x:c r="AD135" s="18" t="n">
        <x:v>-13.399999999999999</x:v>
      </x:c>
      <x:c r="AE135" s="18" t="str">
        <x:v>No</x:v>
      </x:c>
      <x:c r="AF135" s="18" t="str">
        <x:v>No</x:v>
      </x:c>
      <x:c r="AG135" s="18" t="str">
        <x:v>Eligible for GI-recovery meta-analysis</x:v>
      </x:c>
      <x:c r="AH135" s="18" t="str">
        <x:v>No</x:v>
      </x:c>
      <x:c r="AI135" s="18" t="str">
        <x:v>Same 6 post-randomization exclusions apply</x:v>
      </x:c>
      <x:c r="AJ135" s="18" t="str">
        <x:v>First defecation result</x:v>
      </x:c>
      <x:c r="AK135" s="18" t="str">
        <x:v>https://drive.google.com/file/d/12Y86huNMuLC8cPH-L2vwlEd7r1X1Qela/view?usp=drivesdk</x:v>
      </x:c>
      <x:c r="AL135" s="18" t="str">
        <x:v>SOURCE-VERIFIED / ATTRITION QC</x:v>
      </x:c>
      <x:c r="AM135" s="18"/>
      <x:c r="AN135" s="18"/>
      <x:c r="AO135" s="18"/>
      <x:c r="AP135" s="18"/>
      <x:c r="AQ135" s="18" t="n">
        <x:v>0</x:v>
      </x:c>
      <x:c r="AR135" s="18" t="n">
        <x:v>0</x:v>
      </x:c>
      <x:c r="AS135" s="18"/>
      <x:c r="AT135" s="18"/>
      <x:c r="AU135" s="18"/>
      <x:c r="AV135" s="18"/>
    </x:row>
    <x:row r="136">
      <x:c r="A136" s="18" t="str">
        <x:v>Lu 2022</x:v>
      </x:c>
      <x:c r="B136" s="18" t="str">
        <x:v>LU22_TEAS_vs_CTRL_PCAATTEMPT24</x:v>
      </x:c>
      <x:c r="C136" s="18" t="str">
        <x:v>TEAS + ERAS</x:v>
      </x:c>
      <x:c r="D136" s="18" t="str">
        <x:v>No-current control + ERAS</x:v>
      </x:c>
      <x:c r="E136" s="18" t="str">
        <x:v>Opioid demand</x:v>
      </x:c>
      <x:c r="F136" s="18" t="str">
        <x:v>PCA attempts</x:v>
      </x:c>
      <x:c r="G136" s="18" t="str">
        <x:v>24 h</x:v>
      </x:c>
      <x:c r="H136" s="18" t="str">
        <x:v>Median/IQR</x:v>
      </x:c>
      <x:c r="I136" s="18" t="n">
        <x:v>50</x:v>
      </x:c>
      <x:c r="J136" s="18" t="n">
        <x:v>50</x:v>
      </x:c>
      <x:c r="K136" s="18" t="n">
        <x:v>47</x:v>
      </x:c>
      <x:c r="L136" s="18" t="n">
        <x:v>47</x:v>
      </x:c>
      <x:c r="M136" s="18"/>
      <x:c r="N136" s="18"/>
      <x:c r="O136" s="18" t="n">
        <x:v>8</x:v>
      </x:c>
      <x:c r="P136" s="18" t="n">
        <x:v>3</x:v>
      </x:c>
      <x:c r="Q136" s="18" t="n">
        <x:v>18</x:v>
      </x:c>
      <x:c r="R136" s="18"/>
      <x:c r="S136" s="18"/>
      <x:c r="T136" s="18"/>
      <x:c r="U136" s="18" t="n">
        <x:v>16.5</x:v>
      </x:c>
      <x:c r="V136" s="18" t="n">
        <x:v>8</x:v>
      </x:c>
      <x:c r="W136" s="18" t="n">
        <x:v>38</x:v>
      </x:c>
      <x:c r="X136" s="18"/>
      <x:c r="Y136" s="18" t="str">
        <x:v>attempts</x:v>
      </x:c>
      <x:c r="Z136" s="18" t="str">
        <x:v>0.001</x:v>
      </x:c>
      <x:c r="AA136" s="18" t="str">
        <x:v>Yes</x:v>
      </x:c>
      <x:c r="AB136" s="18" t="str">
        <x:v>No</x:v>
      </x:c>
      <x:c r="AC136" s="18" t="str"/>
      <x:c r="AD136" s="18" t="str"/>
      <x:c r="AE136" s="18" t="str">
        <x:v>No</x:v>
      </x:c>
      <x:c r="AF136" s="18" t="str">
        <x:v>No</x:v>
      </x:c>
      <x:c r="AG136" s="18" t="str">
        <x:v>Eligible as 24-h PCA-demand proxy only</x:v>
      </x:c>
      <x:c r="AH136" s="18" t="str">
        <x:v>No</x:v>
      </x:c>
      <x:c r="AI136" s="18" t="str">
        <x:v>PCA drug, bolus dose, concentration, basal infusion and lockout are not reported</x:v>
      </x:c>
      <x:c r="AJ136" s="18" t="str">
        <x:v>PCA table / 24-h attempts</x:v>
      </x:c>
      <x:c r="AK136" s="18" t="str">
        <x:v>https://drive.google.com/file/d/12Y86huNMuLC8cPH-L2vwlEd7r1X1Qela/view?usp=drivesdk</x:v>
      </x:c>
      <x:c r="AL136" s="18" t="str">
        <x:v>SOURCE-VERIFIED / DOSE NOT RECONSTRUCTABLE</x:v>
      </x:c>
      <x:c r="AM136" s="18" t="str">
        <x:v>F-PCA-009</x:v>
      </x:c>
      <x:c r="AN136" s="18" t="str">
        <x:v>F-PCA</x:v>
      </x:c>
      <x:c r="AO136" s="18" t="str">
        <x:v>F_PCA_behavior</x:v>
      </x:c>
      <x:c r="AP136" s="18" t="str">
        <x:v>NORMALIZED_V22</x:v>
      </x:c>
      <x:c r="AQ136" s="18" t="n">
        <x:v>0</x:v>
      </x:c>
      <x:c r="AR136" s="18" t="n">
        <x:v>1</x:v>
      </x:c>
      <x:c r="AS136" s="18" t="str">
        <x:v>High</x:v>
      </x:c>
      <x:c r="AT136" s="18" t="str">
        <x:v>P2</x:v>
      </x:c>
      <x:c r="AU136" s="18"/>
      <x:c r="AV136" s="18" t="str">
        <x:v>24h attempts8.0 vs16.5; deliveries5.0 vs12.0</x:v>
      </x:c>
    </x:row>
    <x:row r="137">
      <x:c r="A137" s="18" t="str">
        <x:v>Lu 2022</x:v>
      </x:c>
      <x:c r="B137" s="18" t="str">
        <x:v>LU22_TEAS_vs_CTRL_PCADELIV24</x:v>
      </x:c>
      <x:c r="C137" s="18" t="str">
        <x:v>TEAS + ERAS</x:v>
      </x:c>
      <x:c r="D137" s="18" t="str">
        <x:v>No-current control + ERAS</x:v>
      </x:c>
      <x:c r="E137" s="18" t="str">
        <x:v>Opioid demand</x:v>
      </x:c>
      <x:c r="F137" s="18" t="str">
        <x:v>Successful PCA deliveries</x:v>
      </x:c>
      <x:c r="G137" s="18" t="str">
        <x:v>24 h</x:v>
      </x:c>
      <x:c r="H137" s="18" t="str">
        <x:v>Median/IQR</x:v>
      </x:c>
      <x:c r="I137" s="18" t="n">
        <x:v>50</x:v>
      </x:c>
      <x:c r="J137" s="18" t="n">
        <x:v>50</x:v>
      </x:c>
      <x:c r="K137" s="18" t="n">
        <x:v>47</x:v>
      </x:c>
      <x:c r="L137" s="18" t="n">
        <x:v>47</x:v>
      </x:c>
      <x:c r="M137" s="18"/>
      <x:c r="N137" s="18"/>
      <x:c r="O137" s="18" t="n">
        <x:v>5</x:v>
      </x:c>
      <x:c r="P137" s="18" t="n">
        <x:v>2</x:v>
      </x:c>
      <x:c r="Q137" s="18" t="n">
        <x:v>12</x:v>
      </x:c>
      <x:c r="R137" s="18"/>
      <x:c r="S137" s="18"/>
      <x:c r="T137" s="18"/>
      <x:c r="U137" s="18" t="n">
        <x:v>12</x:v>
      </x:c>
      <x:c r="V137" s="18" t="n">
        <x:v>6</x:v>
      </x:c>
      <x:c r="W137" s="18" t="n">
        <x:v>22</x:v>
      </x:c>
      <x:c r="X137" s="18"/>
      <x:c r="Y137" s="18" t="str">
        <x:v>deliveries</x:v>
      </x:c>
      <x:c r="Z137" s="18" t="str">
        <x:v>0.001</x:v>
      </x:c>
      <x:c r="AA137" s="18" t="str">
        <x:v>Yes</x:v>
      </x:c>
      <x:c r="AB137" s="18" t="str">
        <x:v>No</x:v>
      </x:c>
      <x:c r="AC137" s="18" t="str"/>
      <x:c r="AD137" s="18" t="str"/>
      <x:c r="AE137" s="18" t="str">
        <x:v>No</x:v>
      </x:c>
      <x:c r="AF137" s="18" t="str">
        <x:v>No</x:v>
      </x:c>
      <x:c r="AG137" s="18" t="str">
        <x:v>Eligible as 24-h PCA-delivery proxy only</x:v>
      </x:c>
      <x:c r="AH137" s="18" t="str">
        <x:v>No</x:v>
      </x:c>
      <x:c r="AI137" s="18" t="str">
        <x:v>Do not convert successful deliveries into opioid dose because the PCA prescription is absent</x:v>
      </x:c>
      <x:c r="AJ137" s="18" t="str">
        <x:v>PCA table / 24-h deliveries</x:v>
      </x:c>
      <x:c r="AK137" s="18" t="str">
        <x:v>https://drive.google.com/file/d/12Y86huNMuLC8cPH-L2vwlEd7r1X1Qela/view?usp=drivesdk</x:v>
      </x:c>
      <x:c r="AL137" s="18" t="str">
        <x:v>SOURCE-VERIFIED / DOSE NOT RECONSTRUCTABLE</x:v>
      </x:c>
      <x:c r="AM137" s="18" t="str">
        <x:v>F-PCA-009</x:v>
      </x:c>
      <x:c r="AN137" s="18" t="str">
        <x:v>F-PCA</x:v>
      </x:c>
      <x:c r="AO137" s="18" t="str">
        <x:v>F_PCA_behavior</x:v>
      </x:c>
      <x:c r="AP137" s="18" t="str">
        <x:v>NORMALIZED_V22</x:v>
      </x:c>
      <x:c r="AQ137" s="18" t="n">
        <x:v>0</x:v>
      </x:c>
      <x:c r="AR137" s="18" t="n">
        <x:v>1</x:v>
      </x:c>
      <x:c r="AS137" s="18" t="str">
        <x:v>High</x:v>
      </x:c>
      <x:c r="AT137" s="18" t="str">
        <x:v>P2</x:v>
      </x:c>
      <x:c r="AU137" s="18"/>
      <x:c r="AV137" s="18" t="str">
        <x:v>24h attempts8.0 vs16.5; deliveries5.0 vs12.0</x:v>
      </x:c>
    </x:row>
    <x:row r="138">
      <x:c r="A138" s="18" t="str">
        <x:v>Lu 2022</x:v>
      </x:c>
      <x:c r="B138" s="18" t="str">
        <x:v>LU22_TEAS_vs_CTRL_OPIOID24</x:v>
      </x:c>
      <x:c r="C138" s="18" t="str">
        <x:v>TEAS + ERAS</x:v>
      </x:c>
      <x:c r="D138" s="18" t="str">
        <x:v>No-current control + ERAS</x:v>
      </x:c>
      <x:c r="E138" s="18" t="str">
        <x:v>Opioid consumption</x:v>
      </x:c>
      <x:c r="F138" s="18" t="str">
        <x:v>Exact cumulative PCA opioid consumption</x:v>
      </x:c>
      <x:c r="G138" s="18" t="str">
        <x:v>0-24 h</x:v>
      </x:c>
      <x:c r="H138" s="18" t="str">
        <x:v>Not reported</x:v>
      </x:c>
      <x:c r="I138" s="18" t="n">
        <x:v>50</x:v>
      </x:c>
      <x:c r="J138" s="18" t="n">
        <x:v>50</x:v>
      </x:c>
      <x:c r="K138" s="18" t="n">
        <x:v>47</x:v>
      </x:c>
      <x:c r="L138" s="18" t="n">
        <x:v>47</x:v>
      </x:c>
      <x:c r="M138" s="18"/>
      <x:c r="N138" s="18"/>
      <x:c r="O138" s="18"/>
      <x:c r="P138" s="18"/>
      <x:c r="Q138" s="18"/>
      <x:c r="R138" s="18"/>
      <x:c r="S138" s="18"/>
      <x:c r="T138" s="18"/>
      <x:c r="U138" s="18"/>
      <x:c r="V138" s="18"/>
      <x:c r="W138" s="18"/>
      <x:c r="X138" s="18"/>
      <x:c r="Y138" s="18" t="str">
        <x:v>mg/µg</x:v>
      </x:c>
      <x:c r="Z138" s="18"/>
      <x:c r="AA138" s="18" t="str">
        <x:v>No</x:v>
      </x:c>
      <x:c r="AB138" s="18" t="str">
        <x:v>No</x:v>
      </x:c>
      <x:c r="AC138" s="18" t="str"/>
      <x:c r="AD138" s="18" t="str"/>
      <x:c r="AE138" s="18" t="str">
        <x:v>No</x:v>
      </x:c>
      <x:c r="AF138" s="18" t="str">
        <x:v>No</x:v>
      </x:c>
      <x:c r="AG138" s="18" t="str">
        <x:v>Not eligible for continuous 24-h opioid meta-analysis without supplementary/author data</x:v>
      </x:c>
      <x:c r="AH138" s="18" t="str">
        <x:v>No</x:v>
      </x:c>
      <x:c r="AI138" s="18" t="str">
        <x:v>The main article never identifies the PCA drug or dose</x:v>
      </x:c>
      <x:c r="AJ138" s="18" t="str">
        <x:v>Postoperative PCA section</x:v>
      </x:c>
      <x:c r="AK138" s="18" t="str">
        <x:v>https://drive.google.com/file/d/12Y86huNMuLC8cPH-L2vwlEd7r1X1Qela/view?usp=drivesdk</x:v>
      </x:c>
      <x:c r="AL138" s="18" t="str">
        <x:v>MISSING / PCA DRUG AND DOSE NR</x:v>
      </x:c>
      <x:c r="AM138" s="18"/>
      <x:c r="AN138" s="18"/>
      <x:c r="AO138" s="18"/>
      <x:c r="AP138" s="18"/>
      <x:c r="AQ138" s="18" t="n">
        <x:v>0</x:v>
      </x:c>
      <x:c r="AR138" s="18" t="n">
        <x:v>0</x:v>
      </x:c>
      <x:c r="AS138" s="18"/>
      <x:c r="AT138" s="18"/>
      <x:c r="AU138" s="18"/>
      <x:c r="AV138" s="18"/>
    </x:row>
    <x:row r="139">
      <x:c r="A139" s="18" t="str">
        <x:v>Luo 2026</x:v>
      </x:c>
      <x:c r="B139" s="18" t="str">
        <x:v>LUO26_TEAS_vs_SHAM_NAUSEA48</x:v>
      </x:c>
      <x:c r="C139" s="18" t="str">
        <x:v>Intraoperative PC6 TEAS + standard antiemetics</x:v>
      </x:c>
      <x:c r="D139" s="18" t="str">
        <x:v>Sham/no current + standard antiemetics</x:v>
      </x:c>
      <x:c r="E139" s="18" t="str">
        <x:v>PONV</x:v>
      </x:c>
      <x:c r="F139" s="18" t="str">
        <x:v>Cumulative postoperative nausea</x:v>
      </x:c>
      <x:c r="G139" s="18" t="str">
        <x:v>0-48 h</x:v>
      </x:c>
      <x:c r="H139" s="18" t="str">
        <x:v>Events/total</x:v>
      </x:c>
      <x:c r="I139" s="18" t="n">
        <x:v>138</x:v>
      </x:c>
      <x:c r="J139" s="18" t="n">
        <x:v>139</x:v>
      </x:c>
      <x:c r="K139" s="18" t="n">
        <x:v>138</x:v>
      </x:c>
      <x:c r="L139" s="18" t="n">
        <x:v>139</x:v>
      </x:c>
      <x:c r="M139" s="18"/>
      <x:c r="N139" s="18"/>
      <x:c r="O139" s="18"/>
      <x:c r="P139" s="18"/>
      <x:c r="Q139" s="18"/>
      <x:c r="R139" s="18" t="n">
        <x:v>24</x:v>
      </x:c>
      <x:c r="S139" s="18"/>
      <x:c r="T139" s="18"/>
      <x:c r="U139" s="18"/>
      <x:c r="V139" s="18"/>
      <x:c r="W139" s="18"/>
      <x:c r="X139" s="18" t="n">
        <x:v>53</x:v>
      </x:c>
      <x:c r="Y139" s="18" t="str">
        <x:v>participants</x:v>
      </x:c>
      <x:c r="Z139" s="18" t="str">
        <x:v>&lt;0.01</x:v>
      </x:c>
      <x:c r="AA139" s="18" t="str">
        <x:v>Yes</x:v>
      </x:c>
      <x:c r="AB139" s="18" t="str">
        <x:v>No</x:v>
      </x:c>
      <x:c r="AC139" s="18" t="str">
        <x:v>RR</x:v>
      </x:c>
      <x:c r="AD139" s="18" t="n">
        <x:v>0.45611156685808035</x:v>
      </x:c>
      <x:c r="AE139" s="18" t="str">
        <x:v>No</x:v>
      </x:c>
      <x:c r="AF139" s="18" t="str">
        <x:v>No</x:v>
      </x:c>
      <x:c r="AG139" s="18" t="str">
        <x:v>Eligible for dichotomous 48-h nausea analysis</x:v>
      </x:c>
      <x:c r="AH139" s="18" t="str">
        <x:v>No</x:v>
      </x:c>
      <x:c r="AI139" s="18" t="str">
        <x:v>Participant blinding was empirically poor: 77.5% of TEAS and 66.2% of sham participants correctly guessed allocation</x:v>
      </x:c>
      <x:c r="AJ139" s="18" t="str">
        <x:v>Primary outcome / cumulative nausea</x:v>
      </x:c>
      <x:c r="AK139" s="18" t="str">
        <x:v>https://drive.google.com/file/d/1xxZle6mPpcnmHLblJbsy1kA4CyQHpvm2/view?usp=drivesdk</x:v>
      </x:c>
      <x:c r="AL139" s="18" t="str">
        <x:v>SOURCE-VERIFIED</x:v>
      </x:c>
      <x:c r="AM139" s="18" t="str">
        <x:v>D-008</x:v>
      </x:c>
      <x:c r="AN139" s="18" t="str">
        <x:v>D</x:v>
      </x:c>
      <x:c r="AO139" s="18" t="str">
        <x:v>D_nausea_0-48h</x:v>
      </x:c>
      <x:c r="AP139" s="18" t="str">
        <x:v>MATCHED</x:v>
      </x:c>
      <x:c r="AQ139" s="18" t="n">
        <x:v>1</x:v>
      </x:c>
      <x:c r="AR139" s="18" t="n">
        <x:v>0</x:v>
      </x:c>
      <x:c r="AS139" s="18" t="str">
        <x:v>High</x:v>
      </x:c>
      <x:c r="AT139" s="18"/>
      <x:c r="AU139" s="18"/>
      <x:c r="AV139" s="18" t="str">
        <x:v>24/138 vs 53/139</x:v>
      </x:c>
    </x:row>
    <x:row r="140">
      <x:c r="A140" s="18" t="str">
        <x:v>Luo 2026</x:v>
      </x:c>
      <x:c r="B140" s="18" t="str">
        <x:v>LUO26_TEAS_vs_SHAM_VOMIT48</x:v>
      </x:c>
      <x:c r="C140" s="18" t="str">
        <x:v>Intraoperative PC6 TEAS + standard antiemetics</x:v>
      </x:c>
      <x:c r="D140" s="18" t="str">
        <x:v>Sham/no current + standard antiemetics</x:v>
      </x:c>
      <x:c r="E140" s="18" t="str">
        <x:v>PONV</x:v>
      </x:c>
      <x:c r="F140" s="18" t="str">
        <x:v>Cumulative postoperative vomiting</x:v>
      </x:c>
      <x:c r="G140" s="18" t="str">
        <x:v>0-48 h</x:v>
      </x:c>
      <x:c r="H140" s="18" t="str">
        <x:v>Events/total</x:v>
      </x:c>
      <x:c r="I140" s="18" t="n">
        <x:v>138</x:v>
      </x:c>
      <x:c r="J140" s="18" t="n">
        <x:v>139</x:v>
      </x:c>
      <x:c r="K140" s="18" t="n">
        <x:v>138</x:v>
      </x:c>
      <x:c r="L140" s="18" t="n">
        <x:v>139</x:v>
      </x:c>
      <x:c r="M140" s="18"/>
      <x:c r="N140" s="18"/>
      <x:c r="O140" s="18"/>
      <x:c r="P140" s="18"/>
      <x:c r="Q140" s="18"/>
      <x:c r="R140" s="18" t="n">
        <x:v>9</x:v>
      </x:c>
      <x:c r="S140" s="18"/>
      <x:c r="T140" s="18"/>
      <x:c r="U140" s="18"/>
      <x:c r="V140" s="18"/>
      <x:c r="W140" s="18"/>
      <x:c r="X140" s="18" t="n">
        <x:v>27</x:v>
      </x:c>
      <x:c r="Y140" s="18" t="str">
        <x:v>participants</x:v>
      </x:c>
      <x:c r="Z140" s="18" t="str">
        <x:v>&lt;0.01</x:v>
      </x:c>
      <x:c r="AA140" s="18" t="str">
        <x:v>Yes</x:v>
      </x:c>
      <x:c r="AB140" s="18" t="str">
        <x:v>No</x:v>
      </x:c>
      <x:c r="AC140" s="18" t="str">
        <x:v>RR</x:v>
      </x:c>
      <x:c r="AD140" s="18" t="n">
        <x:v>0.3357487922705314</x:v>
      </x:c>
      <x:c r="AE140" s="18" t="str">
        <x:v>No</x:v>
      </x:c>
      <x:c r="AF140" s="18" t="str">
        <x:v>No</x:v>
      </x:c>
      <x:c r="AG140" s="18" t="str">
        <x:v>Eligible for dichotomous 48-h vomiting analysis</x:v>
      </x:c>
      <x:c r="AH140" s="18" t="str">
        <x:v>No</x:v>
      </x:c>
      <x:c r="AI140" s="18" t="str">
        <x:v>Vomiting is more objective than nausea, but participant masking was incomplete</x:v>
      </x:c>
      <x:c r="AJ140" s="18" t="str">
        <x:v>Primary outcome / cumulative vomiting</x:v>
      </x:c>
      <x:c r="AK140" s="18" t="str">
        <x:v>https://drive.google.com/file/d/1xxZle6mPpcnmHLblJbsy1kA4CyQHpvm2/view?usp=drivesdk</x:v>
      </x:c>
      <x:c r="AL140" s="18" t="str">
        <x:v>SOURCE-VERIFIED</x:v>
      </x:c>
      <x:c r="AM140" s="18" t="str">
        <x:v>D-011</x:v>
      </x:c>
      <x:c r="AN140" s="18" t="str">
        <x:v>D</x:v>
      </x:c>
      <x:c r="AO140" s="18" t="str">
        <x:v>D_vomiting_0-48h</x:v>
      </x:c>
      <x:c r="AP140" s="18" t="str">
        <x:v>MATCHED</x:v>
      </x:c>
      <x:c r="AQ140" s="18" t="n">
        <x:v>1</x:v>
      </x:c>
      <x:c r="AR140" s="18" t="n">
        <x:v>0</x:v>
      </x:c>
      <x:c r="AS140" s="18" t="str">
        <x:v>Some concerns</x:v>
      </x:c>
      <x:c r="AT140" s="18"/>
      <x:c r="AU140" s="18"/>
      <x:c r="AV140" s="18" t="str">
        <x:v>9/138 vs 27/139</x:v>
      </x:c>
    </x:row>
    <x:row r="141">
      <x:c r="A141" s="18" t="str">
        <x:v>Luo 2026</x:v>
      </x:c>
      <x:c r="B141" s="18" t="str">
        <x:v>LUO26_TEAS_vs_SHAM_COMPLETE48</x:v>
      </x:c>
      <x:c r="C141" s="18" t="str">
        <x:v>Intraoperative PC6 TEAS + standard antiemetics</x:v>
      </x:c>
      <x:c r="D141" s="18" t="str">
        <x:v>Sham/no current + standard antiemetics</x:v>
      </x:c>
      <x:c r="E141" s="18" t="str">
        <x:v>PONV</x:v>
      </x:c>
      <x:c r="F141" s="18" t="str">
        <x:v>Complete response: no vomiting and no rescue antiemetic</x:v>
      </x:c>
      <x:c r="G141" s="18" t="str">
        <x:v>0-48 h</x:v>
      </x:c>
      <x:c r="H141" s="18" t="str">
        <x:v>Events/total</x:v>
      </x:c>
      <x:c r="I141" s="18" t="n">
        <x:v>138</x:v>
      </x:c>
      <x:c r="J141" s="18" t="n">
        <x:v>139</x:v>
      </x:c>
      <x:c r="K141" s="18" t="n">
        <x:v>138</x:v>
      </x:c>
      <x:c r="L141" s="18" t="n">
        <x:v>139</x:v>
      </x:c>
      <x:c r="M141" s="18"/>
      <x:c r="N141" s="18"/>
      <x:c r="O141" s="18"/>
      <x:c r="P141" s="18"/>
      <x:c r="Q141" s="18"/>
      <x:c r="R141" s="18" t="n">
        <x:v>112</x:v>
      </x:c>
      <x:c r="S141" s="18"/>
      <x:c r="T141" s="18"/>
      <x:c r="U141" s="18"/>
      <x:c r="V141" s="18"/>
      <x:c r="W141" s="18"/>
      <x:c r="X141" s="18" t="n">
        <x:v>83</x:v>
      </x:c>
      <x:c r="Y141" s="18" t="str">
        <x:v>participants</x:v>
      </x:c>
      <x:c r="Z141" s="18" t="str">
        <x:v>&lt;0.01</x:v>
      </x:c>
      <x:c r="AA141" s="18" t="str">
        <x:v>Yes</x:v>
      </x:c>
      <x:c r="AB141" s="18" t="str">
        <x:v>No</x:v>
      </x:c>
      <x:c r="AC141" s="18" t="str">
        <x:v>RR</x:v>
      </x:c>
      <x:c r="AD141" s="18" t="n">
        <x:v>1.3591758337698623</x:v>
      </x:c>
      <x:c r="AE141" s="18" t="str">
        <x:v>No</x:v>
      </x:c>
      <x:c r="AF141" s="18" t="str">
        <x:v>No</x:v>
      </x:c>
      <x:c r="AG141" s="18" t="str">
        <x:v>Eligible for dichotomous complete-response analysis</x:v>
      </x:c>
      <x:c r="AH141" s="18" t="str">
        <x:v>No</x:v>
      </x:c>
      <x:c r="AI141" s="18" t="str">
        <x:v>Abstract percentage differs slightly from table-derived 112/138; use raw counts</x:v>
      </x:c>
      <x:c r="AJ141" s="18" t="str">
        <x:v>Complete-response result</x:v>
      </x:c>
      <x:c r="AK141" s="18" t="str">
        <x:v>https://drive.google.com/file/d/1xxZle6mPpcnmHLblJbsy1kA4CyQHpvm2/view?usp=drivesdk</x:v>
      </x:c>
      <x:c r="AL141" s="18" t="str">
        <x:v>SOURCE-VERIFIED / ABSTRACT % QC</x:v>
      </x:c>
      <x:c r="AM141" s="18"/>
      <x:c r="AN141" s="18"/>
      <x:c r="AO141" s="18"/>
      <x:c r="AP141" s="18"/>
      <x:c r="AQ141" s="18" t="n">
        <x:v>0</x:v>
      </x:c>
      <x:c r="AR141" s="18" t="n">
        <x:v>0</x:v>
      </x:c>
      <x:c r="AS141" s="18"/>
      <x:c r="AT141" s="18"/>
      <x:c r="AU141" s="18"/>
      <x:c r="AV141" s="18"/>
    </x:row>
    <x:row r="142">
      <x:c r="A142" s="18" t="str">
        <x:v>Luo 2026</x:v>
      </x:c>
      <x:c r="B142" s="18" t="str">
        <x:v>LUO26_TEAS_vs_SHAM_NRS24</x:v>
      </x:c>
      <x:c r="C142" s="18" t="str">
        <x:v>Intraoperative PC6 TEAS + standard antiemetics</x:v>
      </x:c>
      <x:c r="D142" s="18" t="str">
        <x:v>Sham/no current + standard antiemetics</x:v>
      </x:c>
      <x:c r="E142" s="18" t="str">
        <x:v>Pain</x:v>
      </x:c>
      <x:c r="F142" s="18" t="str">
        <x:v>Postoperative NRS pain</x:v>
      </x:c>
      <x:c r="G142" s="18" t="str">
        <x:v>24 h</x:v>
      </x:c>
      <x:c r="H142" s="18" t="str">
        <x:v>Mean/SD</x:v>
      </x:c>
      <x:c r="I142" s="18" t="n">
        <x:v>138</x:v>
      </x:c>
      <x:c r="J142" s="18" t="n">
        <x:v>139</x:v>
      </x:c>
      <x:c r="K142" s="18" t="n">
        <x:v>138</x:v>
      </x:c>
      <x:c r="L142" s="18" t="n">
        <x:v>139</x:v>
      </x:c>
      <x:c r="M142" s="18" t="n">
        <x:v>1.3</x:v>
      </x:c>
      <x:c r="N142" s="18" t="n">
        <x:v>0.92</x:v>
      </x:c>
      <x:c r="O142" s="18"/>
      <x:c r="P142" s="18"/>
      <x:c r="Q142" s="18"/>
      <x:c r="R142" s="18"/>
      <x:c r="S142" s="18" t="n">
        <x:v>1.65</x:v>
      </x:c>
      <x:c r="T142" s="18" t="n">
        <x:v>0.95</x:v>
      </x:c>
      <x:c r="U142" s="18"/>
      <x:c r="V142" s="18"/>
      <x:c r="W142" s="18"/>
      <x:c r="X142" s="18"/>
      <x:c r="Y142" s="18" t="str">
        <x:v>NRS 0-10</x:v>
      </x:c>
      <x:c r="Z142" s="18" t="str">
        <x:v>&lt;0.01</x:v>
      </x:c>
      <x:c r="AA142" s="18" t="str">
        <x:v>Yes</x:v>
      </x:c>
      <x:c r="AB142" s="18" t="str">
        <x:v>No</x:v>
      </x:c>
      <x:c r="AC142" s="18" t="str">
        <x:v>MD</x:v>
      </x:c>
      <x:c r="AD142" s="18" t="n">
        <x:v>-0.34999999999999987</x:v>
      </x:c>
      <x:c r="AE142" s="18" t="str">
        <x:v>No</x:v>
      </x:c>
      <x:c r="AF142" s="18" t="str">
        <x:v>No</x:v>
      </x:c>
      <x:c r="AG142" s="18" t="str">
        <x:v>Eligible for 24-h pain analysis</x:v>
      </x:c>
      <x:c r="AH142" s="18" t="str">
        <x:v>No</x:v>
      </x:c>
      <x:c r="AI142" s="18" t="str">
        <x:v>Rest-versus-movement condition is not reported; participant masking was incomplete</x:v>
      </x:c>
      <x:c r="AJ142" s="18" t="str">
        <x:v>Postoperative pain table / 24 h</x:v>
      </x:c>
      <x:c r="AK142" s="18" t="str">
        <x:v>https://drive.google.com/file/d/1xxZle6mPpcnmHLblJbsy1kA4CyQHpvm2/view?usp=drivesdk</x:v>
      </x:c>
      <x:c r="AL142" s="18" t="str">
        <x:v>SOURCE-VERIFIED</x:v>
      </x:c>
      <x:c r="AM142" s="18"/>
      <x:c r="AN142" s="18"/>
      <x:c r="AO142" s="18"/>
      <x:c r="AP142" s="18"/>
      <x:c r="AQ142" s="18" t="n">
        <x:v>0</x:v>
      </x:c>
      <x:c r="AR142" s="18" t="n">
        <x:v>0</x:v>
      </x:c>
      <x:c r="AS142" s="18"/>
      <x:c r="AT142" s="18"/>
      <x:c r="AU142" s="18"/>
      <x:c r="AV142" s="18"/>
    </x:row>
    <x:row r="143">
      <x:c r="A143" s="18" t="str">
        <x:v>Luo 2026</x:v>
      </x:c>
      <x:c r="B143" s="18" t="str">
        <x:v>LUO26_TEAS_vs_SHAM_OPIOIDEQUIV</x:v>
      </x:c>
      <x:c r="C143" s="18" t="str">
        <x:v>Intraoperative PC6 TEAS + standard antiemetics</x:v>
      </x:c>
      <x:c r="D143" s="18" t="str">
        <x:v>Sham/no current + standard antiemetics</x:v>
      </x:c>
      <x:c r="E143" s="18" t="str">
        <x:v>Perioperative opioid</x:v>
      </x:c>
      <x:c r="F143" s="18" t="str">
        <x:v>Published 'sufentanil equivalents' metric</x:v>
      </x:c>
      <x:c r="G143" s="18" t="str">
        <x:v>Perioperative</x:v>
      </x:c>
      <x:c r="H143" s="18" t="str">
        <x:v>Mean/SD</x:v>
      </x:c>
      <x:c r="I143" s="18" t="n">
        <x:v>138</x:v>
      </x:c>
      <x:c r="J143" s="18" t="n">
        <x:v>139</x:v>
      </x:c>
      <x:c r="K143" s="18" t="n">
        <x:v>138</x:v>
      </x:c>
      <x:c r="L143" s="18" t="n">
        <x:v>139</x:v>
      </x:c>
      <x:c r="M143" s="18" t="n">
        <x:v>15.86</x:v>
      </x:c>
      <x:c r="N143" s="18" t="n">
        <x:v>5.11</x:v>
      </x:c>
      <x:c r="O143" s="18"/>
      <x:c r="P143" s="18"/>
      <x:c r="Q143" s="18"/>
      <x:c r="R143" s="18"/>
      <x:c r="S143" s="18" t="n">
        <x:v>15.18</x:v>
      </x:c>
      <x:c r="T143" s="18" t="n">
        <x:v>4.95</x:v>
      </x:c>
      <x:c r="U143" s="18"/>
      <x:c r="V143" s="18"/>
      <x:c r="W143" s="18"/>
      <x:c r="X143" s="18"/>
      <x:c r="Y143" s="18" t="str">
        <x:v>published as mg; definition/unit unresolved</x:v>
      </x:c>
      <x:c r="Z143" s="18" t="str">
        <x:v>0.27</x:v>
      </x:c>
      <x:c r="AA143" s="18" t="str">
        <x:v>Yes</x:v>
      </x:c>
      <x:c r="AB143" s="18" t="str">
        <x:v>No</x:v>
      </x:c>
      <x:c r="AC143" s="18" t="str">
        <x:v>MD</x:v>
      </x:c>
      <x:c r="AD143" s="18" t="n">
        <x:v>0.6799999999999997</x:v>
      </x:c>
      <x:c r="AE143" s="18" t="str">
        <x:v>No</x:v>
      </x:c>
      <x:c r="AF143" s="18" t="str">
        <x:v>No</x:v>
      </x:c>
      <x:c r="AG143" s="18" t="str">
        <x:v>Do not harmonize to MME or actual sufentanil mass until authors clarify conversion and unit</x:v>
      </x:c>
      <x:c r="AH143" s="18" t="str">
        <x:v>No</x:v>
      </x:c>
      <x:c r="AI143" s="18" t="str">
        <x:v>Source labels approximately 15-16 as 'sufentanil equivalents (mg)' without explaining conversion; preserve verbatim</x:v>
      </x:c>
      <x:c r="AJ143" s="18" t="str">
        <x:v>Table 1 / perioperative opioid metric</x:v>
      </x:c>
      <x:c r="AK143" s="18" t="str">
        <x:v>https://drive.google.com/file/d/1xxZle6mPpcnmHLblJbsy1kA4CyQHpvm2/view?usp=drivesdk</x:v>
      </x:c>
      <x:c r="AL143" s="18" t="str">
        <x:v>SOURCE-VERIFIED / UNIT UNRESOLVED</x:v>
      </x:c>
      <x:c r="AM143" s="18"/>
      <x:c r="AN143" s="18"/>
      <x:c r="AO143" s="18"/>
      <x:c r="AP143" s="18"/>
      <x:c r="AQ143" s="18" t="n">
        <x:v>0</x:v>
      </x:c>
      <x:c r="AR143" s="18" t="n">
        <x:v>0</x:v>
      </x:c>
      <x:c r="AS143" s="18"/>
      <x:c r="AT143" s="18"/>
      <x:c r="AU143" s="18"/>
      <x:c r="AV143" s="18"/>
    </x:row>
    <x:row r="144">
      <x:c r="A144" s="18" t="str">
        <x:v>Luo 2026</x:v>
      </x:c>
      <x:c r="B144" s="18" t="str">
        <x:v>LUO26_TEAS_vs_SHAM_OPIOID24</x:v>
      </x:c>
      <x:c r="C144" s="18" t="str">
        <x:v>Intraoperative PC6 TEAS + standard antiemetics</x:v>
      </x:c>
      <x:c r="D144" s="18" t="str">
        <x:v>Sham/no current + standard antiemetics</x:v>
      </x:c>
      <x:c r="E144" s="18" t="str">
        <x:v>Opioid consumption</x:v>
      </x:c>
      <x:c r="F144" s="18" t="str">
        <x:v>Cumulative postoperative oxycodone consumption</x:v>
      </x:c>
      <x:c r="G144" s="18" t="str">
        <x:v>0-24 h</x:v>
      </x:c>
      <x:c r="H144" s="18" t="str">
        <x:v>Not reported</x:v>
      </x:c>
      <x:c r="I144" s="18" t="n">
        <x:v>138</x:v>
      </x:c>
      <x:c r="J144" s="18" t="n">
        <x:v>139</x:v>
      </x:c>
      <x:c r="K144" s="18" t="n">
        <x:v>138</x:v>
      </x:c>
      <x:c r="L144" s="18" t="n">
        <x:v>139</x:v>
      </x:c>
      <x:c r="M144" s="18"/>
      <x:c r="N144" s="18"/>
      <x:c r="O144" s="18"/>
      <x:c r="P144" s="18"/>
      <x:c r="Q144" s="18"/>
      <x:c r="R144" s="18"/>
      <x:c r="S144" s="18"/>
      <x:c r="T144" s="18"/>
      <x:c r="U144" s="18"/>
      <x:c r="V144" s="18"/>
      <x:c r="W144" s="18"/>
      <x:c r="X144" s="18"/>
      <x:c r="Y144" s="18" t="str">
        <x:v>mg oxycodone</x:v>
      </x:c>
      <x:c r="Z144" s="18"/>
      <x:c r="AA144" s="18" t="str">
        <x:v>No</x:v>
      </x:c>
      <x:c r="AB144" s="18" t="str">
        <x:v>No</x:v>
      </x:c>
      <x:c r="AC144" s="18" t="str"/>
      <x:c r="AD144" s="18" t="str"/>
      <x:c r="AE144" s="18" t="str">
        <x:v>No</x:v>
      </x:c>
      <x:c r="AF144" s="18" t="str">
        <x:v>No</x:v>
      </x:c>
      <x:c r="AG144" s="18" t="str">
        <x:v>Not eligible for continuous 24-h opioid/MME meta-analysis</x:v>
      </x:c>
      <x:c r="AH144" s="18" t="str">
        <x:v>No</x:v>
      </x:c>
      <x:c r="AI144" s="18" t="str">
        <x:v>Postoperative IV oxycodone is described, but schedule and group-specific cumulative 24-h consumption are not reported</x:v>
      </x:c>
      <x:c r="AJ144" s="18" t="str">
        <x:v>Postoperative analgesia / exact 24-h endpoint absent</x:v>
      </x:c>
      <x:c r="AK144" s="18" t="str">
        <x:v>https://drive.google.com/file/d/1xxZle6mPpcnmHLblJbsy1kA4CyQHpvm2/view?usp=drivesdk</x:v>
      </x:c>
      <x:c r="AL144" s="18" t="str">
        <x:v>MISSING / AUTHOR DATA NEEDED</x:v>
      </x:c>
      <x:c r="AM144" s="18"/>
      <x:c r="AN144" s="18"/>
      <x:c r="AO144" s="18"/>
      <x:c r="AP144" s="18"/>
      <x:c r="AQ144" s="18" t="n">
        <x:v>0</x:v>
      </x:c>
      <x:c r="AR144" s="18" t="n">
        <x:v>0</x:v>
      </x:c>
      <x:c r="AS144" s="18"/>
      <x:c r="AT144" s="18"/>
      <x:c r="AU144" s="18"/>
      <x:c r="AV144" s="18"/>
    </x:row>
    <x:row r="145">
      <x:c r="A145" s="18" t="str">
        <x:v>Long 2025</x:v>
      </x:c>
      <x:c r="B145" s="18" t="str">
        <x:v>LONG25_TEAS_vs_CTRL_PND1</x:v>
      </x:c>
      <x:c r="C145" s="18" t="str">
        <x:v>Perioperative electrical acupoint stimulation</x:v>
      </x:c>
      <x:c r="D145" s="18" t="str">
        <x:v>Electrodes/no current</x:v>
      </x:c>
      <x:c r="E145" s="18" t="str">
        <x:v>Neurocognitive</x:v>
      </x:c>
      <x:c r="F145" s="18" t="str">
        <x:v>Perioperative neurocognitive disorder (PND)</x:v>
      </x:c>
      <x:c r="G145" s="18" t="str">
        <x:v>POD1</x:v>
      </x:c>
      <x:c r="H145" s="18" t="str">
        <x:v>Published event count + percentage; denominator inconsistent</x:v>
      </x:c>
      <x:c r="I145" s="18" t="n">
        <x:v>30</x:v>
      </x:c>
      <x:c r="J145" s="18" t="n">
        <x:v>30</x:v>
      </x:c>
      <x:c r="K145" s="18" t="n">
        <x:v>27</x:v>
      </x:c>
      <x:c r="L145" s="18" t="n">
        <x:v>26</x:v>
      </x:c>
      <x:c r="M145" s="18"/>
      <x:c r="N145" s="18"/>
      <x:c r="O145" s="18"/>
      <x:c r="P145" s="18"/>
      <x:c r="Q145" s="18"/>
      <x:c r="R145" s="18" t="n">
        <x:v>7</x:v>
      </x:c>
      <x:c r="S145" s="18"/>
      <x:c r="T145" s="18"/>
      <x:c r="U145" s="18"/>
      <x:c r="V145" s="18"/>
      <x:c r="W145" s="18"/>
      <x:c r="X145" s="18" t="n">
        <x:v>14</x:v>
      </x:c>
      <x:c r="Y145" s="18" t="str">
        <x:v>Active: 7 cases (25.0%); Control: 14 cases (56.0%)</x:v>
      </x:c>
      <x:c r="Z145" s="18" t="str">
        <x:v>NR</x:v>
      </x:c>
      <x:c r="AA145" s="18" t="str">
        <x:v>Yes</x:v>
      </x:c>
      <x:c r="AB145" s="18" t="str">
        <x:v>No</x:v>
      </x:c>
      <x:c r="AC145" s="18" t="str"/>
      <x:c r="AD145" s="18" t="str"/>
      <x:c r="AE145" s="18" t="str">
        <x:v>No</x:v>
      </x:c>
      <x:c r="AF145" s="18" t="str">
        <x:v>No</x:v>
      </x:c>
      <x:c r="AG145" s="18" t="str">
        <x:v>Not meta-analysis-ready until event denominators are clarified</x:v>
      </x:c>
      <x:c r="AH145" s="18" t="str">
        <x:v>No</x:v>
      </x:c>
      <x:c r="AI145" s="18" t="str">
        <x:v>Published percentages do not reconcile with final analyzed n=27 active/26 control; do not back-calculate denominators</x:v>
      </x:c>
      <x:c r="AJ145" s="18" t="str">
        <x:v>PND incidence table / POD1</x:v>
      </x:c>
      <x:c r="AK145" s="18" t="str">
        <x:v>https://drive.google.com/file/d/1LDqtQLq9-kZLP0Vv_G3iiK8QKjy4pRXP/view?usp=drivesdk</x:v>
      </x:c>
      <x:c r="AL145" s="18" t="str">
        <x:v>SOURCE-VERIFIED / DENOMINATOR INCONSISTENT</x:v>
      </x:c>
      <x:c r="AM145" s="18"/>
      <x:c r="AN145" s="18"/>
      <x:c r="AO145" s="18"/>
      <x:c r="AP145" s="18"/>
      <x:c r="AQ145" s="18" t="n">
        <x:v>0</x:v>
      </x:c>
      <x:c r="AR145" s="18" t="n">
        <x:v>0</x:v>
      </x:c>
      <x:c r="AS145" s="18"/>
      <x:c r="AT145" s="18"/>
      <x:c r="AU145" s="18"/>
      <x:c r="AV145" s="18"/>
    </x:row>
    <x:row r="146">
      <x:c r="A146" s="18" t="str">
        <x:v>Long 2025</x:v>
      </x:c>
      <x:c r="B146" s="18" t="str">
        <x:v>LONG25_TEAS_vs_CTRL_PND3</x:v>
      </x:c>
      <x:c r="C146" s="18" t="str">
        <x:v>Perioperative electrical acupoint stimulation</x:v>
      </x:c>
      <x:c r="D146" s="18" t="str">
        <x:v>Electrodes/no current</x:v>
      </x:c>
      <x:c r="E146" s="18" t="str">
        <x:v>Neurocognitive</x:v>
      </x:c>
      <x:c r="F146" s="18" t="str">
        <x:v>Perioperative neurocognitive disorder (PND)</x:v>
      </x:c>
      <x:c r="G146" s="18" t="str">
        <x:v>POD3</x:v>
      </x:c>
      <x:c r="H146" s="18" t="str">
        <x:v>Published event count + percentage; denominator inconsistent</x:v>
      </x:c>
      <x:c r="I146" s="18" t="n">
        <x:v>30</x:v>
      </x:c>
      <x:c r="J146" s="18" t="n">
        <x:v>30</x:v>
      </x:c>
      <x:c r="K146" s="18" t="n">
        <x:v>27</x:v>
      </x:c>
      <x:c r="L146" s="18" t="n">
        <x:v>26</x:v>
      </x:c>
      <x:c r="M146" s="18"/>
      <x:c r="N146" s="18"/>
      <x:c r="O146" s="18"/>
      <x:c r="P146" s="18"/>
      <x:c r="Q146" s="18"/>
      <x:c r="R146" s="18" t="n">
        <x:v>4</x:v>
      </x:c>
      <x:c r="S146" s="18"/>
      <x:c r="T146" s="18"/>
      <x:c r="U146" s="18"/>
      <x:c r="V146" s="18"/>
      <x:c r="W146" s="18"/>
      <x:c r="X146" s="18" t="n">
        <x:v>12</x:v>
      </x:c>
      <x:c r="Y146" s="18" t="str">
        <x:v>Active: 4 cases (14.3%); Control: 12 cases (48.0%)</x:v>
      </x:c>
      <x:c r="Z146" s="18" t="str">
        <x:v>NR</x:v>
      </x:c>
      <x:c r="AA146" s="18" t="str">
        <x:v>Yes</x:v>
      </x:c>
      <x:c r="AB146" s="18" t="str">
        <x:v>No</x:v>
      </x:c>
      <x:c r="AC146" s="18" t="str"/>
      <x:c r="AD146" s="18" t="str"/>
      <x:c r="AE146" s="18" t="str">
        <x:v>No</x:v>
      </x:c>
      <x:c r="AF146" s="18" t="str">
        <x:v>No</x:v>
      </x:c>
      <x:c r="AG146" s="18" t="str">
        <x:v>Not meta-analysis-ready until event denominators are clarified</x:v>
      </x:c>
      <x:c r="AH146" s="18" t="str">
        <x:v>No</x:v>
      </x:c>
      <x:c r="AI146" s="18" t="str">
        <x:v>Published percentages do not reconcile with reported analyzed denominators</x:v>
      </x:c>
      <x:c r="AJ146" s="18" t="str">
        <x:v>PND incidence table / POD3</x:v>
      </x:c>
      <x:c r="AK146" s="18" t="str">
        <x:v>https://drive.google.com/file/d/1LDqtQLq9-kZLP0Vv_G3iiK8QKjy4pRXP/view?usp=drivesdk</x:v>
      </x:c>
      <x:c r="AL146" s="18" t="str">
        <x:v>SOURCE-VERIFIED / DENOMINATOR INCONSISTENT</x:v>
      </x:c>
      <x:c r="AM146" s="18"/>
      <x:c r="AN146" s="18"/>
      <x:c r="AO146" s="18"/>
      <x:c r="AP146" s="18"/>
      <x:c r="AQ146" s="18" t="n">
        <x:v>0</x:v>
      </x:c>
      <x:c r="AR146" s="18" t="n">
        <x:v>0</x:v>
      </x:c>
      <x:c r="AS146" s="18"/>
      <x:c r="AT146" s="18"/>
      <x:c r="AU146" s="18"/>
      <x:c r="AV146" s="18"/>
    </x:row>
    <x:row r="147">
      <x:c r="A147" s="18" t="str">
        <x:v>Long 2025</x:v>
      </x:c>
      <x:c r="B147" s="18" t="str">
        <x:v>LONG25_TEAS_vs_CTRL_VAS24</x:v>
      </x:c>
      <x:c r="C147" s="18" t="str">
        <x:v>Perioperative electrical acupoint stimulation</x:v>
      </x:c>
      <x:c r="D147" s="18" t="str">
        <x:v>Electrodes/no current</x:v>
      </x:c>
      <x:c r="E147" s="18" t="str">
        <x:v>Pain</x:v>
      </x:c>
      <x:c r="F147" s="18" t="str">
        <x:v>VAS pain intensity</x:v>
      </x:c>
      <x:c r="G147" s="18" t="str">
        <x:v>24 h</x:v>
      </x:c>
      <x:c r="H147" s="18" t="str">
        <x:v>Mean/SD</x:v>
      </x:c>
      <x:c r="I147" s="18" t="n">
        <x:v>30</x:v>
      </x:c>
      <x:c r="J147" s="18" t="n">
        <x:v>30</x:v>
      </x:c>
      <x:c r="K147" s="18" t="n">
        <x:v>27</x:v>
      </x:c>
      <x:c r="L147" s="18" t="n">
        <x:v>26</x:v>
      </x:c>
      <x:c r="M147" s="18" t="n">
        <x:v>2.78</x:v>
      </x:c>
      <x:c r="N147" s="18" t="n">
        <x:v>0.97</x:v>
      </x:c>
      <x:c r="O147" s="18"/>
      <x:c r="P147" s="18"/>
      <x:c r="Q147" s="18"/>
      <x:c r="R147" s="18"/>
      <x:c r="S147" s="18" t="n">
        <x:v>3.96</x:v>
      </x:c>
      <x:c r="T147" s="18" t="n">
        <x:v>0.96</x:v>
      </x:c>
      <x:c r="U147" s="18"/>
      <x:c r="V147" s="18"/>
      <x:c r="W147" s="18"/>
      <x:c r="X147" s="18"/>
      <x:c r="Y147" s="18" t="str">
        <x:v>VAS 0-10</x:v>
      </x:c>
      <x:c r="Z147" s="18" t="str">
        <x:v>&lt;0.001</x:v>
      </x:c>
      <x:c r="AA147" s="18" t="str">
        <x:v>Yes</x:v>
      </x:c>
      <x:c r="AB147" s="18" t="str">
        <x:v>No</x:v>
      </x:c>
      <x:c r="AC147" s="18" t="str">
        <x:v>MD</x:v>
      </x:c>
      <x:c r="AD147" s="18" t="n">
        <x:v>-1.1800000000000002</x:v>
      </x:c>
      <x:c r="AE147" s="18" t="str">
        <x:v>No</x:v>
      </x:c>
      <x:c r="AF147" s="18" t="str">
        <x:v>No</x:v>
      </x:c>
      <x:c r="AG147" s="18" t="str">
        <x:v>Eligible for 24-h pain analysis using Table 7 value</x:v>
      </x:c>
      <x:c r="AH147" s="18" t="str">
        <x:v>No</x:v>
      </x:c>
      <x:c r="AI147" s="18" t="str">
        <x:v>Abstract/Results prose gives active 2.65 ± 0.94; Table 7/Figure 9 gives 2.78 ± 0.97. Master uses the directly tabulated Table 7 value and retains discrepancy</x:v>
      </x:c>
      <x:c r="AJ147" s="18" t="str">
        <x:v>Table 7 / Figure 9</x:v>
      </x:c>
      <x:c r="AK147" s="18" t="str">
        <x:v>https://drive.google.com/file/d/1LDqtQLq9-kZLP0Vv_G3iiK8QKjy4pRXP/view?usp=drivesdk</x:v>
      </x:c>
      <x:c r="AL147" s="18" t="str">
        <x:v>SOURCE-VERIFIED / SOURCE VALUE CONFLICT</x:v>
      </x:c>
      <x:c r="AM147" s="18"/>
      <x:c r="AN147" s="18"/>
      <x:c r="AO147" s="18"/>
      <x:c r="AP147" s="18"/>
      <x:c r="AQ147" s="18" t="n">
        <x:v>0</x:v>
      </x:c>
      <x:c r="AR147" s="18" t="n">
        <x:v>0</x:v>
      </x:c>
      <x:c r="AS147" s="18"/>
      <x:c r="AT147" s="18"/>
      <x:c r="AU147" s="18"/>
      <x:c r="AV147" s="18"/>
    </x:row>
    <x:row r="148">
      <x:c r="A148" s="18" t="str">
        <x:v>Long 2025</x:v>
      </x:c>
      <x:c r="B148" s="18" t="str">
        <x:v>LONG25_TEAS_vs_CTRL_PCIA48VOL</x:v>
      </x:c>
      <x:c r="C148" s="18" t="str">
        <x:v>Perioperative electrical acupoint stimulation</x:v>
      </x:c>
      <x:c r="D148" s="18" t="str">
        <x:v>Electrodes/no current</x:v>
      </x:c>
      <x:c r="E148" s="18" t="str">
        <x:v>Opioid demand</x:v>
      </x:c>
      <x:c r="F148" s="18" t="str">
        <x:v>PCIA solution consumption</x:v>
      </x:c>
      <x:c r="G148" s="18" t="str">
        <x:v>48 h</x:v>
      </x:c>
      <x:c r="H148" s="18" t="str">
        <x:v>Mean/SD</x:v>
      </x:c>
      <x:c r="I148" s="18" t="n">
        <x:v>30</x:v>
      </x:c>
      <x:c r="J148" s="18" t="n">
        <x:v>30</x:v>
      </x:c>
      <x:c r="K148" s="18" t="n">
        <x:v>27</x:v>
      </x:c>
      <x:c r="L148" s="18" t="n">
        <x:v>26</x:v>
      </x:c>
      <x:c r="M148" s="18" t="n">
        <x:v>86.22</x:v>
      </x:c>
      <x:c r="N148" s="18" t="n">
        <x:v>4.27</x:v>
      </x:c>
      <x:c r="O148" s="18"/>
      <x:c r="P148" s="18"/>
      <x:c r="Q148" s="18"/>
      <x:c r="R148" s="18"/>
      <x:c r="S148" s="18" t="n">
        <x:v>89.23</x:v>
      </x:c>
      <x:c r="T148" s="18" t="n">
        <x:v>3.67</x:v>
      </x:c>
      <x:c r="U148" s="18"/>
      <x:c r="V148" s="18"/>
      <x:c r="W148" s="18"/>
      <x:c r="X148" s="18"/>
      <x:c r="Y148" s="18" t="str">
        <x:v>mL of weight-based sufentanil solution</x:v>
      </x:c>
      <x:c r="Z148" s="18" t="str">
        <x:v>0.008</x:v>
      </x:c>
      <x:c r="AA148" s="18" t="str">
        <x:v>Yes</x:v>
      </x:c>
      <x:c r="AB148" s="18" t="str">
        <x:v>No</x:v>
      </x:c>
      <x:c r="AC148" s="18" t="str">
        <x:v>MD</x:v>
      </x:c>
      <x:c r="AD148" s="18" t="n">
        <x:v>-3.010000000000005</x:v>
      </x:c>
      <x:c r="AE148" s="18" t="str">
        <x:v>No</x:v>
      </x:c>
      <x:c r="AF148" s="18" t="str">
        <x:v>No</x:v>
      </x:c>
      <x:c r="AG148" s="18" t="str">
        <x:v>Eligible only as 48-h pump-volume outcome, not as sufentanil mass</x:v>
      </x:c>
      <x:c r="AH148" s="18" t="str">
        <x:v>No</x:v>
      </x:c>
      <x:c r="AI148" s="18" t="str">
        <x:v>Reservoir contains 2 µg/kg sufentanil in 100 mL; group body weight is unavailable, so solution volume cannot be converted to group mean opioid mass</x:v>
      </x:c>
      <x:c r="AJ148" s="18" t="str">
        <x:v>Table 7 / Figure 9</x:v>
      </x:c>
      <x:c r="AK148" s="18" t="str">
        <x:v>https://drive.google.com/file/d/1LDqtQLq9-kZLP0Vv_G3iiK8QKjy4pRXP/view?usp=drivesdk</x:v>
      </x:c>
      <x:c r="AL148" s="18" t="str">
        <x:v>SOURCE-VERIFIED / DOSE NOT RECONSTRUCTABLE</x:v>
      </x:c>
      <x:c r="AM148" s="18"/>
      <x:c r="AN148" s="18"/>
      <x:c r="AO148" s="18"/>
      <x:c r="AP148" s="18"/>
      <x:c r="AQ148" s="18" t="n">
        <x:v>0</x:v>
      </x:c>
      <x:c r="AR148" s="18" t="n">
        <x:v>0</x:v>
      </x:c>
      <x:c r="AS148" s="18"/>
      <x:c r="AT148" s="18"/>
      <x:c r="AU148" s="18"/>
      <x:c r="AV148" s="18"/>
    </x:row>
    <x:row r="149">
      <x:c r="A149" s="18" t="str">
        <x:v>Long 2025</x:v>
      </x:c>
      <x:c r="B149" s="18" t="str">
        <x:v>LONG25_TEAS_vs_CTRL_PCIAPRESS48</x:v>
      </x:c>
      <x:c r="C149" s="18" t="str">
        <x:v>Perioperative electrical acupoint stimulation</x:v>
      </x:c>
      <x:c r="D149" s="18" t="str">
        <x:v>Electrodes/no current</x:v>
      </x:c>
      <x:c r="E149" s="18" t="str">
        <x:v>Opioid demand</x:v>
      </x:c>
      <x:c r="F149" s="18" t="str">
        <x:v>PCIA compression count</x:v>
      </x:c>
      <x:c r="G149" s="18" t="str">
        <x:v>48 h</x:v>
      </x:c>
      <x:c r="H149" s="18" t="str">
        <x:v>Mean/SD</x:v>
      </x:c>
      <x:c r="I149" s="18" t="n">
        <x:v>30</x:v>
      </x:c>
      <x:c r="J149" s="18" t="n">
        <x:v>30</x:v>
      </x:c>
      <x:c r="K149" s="18" t="n">
        <x:v>27</x:v>
      </x:c>
      <x:c r="L149" s="18" t="n">
        <x:v>26</x:v>
      </x:c>
      <x:c r="M149" s="18" t="n">
        <x:v>7.11</x:v>
      </x:c>
      <x:c r="N149" s="18" t="n">
        <x:v>2.14</x:v>
      </x:c>
      <x:c r="O149" s="18"/>
      <x:c r="P149" s="18"/>
      <x:c r="Q149" s="18"/>
      <x:c r="R149" s="18"/>
      <x:c r="S149" s="18" t="n">
        <x:v>8.62</x:v>
      </x:c>
      <x:c r="T149" s="18" t="n">
        <x:v>1.84</x:v>
      </x:c>
      <x:c r="U149" s="18"/>
      <x:c r="V149" s="18"/>
      <x:c r="W149" s="18"/>
      <x:c r="X149" s="18"/>
      <x:c r="Y149" s="18" t="str">
        <x:v>presses</x:v>
      </x:c>
      <x:c r="Z149" s="18" t="str">
        <x:v>0.008</x:v>
      </x:c>
      <x:c r="AA149" s="18" t="str">
        <x:v>Yes</x:v>
      </x:c>
      <x:c r="AB149" s="18" t="str">
        <x:v>No</x:v>
      </x:c>
      <x:c r="AC149" s="18" t="str">
        <x:v>MD</x:v>
      </x:c>
      <x:c r="AD149" s="18" t="n">
        <x:v>-1.509999999999999</x:v>
      </x:c>
      <x:c r="AE149" s="18" t="str">
        <x:v>No</x:v>
      </x:c>
      <x:c r="AF149" s="18" t="str">
        <x:v>No</x:v>
      </x:c>
      <x:c r="AG149" s="18" t="str">
        <x:v>Eligible as 48-h PCA-demand outcome only</x:v>
      </x:c>
      <x:c r="AH149" s="18" t="str">
        <x:v>No</x:v>
      </x:c>
      <x:c r="AI149" s="18" t="str">
        <x:v>Do not translate compression count into delivered sufentanil mass</x:v>
      </x:c>
      <x:c r="AJ149" s="18" t="str">
        <x:v>Table 7 / Figure 9</x:v>
      </x:c>
      <x:c r="AK149" s="18" t="str">
        <x:v>https://drive.google.com/file/d/1LDqtQLq9-kZLP0Vv_G3iiK8QKjy4pRXP/view?usp=drivesdk</x:v>
      </x:c>
      <x:c r="AL149" s="18" t="str">
        <x:v>SOURCE-VERIFIED</x:v>
      </x:c>
      <x:c r="AM149" s="18" t="str">
        <x:v>F-PCA-005</x:v>
      </x:c>
      <x:c r="AN149" s="18" t="str">
        <x:v>F-PCA</x:v>
      </x:c>
      <x:c r="AO149" s="18" t="str">
        <x:v>F_PCA_behavior</x:v>
      </x:c>
      <x:c r="AP149" s="18" t="str">
        <x:v>MATCHED</x:v>
      </x:c>
      <x:c r="AQ149" s="18" t="n">
        <x:v>0</x:v>
      </x:c>
      <x:c r="AR149" s="18" t="n">
        <x:v>1</x:v>
      </x:c>
      <x:c r="AS149" s="18" t="str">
        <x:v>High</x:v>
      </x:c>
      <x:c r="AT149" s="18" t="str">
        <x:v>P3</x:v>
      </x:c>
      <x:c r="AU149" s="18"/>
      <x:c r="AV149" s="18" t="str">
        <x:v>7.11±2.14 vs8.62±1.84; P=0.008</x:v>
      </x:c>
    </x:row>
    <x:row r="150">
      <x:c r="A150" s="18" t="str">
        <x:v>Long 2025</x:v>
      </x:c>
      <x:c r="B150" s="18" t="str">
        <x:v>LONG25_TEAS_vs_CTRL_PONV</x:v>
      </x:c>
      <x:c r="C150" s="18" t="str">
        <x:v>Perioperative electrical acupoint stimulation</x:v>
      </x:c>
      <x:c r="D150" s="18" t="str">
        <x:v>Electrodes/no current</x:v>
      </x:c>
      <x:c r="E150" s="18" t="str">
        <x:v>PONV</x:v>
      </x:c>
      <x:c r="F150" s="18" t="str">
        <x:v>PONV incidence</x:v>
      </x:c>
      <x:c r="G150" s="18" t="str">
        <x:v>Postoperative</x:v>
      </x:c>
      <x:c r="H150" s="18" t="str">
        <x:v>Events/total</x:v>
      </x:c>
      <x:c r="I150" s="18" t="n">
        <x:v>30</x:v>
      </x:c>
      <x:c r="J150" s="18" t="n">
        <x:v>30</x:v>
      </x:c>
      <x:c r="K150" s="18" t="n">
        <x:v>27</x:v>
      </x:c>
      <x:c r="L150" s="18" t="n">
        <x:v>26</x:v>
      </x:c>
      <x:c r="M150" s="18"/>
      <x:c r="N150" s="18"/>
      <x:c r="O150" s="18"/>
      <x:c r="P150" s="18"/>
      <x:c r="Q150" s="18"/>
      <x:c r="R150" s="18" t="n">
        <x:v>1</x:v>
      </x:c>
      <x:c r="S150" s="18"/>
      <x:c r="T150" s="18"/>
      <x:c r="U150" s="18"/>
      <x:c r="V150" s="18"/>
      <x:c r="W150" s="18"/>
      <x:c r="X150" s="18" t="n">
        <x:v>8</x:v>
      </x:c>
      <x:c r="Y150" s="18" t="str">
        <x:v>participants</x:v>
      </x:c>
      <x:c r="Z150" s="18" t="str">
        <x:v>NR</x:v>
      </x:c>
      <x:c r="AA150" s="18" t="str">
        <x:v>Yes</x:v>
      </x:c>
      <x:c r="AB150" s="18" t="str">
        <x:v>No</x:v>
      </x:c>
      <x:c r="AC150" s="18" t="str">
        <x:v>RR</x:v>
      </x:c>
      <x:c r="AD150" s="18" t="n">
        <x:v>0.12037037037037036</x:v>
      </x:c>
      <x:c r="AE150" s="18" t="str">
        <x:v>No</x:v>
      </x:c>
      <x:c r="AF150" s="18" t="str">
        <x:v>No</x:v>
      </x:c>
      <x:c r="AG150" s="18" t="str">
        <x:v>Eligible for dichotomous PONV analysis using final analyzed denominators</x:v>
      </x:c>
      <x:c r="AH150" s="18" t="str">
        <x:v>No</x:v>
      </x:c>
      <x:c r="AI150" s="18" t="str">
        <x:v>Adverse-event percentages elsewhere are internally inconsistent; raw 1/27 vs 8/26 is retained</x:v>
      </x:c>
      <x:c r="AJ150" s="18" t="str">
        <x:v>Adverse events / PONV</x:v>
      </x:c>
      <x:c r="AK150" s="18" t="str">
        <x:v>https://drive.google.com/file/d/1LDqtQLq9-kZLP0Vv_G3iiK8QKjy4pRXP/view?usp=drivesdk</x:v>
      </x:c>
      <x:c r="AL150" s="18" t="str">
        <x:v>SOURCE-VERIFIED / PERCENTAGE QC</x:v>
      </x:c>
      <x:c r="AM150" s="18"/>
      <x:c r="AN150" s="18"/>
      <x:c r="AO150" s="18"/>
      <x:c r="AP150" s="18"/>
      <x:c r="AQ150" s="18" t="n">
        <x:v>0</x:v>
      </x:c>
      <x:c r="AR150" s="18" t="n">
        <x:v>0</x:v>
      </x:c>
      <x:c r="AS150" s="18"/>
      <x:c r="AT150" s="18"/>
      <x:c r="AU150" s="18"/>
      <x:c r="AV150" s="18"/>
    </x:row>
    <x:row r="151">
      <x:c r="A151" s="18" t="str">
        <x:v>Long 2025</x:v>
      </x:c>
      <x:c r="B151" s="18" t="str">
        <x:v>LONG25_TEAS_vs_CTRL_OPIOID24</x:v>
      </x:c>
      <x:c r="C151" s="18" t="str">
        <x:v>Perioperative electrical acupoint stimulation</x:v>
      </x:c>
      <x:c r="D151" s="18" t="str">
        <x:v>Electrodes/no current</x:v>
      </x:c>
      <x:c r="E151" s="18" t="str">
        <x:v>Opioid consumption</x:v>
      </x:c>
      <x:c r="F151" s="18" t="str">
        <x:v>Exact cumulative postoperative sufentanil consumption</x:v>
      </x:c>
      <x:c r="G151" s="18" t="str">
        <x:v>0-24 h</x:v>
      </x:c>
      <x:c r="H151" s="18" t="str">
        <x:v>Not reported</x:v>
      </x:c>
      <x:c r="I151" s="18" t="n">
        <x:v>30</x:v>
      </x:c>
      <x:c r="J151" s="18" t="n">
        <x:v>30</x:v>
      </x:c>
      <x:c r="K151" s="18" t="n">
        <x:v>27</x:v>
      </x:c>
      <x:c r="L151" s="18" t="n">
        <x:v>26</x:v>
      </x:c>
      <x:c r="M151" s="18"/>
      <x:c r="N151" s="18"/>
      <x:c r="O151" s="18"/>
      <x:c r="P151" s="18"/>
      <x:c r="Q151" s="18"/>
      <x:c r="R151" s="18"/>
      <x:c r="S151" s="18"/>
      <x:c r="T151" s="18"/>
      <x:c r="U151" s="18"/>
      <x:c r="V151" s="18"/>
      <x:c r="W151" s="18"/>
      <x:c r="X151" s="18"/>
      <x:c r="Y151" s="18" t="str">
        <x:v>µg sufentanil</x:v>
      </x:c>
      <x:c r="Z151" s="18"/>
      <x:c r="AA151" s="18" t="str">
        <x:v>No</x:v>
      </x:c>
      <x:c r="AB151" s="18" t="str">
        <x:v>No</x:v>
      </x:c>
      <x:c r="AC151" s="18" t="str"/>
      <x:c r="AD151" s="18" t="str"/>
      <x:c r="AE151" s="18" t="str">
        <x:v>No</x:v>
      </x:c>
      <x:c r="AF151" s="18" t="str">
        <x:v>No</x:v>
      </x:c>
      <x:c r="AG151" s="18" t="str">
        <x:v>Not eligible for continuous 24-h opioid/MME meta-analysis</x:v>
      </x:c>
      <x:c r="AH151" s="18" t="str">
        <x:v>No</x:v>
      </x:c>
      <x:c r="AI151" s="18" t="str">
        <x:v>24-h PCIA volume/compressions are not reported; even 48-h volume cannot be converted exactly to sufentanil mass without body weight</x:v>
      </x:c>
      <x:c r="AJ151" s="18" t="str">
        <x:v>Exact 24-h opioid endpoint absent</x:v>
      </x:c>
      <x:c r="AK151" s="18" t="str">
        <x:v>https://drive.google.com/file/d/1LDqtQLq9-kZLP0Vv_G3iiK8QKjy4pRXP/view?usp=drivesdk</x:v>
      </x:c>
      <x:c r="AL151" s="18" t="str">
        <x:v>MISSING / AUTHOR DATA NEEDED</x:v>
      </x:c>
      <x:c r="AM151" s="18"/>
      <x:c r="AN151" s="18"/>
      <x:c r="AO151" s="18"/>
      <x:c r="AP151" s="18"/>
      <x:c r="AQ151" s="18" t="n">
        <x:v>0</x:v>
      </x:c>
      <x:c r="AR151" s="18" t="n">
        <x:v>0</x:v>
      </x:c>
      <x:c r="AS151" s="18"/>
      <x:c r="AT151" s="18"/>
      <x:c r="AU151" s="18"/>
      <x:c r="AV151" s="18"/>
    </x:row>
    <x:row r="152">
      <x:c r="A152" s="18" t="str">
        <x:v>Li 2021</x:v>
      </x:c>
      <x:c r="B152" s="18" t="str">
        <x:v>LI21_TEAS_vs_SHAM_BOWEL</x:v>
      </x:c>
      <x:c r="C152" s="18" t="str">
        <x:v>Perioperative TEAS</x:v>
      </x:c>
      <x:c r="D152" s="18" t="str">
        <x:v>Sham-point/no current</x:v>
      </x:c>
      <x:c r="E152" s="18" t="str">
        <x:v>GI recovery</x:v>
      </x:c>
      <x:c r="F152" s="18" t="str">
        <x:v>Time to first bowel motion by auscultation</x:v>
      </x:c>
      <x:c r="G152" s="18" t="str">
        <x:v>Postoperative</x:v>
      </x:c>
      <x:c r="H152" s="18" t="str">
        <x:v>Median/IQR</x:v>
      </x:c>
      <x:c r="I152" s="18" t="n">
        <x:v>154</x:v>
      </x:c>
      <x:c r="J152" s="18" t="n">
        <x:v>152</x:v>
      </x:c>
      <x:c r="K152" s="18" t="n">
        <x:v>140</x:v>
      </x:c>
      <x:c r="L152" s="18" t="n">
        <x:v>140</x:v>
      </x:c>
      <x:c r="M152" s="18"/>
      <x:c r="N152" s="18"/>
      <x:c r="O152" s="18" t="n">
        <x:v>31</x:v>
      </x:c>
      <x:c r="P152" s="18" t="n">
        <x:v>18.8</x:v>
      </x:c>
      <x:c r="Q152" s="18" t="n">
        <x:v>45.3</x:v>
      </x:c>
      <x:c r="R152" s="18"/>
      <x:c r="S152" s="18"/>
      <x:c r="T152" s="18"/>
      <x:c r="U152" s="18" t="n">
        <x:v>42</x:v>
      </x:c>
      <x:c r="V152" s="18" t="n">
        <x:v>22.1</x:v>
      </x:c>
      <x:c r="W152" s="18" t="n">
        <x:v>52.4</x:v>
      </x:c>
      <x:c r="X152" s="18"/>
      <x:c r="Y152" s="18" t="str">
        <x:v>hours</x:v>
      </x:c>
      <x:c r="Z152" s="18" t="str">
        <x:v>&lt;0.01</x:v>
      </x:c>
      <x:c r="AA152" s="18" t="str">
        <x:v>Yes</x:v>
      </x:c>
      <x:c r="AB152" s="18" t="str">
        <x:v>No</x:v>
      </x:c>
      <x:c r="AC152" s="18" t="str"/>
      <x:c r="AD152" s="18" t="str"/>
      <x:c r="AE152" s="18" t="str">
        <x:v>No</x:v>
      </x:c>
      <x:c r="AF152" s="18" t="str">
        <x:v>No</x:v>
      </x:c>
      <x:c r="AG152" s="18" t="str">
        <x:v>Eligible for GI-recovery meta-analysis using median/IQR methods</x:v>
      </x:c>
      <x:c r="AH152" s="18" t="str">
        <x:v>No</x:v>
      </x:c>
      <x:c r="AI152" s="18" t="str">
        <x:v>26/306 randomized patients excluded in per-protocol analysis; exclusions include ICU transfer and operation cancellation</x:v>
      </x:c>
      <x:c r="AJ152" s="18" t="str">
        <x:v>Primary outcome / first bowel motion</x:v>
      </x:c>
      <x:c r="AK152" s="18" t="str">
        <x:v>https://drive.google.com/file/d/1NvcLlsb17N6EMhtHs_L_WBnf40wsrtRz/view?usp=drivesdk</x:v>
      </x:c>
      <x:c r="AL152" s="18" t="str">
        <x:v>SOURCE-VERIFIED / ATTRITION QC</x:v>
      </x:c>
      <x:c r="AM152" s="18"/>
      <x:c r="AN152" s="18"/>
      <x:c r="AO152" s="18"/>
      <x:c r="AP152" s="18"/>
      <x:c r="AQ152" s="18" t="n">
        <x:v>0</x:v>
      </x:c>
      <x:c r="AR152" s="18" t="n">
        <x:v>0</x:v>
      </x:c>
      <x:c r="AS152" s="18"/>
      <x:c r="AT152" s="18"/>
      <x:c r="AU152" s="18"/>
      <x:c r="AV152" s="18"/>
    </x:row>
    <x:row r="153">
      <x:c r="A153" s="18" t="str">
        <x:v>Li 2021</x:v>
      </x:c>
      <x:c r="B153" s="18" t="str">
        <x:v>LI21_TEAS_vs_SHAM_FLATUS</x:v>
      </x:c>
      <x:c r="C153" s="18" t="str">
        <x:v>Perioperative TEAS</x:v>
      </x:c>
      <x:c r="D153" s="18" t="str">
        <x:v>Sham-point/no current</x:v>
      </x:c>
      <x:c r="E153" s="18" t="str">
        <x:v>GI recovery</x:v>
      </x:c>
      <x:c r="F153" s="18" t="str">
        <x:v>Time to first flatus</x:v>
      </x:c>
      <x:c r="G153" s="18" t="str">
        <x:v>Postoperative</x:v>
      </x:c>
      <x:c r="H153" s="18" t="str">
        <x:v>Median/IQR</x:v>
      </x:c>
      <x:c r="I153" s="18" t="n">
        <x:v>154</x:v>
      </x:c>
      <x:c r="J153" s="18" t="n">
        <x:v>152</x:v>
      </x:c>
      <x:c r="K153" s="18" t="n">
        <x:v>140</x:v>
      </x:c>
      <x:c r="L153" s="18" t="n">
        <x:v>140</x:v>
      </x:c>
      <x:c r="M153" s="18"/>
      <x:c r="N153" s="18"/>
      <x:c r="O153" s="18" t="n">
        <x:v>44</x:v>
      </x:c>
      <x:c r="P153" s="18" t="n">
        <x:v>26.5</x:v>
      </x:c>
      <x:c r="Q153" s="18" t="n">
        <x:v>63.9</x:v>
      </x:c>
      <x:c r="R153" s="18"/>
      <x:c r="S153" s="18"/>
      <x:c r="T153" s="18"/>
      <x:c r="U153" s="18" t="n">
        <x:v>64</x:v>
      </x:c>
      <x:c r="V153" s="18" t="n">
        <x:v>30</x:v>
      </x:c>
      <x:c r="W153" s="18" t="n">
        <x:v>70.6</x:v>
      </x:c>
      <x:c r="X153" s="18"/>
      <x:c r="Y153" s="18" t="str">
        <x:v>hours</x:v>
      </x:c>
      <x:c r="Z153" s="18" t="str">
        <x:v>&lt;0.01</x:v>
      </x:c>
      <x:c r="AA153" s="18" t="str">
        <x:v>Yes</x:v>
      </x:c>
      <x:c r="AB153" s="18" t="str">
        <x:v>No</x:v>
      </x:c>
      <x:c r="AC153" s="18" t="str"/>
      <x:c r="AD153" s="18" t="str"/>
      <x:c r="AE153" s="18" t="str">
        <x:v>No</x:v>
      </x:c>
      <x:c r="AF153" s="18" t="str">
        <x:v>No</x:v>
      </x:c>
      <x:c r="AG153" s="18" t="str">
        <x:v>Eligible for GI-recovery meta-analysis using median/IQR methods</x:v>
      </x:c>
      <x:c r="AH153" s="18" t="str">
        <x:v>No</x:v>
      </x:c>
      <x:c r="AI153" s="18" t="str">
        <x:v>Use PP analyzed denominators explicitly; do not fabricate mean/SD</x:v>
      </x:c>
      <x:c r="AJ153" s="18" t="str">
        <x:v>First-flatus result</x:v>
      </x:c>
      <x:c r="AK153" s="18" t="str">
        <x:v>https://drive.google.com/file/d/1NvcLlsb17N6EMhtHs_L_WBnf40wsrtRz/view?usp=drivesdk</x:v>
      </x:c>
      <x:c r="AL153" s="18" t="str">
        <x:v>SOURCE-VERIFIED / ATTRITION QC</x:v>
      </x:c>
      <x:c r="AM153" s="18"/>
      <x:c r="AN153" s="18"/>
      <x:c r="AO153" s="18"/>
      <x:c r="AP153" s="18"/>
      <x:c r="AQ153" s="18" t="n">
        <x:v>0</x:v>
      </x:c>
      <x:c r="AR153" s="18" t="n">
        <x:v>0</x:v>
      </x:c>
      <x:c r="AS153" s="18"/>
      <x:c r="AT153" s="18"/>
      <x:c r="AU153" s="18"/>
      <x:c r="AV153" s="18"/>
    </x:row>
    <x:row r="154">
      <x:c r="A154" s="18" t="str">
        <x:v>Li 2021</x:v>
      </x:c>
      <x:c r="B154" s="18" t="str">
        <x:v>LI21_TEAS_vs_SHAM_PGD</x:v>
      </x:c>
      <x:c r="C154" s="18" t="str">
        <x:v>Perioperative TEAS</x:v>
      </x:c>
      <x:c r="D154" s="18" t="str">
        <x:v>Sham-point/no current</x:v>
      </x:c>
      <x:c r="E154" s="18" t="str">
        <x:v>GI recovery</x:v>
      </x:c>
      <x:c r="F154" s="18" t="str">
        <x:v>Postoperative gastrointestinal dysfunction: no bowel sounds &gt;48 h</x:v>
      </x:c>
      <x:c r="G154" s="18" t="str">
        <x:v>Postoperative</x:v>
      </x:c>
      <x:c r="H154" s="18" t="str">
        <x:v>Events/total</x:v>
      </x:c>
      <x:c r="I154" s="18" t="n">
        <x:v>154</x:v>
      </x:c>
      <x:c r="J154" s="18" t="n">
        <x:v>152</x:v>
      </x:c>
      <x:c r="K154" s="18" t="n">
        <x:v>140</x:v>
      </x:c>
      <x:c r="L154" s="18" t="n">
        <x:v>140</x:v>
      </x:c>
      <x:c r="M154" s="18"/>
      <x:c r="N154" s="18"/>
      <x:c r="O154" s="18"/>
      <x:c r="P154" s="18"/>
      <x:c r="Q154" s="18"/>
      <x:c r="R154" s="18" t="n">
        <x:v>26</x:v>
      </x:c>
      <x:c r="S154" s="18"/>
      <x:c r="T154" s="18"/>
      <x:c r="U154" s="18"/>
      <x:c r="V154" s="18"/>
      <x:c r="W154" s="18"/>
      <x:c r="X154" s="18" t="n">
        <x:v>44</x:v>
      </x:c>
      <x:c r="Y154" s="18" t="str">
        <x:v>participants</x:v>
      </x:c>
      <x:c r="Z154" s="18" t="str">
        <x:v>NR</x:v>
      </x:c>
      <x:c r="AA154" s="18" t="str">
        <x:v>Yes</x:v>
      </x:c>
      <x:c r="AB154" s="18" t="str">
        <x:v>No</x:v>
      </x:c>
      <x:c r="AC154" s="18" t="str">
        <x:v>RR</x:v>
      </x:c>
      <x:c r="AD154" s="18" t="n">
        <x:v>0.5909090909090909</x:v>
      </x:c>
      <x:c r="AE154" s="18" t="str">
        <x:v>No</x:v>
      </x:c>
      <x:c r="AF154" s="18" t="str">
        <x:v>No</x:v>
      </x:c>
      <x:c r="AG154" s="18" t="str">
        <x:v>Eligible for dichotomous PGD analysis</x:v>
      </x:c>
      <x:c r="AH154" s="18" t="str">
        <x:v>No</x:v>
      </x:c>
      <x:c r="AI154" s="18" t="str">
        <x:v>Study-specific PGD definition; majority of events were in colorectal stratum</x:v>
      </x:c>
      <x:c r="AJ154" s="18" t="str">
        <x:v>PGD incidence</x:v>
      </x:c>
      <x:c r="AK154" s="18" t="str">
        <x:v>https://drive.google.com/file/d/1NvcLlsb17N6EMhtHs_L_WBnf40wsrtRz/view?usp=drivesdk</x:v>
      </x:c>
      <x:c r="AL154" s="18" t="str">
        <x:v>SOURCE-VERIFIED</x:v>
      </x:c>
      <x:c r="AM154" s="18"/>
      <x:c r="AN154" s="18"/>
      <x:c r="AO154" s="18"/>
      <x:c r="AP154" s="18"/>
      <x:c r="AQ154" s="18" t="n">
        <x:v>0</x:v>
      </x:c>
      <x:c r="AR154" s="18" t="n">
        <x:v>0</x:v>
      </x:c>
      <x:c r="AS154" s="18"/>
      <x:c r="AT154" s="18"/>
      <x:c r="AU154" s="18"/>
      <x:c r="AV154" s="18"/>
    </x:row>
    <x:row r="155">
      <x:c r="A155" s="18" t="str">
        <x:v>Li 2021</x:v>
      </x:c>
      <x:c r="B155" s="18" t="str">
        <x:v>LI21_TEAS_vs_SHAM_PAIN6</x:v>
      </x:c>
      <x:c r="C155" s="18" t="str">
        <x:v>Perioperative TEAS</x:v>
      </x:c>
      <x:c r="D155" s="18" t="str">
        <x:v>Sham-point/no current</x:v>
      </x:c>
      <x:c r="E155" s="18" t="str">
        <x:v>Pain</x:v>
      </x:c>
      <x:c r="F155" s="18" t="str">
        <x:v>VAS ≥4</x:v>
      </x:c>
      <x:c r="G155" s="18" t="str">
        <x:v>6 h</x:v>
      </x:c>
      <x:c r="H155" s="18" t="str">
        <x:v>Events/total</x:v>
      </x:c>
      <x:c r="I155" s="18" t="n">
        <x:v>154</x:v>
      </x:c>
      <x:c r="J155" s="18" t="n">
        <x:v>152</x:v>
      </x:c>
      <x:c r="K155" s="18" t="n">
        <x:v>140</x:v>
      </x:c>
      <x:c r="L155" s="18" t="n">
        <x:v>140</x:v>
      </x:c>
      <x:c r="M155" s="18"/>
      <x:c r="N155" s="18"/>
      <x:c r="O155" s="18"/>
      <x:c r="P155" s="18"/>
      <x:c r="Q155" s="18"/>
      <x:c r="R155" s="18" t="n">
        <x:v>30</x:v>
      </x:c>
      <x:c r="S155" s="18"/>
      <x:c r="T155" s="18"/>
      <x:c r="U155" s="18"/>
      <x:c r="V155" s="18"/>
      <x:c r="W155" s="18"/>
      <x:c r="X155" s="18" t="n">
        <x:v>50</x:v>
      </x:c>
      <x:c r="Y155" s="18" t="str">
        <x:v>participants</x:v>
      </x:c>
      <x:c r="Z155" s="18" t="str">
        <x:v>0.008</x:v>
      </x:c>
      <x:c r="AA155" s="18" t="str">
        <x:v>Yes</x:v>
      </x:c>
      <x:c r="AB155" s="18" t="str">
        <x:v>No</x:v>
      </x:c>
      <x:c r="AC155" s="18" t="str">
        <x:v>RR</x:v>
      </x:c>
      <x:c r="AD155" s="18" t="n">
        <x:v>0.6</x:v>
      </x:c>
      <x:c r="AE155" s="18" t="str">
        <x:v>No</x:v>
      </x:c>
      <x:c r="AF155" s="18" t="str">
        <x:v>No</x:v>
      </x:c>
      <x:c r="AG155" s="18" t="str">
        <x:v>Eligible for dichotomous 6-h significant-pain analysis</x:v>
      </x:c>
      <x:c r="AH155" s="18" t="str">
        <x:v>No</x:v>
      </x:c>
      <x:c r="AI155" s="18" t="str">
        <x:v>Pain is reported as binary VAS ≥4 rather than continuous score</x:v>
      </x:c>
      <x:c r="AJ155" s="18" t="str">
        <x:v>Postoperative pain table / 6 h</x:v>
      </x:c>
      <x:c r="AK155" s="18" t="str">
        <x:v>https://drive.google.com/file/d/1NvcLlsb17N6EMhtHs_L_WBnf40wsrtRz/view?usp=drivesdk</x:v>
      </x:c>
      <x:c r="AL155" s="18" t="str">
        <x:v>SOURCE-VERIFIED</x:v>
      </x:c>
      <x:c r="AM155" s="18"/>
      <x:c r="AN155" s="18"/>
      <x:c r="AO155" s="18"/>
      <x:c r="AP155" s="18"/>
      <x:c r="AQ155" s="18" t="n">
        <x:v>0</x:v>
      </x:c>
      <x:c r="AR155" s="18" t="n">
        <x:v>0</x:v>
      </x:c>
      <x:c r="AS155" s="18"/>
      <x:c r="AT155" s="18"/>
      <x:c r="AU155" s="18"/>
      <x:c r="AV155" s="18"/>
    </x:row>
    <x:row r="156">
      <x:c r="A156" s="18" t="str">
        <x:v>Li 2021</x:v>
      </x:c>
      <x:c r="B156" s="18" t="str">
        <x:v>LI21_TEAS_vs_SHAM_OPIOID24</x:v>
      </x:c>
      <x:c r="C156" s="18" t="str">
        <x:v>Perioperative TEAS</x:v>
      </x:c>
      <x:c r="D156" s="18" t="str">
        <x:v>Sham-point/no current</x:v>
      </x:c>
      <x:c r="E156" s="18" t="str">
        <x:v>Opioid consumption</x:v>
      </x:c>
      <x:c r="F156" s="18" t="str">
        <x:v>Cumulative postoperative sufentanil consumption</x:v>
      </x:c>
      <x:c r="G156" s="18" t="str">
        <x:v>0-24 h</x:v>
      </x:c>
      <x:c r="H156" s="18" t="str">
        <x:v>Not reported</x:v>
      </x:c>
      <x:c r="I156" s="18" t="n">
        <x:v>154</x:v>
      </x:c>
      <x:c r="J156" s="18" t="n">
        <x:v>152</x:v>
      </x:c>
      <x:c r="K156" s="18" t="n">
        <x:v>140</x:v>
      </x:c>
      <x:c r="L156" s="18" t="n">
        <x:v>140</x:v>
      </x:c>
      <x:c r="M156" s="18"/>
      <x:c r="N156" s="18"/>
      <x:c r="O156" s="18"/>
      <x:c r="P156" s="18"/>
      <x:c r="Q156" s="18"/>
      <x:c r="R156" s="18"/>
      <x:c r="S156" s="18"/>
      <x:c r="T156" s="18"/>
      <x:c r="U156" s="18"/>
      <x:c r="V156" s="18"/>
      <x:c r="W156" s="18"/>
      <x:c r="X156" s="18"/>
      <x:c r="Y156" s="18" t="str">
        <x:v>published pump formulation says 250 mg sufentanil/250 mL</x:v>
      </x:c>
      <x:c r="Z156" s="18"/>
      <x:c r="AA156" s="18" t="str">
        <x:v>No</x:v>
      </x:c>
      <x:c r="AB156" s="18" t="str">
        <x:v>No</x:v>
      </x:c>
      <x:c r="AC156" s="18" t="str"/>
      <x:c r="AD156" s="18" t="str"/>
      <x:c r="AE156" s="18" t="str">
        <x:v>No</x:v>
      </x:c>
      <x:c r="AF156" s="18" t="str">
        <x:v>No</x:v>
      </x:c>
      <x:c r="AG156" s="18" t="str">
        <x:v>Not eligible for continuous 24-h opioid/MME meta-analysis</x:v>
      </x:c>
      <x:c r="AH156" s="18" t="str">
        <x:v>No</x:v>
      </x:c>
      <x:c r="AI156" s="18" t="str">
        <x:v>Printed pump unit is clinically implausible, programming is missing, and actual 24-h delivered dose is not reported; do not silently change mg to µg</x:v>
      </x:c>
      <x:c r="AJ156" s="18" t="str">
        <x:v>Postoperative analgesia pump / exact 24-h endpoint absent</x:v>
      </x:c>
      <x:c r="AK156" s="18" t="str">
        <x:v>https://drive.google.com/file/d/1NvcLlsb17N6EMhtHs_L_WBnf40wsrtRz/view?usp=drivesdk</x:v>
      </x:c>
      <x:c r="AL156" s="18" t="str">
        <x:v>MISSING / UNIT + DOSE UNRESOLVED</x:v>
      </x:c>
      <x:c r="AM156" s="18"/>
      <x:c r="AN156" s="18"/>
      <x:c r="AO156" s="18"/>
      <x:c r="AP156" s="18"/>
      <x:c r="AQ156" s="18" t="n">
        <x:v>0</x:v>
      </x:c>
      <x:c r="AR156" s="18" t="n">
        <x:v>0</x:v>
      </x:c>
      <x:c r="AS156" s="18"/>
      <x:c r="AT156" s="18"/>
      <x:c r="AU156" s="18"/>
      <x:c r="AV156" s="18"/>
    </x:row>
    <x:row r="157">
      <x:c r="A157" s="18" t="str">
        <x:v>Liu 2026 (ESD)</x:v>
      </x:c>
      <x:c r="B157" s="18" t="str">
        <x:v>LIU26ESD_TEAS_vs_SHAM_MODPAIN24</x:v>
      </x:c>
      <x:c r="C157" s="18" t="str">
        <x:v>Perioperative TEAS</x:v>
      </x:c>
      <x:c r="D157" s="18" t="str">
        <x:v>Sham-point/no current</x:v>
      </x:c>
      <x:c r="E157" s="18" t="str">
        <x:v>Pain</x:v>
      </x:c>
      <x:c r="F157" s="18" t="str">
        <x:v>Moderate-to-severe pain (NRS ≥4)</x:v>
      </x:c>
      <x:c r="G157" s="18" t="str">
        <x:v>Within 24 h</x:v>
      </x:c>
      <x:c r="H157" s="18" t="str">
        <x:v>Events/total</x:v>
      </x:c>
      <x:c r="I157" s="18" t="n">
        <x:v>64</x:v>
      </x:c>
      <x:c r="J157" s="18" t="n">
        <x:v>65</x:v>
      </x:c>
      <x:c r="K157" s="18" t="n">
        <x:v>58</x:v>
      </x:c>
      <x:c r="L157" s="18" t="n">
        <x:v>62</x:v>
      </x:c>
      <x:c r="M157" s="18"/>
      <x:c r="N157" s="18"/>
      <x:c r="O157" s="18"/>
      <x:c r="P157" s="18"/>
      <x:c r="Q157" s="18"/>
      <x:c r="R157" s="18" t="n">
        <x:v>22</x:v>
      </x:c>
      <x:c r="S157" s="18"/>
      <x:c r="T157" s="18"/>
      <x:c r="U157" s="18"/>
      <x:c r="V157" s="18"/>
      <x:c r="W157" s="18"/>
      <x:c r="X157" s="18" t="n">
        <x:v>40</x:v>
      </x:c>
      <x:c r="Y157" s="18" t="str">
        <x:v>participants</x:v>
      </x:c>
      <x:c r="Z157" s="18" t="str">
        <x:v>0.004</x:v>
      </x:c>
      <x:c r="AA157" s="18" t="str">
        <x:v>Yes</x:v>
      </x:c>
      <x:c r="AB157" s="18" t="str">
        <x:v>No</x:v>
      </x:c>
      <x:c r="AC157" s="18" t="str">
        <x:v>RR</x:v>
      </x:c>
      <x:c r="AD157" s="18" t="n">
        <x:v>0.5879310344827586</x:v>
      </x:c>
      <x:c r="AE157" s="18" t="str">
        <x:v>No</x:v>
      </x:c>
      <x:c r="AF157" s="18" t="str">
        <x:v>No</x:v>
      </x:c>
      <x:c r="AG157" s="18" t="str">
        <x:v>Eligible for dichotomous 24-h moderate-to-severe pain analysis</x:v>
      </x:c>
      <x:c r="AH157" s="18" t="str">
        <x:v>No</x:v>
      </x:c>
      <x:c r="AI157" s="18" t="str">
        <x:v>9/129 randomized participants excluded after randomization, including postoperative bleeding and conversion to laparotomy; no ITT sensitivity analysis</x:v>
      </x:c>
      <x:c r="AJ157" s="18" t="str">
        <x:v>Primary outcome / NRS ≥4 within 24 h</x:v>
      </x:c>
      <x:c r="AK157" s="18" t="str">
        <x:v>https://drive.google.com/file/d/1Hp7pCBP8iXkGGYVhlFY0BHTeaaM7bhdY/view?usp=drivesdk</x:v>
      </x:c>
      <x:c r="AL157" s="18" t="str">
        <x:v>SOURCE-VERIFIED / ATTRITION QC</x:v>
      </x:c>
      <x:c r="AM157" s="18"/>
      <x:c r="AN157" s="18"/>
      <x:c r="AO157" s="18"/>
      <x:c r="AP157" s="18"/>
      <x:c r="AQ157" s="18" t="n">
        <x:v>0</x:v>
      </x:c>
      <x:c r="AR157" s="18" t="n">
        <x:v>0</x:v>
      </x:c>
      <x:c r="AS157" s="18"/>
      <x:c r="AT157" s="18"/>
      <x:c r="AU157" s="18"/>
      <x:c r="AV157" s="18"/>
    </x:row>
    <x:row r="158">
      <x:c r="A158" s="18" t="str">
        <x:v>Liu 2026 (ESD)</x:v>
      </x:c>
      <x:c r="B158" s="18" t="str">
        <x:v>LIU26ESD_TEAS_vs_SHAM_NRS24</x:v>
      </x:c>
      <x:c r="C158" s="18" t="str">
        <x:v>Perioperative TEAS</x:v>
      </x:c>
      <x:c r="D158" s="18" t="str">
        <x:v>Sham-point/no current</x:v>
      </x:c>
      <x:c r="E158" s="18" t="str">
        <x:v>Pain</x:v>
      </x:c>
      <x:c r="F158" s="18" t="str">
        <x:v>NRS pain intensity</x:v>
      </x:c>
      <x:c r="G158" s="18" t="str">
        <x:v>24 h</x:v>
      </x:c>
      <x:c r="H158" s="18" t="str">
        <x:v>Mean/SD</x:v>
      </x:c>
      <x:c r="I158" s="18" t="n">
        <x:v>64</x:v>
      </x:c>
      <x:c r="J158" s="18" t="n">
        <x:v>65</x:v>
      </x:c>
      <x:c r="K158" s="18" t="n">
        <x:v>58</x:v>
      </x:c>
      <x:c r="L158" s="18" t="n">
        <x:v>62</x:v>
      </x:c>
      <x:c r="M158" s="18" t="n">
        <x:v>1.2</x:v>
      </x:c>
      <x:c r="N158" s="18" t="n">
        <x:v>1.3</x:v>
      </x:c>
      <x:c r="O158" s="18"/>
      <x:c r="P158" s="18"/>
      <x:c r="Q158" s="18"/>
      <x:c r="R158" s="18"/>
      <x:c r="S158" s="18" t="n">
        <x:v>2.8</x:v>
      </x:c>
      <x:c r="T158" s="18" t="n">
        <x:v>1.9</x:v>
      </x:c>
      <x:c r="U158" s="18"/>
      <x:c r="V158" s="18"/>
      <x:c r="W158" s="18"/>
      <x:c r="X158" s="18"/>
      <x:c r="Y158" s="18" t="str">
        <x:v>NRS 0-10</x:v>
      </x:c>
      <x:c r="Z158" s="18" t="str">
        <x:v>0.001</x:v>
      </x:c>
      <x:c r="AA158" s="18" t="str">
        <x:v>Yes</x:v>
      </x:c>
      <x:c r="AB158" s="18" t="str">
        <x:v>No</x:v>
      </x:c>
      <x:c r="AC158" s="18" t="str">
        <x:v>MD</x:v>
      </x:c>
      <x:c r="AD158" s="18" t="n">
        <x:v>-1.5999999999999999</x:v>
      </x:c>
      <x:c r="AE158" s="18" t="str">
        <x:v>No</x:v>
      </x:c>
      <x:c r="AF158" s="18" t="str">
        <x:v>No</x:v>
      </x:c>
      <x:c r="AG158" s="18" t="str">
        <x:v>Eligible for 24-h pain meta-analysis</x:v>
      </x:c>
      <x:c r="AH158" s="18" t="str">
        <x:v>No</x:v>
      </x:c>
      <x:c r="AI158" s="18" t="str">
        <x:v>Active TEAS at maximum tolerated intensity vs sham no current; sensory blinding success was not tested</x:v>
      </x:c>
      <x:c r="AJ158" s="18" t="str">
        <x:v>Serial NRS results / 24 h</x:v>
      </x:c>
      <x:c r="AK158" s="18" t="str">
        <x:v>https://drive.google.com/file/d/1Hp7pCBP8iXkGGYVhlFY0BHTeaaM7bhdY/view?usp=drivesdk</x:v>
      </x:c>
      <x:c r="AL158" s="18" t="str">
        <x:v>SOURCE-VERIFIED</x:v>
      </x:c>
      <x:c r="AM158" s="18"/>
      <x:c r="AN158" s="18"/>
      <x:c r="AO158" s="18"/>
      <x:c r="AP158" s="18"/>
      <x:c r="AQ158" s="18" t="n">
        <x:v>0</x:v>
      </x:c>
      <x:c r="AR158" s="18" t="n">
        <x:v>0</x:v>
      </x:c>
      <x:c r="AS158" s="18"/>
      <x:c r="AT158" s="18"/>
      <x:c r="AU158" s="18"/>
      <x:c r="AV158" s="18"/>
    </x:row>
    <x:row r="159">
      <x:c r="A159" s="18" t="str">
        <x:v>Liu 2026 (ESD)</x:v>
      </x:c>
      <x:c r="B159" s="18" t="str">
        <x:v>LIU26ESD_TEAS_vs_SHAM_ANYMORPH</x:v>
      </x:c>
      <x:c r="C159" s="18" t="str">
        <x:v>Perioperative TEAS</x:v>
      </x:c>
      <x:c r="D159" s="18" t="str">
        <x:v>Sham-point/no current</x:v>
      </x:c>
      <x:c r="E159" s="18" t="str">
        <x:v>Rescue opioid use</x:v>
      </x:c>
      <x:c r="F159" s="18" t="str">
        <x:v>Any rescue IV morphine use</x:v>
      </x:c>
      <x:c r="G159" s="18" t="str">
        <x:v>Through 48 h</x:v>
      </x:c>
      <x:c r="H159" s="18" t="str">
        <x:v>Events/total</x:v>
      </x:c>
      <x:c r="I159" s="18" t="n">
        <x:v>64</x:v>
      </x:c>
      <x:c r="J159" s="18" t="n">
        <x:v>65</x:v>
      </x:c>
      <x:c r="K159" s="18" t="n">
        <x:v>58</x:v>
      </x:c>
      <x:c r="L159" s="18" t="n">
        <x:v>62</x:v>
      </x:c>
      <x:c r="M159" s="18"/>
      <x:c r="N159" s="18"/>
      <x:c r="O159" s="18"/>
      <x:c r="P159" s="18"/>
      <x:c r="Q159" s="18"/>
      <x:c r="R159" s="18" t="n">
        <x:v>19</x:v>
      </x:c>
      <x:c r="S159" s="18"/>
      <x:c r="T159" s="18"/>
      <x:c r="U159" s="18"/>
      <x:c r="V159" s="18"/>
      <x:c r="W159" s="18"/>
      <x:c r="X159" s="18" t="n">
        <x:v>40</x:v>
      </x:c>
      <x:c r="Y159" s="18" t="str">
        <x:v>participants</x:v>
      </x:c>
      <x:c r="Z159" s="18" t="str">
        <x:v>&lt;0.001</x:v>
      </x:c>
      <x:c r="AA159" s="18" t="str">
        <x:v>Yes</x:v>
      </x:c>
      <x:c r="AB159" s="18" t="str">
        <x:v>No</x:v>
      </x:c>
      <x:c r="AC159" s="18" t="str">
        <x:v>RR</x:v>
      </x:c>
      <x:c r="AD159" s="18" t="n">
        <x:v>0.5077586206896552</x:v>
      </x:c>
      <x:c r="AE159" s="18" t="str">
        <x:v>No</x:v>
      </x:c>
      <x:c r="AF159" s="18" t="str">
        <x:v>No</x:v>
      </x:c>
      <x:c r="AG159" s="18" t="str">
        <x:v>Eligible for binary rescue-opioid-use analysis</x:v>
      </x:c>
      <x:c r="AH159" s="18" t="str">
        <x:v>No</x:v>
      </x:c>
      <x:c r="AI159" s="18" t="str">
        <x:v>Morphine was 1 mg IV per administration, but number of administrations and cumulative dose per patient are not reported</x:v>
      </x:c>
      <x:c r="AJ159" s="18" t="str">
        <x:v>Postoperative rescue analgesia</x:v>
      </x:c>
      <x:c r="AK159" s="18" t="str">
        <x:v>https://drive.google.com/file/d/1Hp7pCBP8iXkGGYVhlFY0BHTeaaM7bhdY/view?usp=drivesdk</x:v>
      </x:c>
      <x:c r="AL159" s="18" t="str">
        <x:v>SOURCE-VERIFIED</x:v>
      </x:c>
      <x:c r="AM159" s="18"/>
      <x:c r="AN159" s="18"/>
      <x:c r="AO159" s="18"/>
      <x:c r="AP159" s="18"/>
      <x:c r="AQ159" s="18" t="n">
        <x:v>0</x:v>
      </x:c>
      <x:c r="AR159" s="18" t="n">
        <x:v>0</x:v>
      </x:c>
      <x:c r="AS159" s="18"/>
      <x:c r="AT159" s="18"/>
      <x:c r="AU159" s="18"/>
      <x:c r="AV159" s="18"/>
    </x:row>
    <x:row r="160">
      <x:c r="A160" s="18" t="str">
        <x:v>Liu 2026 (ESD)</x:v>
      </x:c>
      <x:c r="B160" s="18" t="str">
        <x:v>LIU26ESD_TEAS_vs_SHAM_PONV</x:v>
      </x:c>
      <x:c r="C160" s="18" t="str">
        <x:v>Perioperative TEAS</x:v>
      </x:c>
      <x:c r="D160" s="18" t="str">
        <x:v>Sham-point/no current</x:v>
      </x:c>
      <x:c r="E160" s="18" t="str">
        <x:v>PONV</x:v>
      </x:c>
      <x:c r="F160" s="18" t="str">
        <x:v>PONV incidence</x:v>
      </x:c>
      <x:c r="G160" s="18" t="str">
        <x:v>Postoperative follow-up</x:v>
      </x:c>
      <x:c r="H160" s="18" t="str">
        <x:v>Events/total</x:v>
      </x:c>
      <x:c r="I160" s="18" t="n">
        <x:v>64</x:v>
      </x:c>
      <x:c r="J160" s="18" t="n">
        <x:v>65</x:v>
      </x:c>
      <x:c r="K160" s="18" t="n">
        <x:v>58</x:v>
      </x:c>
      <x:c r="L160" s="18" t="n">
        <x:v>62</x:v>
      </x:c>
      <x:c r="M160" s="18"/>
      <x:c r="N160" s="18"/>
      <x:c r="O160" s="18"/>
      <x:c r="P160" s="18"/>
      <x:c r="Q160" s="18"/>
      <x:c r="R160" s="18" t="n">
        <x:v>4</x:v>
      </x:c>
      <x:c r="S160" s="18"/>
      <x:c r="T160" s="18"/>
      <x:c r="U160" s="18"/>
      <x:c r="V160" s="18"/>
      <x:c r="W160" s="18"/>
      <x:c r="X160" s="18" t="n">
        <x:v>14</x:v>
      </x:c>
      <x:c r="Y160" s="18" t="str">
        <x:v>participants</x:v>
      </x:c>
      <x:c r="Z160" s="18" t="str">
        <x:v>Published P/RR internally inconsistent</x:v>
      </x:c>
      <x:c r="AA160" s="18" t="str">
        <x:v>Yes</x:v>
      </x:c>
      <x:c r="AB160" s="18" t="str">
        <x:v>No</x:v>
      </x:c>
      <x:c r="AC160" s="18" t="str">
        <x:v>RR</x:v>
      </x:c>
      <x:c r="AD160" s="18" t="n">
        <x:v>0.3054187192118227</x:v>
      </x:c>
      <x:c r="AE160" s="18" t="str">
        <x:v>No</x:v>
      </x:c>
      <x:c r="AF160" s="18" t="str">
        <x:v>No</x:v>
      </x:c>
      <x:c r="AG160" s="18" t="str">
        <x:v>Eligible using raw event counts with source-statistic QC</x:v>
      </x:c>
      <x:c r="AH160" s="18" t="str">
        <x:v>No</x:v>
      </x:c>
      <x:c r="AI160" s="18" t="str">
        <x:v>Published RR/P-value for PONV are internally inconsistent; use raw 4/58 vs 14/62</x:v>
      </x:c>
      <x:c r="AJ160" s="18" t="str">
        <x:v>Postoperative complication table</x:v>
      </x:c>
      <x:c r="AK160" s="18" t="str">
        <x:v>https://drive.google.com/file/d/1Hp7pCBP8iXkGGYVhlFY0BHTeaaM7bhdY/view?usp=drivesdk</x:v>
      </x:c>
      <x:c r="AL160" s="18" t="str">
        <x:v>SOURCE-VERIFIED / PUBLISHED EFFECT QC</x:v>
      </x:c>
      <x:c r="AM160" s="18"/>
      <x:c r="AN160" s="18"/>
      <x:c r="AO160" s="18"/>
      <x:c r="AP160" s="18"/>
      <x:c r="AQ160" s="18" t="n">
        <x:v>0</x:v>
      </x:c>
      <x:c r="AR160" s="18" t="n">
        <x:v>0</x:v>
      </x:c>
      <x:c r="AS160" s="18"/>
      <x:c r="AT160" s="18"/>
      <x:c r="AU160" s="18"/>
      <x:c r="AV160" s="18"/>
    </x:row>
    <x:row r="161">
      <x:c r="A161" s="18" t="str">
        <x:v>Liu 2026 (ESD)</x:v>
      </x:c>
      <x:c r="B161" s="18" t="str">
        <x:v>LIU26ESD_TEAS_vs_SHAM_MORPH24</x:v>
      </x:c>
      <x:c r="C161" s="18" t="str">
        <x:v>Perioperative TEAS</x:v>
      </x:c>
      <x:c r="D161" s="18" t="str">
        <x:v>Sham-point/no current</x:v>
      </x:c>
      <x:c r="E161" s="18" t="str">
        <x:v>Opioid consumption</x:v>
      </x:c>
      <x:c r="F161" s="18" t="str">
        <x:v>Cumulative postoperative morphine consumption</x:v>
      </x:c>
      <x:c r="G161" s="18" t="str">
        <x:v>0-24 h</x:v>
      </x:c>
      <x:c r="H161" s="18" t="str">
        <x:v>Not reported</x:v>
      </x:c>
      <x:c r="I161" s="18" t="n">
        <x:v>64</x:v>
      </x:c>
      <x:c r="J161" s="18" t="n">
        <x:v>65</x:v>
      </x:c>
      <x:c r="K161" s="18" t="n">
        <x:v>58</x:v>
      </x:c>
      <x:c r="L161" s="18" t="n">
        <x:v>62</x:v>
      </x:c>
      <x:c r="M161" s="18"/>
      <x:c r="N161" s="18"/>
      <x:c r="O161" s="18"/>
      <x:c r="P161" s="18"/>
      <x:c r="Q161" s="18"/>
      <x:c r="R161" s="18"/>
      <x:c r="S161" s="18"/>
      <x:c r="T161" s="18"/>
      <x:c r="U161" s="18"/>
      <x:c r="V161" s="18"/>
      <x:c r="W161" s="18"/>
      <x:c r="X161" s="18"/>
      <x:c r="Y161" s="18" t="str">
        <x:v>mg IV morphine</x:v>
      </x:c>
      <x:c r="Z161" s="18"/>
      <x:c r="AA161" s="18" t="str">
        <x:v>No</x:v>
      </x:c>
      <x:c r="AB161" s="18" t="str">
        <x:v>No</x:v>
      </x:c>
      <x:c r="AC161" s="18" t="str"/>
      <x:c r="AD161" s="18" t="str"/>
      <x:c r="AE161" s="18" t="str">
        <x:v>No</x:v>
      </x:c>
      <x:c r="AF161" s="18" t="str">
        <x:v>No</x:v>
      </x:c>
      <x:c r="AG161" s="18" t="str">
        <x:v>Not eligible for continuous 24-h morphine/MME meta-analysis without author data</x:v>
      </x:c>
      <x:c r="AH161" s="18" t="str">
        <x:v>No</x:v>
      </x:c>
      <x:c r="AI161" s="18" t="str">
        <x:v>Binary morphine use is reported, but administration counts and cumulative dose are not</x:v>
      </x:c>
      <x:c r="AJ161" s="18" t="str">
        <x:v>Exact 24-h opioid dose absent</x:v>
      </x:c>
      <x:c r="AK161" s="18" t="str">
        <x:v>https://drive.google.com/file/d/1Hp7pCBP8iXkGGYVhlFY0BHTeaaM7bhdY/view?usp=drivesdk</x:v>
      </x:c>
      <x:c r="AL161" s="18" t="str">
        <x:v>MISSING / AUTHOR DATA NEEDED</x:v>
      </x:c>
      <x:c r="AM161" s="18"/>
      <x:c r="AN161" s="18"/>
      <x:c r="AO161" s="18"/>
      <x:c r="AP161" s="18"/>
      <x:c r="AQ161" s="18" t="n">
        <x:v>0</x:v>
      </x:c>
      <x:c r="AR161" s="18" t="n">
        <x:v>0</x:v>
      </x:c>
      <x:c r="AS161" s="18"/>
      <x:c r="AT161" s="18"/>
      <x:c r="AU161" s="18"/>
      <x:c r="AV161" s="18"/>
    </x:row>
    <x:row r="162">
      <x:c r="A162" s="18" t="str">
        <x:v>Liu 2021</x:v>
      </x:c>
      <x:c r="B162" s="18" t="str">
        <x:v>LIU21_TEAS_vs_CTRL_POCD1</x:v>
      </x:c>
      <x:c r="C162" s="18" t="str">
        <x:v>Perioperative TEAS</x:v>
      </x:c>
      <x:c r="D162" s="18" t="str">
        <x:v>Electrodes/no current</x:v>
      </x:c>
      <x:c r="E162" s="18" t="str">
        <x:v>Neurocognitive</x:v>
      </x:c>
      <x:c r="F162" s="18" t="str">
        <x:v>Postoperative cognitive decline (MMSE Z-score ≤ -2)</x:v>
      </x:c>
      <x:c r="G162" s="18" t="str">
        <x:v>POD1</x:v>
      </x:c>
      <x:c r="H162" s="18" t="str">
        <x:v>Events/total</x:v>
      </x:c>
      <x:c r="I162" s="18" t="n">
        <x:v>50</x:v>
      </x:c>
      <x:c r="J162" s="18" t="n">
        <x:v>50</x:v>
      </x:c>
      <x:c r="K162" s="18" t="n">
        <x:v>50</x:v>
      </x:c>
      <x:c r="L162" s="18" t="n">
        <x:v>50</x:v>
      </x:c>
      <x:c r="M162" s="18"/>
      <x:c r="N162" s="18"/>
      <x:c r="O162" s="18"/>
      <x:c r="P162" s="18"/>
      <x:c r="Q162" s="18"/>
      <x:c r="R162" s="18" t="n">
        <x:v>5</x:v>
      </x:c>
      <x:c r="S162" s="18"/>
      <x:c r="T162" s="18"/>
      <x:c r="U162" s="18"/>
      <x:c r="V162" s="18"/>
      <x:c r="W162" s="18"/>
      <x:c r="X162" s="18" t="n">
        <x:v>11</x:v>
      </x:c>
      <x:c r="Y162" s="18" t="str">
        <x:v>participants</x:v>
      </x:c>
      <x:c r="Z162" s="18" t="str">
        <x:v>0.102</x:v>
      </x:c>
      <x:c r="AA162" s="18" t="str">
        <x:v>Yes</x:v>
      </x:c>
      <x:c r="AB162" s="18" t="str">
        <x:v>No</x:v>
      </x:c>
      <x:c r="AC162" s="18" t="str">
        <x:v>RR</x:v>
      </x:c>
      <x:c r="AD162" s="18" t="n">
        <x:v>0.4545454545454546</x:v>
      </x:c>
      <x:c r="AE162" s="18" t="str">
        <x:v>No</x:v>
      </x:c>
      <x:c r="AF162" s="18" t="str">
        <x:v>No</x:v>
      </x:c>
      <x:c r="AG162" s="18" t="str">
        <x:v>Eligible for dichotomous POD1 POCD analysis</x:v>
      </x:c>
      <x:c r="AH162" s="18" t="str">
        <x:v>No</x:v>
      </x:c>
      <x:c r="AI162" s="18" t="str">
        <x:v>Control prose prints 11 cases as 25%, but 11/50 = 22%; preserve count as authoritative</x:v>
      </x:c>
      <x:c r="AJ162" s="18" t="str">
        <x:v>POCD incidence table / POD1</x:v>
      </x:c>
      <x:c r="AK162" s="18" t="str">
        <x:v>https://drive.google.com/file/d/1TA4BstaUWY3EdQbDNEvvGxF35ekGanrm/view?usp=drivesdk</x:v>
      </x:c>
      <x:c r="AL162" s="18" t="str">
        <x:v>SOURCE-VERIFIED / PERCENTAGE QC</x:v>
      </x:c>
      <x:c r="AM162" s="18"/>
      <x:c r="AN162" s="18"/>
      <x:c r="AO162" s="18"/>
      <x:c r="AP162" s="18"/>
      <x:c r="AQ162" s="18" t="n">
        <x:v>0</x:v>
      </x:c>
      <x:c r="AR162" s="18" t="n">
        <x:v>0</x:v>
      </x:c>
      <x:c r="AS162" s="18"/>
      <x:c r="AT162" s="18"/>
      <x:c r="AU162" s="18"/>
      <x:c r="AV162" s="18"/>
    </x:row>
    <x:row r="163">
      <x:c r="A163" s="18" t="str">
        <x:v>Liu 2021</x:v>
      </x:c>
      <x:c r="B163" s="18" t="str">
        <x:v>LIU21_TEAS_vs_CTRL_VASREST24</x:v>
      </x:c>
      <x:c r="C163" s="18" t="str">
        <x:v>Perioperative TEAS</x:v>
      </x:c>
      <x:c r="D163" s="18" t="str">
        <x:v>Electrodes/no current</x:v>
      </x:c>
      <x:c r="E163" s="18" t="str">
        <x:v>Pain</x:v>
      </x:c>
      <x:c r="F163" s="18" t="str">
        <x:v>VAS at rest</x:v>
      </x:c>
      <x:c r="G163" s="18" t="str">
        <x:v>24 h</x:v>
      </x:c>
      <x:c r="H163" s="18" t="str">
        <x:v>Mean/SD</x:v>
      </x:c>
      <x:c r="I163" s="18" t="n">
        <x:v>50</x:v>
      </x:c>
      <x:c r="J163" s="18" t="n">
        <x:v>50</x:v>
      </x:c>
      <x:c r="K163" s="18" t="n">
        <x:v>50</x:v>
      </x:c>
      <x:c r="L163" s="18" t="n">
        <x:v>50</x:v>
      </x:c>
      <x:c r="M163" s="18" t="n">
        <x:v>2.52</x:v>
      </x:c>
      <x:c r="N163" s="18" t="n">
        <x:v>0.505</x:v>
      </x:c>
      <x:c r="O163" s="18"/>
      <x:c r="P163" s="18"/>
      <x:c r="Q163" s="18"/>
      <x:c r="R163" s="18"/>
      <x:c r="S163" s="18" t="n">
        <x:v>2.66</x:v>
      </x:c>
      <x:c r="T163" s="18" t="n">
        <x:v>0.626</x:v>
      </x:c>
      <x:c r="U163" s="18"/>
      <x:c r="V163" s="18"/>
      <x:c r="W163" s="18"/>
      <x:c r="X163" s="18"/>
      <x:c r="Y163" s="18" t="str">
        <x:v>VAS</x:v>
      </x:c>
      <x:c r="Z163" s="18" t="str">
        <x:v>0.221</x:v>
      </x:c>
      <x:c r="AA163" s="18" t="str">
        <x:v>Yes</x:v>
      </x:c>
      <x:c r="AB163" s="18" t="str">
        <x:v>No</x:v>
      </x:c>
      <x:c r="AC163" s="18" t="str">
        <x:v>MD</x:v>
      </x:c>
      <x:c r="AD163" s="18" t="n">
        <x:v>-0.14000000000000012</x:v>
      </x:c>
      <x:c r="AE163" s="18" t="str">
        <x:v>No</x:v>
      </x:c>
      <x:c r="AF163" s="18" t="str">
        <x:v>No</x:v>
      </x:c>
      <x:c r="AG163" s="18" t="str">
        <x:v>Eligible for 24-h rest-pain analysis</x:v>
      </x:c>
      <x:c r="AH163" s="18" t="str">
        <x:v>No</x:v>
      </x:c>
      <x:c r="AI163" s="18" t="str">
        <x:v>Participant blinding is unclear because active stimulation was maximum tolerated and control received no current</x:v>
      </x:c>
      <x:c r="AJ163" s="18" t="str">
        <x:v>Table 2 / 24-h rest VAS</x:v>
      </x:c>
      <x:c r="AK163" s="18" t="str">
        <x:v>https://drive.google.com/file/d/1TA4BstaUWY3EdQbDNEvvGxF35ekGanrm/view?usp=drivesdk</x:v>
      </x:c>
      <x:c r="AL163" s="18" t="str">
        <x:v>SOURCE-VERIFIED</x:v>
      </x:c>
      <x:c r="AM163" s="18" t="str">
        <x:v>C-002</x:v>
      </x:c>
      <x:c r="AN163" s="18" t="str">
        <x:v>C</x:v>
      </x:c>
      <x:c r="AO163" s="18" t="str">
        <x:v>C_rest_pain_~24h</x:v>
      </x:c>
      <x:c r="AP163" s="18" t="str">
        <x:v>MATCHED</x:v>
      </x:c>
      <x:c r="AQ163" s="18" t="n">
        <x:v>1</x:v>
      </x:c>
      <x:c r="AR163" s="18" t="n">
        <x:v>0</x:v>
      </x:c>
      <x:c r="AS163" s="18" t="str">
        <x:v>High</x:v>
      </x:c>
      <x:c r="AT163" s="18"/>
      <x:c r="AU163" s="18"/>
      <x:c r="AV163" s="18" t="str">
        <x:v>2.52±0.505 vs 2.66±0.626; P=0.221</x:v>
      </x:c>
    </x:row>
    <x:row r="164">
      <x:c r="A164" s="18" t="str">
        <x:v>Liu 2021</x:v>
      </x:c>
      <x:c r="B164" s="18" t="str">
        <x:v>LIU21_TEAS_vs_CTRL_VASCOUGH24</x:v>
      </x:c>
      <x:c r="C164" s="18" t="str">
        <x:v>Perioperative TEAS</x:v>
      </x:c>
      <x:c r="D164" s="18" t="str">
        <x:v>Electrodes/no current</x:v>
      </x:c>
      <x:c r="E164" s="18" t="str">
        <x:v>Pain</x:v>
      </x:c>
      <x:c r="F164" s="18" t="str">
        <x:v>VAS with coughing</x:v>
      </x:c>
      <x:c r="G164" s="18" t="str">
        <x:v>24 h</x:v>
      </x:c>
      <x:c r="H164" s="18" t="str">
        <x:v>Mean/SD</x:v>
      </x:c>
      <x:c r="I164" s="18" t="n">
        <x:v>50</x:v>
      </x:c>
      <x:c r="J164" s="18" t="n">
        <x:v>50</x:v>
      </x:c>
      <x:c r="K164" s="18" t="n">
        <x:v>50</x:v>
      </x:c>
      <x:c r="L164" s="18" t="n">
        <x:v>50</x:v>
      </x:c>
      <x:c r="M164" s="18" t="n">
        <x:v>3.2</x:v>
      </x:c>
      <x:c r="N164" s="18" t="n">
        <x:v>0.571</x:v>
      </x:c>
      <x:c r="O164" s="18"/>
      <x:c r="P164" s="18"/>
      <x:c r="Q164" s="18"/>
      <x:c r="R164" s="18"/>
      <x:c r="S164" s="18" t="n">
        <x:v>3.16</x:v>
      </x:c>
      <x:c r="T164" s="18" t="n">
        <x:v>0.681</x:v>
      </x:c>
      <x:c r="U164" s="18"/>
      <x:c r="V164" s="18"/>
      <x:c r="W164" s="18"/>
      <x:c r="X164" s="18"/>
      <x:c r="Y164" s="18" t="str">
        <x:v>VAS</x:v>
      </x:c>
      <x:c r="Z164" s="18" t="str">
        <x:v>0.751</x:v>
      </x:c>
      <x:c r="AA164" s="18" t="str">
        <x:v>Yes</x:v>
      </x:c>
      <x:c r="AB164" s="18" t="str">
        <x:v>No</x:v>
      </x:c>
      <x:c r="AC164" s="18" t="str">
        <x:v>MD</x:v>
      </x:c>
      <x:c r="AD164" s="18" t="n">
        <x:v>0.040000000000000036</x:v>
      </x:c>
      <x:c r="AE164" s="18" t="str">
        <x:v>No</x:v>
      </x:c>
      <x:c r="AF164" s="18" t="str">
        <x:v>No</x:v>
      </x:c>
      <x:c r="AG164" s="18" t="str">
        <x:v>Eligible for 24-h movement/evoked-pain analysis</x:v>
      </x:c>
      <x:c r="AH164" s="18" t="str">
        <x:v>No</x:v>
      </x:c>
      <x:c r="AI164" s="18" t="str">
        <x:v>No evidence of analgesic benefit at 24 h</x:v>
      </x:c>
      <x:c r="AJ164" s="18" t="str">
        <x:v>Table 2 / 24-h coughing VAS</x:v>
      </x:c>
      <x:c r="AK164" s="18" t="str">
        <x:v>https://drive.google.com/file/d/1TA4BstaUWY3EdQbDNEvvGxF35ekGanrm/view?usp=drivesdk</x:v>
      </x:c>
      <x:c r="AL164" s="18" t="str">
        <x:v>SOURCE-VERIFIED</x:v>
      </x:c>
      <x:c r="AM164" s="18"/>
      <x:c r="AN164" s="18"/>
      <x:c r="AO164" s="18"/>
      <x:c r="AP164" s="18"/>
      <x:c r="AQ164" s="18" t="n">
        <x:v>0</x:v>
      </x:c>
      <x:c r="AR164" s="18" t="n">
        <x:v>0</x:v>
      </x:c>
      <x:c r="AS164" s="18"/>
      <x:c r="AT164" s="18"/>
      <x:c r="AU164" s="18"/>
      <x:c r="AV164" s="18"/>
    </x:row>
    <x:row r="165">
      <x:c r="A165" s="18" t="str">
        <x:v>Liu 2021</x:v>
      </x:c>
      <x:c r="B165" s="18" t="str">
        <x:v>LIU21_TEAS_vs_CTRL_PCAPRESS24</x:v>
      </x:c>
      <x:c r="C165" s="18" t="str">
        <x:v>Perioperative TEAS</x:v>
      </x:c>
      <x:c r="D165" s="18" t="str">
        <x:v>Electrodes/no current</x:v>
      </x:c>
      <x:c r="E165" s="18" t="str">
        <x:v>Opioid demand</x:v>
      </x:c>
      <x:c r="F165" s="18" t="str">
        <x:v>PCA pump compressions</x:v>
      </x:c>
      <x:c r="G165" s="18" t="str">
        <x:v>0-24 h</x:v>
      </x:c>
      <x:c r="H165" s="18" t="str">
        <x:v>Mean/SD</x:v>
      </x:c>
      <x:c r="I165" s="18" t="n">
        <x:v>50</x:v>
      </x:c>
      <x:c r="J165" s="18" t="n">
        <x:v>50</x:v>
      </x:c>
      <x:c r="K165" s="18" t="n">
        <x:v>50</x:v>
      </x:c>
      <x:c r="L165" s="18" t="n">
        <x:v>50</x:v>
      </x:c>
      <x:c r="M165" s="18" t="n">
        <x:v>17.62</x:v>
      </x:c>
      <x:c r="N165" s="18" t="n">
        <x:v>2.687</x:v>
      </x:c>
      <x:c r="O165" s="18"/>
      <x:c r="P165" s="18"/>
      <x:c r="Q165" s="18"/>
      <x:c r="R165" s="18"/>
      <x:c r="S165" s="18" t="n">
        <x:v>17.38</x:v>
      </x:c>
      <x:c r="T165" s="18" t="n">
        <x:v>3.801</x:v>
      </x:c>
      <x:c r="U165" s="18"/>
      <x:c r="V165" s="18"/>
      <x:c r="W165" s="18"/>
      <x:c r="X165" s="18"/>
      <x:c r="Y165" s="18" t="str">
        <x:v>presses</x:v>
      </x:c>
      <x:c r="Z165" s="18" t="str">
        <x:v>0.716</x:v>
      </x:c>
      <x:c r="AA165" s="18" t="str">
        <x:v>Yes</x:v>
      </x:c>
      <x:c r="AB165" s="18" t="str">
        <x:v>No</x:v>
      </x:c>
      <x:c r="AC165" s="18" t="str">
        <x:v>MD</x:v>
      </x:c>
      <x:c r="AD165" s="18" t="n">
        <x:v>0.240000000000002</x:v>
      </x:c>
      <x:c r="AE165" s="18" t="str">
        <x:v>No</x:v>
      </x:c>
      <x:c r="AF165" s="18" t="str">
        <x:v>No</x:v>
      </x:c>
      <x:c r="AG165" s="18" t="str">
        <x:v>Eligible as 24-h PCA-demand outcome only</x:v>
      </x:c>
      <x:c r="AH165" s="18" t="str">
        <x:v>No</x:v>
      </x:c>
      <x:c r="AI165" s="18" t="str">
        <x:v>Compressions may represent demands rather than successful boluses; do not convert to sufentanil mass</x:v>
      </x:c>
      <x:c r="AJ165" s="18" t="str">
        <x:v>24-h PCA compression result</x:v>
      </x:c>
      <x:c r="AK165" s="18" t="str">
        <x:v>https://drive.google.com/file/d/1TA4BstaUWY3EdQbDNEvvGxF35ekGanrm/view?usp=drivesdk</x:v>
      </x:c>
      <x:c r="AL165" s="18" t="str">
        <x:v>SOURCE-VERIFIED / DOSE NOT RECONSTRUCTABLE</x:v>
      </x:c>
      <x:c r="AM165" s="18" t="str">
        <x:v>F-PCA-004</x:v>
      </x:c>
      <x:c r="AN165" s="18" t="str">
        <x:v>F-PCA</x:v>
      </x:c>
      <x:c r="AO165" s="18" t="str">
        <x:v>F_PCA_behavior</x:v>
      </x:c>
      <x:c r="AP165" s="18" t="str">
        <x:v>MATCHED</x:v>
      </x:c>
      <x:c r="AQ165" s="18" t="n">
        <x:v>0</x:v>
      </x:c>
      <x:c r="AR165" s="18" t="n">
        <x:v>1</x:v>
      </x:c>
      <x:c r="AS165" s="18" t="str">
        <x:v>High</x:v>
      </x:c>
      <x:c r="AT165" s="18"/>
      <x:c r="AU165" s="18"/>
      <x:c r="AV165" s="18" t="str">
        <x:v>17.62±2.687 vs17.38±3.801; P=0.716</x:v>
      </x:c>
    </x:row>
    <x:row r="166">
      <x:c r="A166" s="18" t="str">
        <x:v>Liu 2021</x:v>
      </x:c>
      <x:c r="B166" s="18" t="str">
        <x:v>LIU21_TEAS_vs_CTRL_OPIOID24</x:v>
      </x:c>
      <x:c r="C166" s="18" t="str">
        <x:v>Perioperative TEAS</x:v>
      </x:c>
      <x:c r="D166" s="18" t="str">
        <x:v>Electrodes/no current</x:v>
      </x:c>
      <x:c r="E166" s="18" t="str">
        <x:v>Opioid consumption</x:v>
      </x:c>
      <x:c r="F166" s="18" t="str">
        <x:v>Cumulative postoperative sufentanil consumption</x:v>
      </x:c>
      <x:c r="G166" s="18" t="str">
        <x:v>0-24 h</x:v>
      </x:c>
      <x:c r="H166" s="18" t="str">
        <x:v>Not calculable</x:v>
      </x:c>
      <x:c r="I166" s="18" t="n">
        <x:v>50</x:v>
      </x:c>
      <x:c r="J166" s="18" t="n">
        <x:v>50</x:v>
      </x:c>
      <x:c r="K166" s="18" t="n">
        <x:v>50</x:v>
      </x:c>
      <x:c r="L166" s="18" t="n">
        <x:v>50</x:v>
      </x:c>
      <x:c r="M166" s="18"/>
      <x:c r="N166" s="18"/>
      <x:c r="O166" s="18"/>
      <x:c r="P166" s="18"/>
      <x:c r="Q166" s="18"/>
      <x:c r="R166" s="18"/>
      <x:c r="S166" s="18"/>
      <x:c r="T166" s="18"/>
      <x:c r="U166" s="18"/>
      <x:c r="V166" s="18"/>
      <x:c r="W166" s="18"/>
      <x:c r="X166" s="18"/>
      <x:c r="Y166" s="18" t="str">
        <x:v>published formulation 0.15 µg/kg in 100 mL</x:v>
      </x:c>
      <x:c r="Z166" s="18"/>
      <x:c r="AA166" s="18" t="str">
        <x:v>No</x:v>
      </x:c>
      <x:c r="AB166" s="18" t="str">
        <x:v>No</x:v>
      </x:c>
      <x:c r="AC166" s="18" t="str"/>
      <x:c r="AD166" s="18" t="str"/>
      <x:c r="AE166" s="18" t="str">
        <x:v>No</x:v>
      </x:c>
      <x:c r="AF166" s="18" t="str">
        <x:v>No</x:v>
      </x:c>
      <x:c r="AG166" s="18" t="str">
        <x:v>Not eligible for continuous 24-h opioid/MME meta-analysis</x:v>
      </x:c>
      <x:c r="AH166" s="18" t="str">
        <x:v>No</x:v>
      </x:c>
      <x:c r="AI166" s="18" t="str">
        <x:v>Published PCA formulation is ambiguous/implausibly low, successful delivered boluses are not reported, and actual cumulative sufentanil is unavailable</x:v>
      </x:c>
      <x:c r="AJ166" s="18" t="str">
        <x:v>Postoperative PCIA section</x:v>
      </x:c>
      <x:c r="AK166" s="18" t="str">
        <x:v>https://drive.google.com/file/d/1TA4BstaUWY3EdQbDNEvvGxF35ekGanrm/view?usp=drivesdk</x:v>
      </x:c>
      <x:c r="AL166" s="18" t="str">
        <x:v>MISSING / FORMULATION + DELIVERY UNRESOLVED</x:v>
      </x:c>
      <x:c r="AM166" s="18"/>
      <x:c r="AN166" s="18"/>
      <x:c r="AO166" s="18"/>
      <x:c r="AP166" s="18"/>
      <x:c r="AQ166" s="18" t="n">
        <x:v>0</x:v>
      </x:c>
      <x:c r="AR166" s="18" t="n">
        <x:v>0</x:v>
      </x:c>
      <x:c r="AS166" s="18"/>
      <x:c r="AT166" s="18"/>
      <x:c r="AU166" s="18"/>
      <x:c r="AV166" s="18"/>
    </x:row>
    <x:row r="167">
      <x:c r="A167" s="18" t="str">
        <x:v>Liu 2026 (burn)</x:v>
      </x:c>
      <x:c r="B167" s="18" t="str">
        <x:v>LIU26BURN_TEAS_vs_SHAM_REMI</x:v>
      </x:c>
      <x:c r="C167" s="18" t="str">
        <x:v>Pre-induction TEAS</x:v>
      </x:c>
      <x:c r="D167" s="18" t="str">
        <x:v>Placebo/sham TEAS</x:v>
      </x:c>
      <x:c r="E167" s="18" t="str">
        <x:v>Intraoperative opioid</x:v>
      </x:c>
      <x:c r="F167" s="18" t="str">
        <x:v>Remifentanil consumption</x:v>
      </x:c>
      <x:c r="G167" s="18" t="str">
        <x:v>Intraoperative</x:v>
      </x:c>
      <x:c r="H167" s="18" t="str">
        <x:v>Median/IQR</x:v>
      </x:c>
      <x:c r="I167" s="18" t="n">
        <x:v>44</x:v>
      </x:c>
      <x:c r="J167" s="18" t="n">
        <x:v>44</x:v>
      </x:c>
      <x:c r="K167" s="18" t="n">
        <x:v>43</x:v>
      </x:c>
      <x:c r="L167" s="18" t="n">
        <x:v>43</x:v>
      </x:c>
      <x:c r="M167" s="18"/>
      <x:c r="N167" s="18"/>
      <x:c r="O167" s="18" t="n">
        <x:v>0.7</x:v>
      </x:c>
      <x:c r="P167" s="18" t="n">
        <x:v>0.5</x:v>
      </x:c>
      <x:c r="Q167" s="18" t="n">
        <x:v>1.1</x:v>
      </x:c>
      <x:c r="R167" s="18"/>
      <x:c r="S167" s="18"/>
      <x:c r="T167" s="18"/>
      <x:c r="U167" s="18" t="n">
        <x:v>0.9</x:v>
      </x:c>
      <x:c r="V167" s="18" t="n">
        <x:v>0.65</x:v>
      </x:c>
      <x:c r="W167" s="18" t="n">
        <x:v>1.25</x:v>
      </x:c>
      <x:c r="X167" s="18"/>
      <x:c r="Y167" s="18" t="str">
        <x:v>mg remifentanil</x:v>
      </x:c>
      <x:c r="Z167" s="18" t="str">
        <x:v>0.039</x:v>
      </x:c>
      <x:c r="AA167" s="18" t="str">
        <x:v>Yes</x:v>
      </x:c>
      <x:c r="AB167" s="18" t="str">
        <x:v>No</x:v>
      </x:c>
      <x:c r="AC167" s="18" t="str"/>
      <x:c r="AD167" s="18" t="str"/>
      <x:c r="AE167" s="18" t="str">
        <x:v>No</x:v>
      </x:c>
      <x:c r="AF167" s="18" t="str">
        <x:v>No</x:v>
      </x:c>
      <x:c r="AG167" s="18" t="str">
        <x:v>Eligible for intraoperative opioid-sparing analysis using median/IQR methods</x:v>
      </x:c>
      <x:c r="AH167" s="18" t="str">
        <x:v>No</x:v>
      </x:c>
      <x:c r="AI167" s="18" t="str">
        <x:v>Abstract gives TEAS 0.65 (0.45-1.00) and control 0.90 (0.67-1.23); master uses Results/Figure 4 values and retains source discrepancy</x:v>
      </x:c>
      <x:c r="AJ167" s="18" t="str">
        <x:v>Results / Figure 4</x:v>
      </x:c>
      <x:c r="AK167" s="18" t="str">
        <x:v>https://drive.google.com/file/d/1mvekGtHD2JAKCRbIXrvLw1Nz7hbQ1dZ3/view?usp=drivesdk</x:v>
      </x:c>
      <x:c r="AL167" s="18" t="str">
        <x:v>SOURCE-VERIFIED / ABSTRACT VALUE QC</x:v>
      </x:c>
      <x:c r="AM167" s="18" t="str">
        <x:v>F-intra-001</x:v>
      </x:c>
      <x:c r="AN167" s="18" t="str">
        <x:v>F-intra</x:v>
      </x:c>
      <x:c r="AO167" s="18" t="str">
        <x:v>F_intraop_titrated_requirement</x:v>
      </x:c>
      <x:c r="AP167" s="18" t="str">
        <x:v>MATCHED</x:v>
      </x:c>
      <x:c r="AQ167" s="18" t="n">
        <x:v>0</x:v>
      </x:c>
      <x:c r="AR167" s="18" t="n">
        <x:v>0</x:v>
      </x:c>
      <x:c r="AS167" s="18" t="str">
        <x:v>Some concerns</x:v>
      </x:c>
      <x:c r="AT167" s="18" t="str">
        <x:v>P1</x:v>
      </x:c>
      <x:c r="AU167" s="18" t="str">
        <x:v>UNRESOLVED before pooling</x:v>
      </x:c>
      <x:c r="AV167" s="18" t="str">
        <x:v>0.70 (0.50–1.10) vs0.90 (0.65–1.25); P=0.039</x:v>
      </x:c>
    </x:row>
    <x:row r="168">
      <x:c r="A168" s="18" t="str">
        <x:v>Liu 2026 (burn)</x:v>
      </x:c>
      <x:c r="B168" s="18" t="str">
        <x:v>LIU26BURN_TEAS_vs_SHAM_PONV24</x:v>
      </x:c>
      <x:c r="C168" s="18" t="str">
        <x:v>Pre-induction TEAS</x:v>
      </x:c>
      <x:c r="D168" s="18" t="str">
        <x:v>Placebo/sham TEAS</x:v>
      </x:c>
      <x:c r="E168" s="18" t="str">
        <x:v>PONV</x:v>
      </x:c>
      <x:c r="F168" s="18" t="str">
        <x:v>Nausea-vomiting</x:v>
      </x:c>
      <x:c r="G168" s="18" t="str">
        <x:v>Through POD1 / approximately 24 h</x:v>
      </x:c>
      <x:c r="H168" s="18" t="str">
        <x:v>Events/total</x:v>
      </x:c>
      <x:c r="I168" s="18" t="n">
        <x:v>44</x:v>
      </x:c>
      <x:c r="J168" s="18" t="n">
        <x:v>44</x:v>
      </x:c>
      <x:c r="K168" s="18" t="n">
        <x:v>43</x:v>
      </x:c>
      <x:c r="L168" s="18" t="n">
        <x:v>43</x:v>
      </x:c>
      <x:c r="M168" s="18"/>
      <x:c r="N168" s="18"/>
      <x:c r="O168" s="18"/>
      <x:c r="P168" s="18"/>
      <x:c r="Q168" s="18"/>
      <x:c r="R168" s="18" t="n">
        <x:v>7</x:v>
      </x:c>
      <x:c r="S168" s="18"/>
      <x:c r="T168" s="18"/>
      <x:c r="U168" s="18"/>
      <x:c r="V168" s="18"/>
      <x:c r="W168" s="18"/>
      <x:c r="X168" s="18" t="n">
        <x:v>16</x:v>
      </x:c>
      <x:c r="Y168" s="18" t="str">
        <x:v>participants</x:v>
      </x:c>
      <x:c r="Z168" s="18" t="str">
        <x:v>Published P=0.011 vs 0.028 conflict</x:v>
      </x:c>
      <x:c r="AA168" s="18" t="str">
        <x:v>Yes</x:v>
      </x:c>
      <x:c r="AB168" s="18" t="str">
        <x:v>No</x:v>
      </x:c>
      <x:c r="AC168" s="18" t="str">
        <x:v>RR</x:v>
      </x:c>
      <x:c r="AD168" s="18" t="n">
        <x:v>0.43750000000000006</x:v>
      </x:c>
      <x:c r="AE168" s="18" t="str">
        <x:v>No</x:v>
      </x:c>
      <x:c r="AF168" s="18" t="str">
        <x:v>No</x:v>
      </x:c>
      <x:c r="AG168" s="18" t="str">
        <x:v>Eligible using raw 7/43 vs 16/43 event counts with P-value QC</x:v>
      </x:c>
      <x:c r="AH168" s="18" t="str">
        <x:v>No</x:v>
      </x:c>
      <x:c r="AI168" s="18" t="str">
        <x:v>Two different P-values are printed for the same result</x:v>
      </x:c>
      <x:c r="AJ168" s="18" t="str">
        <x:v>Secondary postoperative outcomes</x:v>
      </x:c>
      <x:c r="AK168" s="18" t="str">
        <x:v>https://drive.google.com/file/d/1mvekGtHD2JAKCRbIXrvLw1Nz7hbQ1dZ3/view?usp=drivesdk</x:v>
      </x:c>
      <x:c r="AL168" s="18" t="str">
        <x:v>SOURCE-VERIFIED / P-VALUE CONFLICT</x:v>
      </x:c>
      <x:c r="AM168" s="18"/>
      <x:c r="AN168" s="18"/>
      <x:c r="AO168" s="18"/>
      <x:c r="AP168" s="18"/>
      <x:c r="AQ168" s="18" t="n">
        <x:v>0</x:v>
      </x:c>
      <x:c r="AR168" s="18" t="n">
        <x:v>0</x:v>
      </x:c>
      <x:c r="AS168" s="18"/>
      <x:c r="AT168" s="18"/>
      <x:c r="AU168" s="18"/>
      <x:c r="AV168" s="18"/>
    </x:row>
    <x:row r="169">
      <x:c r="A169" s="18" t="str">
        <x:v>Liu 2026 (burn)</x:v>
      </x:c>
      <x:c r="B169" s="18" t="str">
        <x:v>LIU26BURN_TEAS_vs_SHAM_RESCUE</x:v>
      </x:c>
      <x:c r="C169" s="18" t="str">
        <x:v>Pre-induction TEAS</x:v>
      </x:c>
      <x:c r="D169" s="18" t="str">
        <x:v>Placebo/sham TEAS</x:v>
      </x:c>
      <x:c r="E169" s="18" t="str">
        <x:v>Rescue opioid use</x:v>
      </x:c>
      <x:c r="F169" s="18" t="str">
        <x:v>Any rescue dezocine use</x:v>
      </x:c>
      <x:c r="G169" s="18" t="str">
        <x:v>Through POD1</x:v>
      </x:c>
      <x:c r="H169" s="18" t="str">
        <x:v>Events/total</x:v>
      </x:c>
      <x:c r="I169" s="18" t="n">
        <x:v>44</x:v>
      </x:c>
      <x:c r="J169" s="18" t="n">
        <x:v>44</x:v>
      </x:c>
      <x:c r="K169" s="18" t="n">
        <x:v>43</x:v>
      </x:c>
      <x:c r="L169" s="18" t="n">
        <x:v>43</x:v>
      </x:c>
      <x:c r="M169" s="18"/>
      <x:c r="N169" s="18"/>
      <x:c r="O169" s="18"/>
      <x:c r="P169" s="18"/>
      <x:c r="Q169" s="18"/>
      <x:c r="R169" s="18" t="n">
        <x:v>3</x:v>
      </x:c>
      <x:c r="S169" s="18"/>
      <x:c r="T169" s="18"/>
      <x:c r="U169" s="18"/>
      <x:c r="V169" s="18"/>
      <x:c r="W169" s="18"/>
      <x:c r="X169" s="18" t="n">
        <x:v>8</x:v>
      </x:c>
      <x:c r="Y169" s="18" t="str">
        <x:v>participants</x:v>
      </x:c>
      <x:c r="Z169" s="18" t="str">
        <x:v>Table P=0.106; prose P=0.430</x:v>
      </x:c>
      <x:c r="AA169" s="18" t="str">
        <x:v>Yes</x:v>
      </x:c>
      <x:c r="AB169" s="18" t="str">
        <x:v>No</x:v>
      </x:c>
      <x:c r="AC169" s="18" t="str">
        <x:v>RR</x:v>
      </x:c>
      <x:c r="AD169" s="18" t="n">
        <x:v>0.375</x:v>
      </x:c>
      <x:c r="AE169" s="18" t="str">
        <x:v>No</x:v>
      </x:c>
      <x:c r="AF169" s="18" t="str">
        <x:v>No</x:v>
      </x:c>
      <x:c r="AG169" s="18" t="str">
        <x:v>Eligible for binary rescue-opioid-use analysis with source-statistic QC</x:v>
      </x:c>
      <x:c r="AH169" s="18" t="str">
        <x:v>No</x:v>
      </x:c>
      <x:c r="AI169" s="18" t="str">
        <x:v>All rescue users received one 5-mg IM dezocine dose; no repeat rescue doses were required</x:v>
      </x:c>
      <x:c r="AJ169" s="18" t="str">
        <x:v>Rescue analgesia</x:v>
      </x:c>
      <x:c r="AK169" s="18" t="str">
        <x:v>https://drive.google.com/file/d/1mvekGtHD2JAKCRbIXrvLw1Nz7hbQ1dZ3/view?usp=drivesdk</x:v>
      </x:c>
      <x:c r="AL169" s="18" t="str">
        <x:v>SOURCE-VERIFIED / P-VALUE CONFLICT</x:v>
      </x:c>
      <x:c r="AM169" s="18" t="str">
        <x:v>F-rescue-opioid-008</x:v>
      </x:c>
      <x:c r="AN169" s="18" t="str">
        <x:v>F-rescue-opioid</x:v>
      </x:c>
      <x:c r="AO169" s="18" t="str">
        <x:v>F_rescue_opioid</x:v>
      </x:c>
      <x:c r="AP169" s="18" t="str">
        <x:v>MATCHED</x:v>
      </x:c>
      <x:c r="AQ169" s="18" t="n">
        <x:v>0</x:v>
      </x:c>
      <x:c r="AR169" s="18" t="n">
        <x:v>0</x:v>
      </x:c>
      <x:c r="AS169" s="18" t="str">
        <x:v>Some concerns</x:v>
      </x:c>
      <x:c r="AT169" s="18" t="str">
        <x:v>P1</x:v>
      </x:c>
      <x:c r="AU169" s="18" t="str">
        <x:v>UNRESOLVED P-value</x:v>
      </x:c>
      <x:c r="AV169" s="18" t="str">
        <x:v>3/43 vs8/43</x:v>
      </x:c>
    </x:row>
    <x:row r="170">
      <x:c r="A170" s="18" t="str">
        <x:v>Liu 2026 (burn)</x:v>
      </x:c>
      <x:c r="B170" s="18" t="str">
        <x:v>LIU26BURN_TEAS_vs_SHAM_FVAS24</x:v>
      </x:c>
      <x:c r="C170" s="18" t="str">
        <x:v>Pre-induction TEAS</x:v>
      </x:c>
      <x:c r="D170" s="18" t="str">
        <x:v>Placebo/sham TEAS</x:v>
      </x:c>
      <x:c r="E170" s="18" t="str">
        <x:v>Pain</x:v>
      </x:c>
      <x:c r="F170" s="18" t="str">
        <x:v>Resting F-VAS pain</x:v>
      </x:c>
      <x:c r="G170" s="18" t="str">
        <x:v>24 h</x:v>
      </x:c>
      <x:c r="H170" s="18" t="str">
        <x:v>Graph-only continuous data</x:v>
      </x:c>
      <x:c r="I170" s="18" t="n">
        <x:v>44</x:v>
      </x:c>
      <x:c r="J170" s="18" t="n">
        <x:v>44</x:v>
      </x:c>
      <x:c r="K170" s="18" t="n">
        <x:v>43</x:v>
      </x:c>
      <x:c r="L170" s="18" t="n">
        <x:v>43</x:v>
      </x:c>
      <x:c r="M170" s="18"/>
      <x:c r="N170" s="18"/>
      <x:c r="O170" s="18"/>
      <x:c r="P170" s="18"/>
      <x:c r="Q170" s="18"/>
      <x:c r="R170" s="18"/>
      <x:c r="S170" s="18"/>
      <x:c r="T170" s="18"/>
      <x:c r="U170" s="18"/>
      <x:c r="V170" s="18"/>
      <x:c r="W170" s="18"/>
      <x:c r="X170" s="18"/>
      <x:c r="Y170" s="18" t="str">
        <x:v>F-VAS 0-100 mm</x:v>
      </x:c>
      <x:c r="Z170" s="18" t="str">
        <x:v>0.039</x:v>
      </x:c>
      <x:c r="AA170" s="18" t="str">
        <x:v>No</x:v>
      </x:c>
      <x:c r="AB170" s="18" t="str">
        <x:v>No</x:v>
      </x:c>
      <x:c r="AC170" s="18" t="str"/>
      <x:c r="AD170" s="18" t="str"/>
      <x:c r="AE170" s="18" t="str">
        <x:v>No</x:v>
      </x:c>
      <x:c r="AF170" s="18" t="str">
        <x:v>No</x:v>
      </x:c>
      <x:c r="AG170" s="18" t="str">
        <x:v>Not ready for continuous pain meta-analysis without formal graph digitization or author data</x:v>
      </x:c>
      <x:c r="AH170" s="18" t="str">
        <x:v>No</x:v>
      </x:c>
      <x:c r="AI170" s="18" t="str">
        <x:v>Exact means/SDs are figure-only; do not infer numeric values from bar heights</x:v>
      </x:c>
      <x:c r="AJ170" s="18" t="str">
        <x:v>Figure 5 / F3 24 h</x:v>
      </x:c>
      <x:c r="AK170" s="18" t="str">
        <x:v>https://drive.google.com/file/d/1mvekGtHD2JAKCRbIXrvLw1Nz7hbQ1dZ3/view?usp=drivesdk</x:v>
      </x:c>
      <x:c r="AL170" s="18" t="str">
        <x:v>FIGURE ONLY / DIGITIZATION NEEDED</x:v>
      </x:c>
      <x:c r="AM170" s="18"/>
      <x:c r="AN170" s="18"/>
      <x:c r="AO170" s="18"/>
      <x:c r="AP170" s="18"/>
      <x:c r="AQ170" s="18" t="n">
        <x:v>0</x:v>
      </x:c>
      <x:c r="AR170" s="18" t="n">
        <x:v>0</x:v>
      </x:c>
      <x:c r="AS170" s="18"/>
      <x:c r="AT170" s="18"/>
      <x:c r="AU170" s="18"/>
      <x:c r="AV170" s="18"/>
    </x:row>
    <x:row r="171">
      <x:c r="A171" s="18" t="str">
        <x:v>Liu 2026 (burn)</x:v>
      </x:c>
      <x:c r="B171" s="18" t="str">
        <x:v>LIU26BURN_TEAS_vs_SHAM_OPIOID24</x:v>
      </x:c>
      <x:c r="C171" s="18" t="str">
        <x:v>Pre-induction TEAS</x:v>
      </x:c>
      <x:c r="D171" s="18" t="str">
        <x:v>Placebo/sham TEAS</x:v>
      </x:c>
      <x:c r="E171" s="18" t="str">
        <x:v>Opioid consumption</x:v>
      </x:c>
      <x:c r="F171" s="18" t="str">
        <x:v>Complete postoperative opioid/MME exposure</x:v>
      </x:c>
      <x:c r="G171" s="18" t="str">
        <x:v>0-24 h</x:v>
      </x:c>
      <x:c r="H171" s="18" t="str">
        <x:v>Not calculable</x:v>
      </x:c>
      <x:c r="I171" s="18" t="n">
        <x:v>44</x:v>
      </x:c>
      <x:c r="J171" s="18" t="n">
        <x:v>44</x:v>
      </x:c>
      <x:c r="K171" s="18" t="n">
        <x:v>43</x:v>
      </x:c>
      <x:c r="L171" s="18" t="n">
        <x:v>43</x:v>
      </x:c>
      <x:c r="M171" s="18"/>
      <x:c r="N171" s="18"/>
      <x:c r="O171" s="18"/>
      <x:c r="P171" s="18"/>
      <x:c r="Q171" s="18"/>
      <x:c r="R171" s="18"/>
      <x:c r="S171" s="18"/>
      <x:c r="T171" s="18"/>
      <x:c r="U171" s="18"/>
      <x:c r="V171" s="18"/>
      <x:c r="W171" s="18"/>
      <x:c r="X171" s="18"/>
      <x:c r="Y171" s="18" t="str">
        <x:v>sufentanil + butorphanol PCIA; rescue dezocine</x:v>
      </x:c>
      <x:c r="Z171" s="18"/>
      <x:c r="AA171" s="18" t="str">
        <x:v>No</x:v>
      </x:c>
      <x:c r="AB171" s="18" t="str">
        <x:v>No</x:v>
      </x:c>
      <x:c r="AC171" s="18" t="str"/>
      <x:c r="AD171" s="18" t="str"/>
      <x:c r="AE171" s="18" t="str">
        <x:v>No</x:v>
      </x:c>
      <x:c r="AF171" s="18" t="str">
        <x:v>No</x:v>
      </x:c>
      <x:c r="AG171" s="18" t="str">
        <x:v>Not eligible for continuous 24-h opioid/MME meta-analysis</x:v>
      </x:c>
      <x:c r="AH171" s="18" t="str">
        <x:v>No</x:v>
      </x:c>
      <x:c r="AI171" s="18" t="str">
        <x:v>PCIA composition is known but bolus volume, basal rate, delivered-volume and successful-delivery counts are not; two opioids are present in the pump</x:v>
      </x:c>
      <x:c r="AJ171" s="18" t="str">
        <x:v>Postoperative PCIA section</x:v>
      </x:c>
      <x:c r="AK171" s="18" t="str">
        <x:v>https://drive.google.com/file/d/1mvekGtHD2JAKCRbIXrvLw1Nz7hbQ1dZ3/view?usp=drivesdk</x:v>
      </x:c>
      <x:c r="AL171" s="18" t="str">
        <x:v>MISSING / COMBINED OPIOID EXPOSURE NOT CALCULABLE</x:v>
      </x:c>
      <x:c r="AM171" s="18"/>
      <x:c r="AN171" s="18"/>
      <x:c r="AO171" s="18"/>
      <x:c r="AP171" s="18"/>
      <x:c r="AQ171" s="18" t="n">
        <x:v>0</x:v>
      </x:c>
      <x:c r="AR171" s="18" t="n">
        <x:v>0</x:v>
      </x:c>
      <x:c r="AS171" s="18"/>
      <x:c r="AT171" s="18"/>
      <x:c r="AU171" s="18"/>
      <x:c r="AV171" s="18"/>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v>RR</x:v>
      </x:c>
      <x:c r="AD172" s="18" t="n">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c r="AM172" s="18"/>
      <x:c r="AN172" s="18"/>
      <x:c r="AO172" s="18"/>
      <x:c r="AP172" s="18"/>
      <x:c r="AQ172" s="18" t="n">
        <x:v>0</x:v>
      </x:c>
      <x:c r="AR172" s="18" t="n">
        <x:v>0</x:v>
      </x:c>
      <x:c r="AS172" s="18"/>
      <x:c r="AT172" s="18"/>
      <x:c r="AU172" s="18"/>
      <x:c r="AV172" s="18"/>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t="str"/>
      <x:c r="AD173" s="18" t="str"/>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c r="AM173" s="18"/>
      <x:c r="AN173" s="18"/>
      <x:c r="AO173" s="18"/>
      <x:c r="AP173" s="18"/>
      <x:c r="AQ173" s="18" t="n">
        <x:v>0</x:v>
      </x:c>
      <x:c r="AR173" s="18" t="n">
        <x:v>0</x:v>
      </x:c>
      <x:c r="AS173" s="18"/>
      <x:c r="AT173" s="18"/>
      <x:c r="AU173" s="18"/>
      <x:c r="AV173" s="18"/>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t="str"/>
      <x:c r="AD174" s="18" t="str"/>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c r="AM174" s="18"/>
      <x:c r="AN174" s="18"/>
      <x:c r="AO174" s="18"/>
      <x:c r="AP174" s="18"/>
      <x:c r="AQ174" s="18" t="n">
        <x:v>0</x:v>
      </x:c>
      <x:c r="AR174" s="18" t="n">
        <x:v>0</x:v>
      </x:c>
      <x:c r="AS174" s="18"/>
      <x:c r="AT174" s="18"/>
      <x:c r="AU174" s="18"/>
      <x:c r="AV174" s="18"/>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x:c r="AA175" s="18" t="str">
        <x:v>No</x:v>
      </x:c>
      <x:c r="AB175" s="18" t="str">
        <x:v>No</x:v>
      </x:c>
      <x:c r="AC175" s="18" t="str"/>
      <x:c r="AD175" s="18" t="str"/>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c r="AM175" s="18"/>
      <x:c r="AN175" s="18"/>
      <x:c r="AO175" s="18"/>
      <x:c r="AP175" s="18"/>
      <x:c r="AQ175" s="18" t="n">
        <x:v>0</x:v>
      </x:c>
      <x:c r="AR175" s="18" t="n">
        <x:v>0</x:v>
      </x:c>
      <x:c r="AS175" s="18"/>
      <x:c r="AT175" s="18"/>
      <x:c r="AU175" s="18"/>
      <x:c r="AV175" s="18"/>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t="str"/>
      <x:c r="AD176" s="18" t="str"/>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c r="AM176" s="18"/>
      <x:c r="AN176" s="18"/>
      <x:c r="AO176" s="18"/>
      <x:c r="AP176" s="18"/>
      <x:c r="AQ176" s="18" t="n">
        <x:v>0</x:v>
      </x:c>
      <x:c r="AR176" s="18" t="n">
        <x:v>0</x:v>
      </x:c>
      <x:c r="AS176" s="18"/>
      <x:c r="AT176" s="18"/>
      <x:c r="AU176" s="18"/>
      <x:c r="AV176" s="18"/>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t="str"/>
      <x:c r="AD177" s="18" t="str"/>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c r="AM177" s="18"/>
      <x:c r="AN177" s="18"/>
      <x:c r="AO177" s="18"/>
      <x:c r="AP177" s="18"/>
      <x:c r="AQ177" s="18" t="n">
        <x:v>0</x:v>
      </x:c>
      <x:c r="AR177" s="18" t="n">
        <x:v>0</x:v>
      </x:c>
      <x:c r="AS177" s="18"/>
      <x:c r="AT177" s="18"/>
      <x:c r="AU177" s="18"/>
      <x:c r="AV177" s="18"/>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x:c r="AA178" s="18" t="str">
        <x:v>No</x:v>
      </x:c>
      <x:c r="AB178" s="18" t="str">
        <x:v>No</x:v>
      </x:c>
      <x:c r="AC178" s="18" t="str"/>
      <x:c r="AD178" s="18" t="str"/>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c r="AM178" s="18"/>
      <x:c r="AN178" s="18"/>
      <x:c r="AO178" s="18"/>
      <x:c r="AP178" s="18"/>
      <x:c r="AQ178" s="18" t="n">
        <x:v>0</x:v>
      </x:c>
      <x:c r="AR178" s="18" t="n">
        <x:v>0</x:v>
      </x:c>
      <x:c r="AS178" s="18"/>
      <x:c r="AT178" s="18"/>
      <x:c r="AU178" s="18"/>
      <x:c r="AV178" s="18"/>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38</x:v>
      </x:c>
      <x:c r="J179" s="18" t="n">
        <x:v>37</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v>RR</x:v>
      </x:c>
      <x:c r="AD179" s="18" t="n">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c r="AM179" s="18"/>
      <x:c r="AN179" s="18"/>
      <x:c r="AO179" s="18"/>
      <x:c r="AP179" s="18"/>
      <x:c r="AQ179" s="18" t="n">
        <x:v>0</x:v>
      </x:c>
      <x:c r="AR179" s="18" t="n">
        <x:v>0</x:v>
      </x:c>
      <x:c r="AS179" s="18"/>
      <x:c r="AT179" s="18"/>
      <x:c r="AU179" s="18"/>
      <x:c r="AV179" s="18"/>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38</x:v>
      </x:c>
      <x:c r="J180" s="18" t="n">
        <x:v>37</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v>RR</x:v>
      </x:c>
      <x:c r="AD180" s="18" t="n">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c r="AM180" s="18"/>
      <x:c r="AN180" s="18"/>
      <x:c r="AO180" s="18"/>
      <x:c r="AP180" s="18"/>
      <x:c r="AQ180" s="18" t="n">
        <x:v>0</x:v>
      </x:c>
      <x:c r="AR180" s="18" t="n">
        <x:v>0</x:v>
      </x:c>
      <x:c r="AS180" s="18"/>
      <x:c r="AT180" s="18"/>
      <x:c r="AU180" s="18"/>
      <x:c r="AV180" s="18"/>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38</x:v>
      </x:c>
      <x:c r="J181" s="18" t="n">
        <x:v>37</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v>RR</x:v>
      </x:c>
      <x:c r="AD181" s="18" t="n">
        <x:v>0.22580645161290325</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c r="AM181" s="18"/>
      <x:c r="AN181" s="18"/>
      <x:c r="AO181" s="18"/>
      <x:c r="AP181" s="18"/>
      <x:c r="AQ181" s="18" t="n">
        <x:v>0</x:v>
      </x:c>
      <x:c r="AR181" s="18" t="n">
        <x:v>0</x:v>
      </x:c>
      <x:c r="AS181" s="18"/>
      <x:c r="AT181" s="18"/>
      <x:c r="AU181" s="18"/>
      <x:c r="AV181" s="18"/>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38</x:v>
      </x:c>
      <x:c r="J182" s="18" t="n">
        <x:v>37</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v>RR</x:v>
      </x:c>
      <x:c r="AD182" s="18" t="n">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x:v>
      </x:c>
      <x:c r="AJ182" s="18" t="str">
        <x:v>CRBD incidence table</x:v>
      </x:c>
      <x:c r="AK182" s="18" t="str">
        <x:v>https://drive.google.com/file/d/1guriAcqNbJNXpfd_UjYwevULLVSeiHXS/view?usp=drivesdk</x:v>
      </x:c>
      <x:c r="AL182" s="18" t="str">
        <x:v>SOURCE-VERIFIED / ATTRITION QC</x:v>
      </x:c>
      <x:c r="AM182" s="18"/>
      <x:c r="AN182" s="18"/>
      <x:c r="AO182" s="18"/>
      <x:c r="AP182" s="18"/>
      <x:c r="AQ182" s="18" t="n">
        <x:v>0</x:v>
      </x:c>
      <x:c r="AR182" s="18" t="n">
        <x:v>0</x:v>
      </x:c>
      <x:c r="AS182" s="18"/>
      <x:c r="AT182" s="18"/>
      <x:c r="AU182" s="18"/>
      <x:c r="AV182" s="18"/>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38</x:v>
      </x:c>
      <x:c r="J183" s="18" t="n">
        <x:v>37</x:v>
      </x:c>
      <x:c r="K183" s="18" t="n">
        <x:v>35</x:v>
      </x:c>
      <x:c r="L183" s="18" t="n">
        <x:v>35</x:v>
      </x:c>
      <x:c r="M183" s="18"/>
      <x:c r="N183" s="18"/>
      <x:c r="O183" s="18"/>
      <x:c r="P183" s="18"/>
      <x:c r="Q183" s="18"/>
      <x:c r="R183" s="18"/>
      <x:c r="S183" s="18"/>
      <x:c r="T183" s="18"/>
      <x:c r="U183" s="18"/>
      <x:c r="V183" s="18"/>
      <x:c r="W183" s="18"/>
      <x:c r="X183" s="18"/>
      <x:c r="Y183" s="18" t="str">
        <x:v>mg/µg</x:v>
      </x:c>
      <x:c r="Z183" s="18"/>
      <x:c r="AA183" s="18" t="str">
        <x:v>No</x:v>
      </x:c>
      <x:c r="AB183" s="18" t="str">
        <x:v>No</x:v>
      </x:c>
      <x:c r="AC183" s="18" t="str"/>
      <x:c r="AD183" s="18" t="str"/>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c r="AM183" s="18"/>
      <x:c r="AN183" s="18"/>
      <x:c r="AO183" s="18"/>
      <x:c r="AP183" s="18"/>
      <x:c r="AQ183" s="18" t="n">
        <x:v>0</x:v>
      </x:c>
      <x:c r="AR183" s="18" t="n">
        <x:v>0</x:v>
      </x:c>
      <x:c r="AS183" s="18"/>
      <x:c r="AT183" s="18"/>
      <x:c r="AU183" s="18"/>
      <x:c r="AV183" s="18"/>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v>MD</x:v>
      </x:c>
      <x:c r="AD184" s="18" t="n">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c r="AM184" s="18" t="str">
        <x:v>F-postop-dose-002</x:v>
      </x:c>
      <x:c r="AN184" s="18" t="str">
        <x:v>F-postop-dose</x:v>
      </x:c>
      <x:c r="AO184" s="18" t="str">
        <x:v>F_postop_delivered_dose_or_solution</x:v>
      </x:c>
      <x:c r="AP184" s="18" t="str">
        <x:v>MATCHED</x:v>
      </x:c>
      <x:c r="AQ184" s="18" t="n">
        <x:v>1</x:v>
      </x:c>
      <x:c r="AR184" s="18" t="n">
        <x:v>0</x:v>
      </x:c>
      <x:c r="AS184" s="18" t="str">
        <x:v>Some concerns</x:v>
      </x:c>
      <x:c r="AT184" s="18" t="str">
        <x:v>P2</x:v>
      </x:c>
      <x:c r="AU184" s="18"/>
      <x:c r="AV184" s="18" t="str">
        <x:v>Sham34.20±6.40; high31.14±8.15; low29.29±8.89 mg</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v>MD</x:v>
      </x:c>
      <x:c r="AD185" s="18" t="n">
        <x:v>-3.0600000000000023</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c r="AM185" s="18" t="str">
        <x:v>F-postop-dose-002</x:v>
      </x:c>
      <x:c r="AN185" s="18" t="str">
        <x:v>F-postop-dose</x:v>
      </x:c>
      <x:c r="AO185" s="18" t="str">
        <x:v>F_postop_delivered_dose_or_solution</x:v>
      </x:c>
      <x:c r="AP185" s="18" t="str">
        <x:v>MATCHED</x:v>
      </x:c>
      <x:c r="AQ185" s="18" t="n">
        <x:v>1</x:v>
      </x:c>
      <x:c r="AR185" s="18" t="n">
        <x:v>0</x:v>
      </x:c>
      <x:c r="AS185" s="18" t="str">
        <x:v>Some concerns</x:v>
      </x:c>
      <x:c r="AT185" s="18" t="str">
        <x:v>P2</x:v>
      </x:c>
      <x:c r="AU185" s="18"/>
      <x:c r="AV185" s="18" t="str">
        <x:v>Sham34.20±6.40; high31.14±8.15; low29.29±8.89 mg</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v>MD</x:v>
      </x:c>
      <x:c r="AD186" s="18" t="n">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c r="AM186" s="18"/>
      <x:c r="AN186" s="18"/>
      <x:c r="AO186" s="18"/>
      <x:c r="AP186" s="18"/>
      <x:c r="AQ186" s="18" t="n">
        <x:v>0</x:v>
      </x:c>
      <x:c r="AR186" s="18" t="n">
        <x:v>0</x:v>
      </x:c>
      <x:c r="AS186" s="18"/>
      <x:c r="AT186" s="18"/>
      <x:c r="AU186" s="18"/>
      <x:c r="AV186" s="18"/>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v>MD</x:v>
      </x:c>
      <x:c r="AD187" s="18" t="n">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c r="AM187" s="18"/>
      <x:c r="AN187" s="18"/>
      <x:c r="AO187" s="18"/>
      <x:c r="AP187" s="18"/>
      <x:c r="AQ187" s="18" t="n">
        <x:v>0</x:v>
      </x:c>
      <x:c r="AR187" s="18" t="n">
        <x:v>0</x:v>
      </x:c>
      <x:c r="AS187" s="18"/>
      <x:c r="AT187" s="18"/>
      <x:c r="AU187" s="18"/>
      <x:c r="AV187" s="18"/>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t="str"/>
      <x:c r="AD188" s="18" t="str"/>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c r="AM188" s="18" t="str">
        <x:v>F-PCA-007</x:v>
      </x:c>
      <x:c r="AN188" s="18" t="str">
        <x:v>F-PCA</x:v>
      </x:c>
      <x:c r="AO188" s="18" t="str">
        <x:v>F_PCA_behavior</x:v>
      </x:c>
      <x:c r="AP188" s="18" t="str">
        <x:v>MATCHED</x:v>
      </x:c>
      <x:c r="AQ188" s="18" t="n">
        <x:v>0</x:v>
      </x:c>
      <x:c r="AR188" s="18" t="n">
        <x:v>1</x:v>
      </x:c>
      <x:c r="AS188" s="18" t="str">
        <x:v>Some concerns</x:v>
      </x:c>
      <x:c r="AT188" s="18"/>
      <x:c r="AU188" s="18"/>
      <x:c r="AV188" s="18" t="str">
        <x:v>Sham9.0 (4.3–12.0), 2Hz1.0 (0–3.0),20/100Hz1.0 (0–4.5)</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t="str"/>
      <x:c r="AD189" s="18" t="str"/>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c r="AM189" s="18" t="str">
        <x:v>F-PCA-007</x:v>
      </x:c>
      <x:c r="AN189" s="18" t="str">
        <x:v>F-PCA</x:v>
      </x:c>
      <x:c r="AO189" s="18" t="str">
        <x:v>F_PCA_behavior</x:v>
      </x:c>
      <x:c r="AP189" s="18" t="str">
        <x:v>MATCHED</x:v>
      </x:c>
      <x:c r="AQ189" s="18" t="n">
        <x:v>0</x:v>
      </x:c>
      <x:c r="AR189" s="18" t="n">
        <x:v>1</x:v>
      </x:c>
      <x:c r="AS189" s="18" t="str">
        <x:v>Some concerns</x:v>
      </x:c>
      <x:c r="AT189" s="18"/>
      <x:c r="AU189" s="18"/>
      <x:c r="AV189" s="18" t="str">
        <x:v>Sham9.0 (4.3–12.0), 2Hz1.0 (0–3.0),20/100Hz1.0 (0–4.5)</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v>MD</x:v>
      </x:c>
      <x:c r="AD190" s="18" t="n">
        <x:v>-17.229999999999997</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c r="AM190" s="18"/>
      <x:c r="AN190" s="18"/>
      <x:c r="AO190" s="18"/>
      <x:c r="AP190" s="18"/>
      <x:c r="AQ190" s="18" t="n">
        <x:v>0</x:v>
      </x:c>
      <x:c r="AR190" s="18" t="n">
        <x:v>0</x:v>
      </x:c>
      <x:c r="AS190" s="18"/>
      <x:c r="AT190" s="18"/>
      <x:c r="AU190" s="18"/>
      <x:c r="AV190" s="18"/>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v>MD</x:v>
      </x:c>
      <x:c r="AD191" s="18" t="n">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c r="AM191" s="18"/>
      <x:c r="AN191" s="18"/>
      <x:c r="AO191" s="18"/>
      <x:c r="AP191" s="18"/>
      <x:c r="AQ191" s="18" t="n">
        <x:v>0</x:v>
      </x:c>
      <x:c r="AR191" s="18" t="n">
        <x:v>0</x:v>
      </x:c>
      <x:c r="AS191" s="18"/>
      <x:c r="AT191" s="18"/>
      <x:c r="AU191" s="18"/>
      <x:c r="AV191" s="18"/>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x:c r="AA192" s="18" t="str">
        <x:v>No</x:v>
      </x:c>
      <x:c r="AB192" s="18" t="str">
        <x:v>No</x:v>
      </x:c>
      <x:c r="AC192" s="18" t="str"/>
      <x:c r="AD192" s="18" t="str"/>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c r="AM192" s="18"/>
      <x:c r="AN192" s="18"/>
      <x:c r="AO192" s="18"/>
      <x:c r="AP192" s="18"/>
      <x:c r="AQ192" s="18" t="n">
        <x:v>0</x:v>
      </x:c>
      <x:c r="AR192" s="18" t="n">
        <x:v>0</x:v>
      </x:c>
      <x:c r="AS192" s="18"/>
      <x:c r="AT192" s="18"/>
      <x:c r="AU192" s="18"/>
      <x:c r="AV192" s="18"/>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t="str"/>
      <x:c r="AD193" s="18" t="str"/>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c r="AM193" s="18"/>
      <x:c r="AN193" s="18"/>
      <x:c r="AO193" s="18"/>
      <x:c r="AP193" s="18"/>
      <x:c r="AQ193" s="18" t="n">
        <x:v>0</x:v>
      </x:c>
      <x:c r="AR193" s="18" t="n">
        <x:v>0</x:v>
      </x:c>
      <x:c r="AS193" s="18"/>
      <x:c r="AT193" s="18"/>
      <x:c r="AU193" s="18"/>
      <x:c r="AV193" s="18"/>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t="str"/>
      <x:c r="AD194" s="18" t="str"/>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c r="AM194" s="18"/>
      <x:c r="AN194" s="18"/>
      <x:c r="AO194" s="18"/>
      <x:c r="AP194" s="18"/>
      <x:c r="AQ194" s="18" t="n">
        <x:v>0</x:v>
      </x:c>
      <x:c r="AR194" s="18" t="n">
        <x:v>0</x:v>
      </x:c>
      <x:c r="AS194" s="18"/>
      <x:c r="AT194" s="18"/>
      <x:c r="AU194" s="18"/>
      <x:c r="AV194" s="18"/>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v>RR</x:v>
      </x:c>
      <x:c r="AD195" s="18" t="n">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c r="AM195" s="18"/>
      <x:c r="AN195" s="18"/>
      <x:c r="AO195" s="18"/>
      <x:c r="AP195" s="18"/>
      <x:c r="AQ195" s="18" t="n">
        <x:v>0</x:v>
      </x:c>
      <x:c r="AR195" s="18" t="n">
        <x:v>0</x:v>
      </x:c>
      <x:c r="AS195" s="18"/>
      <x:c r="AT195" s="18"/>
      <x:c r="AU195" s="18"/>
      <x:c r="AV195" s="18"/>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t="str"/>
      <x:c r="AD196" s="18" t="str"/>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c r="AM196" s="18" t="str">
        <x:v>F-exposure-006</x:v>
      </x:c>
      <x:c r="AN196" s="18" t="str">
        <x:v>F-exposure</x:v>
      </x:c>
      <x:c r="AO196" s="18" t="str">
        <x:v>F_intraop_fixed_or_unclear_exposure</x:v>
      </x:c>
      <x:c r="AP196" s="18" t="str">
        <x:v>MATCHED</x:v>
      </x:c>
      <x:c r="AQ196" s="18" t="n">
        <x:v>0</x:v>
      </x:c>
      <x:c r="AR196" s="18" t="n">
        <x:v>1</x:v>
      </x:c>
      <x:c r="AS196" s="18" t="str">
        <x:v>Some concerns</x:v>
      </x:c>
      <x:c r="AT196" s="18" t="str">
        <x:v>P1</x:v>
      </x:c>
      <x:c r="AU196" s="18"/>
      <x:c r="AV196" s="18" t="str">
        <x:v>Remi 841.4 [593.85–1278.0] vs795.2 [584.0–1228.2] μg; sufentanil 21.0 vs21.0 μg</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x:c r="AA197" s="18" t="str">
        <x:v>No</x:v>
      </x:c>
      <x:c r="AB197" s="18" t="str">
        <x:v>No</x:v>
      </x:c>
      <x:c r="AC197" s="18" t="str"/>
      <x:c r="AD197" s="18" t="str"/>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c r="AM197" s="18"/>
      <x:c r="AN197" s="18"/>
      <x:c r="AO197" s="18"/>
      <x:c r="AP197" s="18"/>
      <x:c r="AQ197" s="18" t="n">
        <x:v>0</x:v>
      </x:c>
      <x:c r="AR197" s="18" t="n">
        <x:v>0</x:v>
      </x:c>
      <x:c r="AS197" s="18"/>
      <x:c r="AT197" s="18"/>
      <x:c r="AU197" s="18"/>
      <x:c r="AV197" s="18"/>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v>MD</x:v>
      </x:c>
      <x:c r="AD198" s="18" t="n">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c r="AM198" s="18"/>
      <x:c r="AN198" s="18"/>
      <x:c r="AO198" s="18"/>
      <x:c r="AP198" s="18"/>
      <x:c r="AQ198" s="18" t="n">
        <x:v>0</x:v>
      </x:c>
      <x:c r="AR198" s="18" t="n">
        <x:v>0</x:v>
      </x:c>
      <x:c r="AS198" s="18"/>
      <x:c r="AT198" s="18"/>
      <x:c r="AU198" s="18"/>
      <x:c r="AV198" s="18"/>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v>MD</x:v>
      </x:c>
      <x:c r="AD199" s="18" t="n">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c r="AM199" s="18"/>
      <x:c r="AN199" s="18"/>
      <x:c r="AO199" s="18"/>
      <x:c r="AP199" s="18"/>
      <x:c r="AQ199" s="18" t="n">
        <x:v>0</x:v>
      </x:c>
      <x:c r="AR199" s="18" t="n">
        <x:v>0</x:v>
      </x:c>
      <x:c r="AS199" s="18"/>
      <x:c r="AT199" s="18"/>
      <x:c r="AU199" s="18"/>
      <x:c r="AV199" s="18"/>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x:c r="AA200" s="18" t="str">
        <x:v>No</x:v>
      </x:c>
      <x:c r="AB200" s="18" t="str">
        <x:v>No</x:v>
      </x:c>
      <x:c r="AC200" s="18" t="str"/>
      <x:c r="AD200" s="18" t="str"/>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c r="AM200" s="18"/>
      <x:c r="AN200" s="18"/>
      <x:c r="AO200" s="18"/>
      <x:c r="AP200" s="18"/>
      <x:c r="AQ200" s="18" t="n">
        <x:v>0</x:v>
      </x:c>
      <x:c r="AR200" s="18" t="n">
        <x:v>0</x:v>
      </x:c>
      <x:c r="AS200" s="18"/>
      <x:c r="AT200" s="18"/>
      <x:c r="AU200" s="18"/>
      <x:c r="AV200" s="18"/>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v>MD</x:v>
      </x:c>
      <x:c r="AD201" s="18" t="n">
        <x:v>-3.5500000000000043</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c r="AM201" s="18"/>
      <x:c r="AN201" s="18"/>
      <x:c r="AO201" s="18"/>
      <x:c r="AP201" s="18"/>
      <x:c r="AQ201" s="18" t="n">
        <x:v>0</x:v>
      </x:c>
      <x:c r="AR201" s="18" t="n">
        <x:v>0</x:v>
      </x:c>
      <x:c r="AS201" s="18"/>
      <x:c r="AT201" s="18"/>
      <x:c r="AU201" s="18"/>
      <x:c r="AV201" s="18"/>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v>MD</x:v>
      </x:c>
      <x:c r="AD202" s="18" t="n">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c r="AM202" s="18"/>
      <x:c r="AN202" s="18"/>
      <x:c r="AO202" s="18"/>
      <x:c r="AP202" s="18"/>
      <x:c r="AQ202" s="18" t="n">
        <x:v>0</x:v>
      </x:c>
      <x:c r="AR202" s="18" t="n">
        <x:v>0</x:v>
      </x:c>
      <x:c r="AS202" s="18"/>
      <x:c r="AT202" s="18"/>
      <x:c r="AU202" s="18"/>
      <x:c r="AV202" s="18"/>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t="str"/>
      <x:c r="AD203" s="18" t="str"/>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c r="AM203" s="18" t="str">
        <x:v>F-postop-dose-009</x:v>
      </x:c>
      <x:c r="AN203" s="18" t="str">
        <x:v>F-postop-dose</x:v>
      </x:c>
      <x:c r="AO203" s="18" t="str">
        <x:v>F_postop_delivered_dose_or_solution</x:v>
      </x:c>
      <x:c r="AP203" s="18" t="str">
        <x:v>MATCHED</x:v>
      </x:c>
      <x:c r="AQ203" s="18" t="n">
        <x:v>0</x:v>
      </x:c>
      <x:c r="AR203" s="18" t="n">
        <x:v>0</x:v>
      </x:c>
      <x:c r="AS203" s="18" t="str">
        <x:v>Some concerns</x:v>
      </x:c>
      <x:c r="AT203" s="18" t="str">
        <x:v>P1</x:v>
      </x:c>
      <x:c r="AU203" s="18" t="str">
        <x:v>UNRESOLVED unit</x:v>
      </x:c>
      <x:c r="AV203" s="18" t="str">
        <x:v>0[0–2],2[0–2],2[2–4] across arms</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x:c r="AA204" s="18" t="str">
        <x:v>No</x:v>
      </x:c>
      <x:c r="AB204" s="18" t="str">
        <x:v>No</x:v>
      </x:c>
      <x:c r="AC204" s="18" t="str"/>
      <x:c r="AD204" s="18" t="str"/>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c r="AM204" s="18"/>
      <x:c r="AN204" s="18"/>
      <x:c r="AO204" s="18"/>
      <x:c r="AP204" s="18"/>
      <x:c r="AQ204" s="18" t="n">
        <x:v>0</x:v>
      </x:c>
      <x:c r="AR204" s="18" t="n">
        <x:v>0</x:v>
      </x:c>
      <x:c r="AS204" s="18"/>
      <x:c r="AT204" s="18"/>
      <x:c r="AU204" s="18"/>
      <x:c r="AV204" s="18"/>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v>RR</x:v>
      </x:c>
      <x:c r="AD205" s="18" t="n">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c r="AM205" s="18"/>
      <x:c r="AN205" s="18"/>
      <x:c r="AO205" s="18"/>
      <x:c r="AP205" s="18"/>
      <x:c r="AQ205" s="18" t="n">
        <x:v>0</x:v>
      </x:c>
      <x:c r="AR205" s="18" t="n">
        <x:v>0</x:v>
      </x:c>
      <x:c r="AS205" s="18"/>
      <x:c r="AT205" s="18"/>
      <x:c r="AU205" s="18"/>
      <x:c r="AV205" s="18"/>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t="str"/>
      <x:c r="AD206" s="18" t="str"/>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c r="AM206" s="18"/>
      <x:c r="AN206" s="18"/>
      <x:c r="AO206" s="18"/>
      <x:c r="AP206" s="18"/>
      <x:c r="AQ206" s="18" t="n">
        <x:v>0</x:v>
      </x:c>
      <x:c r="AR206" s="18" t="n">
        <x:v>0</x:v>
      </x:c>
      <x:c r="AS206" s="18"/>
      <x:c r="AT206" s="18"/>
      <x:c r="AU206" s="18"/>
      <x:c r="AV206" s="18"/>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v>RR</x:v>
      </x:c>
      <x:c r="AD207" s="18" t="n">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c r="AM207" s="18" t="str">
        <x:v>F-rescue-nonopioid-002</x:v>
      </x:c>
      <x:c r="AN207" s="18" t="str">
        <x:v>F-rescue-nonopioid</x:v>
      </x:c>
      <x:c r="AO207" s="18" t="str">
        <x:v>F_rescue_nonopioid</x:v>
      </x:c>
      <x:c r="AP207" s="18" t="str">
        <x:v>MATCHED</x:v>
      </x:c>
      <x:c r="AQ207" s="18" t="n">
        <x:v>0</x:v>
      </x:c>
      <x:c r="AR207" s="18" t="n">
        <x:v>0</x:v>
      </x:c>
      <x:c r="AS207" s="18" t="str">
        <x:v>Some concerns</x:v>
      </x:c>
      <x:c r="AT207" s="18"/>
      <x:c r="AU207" s="18" t="str">
        <x:v>UNRESOLVED window</x:v>
      </x:c>
      <x:c r="AV207" s="18" t="str">
        <x:v>15/36 vs28/36; P=0.002</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x:c r="AA208" s="18" t="str">
        <x:v>No</x:v>
      </x:c>
      <x:c r="AB208" s="18" t="str">
        <x:v>No</x:v>
      </x:c>
      <x:c r="AC208" s="18" t="str"/>
      <x:c r="AD208" s="18" t="str"/>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c r="AM208" s="18"/>
      <x:c r="AN208" s="18"/>
      <x:c r="AO208" s="18"/>
      <x:c r="AP208" s="18"/>
      <x:c r="AQ208" s="18" t="n">
        <x:v>0</x:v>
      </x:c>
      <x:c r="AR208" s="18" t="n">
        <x:v>0</x:v>
      </x:c>
      <x:c r="AS208" s="18"/>
      <x:c r="AT208" s="18"/>
      <x:c r="AU208" s="18"/>
      <x:c r="AV208" s="18"/>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v>MD</x:v>
      </x:c>
      <x:c r="AD209" s="18" t="n">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c r="AM209" s="18" t="str">
        <x:v>F-intra-004</x:v>
      </x:c>
      <x:c r="AN209" s="18" t="str">
        <x:v>F-intra</x:v>
      </x:c>
      <x:c r="AO209" s="18" t="str">
        <x:v>F_intraop_titrated_requirement</x:v>
      </x:c>
      <x:c r="AP209" s="18" t="str">
        <x:v>MATCHED</x:v>
      </x:c>
      <x:c r="AQ209" s="18" t="n">
        <x:v>0</x:v>
      </x:c>
      <x:c r="AR209" s="18" t="n">
        <x:v>1</x:v>
      </x:c>
      <x:c r="AS209" s="18" t="str">
        <x:v>Some concerns</x:v>
      </x:c>
      <x:c r="AT209" s="18" t="str">
        <x:v>P2</x:v>
      </x:c>
      <x:c r="AU209" s="18"/>
      <x:c r="AV209" s="18" t="str">
        <x:v>0.1128±0.034 vs0.1617±0.037 μg/kg/min; P≤0.001</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v>MD</x:v>
      </x:c>
      <x:c r="AD210" s="18" t="n">
        <x:v>0.010099999999999998</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c r="AM210" s="18"/>
      <x:c r="AN210" s="18"/>
      <x:c r="AO210" s="18"/>
      <x:c r="AP210" s="18"/>
      <x:c r="AQ210" s="18" t="n">
        <x:v>0</x:v>
      </x:c>
      <x:c r="AR210" s="18" t="n">
        <x:v>0</x:v>
      </x:c>
      <x:c r="AS210" s="18"/>
      <x:c r="AT210" s="18"/>
      <x:c r="AU210" s="18"/>
      <x:c r="AV210" s="18"/>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v>MD</x:v>
      </x:c>
      <x:c r="AD211" s="18" t="n">
        <x:v>-0.016600000000000004</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c r="AM211" s="18"/>
      <x:c r="AN211" s="18"/>
      <x:c r="AO211" s="18"/>
      <x:c r="AP211" s="18"/>
      <x:c r="AQ211" s="18" t="n">
        <x:v>0</x:v>
      </x:c>
      <x:c r="AR211" s="18" t="n">
        <x:v>0</x:v>
      </x:c>
      <x:c r="AS211" s="18"/>
      <x:c r="AT211" s="18"/>
      <x:c r="AU211" s="18"/>
      <x:c r="AV211" s="18"/>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v>MD</x:v>
      </x:c>
      <x:c r="AD212" s="18" t="n">
        <x:v>0.34999999999999987</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c r="AM212" s="18"/>
      <x:c r="AN212" s="18"/>
      <x:c r="AO212" s="18"/>
      <x:c r="AP212" s="18"/>
      <x:c r="AQ212" s="18" t="n">
        <x:v>0</x:v>
      </x:c>
      <x:c r="AR212" s="18" t="n">
        <x:v>0</x:v>
      </x:c>
      <x:c r="AS212" s="18"/>
      <x:c r="AT212" s="18"/>
      <x:c r="AU212" s="18"/>
      <x:c r="AV212" s="18"/>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x:c r="AA213" s="18" t="str">
        <x:v>No</x:v>
      </x:c>
      <x:c r="AB213" s="18" t="str">
        <x:v>No</x:v>
      </x:c>
      <x:c r="AC213" s="18" t="str"/>
      <x:c r="AD213" s="18" t="str"/>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c r="AM213" s="18"/>
      <x:c r="AN213" s="18"/>
      <x:c r="AO213" s="18"/>
      <x:c r="AP213" s="18"/>
      <x:c r="AQ213" s="18" t="n">
        <x:v>0</x:v>
      </x:c>
      <x:c r="AR213" s="18" t="n">
        <x:v>0</x:v>
      </x:c>
      <x:c r="AS213" s="18"/>
      <x:c r="AT213" s="18"/>
      <x:c r="AU213" s="18"/>
      <x:c r="AV213" s="18"/>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v>MD</x:v>
      </x:c>
      <x:c r="AD214" s="18" t="n">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c r="AM214" s="18"/>
      <x:c r="AN214" s="18"/>
      <x:c r="AO214" s="18"/>
      <x:c r="AP214" s="18"/>
      <x:c r="AQ214" s="18" t="n">
        <x:v>0</x:v>
      </x:c>
      <x:c r="AR214" s="18" t="n">
        <x:v>0</x:v>
      </x:c>
      <x:c r="AS214" s="18"/>
      <x:c r="AT214" s="18"/>
      <x:c r="AU214" s="18"/>
      <x:c r="AV214" s="18"/>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v>RR</x:v>
      </x:c>
      <x:c r="AD215" s="18" t="n">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c r="AM215" s="18"/>
      <x:c r="AN215" s="18"/>
      <x:c r="AO215" s="18"/>
      <x:c r="AP215" s="18"/>
      <x:c r="AQ215" s="18" t="n">
        <x:v>0</x:v>
      </x:c>
      <x:c r="AR215" s="18" t="n">
        <x:v>0</x:v>
      </x:c>
      <x:c r="AS215" s="18"/>
      <x:c r="AT215" s="18"/>
      <x:c r="AU215" s="18"/>
      <x:c r="AV215" s="18"/>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v>MD</x:v>
      </x:c>
      <x:c r="AD216" s="18" t="n">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c r="AM216" s="18" t="str">
        <x:v>F-PCA-002</x:v>
      </x:c>
      <x:c r="AN216" s="18" t="str">
        <x:v>F-PCA</x:v>
      </x:c>
      <x:c r="AO216" s="18" t="str">
        <x:v>F_PCA_behavior</x:v>
      </x:c>
      <x:c r="AP216" s="18" t="str">
        <x:v>NORMALIZED_V22</x:v>
      </x:c>
      <x:c r="AQ216" s="18" t="n">
        <x:v>0</x:v>
      </x:c>
      <x:c r="AR216" s="18" t="n">
        <x:v>1</x:v>
      </x:c>
      <x:c r="AS216" s="18" t="str">
        <x:v>Some concerns</x:v>
      </x:c>
      <x:c r="AT216" s="18" t="str">
        <x:v>P1</x:v>
      </x:c>
      <x:c r="AU216" s="18"/>
      <x:c r="AV216" s="18" t="str">
        <x:v>2.7±3.3 /2.6±3.3 vs3.5±6.1 /3.5±6.0</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v>RR</x:v>
      </x:c>
      <x:c r="AD217" s="18" t="n">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c r="AM217" s="18"/>
      <x:c r="AN217" s="18"/>
      <x:c r="AO217" s="18"/>
      <x:c r="AP217" s="18"/>
      <x:c r="AQ217" s="18" t="n">
        <x:v>0</x:v>
      </x:c>
      <x:c r="AR217" s="18" t="n">
        <x:v>0</x:v>
      </x:c>
      <x:c r="AS217" s="18"/>
      <x:c r="AT217" s="18"/>
      <x:c r="AU217" s="18"/>
      <x:c r="AV217" s="18"/>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v>MD</x:v>
      </x:c>
      <x:c r="AD218" s="18" t="n">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c r="AM218" s="18"/>
      <x:c r="AN218" s="18"/>
      <x:c r="AO218" s="18"/>
      <x:c r="AP218" s="18"/>
      <x:c r="AQ218" s="18" t="n">
        <x:v>0</x:v>
      </x:c>
      <x:c r="AR218" s="18" t="n">
        <x:v>0</x:v>
      </x:c>
      <x:c r="AS218" s="18"/>
      <x:c r="AT218" s="18"/>
      <x:c r="AU218" s="18"/>
      <x:c r="AV218" s="18"/>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v>MD</x:v>
      </x:c>
      <x:c r="AD219" s="18" t="n">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c r="AM219" s="18"/>
      <x:c r="AN219" s="18"/>
      <x:c r="AO219" s="18"/>
      <x:c r="AP219" s="18"/>
      <x:c r="AQ219" s="18" t="n">
        <x:v>0</x:v>
      </x:c>
      <x:c r="AR219" s="18" t="n">
        <x:v>0</x:v>
      </x:c>
      <x:c r="AS219" s="18"/>
      <x:c r="AT219" s="18"/>
      <x:c r="AU219" s="18"/>
      <x:c r="AV219" s="18"/>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x:c r="AA220" s="18" t="str">
        <x:v>No</x:v>
      </x:c>
      <x:c r="AB220" s="18" t="str">
        <x:v>No</x:v>
      </x:c>
      <x:c r="AC220" s="18" t="str"/>
      <x:c r="AD220" s="18" t="str"/>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c r="AM220" s="18"/>
      <x:c r="AN220" s="18"/>
      <x:c r="AO220" s="18"/>
      <x:c r="AP220" s="18"/>
      <x:c r="AQ220" s="18" t="n">
        <x:v>0</x:v>
      </x:c>
      <x:c r="AR220" s="18" t="n">
        <x:v>0</x:v>
      </x:c>
      <x:c r="AS220" s="18"/>
      <x:c r="AT220" s="18"/>
      <x:c r="AU220" s="18"/>
      <x:c r="AV220" s="18"/>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v>MD</x:v>
      </x:c>
      <x:c r="AD221" s="18" t="n">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c r="AM221" s="18"/>
      <x:c r="AN221" s="18"/>
      <x:c r="AO221" s="18"/>
      <x:c r="AP221" s="18"/>
      <x:c r="AQ221" s="18" t="n">
        <x:v>0</x:v>
      </x:c>
      <x:c r="AR221" s="18" t="n">
        <x:v>0</x:v>
      </x:c>
      <x:c r="AS221" s="18"/>
      <x:c r="AT221" s="18"/>
      <x:c r="AU221" s="18"/>
      <x:c r="AV221" s="18"/>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v>MD</x:v>
      </x:c>
      <x:c r="AD222" s="18" t="n">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c r="AM222" s="18"/>
      <x:c r="AN222" s="18"/>
      <x:c r="AO222" s="18"/>
      <x:c r="AP222" s="18"/>
      <x:c r="AQ222" s="18" t="n">
        <x:v>0</x:v>
      </x:c>
      <x:c r="AR222" s="18" t="n">
        <x:v>0</x:v>
      </x:c>
      <x:c r="AS222" s="18"/>
      <x:c r="AT222" s="18"/>
      <x:c r="AU222" s="18"/>
      <x:c r="AV222" s="18"/>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v>MD</x:v>
      </x:c>
      <x:c r="AD223" s="18" t="n">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c r="AM223" s="18"/>
      <x:c r="AN223" s="18"/>
      <x:c r="AO223" s="18"/>
      <x:c r="AP223" s="18"/>
      <x:c r="AQ223" s="18" t="n">
        <x:v>0</x:v>
      </x:c>
      <x:c r="AR223" s="18" t="n">
        <x:v>0</x:v>
      </x:c>
      <x:c r="AS223" s="18"/>
      <x:c r="AT223" s="18"/>
      <x:c r="AU223" s="18"/>
      <x:c r="AV223" s="18"/>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v>MD</x:v>
      </x:c>
      <x:c r="AD224" s="18" t="n">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c r="AM224" s="18"/>
      <x:c r="AN224" s="18"/>
      <x:c r="AO224" s="18"/>
      <x:c r="AP224" s="18"/>
      <x:c r="AQ224" s="18" t="n">
        <x:v>0</x:v>
      </x:c>
      <x:c r="AR224" s="18" t="n">
        <x:v>0</x:v>
      </x:c>
      <x:c r="AS224" s="18"/>
      <x:c r="AT224" s="18"/>
      <x:c r="AU224" s="18"/>
      <x:c r="AV224" s="18"/>
    </x:row>
    <x:row r="225">
      <x:c r="A225" s="18" t="str">
        <x:v>Gu 2019</x:v>
      </x:c>
      <x:c r="B225" s="18" t="str">
        <x:v>GU19_LTEAS_vs_CTEAS_PCIA4</x:v>
      </x:c>
      <x:c r="C225" s="18" t="str">
        <x:v>Long-duration TEAS</x:v>
      </x:c>
      <x:c r="D225" s="18" t="str">
        <x:v>Sham/no-current TEAS</x:v>
      </x:c>
      <x:c r="E225" s="18" t="str">
        <x:v>Opioid consumption</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solution = numerically same µg sufentanil at 1 µg/mL</x:v>
      </x:c>
      <x:c r="Z225" s="18" t="str">
        <x:v>&lt;0.05</x:v>
      </x:c>
      <x:c r="AA225" s="18" t="str">
        <x:v>Yes</x:v>
      </x:c>
      <x:c r="AB225" s="18" t="str">
        <x:v>Yes</x:v>
      </x:c>
      <x:c r="AC225" s="18" t="str">
        <x:v>MD</x:v>
      </x:c>
      <x:c r="AD225" s="18" t="n">
        <x:v>-3.360000000000001</x:v>
      </x:c>
      <x:c r="AE225" s="18" t="str">
        <x:v>No</x:v>
      </x:c>
      <x:c r="AF225" s="18" t="str">
        <x:v>No</x:v>
      </x:c>
      <x:c r="AG225" s="18" t="str">
        <x:v>Usable as PCIA-volume/sufentanil-delivery proxy at stated time only</x:v>
      </x:c>
      <x:c r="AH225" s="18" t="str">
        <x:v>No</x:v>
      </x:c>
      <x:c r="AI225" s="18" t="str">
        <x:v>Pump also contains dexmedetomidine, flurbiprofen and palonosetron; exact 24-h value is graph-only</x:v>
      </x:c>
      <x:c r="AJ225" s="18" t="str">
        <x:v>Figure 4 / 4 h cumulative PCIA</x:v>
      </x:c>
      <x:c r="AK225" s="18" t="str">
        <x:v>https://drive.google.com/file/d/1ipQFXfERgAVmgNKMpLkvaaecYJVSTDiw/view?usp=drivesdk</x:v>
      </x:c>
      <x:c r="AL225" s="18" t="str">
        <x:v>SOURCE-VERIFIED / MULTIMODAL PCIA</x:v>
      </x:c>
      <x:c r="AM225" s="18" t="str">
        <x:v>F-postop-dose-008</x:v>
      </x:c>
      <x:c r="AN225" s="18" t="str">
        <x:v>F-postop-dose</x:v>
      </x:c>
      <x:c r="AO225" s="18" t="str">
        <x:v>F_postop_delivered_dose_or_solution</x:v>
      </x:c>
      <x:c r="AP225" s="18" t="str">
        <x:v>MATCHED</x:v>
      </x:c>
      <x:c r="AQ225" s="18" t="n">
        <x:v>0</x:v>
      </x:c>
      <x:c r="AR225" s="18" t="n">
        <x:v>0</x:v>
      </x:c>
      <x:c r="AS225" s="18" t="str">
        <x:v>Some concerns</x:v>
      </x:c>
      <x:c r="AT225" s="18" t="str">
        <x:v>P1</x:v>
      </x:c>
      <x:c r="AU225" s="18"/>
      <x:c r="AV225" s="18" t="str">
        <x:v>4h10.02±2.26 vs13.38±2.98;8h20.55±4.59 vs24.63±3.94;36h72.64±9.74 vs76.01±10.43 mL</x:v>
      </x:c>
    </x:row>
    <x:row r="226">
      <x:c r="A226" s="18" t="str">
        <x:v>Gu 2019</x:v>
      </x:c>
      <x:c r="B226" s="18" t="str">
        <x:v>GU19_LTEAS_vs_CTEAS_PCIA8</x:v>
      </x:c>
      <x:c r="C226" s="18" t="str">
        <x:v>Long-duration TEAS</x:v>
      </x:c>
      <x:c r="D226" s="18" t="str">
        <x:v>Sham/no-current TEAS</x:v>
      </x:c>
      <x:c r="E226" s="18" t="str">
        <x:v>Opioid consumption</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solution = numerically same µg sufentanil at 1 µg/mL</x:v>
      </x:c>
      <x:c r="Z226" s="18" t="str">
        <x:v>&lt;0.05</x:v>
      </x:c>
      <x:c r="AA226" s="18" t="str">
        <x:v>Yes</x:v>
      </x:c>
      <x:c r="AB226" s="18" t="str">
        <x:v>Yes</x:v>
      </x:c>
      <x:c r="AC226" s="18" t="str">
        <x:v>MD</x:v>
      </x:c>
      <x:c r="AD226" s="18" t="n">
        <x:v>-4.079999999999998</x:v>
      </x:c>
      <x:c r="AE226" s="18" t="str">
        <x:v>No</x:v>
      </x:c>
      <x:c r="AF226" s="18" t="str">
        <x:v>No</x:v>
      </x:c>
      <x:c r="AG226" s="18" t="str">
        <x:v>Usable as PCIA-volume/sufentanil-delivery proxy at stated time only</x:v>
      </x:c>
      <x:c r="AH226" s="18" t="str">
        <x:v>No</x:v>
      </x:c>
      <x:c r="AI226" s="18" t="str">
        <x:v>Pump also contains dexmedetomidine, flurbiprofen and palonosetron; exact 24-h value is graph-only</x:v>
      </x:c>
      <x:c r="AJ226" s="18" t="str">
        <x:v>Figure 4 / 8 h cumulative PCIA</x:v>
      </x:c>
      <x:c r="AK226" s="18" t="str">
        <x:v>https://drive.google.com/file/d/1ipQFXfERgAVmgNKMpLkvaaecYJVSTDiw/view?usp=drivesdk</x:v>
      </x:c>
      <x:c r="AL226" s="18" t="str">
        <x:v>SOURCE-VERIFIED / MULTIMODAL PCIA</x:v>
      </x:c>
      <x:c r="AM226" s="18" t="str">
        <x:v>F-postop-dose-008</x:v>
      </x:c>
      <x:c r="AN226" s="18" t="str">
        <x:v>F-postop-dose</x:v>
      </x:c>
      <x:c r="AO226" s="18" t="str">
        <x:v>F_postop_delivered_dose_or_solution</x:v>
      </x:c>
      <x:c r="AP226" s="18" t="str">
        <x:v>MATCHED</x:v>
      </x:c>
      <x:c r="AQ226" s="18" t="n">
        <x:v>0</x:v>
      </x:c>
      <x:c r="AR226" s="18" t="n">
        <x:v>0</x:v>
      </x:c>
      <x:c r="AS226" s="18" t="str">
        <x:v>Some concerns</x:v>
      </x:c>
      <x:c r="AT226" s="18" t="str">
        <x:v>P1</x:v>
      </x:c>
      <x:c r="AU226" s="18"/>
      <x:c r="AV226" s="18" t="str">
        <x:v>4h10.02±2.26 vs13.38±2.98;8h20.55±4.59 vs24.63±3.94;36h72.64±9.74 vs76.01±10.43 mL</x:v>
      </x:c>
    </x:row>
    <x:row r="227">
      <x:c r="A227" s="18" t="str">
        <x:v>Gu 2019</x:v>
      </x:c>
      <x:c r="B227" s="18" t="str">
        <x:v>GU19_LTEAS_vs_CTEAS_PCIA36</x:v>
      </x:c>
      <x:c r="C227" s="18" t="str">
        <x:v>Long-duration TEAS</x:v>
      </x:c>
      <x:c r="D227" s="18" t="str">
        <x:v>Sham/no-current TEAS</x:v>
      </x:c>
      <x:c r="E227" s="18" t="str">
        <x:v>Opioid consumption</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solution = numerically same µg sufentanil at 1 µg/mL</x:v>
      </x:c>
      <x:c r="Z227" s="18" t="str">
        <x:v>&lt;0.05</x:v>
      </x:c>
      <x:c r="AA227" s="18" t="str">
        <x:v>Yes</x:v>
      </x:c>
      <x:c r="AB227" s="18" t="str">
        <x:v>Yes</x:v>
      </x:c>
      <x:c r="AC227" s="18" t="str">
        <x:v>MD</x:v>
      </x:c>
      <x:c r="AD227" s="18" t="n">
        <x:v>-3.3700000000000045</x:v>
      </x:c>
      <x:c r="AE227" s="18" t="str">
        <x:v>No</x:v>
      </x:c>
      <x:c r="AF227" s="18" t="str">
        <x:v>No</x:v>
      </x:c>
      <x:c r="AG227" s="18" t="str">
        <x:v>Usable as PCIA-volume/sufentanil-delivery proxy at stated time only</x:v>
      </x:c>
      <x:c r="AH227" s="18" t="str">
        <x:v>No</x:v>
      </x:c>
      <x:c r="AI227" s="18" t="str">
        <x:v>Pump also contains dexmedetomidine, flurbiprofen and palonosetron; exact 24-h value is graph-only</x:v>
      </x:c>
      <x:c r="AJ227" s="18" t="str">
        <x:v>Figure 4 / 36 h cumulative PCIA</x:v>
      </x:c>
      <x:c r="AK227" s="18" t="str">
        <x:v>https://drive.google.com/file/d/1ipQFXfERgAVmgNKMpLkvaaecYJVSTDiw/view?usp=drivesdk</x:v>
      </x:c>
      <x:c r="AL227" s="18" t="str">
        <x:v>SOURCE-VERIFIED / MULTIMODAL PCIA</x:v>
      </x:c>
      <x:c r="AM227" s="18" t="str">
        <x:v>F-postop-dose-008</x:v>
      </x:c>
      <x:c r="AN227" s="18" t="str">
        <x:v>F-postop-dose</x:v>
      </x:c>
      <x:c r="AO227" s="18" t="str">
        <x:v>F_postop_delivered_dose_or_solution</x:v>
      </x:c>
      <x:c r="AP227" s="18" t="str">
        <x:v>MATCHED</x:v>
      </x:c>
      <x:c r="AQ227" s="18" t="n">
        <x:v>0</x:v>
      </x:c>
      <x:c r="AR227" s="18" t="n">
        <x:v>0</x:v>
      </x:c>
      <x:c r="AS227" s="18" t="str">
        <x:v>Some concerns</x:v>
      </x:c>
      <x:c r="AT227" s="18" t="str">
        <x:v>P1</x:v>
      </x:c>
      <x:c r="AU227" s="18"/>
      <x:c r="AV227" s="18" t="str">
        <x:v>4h10.02±2.26 vs13.38±2.98;8h20.55±4.59 vs24.63±3.94;36h72.64±9.74 vs76.01±10.43 mL</x:v>
      </x:c>
    </x:row>
    <x:row r="228">
      <x:c r="A228" s="18" t="str">
        <x:v>Gu 2019</x:v>
      </x:c>
      <x:c r="B228" s="18" t="str">
        <x:v>GU19_OPIOID24</x:v>
      </x:c>
      <x:c r="C228" s="18" t="str">
        <x:v>Long-duration TEAS</x:v>
      </x:c>
      <x:c r="D228" s="18" t="str">
        <x:v>Sham/no-current TEAS</x:v>
      </x:c>
      <x:c r="E228" s="18" t="str">
        <x:v>Opioid consumption</x:v>
      </x:c>
      <x:c r="F228" s="18" t="str">
        <x:v>Exact cumulative 24-h postoperative sufentanil</x:v>
      </x:c>
      <x:c r="G228" s="18" t="str">
        <x:v>0-24 h</x:v>
      </x:c>
      <x:c r="H228" s="18" t="str">
        <x:v>Graph-only / not numerically reported</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µg sufentanil</x:v>
      </x:c>
      <x:c r="Z228" s="18"/>
      <x:c r="AA228" s="18" t="str">
        <x:v>No</x:v>
      </x:c>
      <x:c r="AB228" s="18" t="str">
        <x:v>No</x:v>
      </x:c>
      <x:c r="AC228" s="18" t="str"/>
      <x:c r="AD228" s="18" t="str"/>
      <x:c r="AE228" s="18" t="str">
        <x:v>Yes</x:v>
      </x:c>
      <x:c r="AF228" s="18" t="str">
        <x:v>No</x:v>
      </x:c>
      <x:c r="AG228" s="18" t="str">
        <x:v>Not meta-analysis-ready without graph digitization or author data</x:v>
      </x:c>
      <x:c r="AH228" s="18" t="str">
        <x:v>No</x:v>
      </x:c>
      <x:c r="AI228" s="18" t="str">
        <x:v>24-h PCIA point is visible graphically but not numerically reported</x:v>
      </x:c>
      <x:c r="AJ228" s="18" t="str">
        <x:v>Figure 4 / 24-h point</x:v>
      </x:c>
      <x:c r="AK228" s="18" t="str">
        <x:v>https://drive.google.com/file/d/1ipQFXfERgAVmgNKMpLkvaaecYJVSTDiw/view?usp=drivesdk</x:v>
      </x:c>
      <x:c r="AL228" s="18" t="str">
        <x:v>FIGURE ONLY / DIGITIZATION NEEDED</x:v>
      </x:c>
      <x:c r="AM228" s="18"/>
      <x:c r="AN228" s="18"/>
      <x:c r="AO228" s="18"/>
      <x:c r="AP228" s="18"/>
      <x:c r="AQ228" s="18" t="n">
        <x:v>0</x:v>
      </x:c>
      <x:c r="AR228" s="18" t="n">
        <x:v>0</x:v>
      </x:c>
      <x:c r="AS228" s="18"/>
      <x:c r="AT228" s="18"/>
      <x:c r="AU228" s="18"/>
      <x:c r="AV228" s="18"/>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v>RR</x:v>
      </x:c>
      <x:c r="AD229" s="18" t="n">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c r="AM229" s="18"/>
      <x:c r="AN229" s="18"/>
      <x:c r="AO229" s="18"/>
      <x:c r="AP229" s="18"/>
      <x:c r="AQ229" s="18" t="n">
        <x:v>0</x:v>
      </x:c>
      <x:c r="AR229" s="18" t="n">
        <x:v>0</x:v>
      </x:c>
      <x:c r="AS229" s="18"/>
      <x:c r="AT229" s="18"/>
      <x:c r="AU229" s="18"/>
      <x:c r="AV229" s="18"/>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v>RR</x:v>
      </x:c>
      <x:c r="AD230" s="18" t="n">
        <x:v>0.16666666666666666</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c r="AM230" s="18"/>
      <x:c r="AN230" s="18"/>
      <x:c r="AO230" s="18"/>
      <x:c r="AP230" s="18"/>
      <x:c r="AQ230" s="18" t="n">
        <x:v>0</x:v>
      </x:c>
      <x:c r="AR230" s="18" t="n">
        <x:v>0</x:v>
      </x:c>
      <x:c r="AS230" s="18"/>
      <x:c r="AT230" s="18"/>
      <x:c r="AU230" s="18"/>
      <x:c r="AV230" s="18"/>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v>RR</x:v>
      </x:c>
      <x:c r="AD231" s="18" t="n">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c r="AM231" s="18"/>
      <x:c r="AN231" s="18"/>
      <x:c r="AO231" s="18"/>
      <x:c r="AP231" s="18"/>
      <x:c r="AQ231" s="18" t="n">
        <x:v>0</x:v>
      </x:c>
      <x:c r="AR231" s="18" t="n">
        <x:v>0</x:v>
      </x:c>
      <x:c r="AS231" s="18"/>
      <x:c r="AT231" s="18"/>
      <x:c r="AU231" s="18"/>
      <x:c r="AV231" s="18"/>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v>MD</x:v>
      </x:c>
      <x:c r="AD232" s="18" t="n">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c r="AM232" s="18" t="str">
        <x:v>F-intra-010</x:v>
      </x:c>
      <x:c r="AN232" s="18" t="str">
        <x:v>F-intra</x:v>
      </x:c>
      <x:c r="AO232" s="18" t="str">
        <x:v>F_intraop_titrated_requirement</x:v>
      </x:c>
      <x:c r="AP232" s="18" t="str">
        <x:v>MATCHED</x:v>
      </x:c>
      <x:c r="AQ232" s="18" t="n">
        <x:v>0</x:v>
      </x:c>
      <x:c r="AR232" s="18" t="n">
        <x:v>1</x:v>
      </x:c>
      <x:c r="AS232" s="18" t="str">
        <x:v>Some concerns</x:v>
      </x:c>
      <x:c r="AT232" s="18"/>
      <x:c r="AU232" s="18"/>
      <x:c r="AV232" s="18" t="str">
        <x:v>0.87±0.30 vs1.01±0.39 mg; P=0.040</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t="str"/>
      <x:c r="AD233" s="18" t="str"/>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c r="AM233" s="18"/>
      <x:c r="AN233" s="18"/>
      <x:c r="AO233" s="18"/>
      <x:c r="AP233" s="18"/>
      <x:c r="AQ233" s="18" t="n">
        <x:v>0</x:v>
      </x:c>
      <x:c r="AR233" s="18" t="n">
        <x:v>0</x:v>
      </x:c>
      <x:c r="AS233" s="18"/>
      <x:c r="AT233" s="18"/>
      <x:c r="AU233" s="18"/>
      <x:c r="AV233" s="18"/>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x:c r="AA234" s="18" t="str">
        <x:v>No</x:v>
      </x:c>
      <x:c r="AB234" s="18" t="str">
        <x:v>No</x:v>
      </x:c>
      <x:c r="AC234" s="18" t="str"/>
      <x:c r="AD234" s="18" t="str"/>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c r="AM234" s="18"/>
      <x:c r="AN234" s="18"/>
      <x:c r="AO234" s="18"/>
      <x:c r="AP234" s="18"/>
      <x:c r="AQ234" s="18" t="n">
        <x:v>0</x:v>
      </x:c>
      <x:c r="AR234" s="18" t="n">
        <x:v>0</x:v>
      </x:c>
      <x:c r="AS234" s="18"/>
      <x:c r="AT234" s="18"/>
      <x:c r="AU234" s="18"/>
      <x:c r="AV234" s="18"/>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t="str"/>
      <x:c r="AD235" s="18" t="str"/>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c r="AM235" s="18"/>
      <x:c r="AN235" s="18"/>
      <x:c r="AO235" s="18"/>
      <x:c r="AP235" s="18"/>
      <x:c r="AQ235" s="18" t="n">
        <x:v>0</x:v>
      </x:c>
      <x:c r="AR235" s="18" t="n">
        <x:v>0</x:v>
      </x:c>
      <x:c r="AS235" s="18"/>
      <x:c r="AT235" s="18"/>
      <x:c r="AU235" s="18"/>
      <x:c r="AV235" s="18"/>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x:c r="AA236" s="18" t="str">
        <x:v>No</x:v>
      </x:c>
      <x:c r="AB236" s="18" t="str">
        <x:v>No</x:v>
      </x:c>
      <x:c r="AC236" s="18" t="str"/>
      <x:c r="AD236" s="18" t="str"/>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c r="AM236" s="18"/>
      <x:c r="AN236" s="18"/>
      <x:c r="AO236" s="18"/>
      <x:c r="AP236" s="18"/>
      <x:c r="AQ236" s="18" t="n">
        <x:v>0</x:v>
      </x:c>
      <x:c r="AR236" s="18" t="n">
        <x:v>0</x:v>
      </x:c>
      <x:c r="AS236" s="18"/>
      <x:c r="AT236" s="18"/>
      <x:c r="AU236" s="18"/>
      <x:c r="AV236" s="18"/>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t="str"/>
      <x:c r="AD237" s="18" t="str"/>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c r="AM237" s="18"/>
      <x:c r="AN237" s="18"/>
      <x:c r="AO237" s="18"/>
      <x:c r="AP237" s="18"/>
      <x:c r="AQ237" s="18" t="n">
        <x:v>0</x:v>
      </x:c>
      <x:c r="AR237" s="18" t="n">
        <x:v>0</x:v>
      </x:c>
      <x:c r="AS237" s="18"/>
      <x:c r="AT237" s="18"/>
      <x:c r="AU237" s="18"/>
      <x:c r="AV237" s="18"/>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v>RR</x:v>
      </x:c>
      <x:c r="AD238" s="18" t="n">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c r="AM238" s="18"/>
      <x:c r="AN238" s="18"/>
      <x:c r="AO238" s="18"/>
      <x:c r="AP238" s="18"/>
      <x:c r="AQ238" s="18" t="n">
        <x:v>0</x:v>
      </x:c>
      <x:c r="AR238" s="18" t="n">
        <x:v>0</x:v>
      </x:c>
      <x:c r="AS238" s="18"/>
      <x:c r="AT238" s="18"/>
      <x:c r="AU238" s="18"/>
      <x:c r="AV238" s="18"/>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v>MD</x:v>
      </x:c>
      <x:c r="AD239" s="18" t="n">
        <x:v>-12.899999999999999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c r="AM239" s="18"/>
      <x:c r="AN239" s="18"/>
      <x:c r="AO239" s="18"/>
      <x:c r="AP239" s="18"/>
      <x:c r="AQ239" s="18" t="n">
        <x:v>0</x:v>
      </x:c>
      <x:c r="AR239" s="18" t="n">
        <x:v>0</x:v>
      </x:c>
      <x:c r="AS239" s="18"/>
      <x:c r="AT239" s="18"/>
      <x:c r="AU239" s="18"/>
      <x:c r="AV239" s="18"/>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v>MD</x:v>
      </x:c>
      <x:c r="AD240" s="18" t="n">
        <x:v>-14.799999999999997</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c r="AM240" s="18"/>
      <x:c r="AN240" s="18"/>
      <x:c r="AO240" s="18"/>
      <x:c r="AP240" s="18"/>
      <x:c r="AQ240" s="18" t="n">
        <x:v>0</x:v>
      </x:c>
      <x:c r="AR240" s="18" t="n">
        <x:v>0</x:v>
      </x:c>
      <x:c r="AS240" s="18"/>
      <x:c r="AT240" s="18"/>
      <x:c r="AU240" s="18"/>
      <x:c r="AV240" s="18"/>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v>MD</x:v>
      </x:c>
      <x:c r="AD241" s="18" t="n">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c r="AM241" s="18"/>
      <x:c r="AN241" s="18"/>
      <x:c r="AO241" s="18"/>
      <x:c r="AP241" s="18"/>
      <x:c r="AQ241" s="18" t="n">
        <x:v>0</x:v>
      </x:c>
      <x:c r="AR241" s="18" t="n">
        <x:v>0</x:v>
      </x:c>
      <x:c r="AS241" s="18"/>
      <x:c r="AT241" s="18"/>
      <x:c r="AU241" s="18"/>
      <x:c r="AV241" s="18"/>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x:c r="AA242" s="18" t="str">
        <x:v>No</x:v>
      </x:c>
      <x:c r="AB242" s="18" t="str">
        <x:v>No</x:v>
      </x:c>
      <x:c r="AC242" s="18" t="str"/>
      <x:c r="AD242" s="18" t="str"/>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c r="AM242" s="18"/>
      <x:c r="AN242" s="18"/>
      <x:c r="AO242" s="18"/>
      <x:c r="AP242" s="18"/>
      <x:c r="AQ242" s="18" t="n">
        <x:v>0</x:v>
      </x:c>
      <x:c r="AR242" s="18" t="n">
        <x:v>0</x:v>
      </x:c>
      <x:c r="AS242" s="18"/>
      <x:c r="AT242" s="18"/>
      <x:c r="AU242" s="18"/>
      <x:c r="AV242" s="18"/>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v>MD</x:v>
      </x:c>
      <x:c r="AD243" s="18" t="n">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c r="AM243" s="18" t="str">
        <x:v>F-postop-dose-003</x:v>
      </x:c>
      <x:c r="AN243" s="18" t="str">
        <x:v>F-postop-dose</x:v>
      </x:c>
      <x:c r="AO243" s="18" t="str">
        <x:v>F_postop_delivered_dose_or_solution</x:v>
      </x:c>
      <x:c r="AP243" s="18" t="str">
        <x:v>MATCHED</x:v>
      </x:c>
      <x:c r="AQ243" s="18" t="n">
        <x:v>0</x:v>
      </x:c>
      <x:c r="AR243" s="18" t="n">
        <x:v>0</x:v>
      </x:c>
      <x:c r="AS243" s="18" t="str">
        <x:v>Some concerns</x:v>
      </x:c>
      <x:c r="AT243" s="18" t="str">
        <x:v>P1</x:v>
      </x:c>
      <x:c r="AU243" s="18" t="str">
        <x:v>HOLD overlap review</x:v>
      </x:c>
      <x:c r="AV243" s="18" t="str">
        <x:v>True18.6±9.7 vs sham21.6±13.1 mg</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v>MD</x:v>
      </x:c>
      <x:c r="AD244" s="18" t="n">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c r="AM244" s="18"/>
      <x:c r="AN244" s="18"/>
      <x:c r="AO244" s="18"/>
      <x:c r="AP244" s="18"/>
      <x:c r="AQ244" s="18" t="n">
        <x:v>0</x:v>
      </x:c>
      <x:c r="AR244" s="18" t="n">
        <x:v>0</x:v>
      </x:c>
      <x:c r="AS244" s="18"/>
      <x:c r="AT244" s="18"/>
      <x:c r="AU244" s="18"/>
      <x:c r="AV244" s="18"/>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v>MD</x:v>
      </x:c>
      <x:c r="AD245" s="18" t="n">
        <x:v>-2.3000000000000007</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c r="AM245" s="18" t="str">
        <x:v>F-postop-dose-010</x:v>
      </x:c>
      <x:c r="AN245" s="18" t="str">
        <x:v>F-postop-dose</x:v>
      </x:c>
      <x:c r="AO245" s="18" t="str">
        <x:v>F_postop_delivered_dose_or_solution</x:v>
      </x:c>
      <x:c r="AP245" s="18" t="str">
        <x:v>MATCHED</x:v>
      </x:c>
      <x:c r="AQ245" s="18" t="n">
        <x:v>0</x:v>
      </x:c>
      <x:c r="AR245" s="18" t="n">
        <x:v>0</x:v>
      </x:c>
      <x:c r="AS245" s="18" t="str">
        <x:v>Some concerns</x:v>
      </x:c>
      <x:c r="AT245" s="18" t="str">
        <x:v>P1</x:v>
      </x:c>
      <x:c r="AU245" s="18" t="str">
        <x:v>HOLD — potential overlap</x:v>
      </x:c>
      <x:c r="AV245" s="18" t="str">
        <x:v>AES19.3±9.7 vs sham21.6±13.1 vs control28.0±12.1 mg</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v>MD</x:v>
      </x:c>
      <x:c r="AD246" s="18" t="n">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c r="AM246" s="18"/>
      <x:c r="AN246" s="18"/>
      <x:c r="AO246" s="18"/>
      <x:c r="AP246" s="18"/>
      <x:c r="AQ246" s="18" t="n">
        <x:v>0</x:v>
      </x:c>
      <x:c r="AR246" s="18" t="n">
        <x:v>0</x:v>
      </x:c>
      <x:c r="AS246" s="18"/>
      <x:c r="AT246" s="18"/>
      <x:c r="AU246" s="18"/>
      <x:c r="AV246" s="18"/>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v>MD</x:v>
      </x:c>
      <x:c r="AD247" s="18" t="n">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c r="AM247" s="18"/>
      <x:c r="AN247" s="18"/>
      <x:c r="AO247" s="18"/>
      <x:c r="AP247" s="18"/>
      <x:c r="AQ247" s="18" t="n">
        <x:v>0</x:v>
      </x:c>
      <x:c r="AR247" s="18" t="n">
        <x:v>0</x:v>
      </x:c>
      <x:c r="AS247" s="18"/>
      <x:c r="AT247" s="18"/>
      <x:c r="AU247" s="18"/>
      <x:c r="AV247" s="18"/>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v>MD</x:v>
      </x:c>
      <x:c r="AD248" s="18" t="n">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c r="AM248" s="18"/>
      <x:c r="AN248" s="18"/>
      <x:c r="AO248" s="18"/>
      <x:c r="AP248" s="18"/>
      <x:c r="AQ248" s="18" t="n">
        <x:v>0</x:v>
      </x:c>
      <x:c r="AR248" s="18" t="n">
        <x:v>0</x:v>
      </x:c>
      <x:c r="AS248" s="18"/>
      <x:c r="AT248" s="18"/>
      <x:c r="AU248" s="18"/>
      <x:c r="AV248" s="18"/>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v>MD</x:v>
      </x:c>
      <x:c r="AD249" s="18" t="n">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c r="AM249" s="18"/>
      <x:c r="AN249" s="18"/>
      <x:c r="AO249" s="18"/>
      <x:c r="AP249" s="18"/>
      <x:c r="AQ249" s="18" t="n">
        <x:v>0</x:v>
      </x:c>
      <x:c r="AR249" s="18" t="n">
        <x:v>0</x:v>
      </x:c>
      <x:c r="AS249" s="18"/>
      <x:c r="AT249" s="18"/>
      <x:c r="AU249" s="18"/>
      <x:c r="AV249" s="18"/>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v>MD</x:v>
      </x:c>
      <x:c r="AD250" s="18" t="n">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c r="AM250" s="18" t="str">
        <x:v>B-002</x:v>
      </x:c>
      <x:c r="AN250" s="18" t="str">
        <x:v>B</x:v>
      </x:c>
      <x:c r="AO250" s="18" t="str">
        <x:v>B_0-72h_cumulative_opioid</x:v>
      </x:c>
      <x:c r="AP250" s="18" t="str">
        <x:v>MATCHED</x:v>
      </x:c>
      <x:c r="AQ250" s="18" t="n">
        <x:v>0</x:v>
      </x:c>
      <x:c r="AR250" s="18" t="n">
        <x:v>1</x:v>
      </x:c>
      <x:c r="AS250" s="18" t="str">
        <x:v>Some concerns</x:v>
      </x:c>
      <x:c r="AT250" s="18"/>
      <x:c r="AU250" s="18"/>
      <x:c r="AV250" s="18" t="str">
        <x:v>33.9±12.8 vs 42.3±21.3 mg</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x:c r="AA251" s="18" t="str">
        <x:v>No</x:v>
      </x:c>
      <x:c r="AB251" s="18" t="str">
        <x:v>No</x:v>
      </x:c>
      <x:c r="AC251" s="18" t="str"/>
      <x:c r="AD251" s="18" t="str"/>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c r="AM251" s="18"/>
      <x:c r="AN251" s="18"/>
      <x:c r="AO251" s="18"/>
      <x:c r="AP251" s="18"/>
      <x:c r="AQ251" s="18" t="n">
        <x:v>0</x:v>
      </x:c>
      <x:c r="AR251" s="18" t="n">
        <x:v>0</x:v>
      </x:c>
      <x:c r="AS251" s="18"/>
      <x:c r="AT251" s="18"/>
      <x:c r="AU251" s="18"/>
      <x:c r="AV251" s="18"/>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v>MD</x:v>
      </x:c>
      <x:c r="AD252" s="18" t="n">
        <x:v>-1.6000000000000014</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c r="AM252" s="18" t="str">
        <x:v>F-postop-dose-007</x:v>
      </x:c>
      <x:c r="AN252" s="18" t="str">
        <x:v>F-postop-dose</x:v>
      </x:c>
      <x:c r="AO252" s="18" t="str">
        <x:v>F_postop_delivered_dose_or_solution</x:v>
      </x:c>
      <x:c r="AP252" s="18" t="str">
        <x:v>MATCHED</x:v>
      </x:c>
      <x:c r="AQ252" s="18" t="n">
        <x:v>0</x:v>
      </x:c>
      <x:c r="AR252" s="18" t="n">
        <x:v>1</x:v>
      </x:c>
      <x:c r="AS252" s="18" t="str">
        <x:v>High</x:v>
      </x:c>
      <x:c r="AT252" s="18" t="str">
        <x:v>P2</x:v>
      </x:c>
      <x:c r="AU252" s="18"/>
      <x:c r="AV252" s="18" t="str">
        <x:v>35.3±18.0 vs36.9±18.0 mg</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v>MD</x:v>
      </x:c>
      <x:c r="AD253" s="18" t="n">
        <x:v>0.20000000000000107</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c r="AM253" s="18"/>
      <x:c r="AN253" s="18"/>
      <x:c r="AO253" s="18"/>
      <x:c r="AP253" s="18"/>
      <x:c r="AQ253" s="18" t="n">
        <x:v>0</x:v>
      </x:c>
      <x:c r="AR253" s="18" t="n">
        <x:v>0</x:v>
      </x:c>
      <x:c r="AS253" s="18"/>
      <x:c r="AT253" s="18"/>
      <x:c r="AU253" s="18"/>
      <x:c r="AV253" s="18"/>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v>MD</x:v>
      </x:c>
      <x:c r="AD254" s="18" t="n">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c r="AM254" s="18" t="str">
        <x:v>A-003</x:v>
      </x:c>
      <x:c r="AN254" s="18" t="str">
        <x:v>A</x:v>
      </x:c>
      <x:c r="AO254" s="18" t="str">
        <x:v>A_0-48h_cumulative_opioid</x:v>
      </x:c>
      <x:c r="AP254" s="18" t="str">
        <x:v>MATCHED</x:v>
      </x:c>
      <x:c r="AQ254" s="18" t="n">
        <x:v>1</x:v>
      </x:c>
      <x:c r="AR254" s="18" t="n">
        <x:v>0</x:v>
      </x:c>
      <x:c r="AS254" s="18" t="str">
        <x:v>Some concerns</x:v>
      </x:c>
      <x:c r="AT254" s="18" t="str">
        <x:v>P1</x:v>
      </x:c>
      <x:c r="AU254" s="18"/>
      <x:c r="AV254" s="18" t="str">
        <x:v>0.67±0.09 vs 0.73±0.12 mg</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x:c r="AA255" s="18" t="str">
        <x:v>No</x:v>
      </x:c>
      <x:c r="AB255" s="18" t="str">
        <x:v>No</x:v>
      </x:c>
      <x:c r="AC255" s="18" t="str"/>
      <x:c r="AD255" s="18" t="str"/>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c r="AM255" s="18"/>
      <x:c r="AN255" s="18"/>
      <x:c r="AO255" s="18"/>
      <x:c r="AP255" s="18"/>
      <x:c r="AQ255" s="18" t="n">
        <x:v>0</x:v>
      </x:c>
      <x:c r="AR255" s="18" t="n">
        <x:v>0</x:v>
      </x:c>
      <x:c r="AS255" s="18"/>
      <x:c r="AT255" s="18"/>
      <x:c r="AU255" s="18"/>
      <x:c r="AV255" s="18"/>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t="str"/>
      <x:c r="AD256" s="18" t="str"/>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c r="AM256" s="18"/>
      <x:c r="AN256" s="18"/>
      <x:c r="AO256" s="18"/>
      <x:c r="AP256" s="18"/>
      <x:c r="AQ256" s="18" t="n">
        <x:v>0</x:v>
      </x:c>
      <x:c r="AR256" s="18" t="n">
        <x:v>0</x:v>
      </x:c>
      <x:c r="AS256" s="18"/>
      <x:c r="AT256" s="18"/>
      <x:c r="AU256" s="18"/>
      <x:c r="AV256" s="18"/>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v>RR</x:v>
      </x:c>
      <x:c r="AD257" s="18" t="n">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c r="AM257" s="18"/>
      <x:c r="AN257" s="18"/>
      <x:c r="AO257" s="18"/>
      <x:c r="AP257" s="18"/>
      <x:c r="AQ257" s="18" t="n">
        <x:v>0</x:v>
      </x:c>
      <x:c r="AR257" s="18" t="n">
        <x:v>0</x:v>
      </x:c>
      <x:c r="AS257" s="18"/>
      <x:c r="AT257" s="18"/>
      <x:c r="AU257" s="18"/>
      <x:c r="AV257" s="18"/>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t="str"/>
      <x:c r="AD258" s="18" t="str"/>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c r="AM258" s="18"/>
      <x:c r="AN258" s="18"/>
      <x:c r="AO258" s="18"/>
      <x:c r="AP258" s="18"/>
      <x:c r="AQ258" s="18" t="n">
        <x:v>0</x:v>
      </x:c>
      <x:c r="AR258" s="18" t="n">
        <x:v>0</x:v>
      </x:c>
      <x:c r="AS258" s="18"/>
      <x:c r="AT258" s="18"/>
      <x:c r="AU258" s="18"/>
      <x:c r="AV258" s="18"/>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t="str"/>
      <x:c r="AD259" s="18" t="str"/>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c r="AM259" s="18" t="str">
        <x:v>F-rescue-opioid-002</x:v>
      </x:c>
      <x:c r="AN259" s="18" t="str">
        <x:v>F-rescue-opioid</x:v>
      </x:c>
      <x:c r="AO259" s="18" t="str">
        <x:v>F_rescue_opioid</x:v>
      </x:c>
      <x:c r="AP259" s="18" t="str">
        <x:v>MATCHED</x:v>
      </x:c>
      <x:c r="AQ259" s="18" t="n">
        <x:v>1</x:v>
      </x:c>
      <x:c r="AR259" s="18" t="n">
        <x:v>0</x:v>
      </x:c>
      <x:c r="AS259" s="18" t="str">
        <x:v>Some concerns</x:v>
      </x:c>
      <x:c r="AT259" s="18"/>
      <x:c r="AU259" s="18"/>
      <x:c r="AV259" s="18" t="str">
        <x:v>3 (2–4) vs7 (6–8); P&lt;0.001</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t="str"/>
      <x:c r="AD260" s="18" t="str"/>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c r="AM260" s="18"/>
      <x:c r="AN260" s="18"/>
      <x:c r="AO260" s="18"/>
      <x:c r="AP260" s="18"/>
      <x:c r="AQ260" s="18" t="n">
        <x:v>0</x:v>
      </x:c>
      <x:c r="AR260" s="18" t="n">
        <x:v>0</x:v>
      </x:c>
      <x:c r="AS260" s="18"/>
      <x:c r="AT260" s="18"/>
      <x:c r="AU260" s="18"/>
      <x:c r="AV260" s="18"/>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v>RR</x:v>
      </x:c>
      <x:c r="AD261" s="18" t="n">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c r="AM261" s="18"/>
      <x:c r="AN261" s="18"/>
      <x:c r="AO261" s="18"/>
      <x:c r="AP261" s="18"/>
      <x:c r="AQ261" s="18" t="n">
        <x:v>0</x:v>
      </x:c>
      <x:c r="AR261" s="18" t="n">
        <x:v>0</x:v>
      </x:c>
      <x:c r="AS261" s="18"/>
      <x:c r="AT261" s="18"/>
      <x:c r="AU261" s="18"/>
      <x:c r="AV261" s="18"/>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v>MD</x:v>
      </x:c>
      <x:c r="AD262" s="18" t="n">
        <x:v>-17.799999999999997</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c r="AM262" s="18" t="str">
        <x:v>F-PCA-003</x:v>
      </x:c>
      <x:c r="AN262" s="18" t="str">
        <x:v>F-PCA</x:v>
      </x:c>
      <x:c r="AO262" s="18" t="str">
        <x:v>F_PCA_behavior</x:v>
      </x:c>
      <x:c r="AP262" s="18" t="str">
        <x:v>MATCHED</x:v>
      </x:c>
      <x:c r="AQ262" s="18" t="n">
        <x:v>0</x:v>
      </x:c>
      <x:c r="AR262" s="18" t="n">
        <x:v>1</x:v>
      </x:c>
      <x:c r="AS262" s="18" t="str">
        <x:v>Some concerns</x:v>
      </x:c>
      <x:c r="AT262" s="18"/>
      <x:c r="AU262" s="18"/>
      <x:c r="AV262" s="18" t="str">
        <x:v>102.8±7.4 vs120.6±9.2 mL;6.2±3.7 vs12.3±4.6 presses</x:v>
      </x:c>
    </x:row>
    <x:row r="263">
      <x:c r="A263" s="18" t="str">
        <x:v>Chen 2020</x:v>
      </x:c>
      <x:c r="B263" s="18" t="str">
        <x:v>CHEN20_TEAS_vs_SHAM_SUF48</x:v>
      </x:c>
      <x:c r="C263" s="18" t="str">
        <x:v>Perioperative TEAS</x:v>
      </x:c>
      <x:c r="D263" s="18" t="str">
        <x:v>Sham low/zero-current protocol</x:v>
      </x:c>
      <x:c r="E263" s="18" t="str">
        <x:v>Opioid consumption</x:v>
      </x:c>
      <x:c r="F263" s="18" t="str">
        <x:v>Cumulative postoperative PCIA sufentanil consumption</x:v>
      </x:c>
      <x:c r="G263" s="18" t="str">
        <x:v>0-48 h</x:v>
      </x:c>
      <x:c r="H263" s="18" t="str">
        <x:v>Mean/SD</x:v>
      </x:c>
      <x:c r="I263" s="18" t="n">
        <x:v>40</x:v>
      </x:c>
      <x:c r="J263" s="18" t="n">
        <x:v>40</x:v>
      </x:c>
      <x:c r="K263" s="18" t="n">
        <x:v>40</x:v>
      </x:c>
      <x:c r="L263" s="18" t="n">
        <x:v>40</x:v>
      </x:c>
      <x:c r="M263" s="18" t="n">
        <x:v>118.52</x:v>
      </x:c>
      <x:c r="N263" s="18" t="n">
        <x:v>9.77</x:v>
      </x:c>
      <x:c r="O263" s="18"/>
      <x:c r="P263" s="18"/>
      <x:c r="Q263" s="18"/>
      <x:c r="R263" s="18"/>
      <x:c r="S263" s="18" t="n">
        <x:v>140.15</x:v>
      </x:c>
      <x:c r="T263" s="18" t="n">
        <x:v>7.87</x:v>
      </x:c>
      <x:c r="U263" s="18"/>
      <x:c r="V263" s="18"/>
      <x:c r="W263" s="18"/>
      <x:c r="X263" s="18"/>
      <x:c r="Y263" s="18" t="str">
        <x:v>µg sufentanil</x:v>
      </x:c>
      <x:c r="Z263" s="18" t="str">
        <x:v>&lt;0.001</x:v>
      </x:c>
      <x:c r="AA263" s="18" t="str">
        <x:v>Yes</x:v>
      </x:c>
      <x:c r="AB263" s="18" t="str">
        <x:v>No</x:v>
      </x:c>
      <x:c r="AC263" s="18" t="str">
        <x:v>MD</x:v>
      </x:c>
      <x:c r="AD263" s="18" t="n">
        <x:v>-21.63</x:v>
      </x:c>
      <x:c r="AE263" s="18" t="str">
        <x:v>No</x:v>
      </x:c>
      <x:c r="AF263" s="18" t="str">
        <x:v>No</x:v>
      </x:c>
      <x:c r="AG263" s="18" t="str">
        <x:v>Target A strict 0-48 h cumulative opioid</x:v>
      </x:c>
      <x:c r="AH263" s="18" t="str">
        <x:v>No</x:v>
      </x:c>
      <x:c r="AI263" s="18" t="str">
        <x:v>48-h cumulative pump result; preserve native µg. Registration retrospective.</x:v>
      </x:c>
      <x:c r="AJ263" s="18" t="str">
        <x:v>Secondary endpoints / Figure 4, 48-h cumulative PCIA sufentanil</x:v>
      </x:c>
      <x:c r="AK263" s="18" t="str">
        <x:v>https://drive.google.com/file/d/1y0_cC1NCl5g2vYxDMOtYmxVA_YEE-rsR/view?usp=drivesdk</x:v>
      </x:c>
      <x:c r="AL263" s="18" t="str">
        <x:v>SOURCE-VERIFIED / AF-NORMALIZED</x:v>
      </x:c>
      <x:c r="AM263" s="18" t="str">
        <x:v>A-001</x:v>
      </x:c>
      <x:c r="AN263" s="18" t="str">
        <x:v>A</x:v>
      </x:c>
      <x:c r="AO263" s="18" t="str">
        <x:v>A_0-48h_cumulative_opioid</x:v>
      </x:c>
      <x:c r="AP263" s="18" t="str">
        <x:v>NORMALIZED_V22</x:v>
      </x:c>
      <x:c r="AQ263" s="18" t="n">
        <x:v>1</x:v>
      </x:c>
      <x:c r="AR263" s="18" t="n">
        <x:v>0</x:v>
      </x:c>
      <x:c r="AS263" s="18" t="str">
        <x:v>Some concerns</x:v>
      </x:c>
      <x:c r="AT263" s="18"/>
      <x:c r="AU263" s="18"/>
      <x:c r="AV263" s="18" t="str">
        <x:v>118.52±9.77 vs 140.15±7.87 μg</x:v>
      </x:c>
    </x:row>
    <x:row r="264">
      <x:c r="A264" s="18" t="str">
        <x:v>Yang 2024</x:v>
      </x:c>
      <x:c r="B264" s="18" t="str">
        <x:v>YANG24_EA_vs_UC_MORPH72</x:v>
      </x:c>
      <x:c r="C264" s="18" t="str">
        <x:v>Perioperative EA + usual care</x:v>
      </x:c>
      <x:c r="D264" s="18" t="str">
        <x:v>Usual care</x:v>
      </x:c>
      <x:c r="E264" s="18" t="str">
        <x:v>Opioid consumption</x:v>
      </x:c>
      <x:c r="F264" s="18" t="str">
        <x:v>Cumulative morphine use via IV PCA</x:v>
      </x:c>
      <x:c r="G264" s="18" t="str">
        <x:v>0-72 h / POD1-3</x:v>
      </x:c>
      <x:c r="H264" s="18" t="str">
        <x:v>Mean/SD</x:v>
      </x:c>
      <x:c r="I264" s="18" t="n">
        <x:v>90</x:v>
      </x:c>
      <x:c r="J264" s="18" t="n">
        <x:v>90</x:v>
      </x:c>
      <x:c r="K264" s="18" t="n">
        <x:v>90</x:v>
      </x:c>
      <x:c r="L264" s="18" t="n">
        <x:v>90</x:v>
      </x:c>
      <x:c r="M264" s="18" t="n">
        <x:v>127</x:v>
      </x:c>
      <x:c r="N264" s="18" t="n">
        <x:v>12</x:v>
      </x:c>
      <x:c r="O264" s="18"/>
      <x:c r="P264" s="18"/>
      <x:c r="Q264" s="18"/>
      <x:c r="R264" s="18"/>
      <x:c r="S264" s="18" t="n">
        <x:v>127.5</x:v>
      </x:c>
      <x:c r="T264" s="18" t="n">
        <x:v>12.5</x:v>
      </x:c>
      <x:c r="U264" s="18"/>
      <x:c r="V264" s="18"/>
      <x:c r="W264" s="18"/>
      <x:c r="X264" s="18"/>
      <x:c r="Y264" s="18" t="str">
        <x:v>mg morphine</x:v>
      </x:c>
      <x:c r="Z264" s="18" t="str">
        <x:v>0.785</x:v>
      </x:c>
      <x:c r="AA264" s="18" t="str">
        <x:v>Yes</x:v>
      </x:c>
      <x:c r="AB264" s="18" t="str">
        <x:v>No</x:v>
      </x:c>
      <x:c r="AC264" s="18" t="str">
        <x:v>MD</x:v>
      </x:c>
      <x:c r="AD264" s="18" t="n">
        <x:v>-0.5</x:v>
      </x:c>
      <x:c r="AE264" s="18" t="str">
        <x:v>No</x:v>
      </x:c>
      <x:c r="AF264" s="18" t="str">
        <x:v>No</x:v>
      </x:c>
      <x:c r="AG264" s="18" t="str">
        <x:v>Target B strict 0-72 h cumulative opioid</x:v>
      </x:c>
      <x:c r="AH264" s="18" t="str">
        <x:v>No</x:v>
      </x:c>
      <x:c r="AI264" s="18" t="str">
        <x:v>Extracted from PCA device records; full ITT.</x:v>
      </x:c>
      <x:c r="AJ264" s="18" t="str">
        <x:v>Table 3 / cumulative POD1-3 morphine use</x:v>
      </x:c>
      <x:c r="AK264" s="18" t="str">
        <x:v>https://drive.google.com/file/d/160N3psd5tLEphwXHJzUEZ3uJfaIXcs5V/view?usp=drivesdk</x:v>
      </x:c>
      <x:c r="AL264" s="18" t="str">
        <x:v>SOURCE-VERIFIED / AF-NORMALIZED</x:v>
      </x:c>
      <x:c r="AM264" s="18" t="str">
        <x:v>B-001</x:v>
      </x:c>
      <x:c r="AN264" s="18" t="str">
        <x:v>B</x:v>
      </x:c>
      <x:c r="AO264" s="18" t="str">
        <x:v>B_0-72h_cumulative_opioid</x:v>
      </x:c>
      <x:c r="AP264" s="18" t="str">
        <x:v>NORMALIZED_V22</x:v>
      </x:c>
      <x:c r="AQ264" s="18" t="n">
        <x:v>1</x:v>
      </x:c>
      <x:c r="AR264" s="18" t="n">
        <x:v>0</x:v>
      </x:c>
      <x:c r="AS264" s="18" t="str">
        <x:v>Some concerns</x:v>
      </x:c>
      <x:c r="AT264" s="18" t="str">
        <x:v>P2</x:v>
      </x:c>
      <x:c r="AU264" s="18"/>
      <x:c r="AV264" s="18" t="str">
        <x:v>127.0±12.0 vs 127.5±12.5 mg</x:v>
      </x:c>
    </x:row>
    <x:row r="265">
      <x:c r="A265" s="18" t="str">
        <x:v>Yang 2024</x:v>
      </x:c>
      <x:c r="B265" s="18" t="str">
        <x:v>YANG24_EA_vs_UC_NAUSEA24</x:v>
      </x:c>
      <x:c r="C265" s="18" t="str">
        <x:v>Perioperative EA + usual care</x:v>
      </x:c>
      <x:c r="D265" s="18" t="str">
        <x:v>Usual care</x:v>
      </x:c>
      <x:c r="E265" s="18" t="str">
        <x:v>PONV</x:v>
      </x:c>
      <x:c r="F265" s="18" t="str">
        <x:v>Postoperative nausea incidence</x:v>
      </x:c>
      <x:c r="G265" s="18" t="str">
        <x:v>0-24 h</x:v>
      </x:c>
      <x:c r="H265" s="18" t="str">
        <x:v>Events/total</x:v>
      </x:c>
      <x:c r="I265" s="18" t="n">
        <x:v>90</x:v>
      </x:c>
      <x:c r="J265" s="18" t="n">
        <x:v>90</x:v>
      </x:c>
      <x:c r="K265" s="18" t="n">
        <x:v>90</x:v>
      </x:c>
      <x:c r="L265" s="18" t="n">
        <x:v>90</x:v>
      </x:c>
      <x:c r="M265" s="18"/>
      <x:c r="N265" s="18"/>
      <x:c r="O265" s="18"/>
      <x:c r="P265" s="18"/>
      <x:c r="Q265" s="18"/>
      <x:c r="R265" s="18" t="n">
        <x:v>24</x:v>
      </x:c>
      <x:c r="S265" s="18"/>
      <x:c r="T265" s="18"/>
      <x:c r="U265" s="18"/>
      <x:c r="V265" s="18"/>
      <x:c r="W265" s="18"/>
      <x:c r="X265" s="18" t="n">
        <x:v>40</x:v>
      </x:c>
      <x:c r="Y265" s="18" t="str">
        <x:v>participants</x:v>
      </x:c>
      <x:c r="Z265" s="18" t="str">
        <x:v>0.013</x:v>
      </x:c>
      <x:c r="AA265" s="18" t="str">
        <x:v>Yes</x:v>
      </x:c>
      <x:c r="AB265" s="18" t="str">
        <x:v>No</x:v>
      </x:c>
      <x:c r="AC265" s="18" t="str">
        <x:v>RR</x:v>
      </x:c>
      <x:c r="AD265" s="18" t="n">
        <x:v>0.6</x:v>
      </x:c>
      <x:c r="AE265" s="18" t="str">
        <x:v>No</x:v>
      </x:c>
      <x:c r="AF265" s="18" t="str">
        <x:v>No</x:v>
      </x:c>
      <x:c r="AG265" s="18" t="str">
        <x:v>Separate 0-24 h nausea analysis; do not combine with vomiting/PONV composite</x:v>
      </x:c>
      <x:c r="AH265" s="18" t="str">
        <x:v>No</x:v>
      </x:c>
      <x:c r="AI265" s="18" t="str">
        <x:v>Nausea is subjective in an open-label EA-vs-usual-care comparison; result-specific High RoB.</x:v>
      </x:c>
      <x:c r="AJ265" s="18" t="str">
        <x:v>Table 3 / 0-24 h nausea</x:v>
      </x:c>
      <x:c r="AK265" s="18" t="str">
        <x:v>https://drive.google.com/file/d/160N3psd5tLEphwXHJzUEZ3uJfaIXcs5V/view?usp=drivesdk</x:v>
      </x:c>
      <x:c r="AL265" s="18" t="str">
        <x:v>SOURCE-VERIFIED / AF-NORMALIZED</x:v>
      </x:c>
      <x:c r="AM265" s="18" t="str">
        <x:v>D-006</x:v>
      </x:c>
      <x:c r="AN265" s="18" t="str">
        <x:v>D</x:v>
      </x:c>
      <x:c r="AO265" s="18" t="str">
        <x:v>D_nausea_0-24h</x:v>
      </x:c>
      <x:c r="AP265" s="18" t="str">
        <x:v>NORMALIZED_V22</x:v>
      </x:c>
      <x:c r="AQ265" s="18" t="n">
        <x:v>1</x:v>
      </x:c>
      <x:c r="AR265" s="18" t="n">
        <x:v>0</x:v>
      </x:c>
      <x:c r="AS265" s="18" t="str">
        <x:v>High</x:v>
      </x:c>
      <x:c r="AT265" s="18" t="str">
        <x:v>P2</x:v>
      </x:c>
      <x:c r="AU265" s="18"/>
      <x:c r="AV265" s="18" t="str">
        <x:v>24/90 vs 40/90</x:v>
      </x:c>
    </x:row>
    <x:row r="266">
      <x:c r="A266" s="18" t="str">
        <x:v>Hou 2023</x:v>
      </x:c>
      <x:c r="B266" s="18" t="str">
        <x:v>HOU23_TEAS_vs_SHAM_REMI</x:v>
      </x:c>
      <x:c r="C266" s="18" t="str">
        <x:v>Perioperative TEAS</x:v>
      </x:c>
      <x:c r="D266" s="18" t="str">
        <x:v>Sham/no-current TEAS</x:v>
      </x:c>
      <x:c r="E266" s="18" t="str">
        <x:v>Intraoperative opioid</x:v>
      </x:c>
      <x:c r="F266" s="18" t="str">
        <x:v>Intraoperative remifentanil consumption</x:v>
      </x:c>
      <x:c r="G266" s="18" t="str">
        <x:v>Intraoperative</x:v>
      </x:c>
      <x:c r="H266" s="18" t="str">
        <x:v>Median/IQR</x:v>
      </x:c>
      <x:c r="I266" s="18" t="n">
        <x:v>37</x:v>
      </x:c>
      <x:c r="J266" s="18" t="n">
        <x:v>37</x:v>
      </x:c>
      <x:c r="K266" s="18" t="n">
        <x:v>36</x:v>
      </x:c>
      <x:c r="L266" s="18" t="n">
        <x:v>36</x:v>
      </x:c>
      <x:c r="M266" s="18"/>
      <x:c r="N266" s="18"/>
      <x:c r="O266" s="18" t="n">
        <x:v>950</x:v>
      </x:c>
      <x:c r="P266" s="18" t="n">
        <x:v>750</x:v>
      </x:c>
      <x:c r="Q266" s="18" t="n">
        <x:v>1238</x:v>
      </x:c>
      <x:c r="R266" s="18"/>
      <x:c r="S266" s="18"/>
      <x:c r="T266" s="18"/>
      <x:c r="U266" s="18" t="n">
        <x:v>1000</x:v>
      </x:c>
      <x:c r="V266" s="18" t="n">
        <x:v>881</x:v>
      </x:c>
      <x:c r="W266" s="18" t="n">
        <x:v>1144</x:v>
      </x:c>
      <x:c r="X266" s="18"/>
      <x:c r="Y266" s="18" t="str">
        <x:v>µg remifentanil</x:v>
      </x:c>
      <x:c r="Z266" s="18" t="str">
        <x:v>0.572</x:v>
      </x:c>
      <x:c r="AA266" s="18" t="str">
        <x:v>Yes</x:v>
      </x:c>
      <x:c r="AB266" s="18" t="str">
        <x:v>No</x:v>
      </x:c>
      <x:c r="AC266" s="18"/>
      <x:c r="AD266" s="18"/>
      <x:c r="AE266" s="18" t="str">
        <x:v>No</x:v>
      </x:c>
      <x:c r="AF266" s="18" t="str">
        <x:v>No</x:v>
      </x:c>
      <x:c r="AG266" s="18" t="str">
        <x:v>Target F titrated intraoperative opioid candidate</x:v>
      </x:c>
      <x:c r="AH266" s="18" t="str">
        <x:v>No</x:v>
      </x:c>
      <x:c r="AI266" s="18" t="str">
        <x:v>TCI target 2.0-3.0 ng/mL; detailed within-range titration algorithm not reported.</x:v>
      </x:c>
      <x:c r="AJ266" s="18" t="str">
        <x:v>Intraoperative anesthetic-consumption result</x:v>
      </x:c>
      <x:c r="AK266" s="18" t="str">
        <x:v>https://drive.google.com/file/d/161WdTRehgwvDHvQ8OkRf8U9TbUmVQgaR/view?usp=drivesdk</x:v>
      </x:c>
      <x:c r="AL266" s="18" t="str">
        <x:v>SOURCE-VERIFIED / AF-NORMALIZED</x:v>
      </x:c>
      <x:c r="AM266" s="18" t="str">
        <x:v>F-intra-002</x:v>
      </x:c>
      <x:c r="AN266" s="18" t="str">
        <x:v>F-intra</x:v>
      </x:c>
      <x:c r="AO266" s="18" t="str">
        <x:v>F_intraop_titrated_requirement</x:v>
      </x:c>
      <x:c r="AP266" s="18" t="str">
        <x:v>NORMALIZED_V22</x:v>
      </x:c>
      <x:c r="AQ266" s="18" t="n">
        <x:v>1</x:v>
      </x:c>
      <x:c r="AR266" s="18" t="n">
        <x:v>0</x:v>
      </x:c>
      <x:c r="AS266" s="18" t="str">
        <x:v>Some concerns</x:v>
      </x:c>
      <x:c r="AT266" s="18"/>
      <x:c r="AU266" s="18"/>
      <x:c r="AV266" s="18" t="str">
        <x:v>950 (750–1238) vs1000 (881–1144) μg; P=0.572</x:v>
      </x:c>
    </x:row>
    <x:row r="267">
      <x:c r="A267" s="18" t="str">
        <x:v>Yang 2024</x:v>
      </x:c>
      <x:c r="B267" s="18" t="str">
        <x:v>YANG24_EA_vs_UC_REMI</x:v>
      </x:c>
      <x:c r="C267" s="18" t="str">
        <x:v>Perioperative EA + usual care</x:v>
      </x:c>
      <x:c r="D267" s="18" t="str">
        <x:v>Usual care</x:v>
      </x:c>
      <x:c r="E267" s="18" t="str">
        <x:v>Intraoperative opioid</x:v>
      </x:c>
      <x:c r="F267" s="18" t="str">
        <x:v>Intraoperative remifentanil consumption</x:v>
      </x:c>
      <x:c r="G267" s="18" t="str">
        <x:v>Intraoperative</x:v>
      </x:c>
      <x:c r="H267" s="18" t="str">
        <x:v>Median/IQR</x:v>
      </x:c>
      <x:c r="I267" s="18" t="n">
        <x:v>90</x:v>
      </x:c>
      <x:c r="J267" s="18" t="n">
        <x:v>90</x:v>
      </x:c>
      <x:c r="K267" s="18" t="n">
        <x:v>90</x:v>
      </x:c>
      <x:c r="L267" s="18" t="n">
        <x:v>90</x:v>
      </x:c>
      <x:c r="M267" s="18"/>
      <x:c r="N267" s="18"/>
      <x:c r="O267" s="18" t="n">
        <x:v>0.5</x:v>
      </x:c>
      <x:c r="P267" s="18" t="n">
        <x:v>0.3</x:v>
      </x:c>
      <x:c r="Q267" s="18" t="n">
        <x:v>0.6</x:v>
      </x:c>
      <x:c r="R267" s="18"/>
      <x:c r="S267" s="18"/>
      <x:c r="T267" s="18"/>
      <x:c r="U267" s="18" t="n">
        <x:v>0.5</x:v>
      </x:c>
      <x:c r="V267" s="18" t="n">
        <x:v>0.4</x:v>
      </x:c>
      <x:c r="W267" s="18" t="n">
        <x:v>0.7</x:v>
      </x:c>
      <x:c r="X267" s="18"/>
      <x:c r="Y267" s="18" t="str">
        <x:v>mg remifentanil</x:v>
      </x:c>
      <x:c r="Z267" s="18" t="str">
        <x:v>0.75</x:v>
      </x:c>
      <x:c r="AA267" s="18" t="str">
        <x:v>Yes</x:v>
      </x:c>
      <x:c r="AB267" s="18" t="str">
        <x:v>No</x:v>
      </x:c>
      <x:c r="AC267" s="18"/>
      <x:c r="AD267" s="18"/>
      <x:c r="AE267" s="18" t="str">
        <x:v>No</x:v>
      </x:c>
      <x:c r="AF267" s="18" t="str">
        <x:v>No</x:v>
      </x:c>
      <x:c r="AG267" s="18" t="str">
        <x:v>Target F titrated intraoperative opioid candidate</x:v>
      </x:c>
      <x:c r="AH267" s="18" t="str">
        <x:v>No</x:v>
      </x:c>
      <x:c r="AI267" s="18" t="str">
        <x:v>Preoperative EA occurred before surgery; anesthetist blinded.</x:v>
      </x:c>
      <x:c r="AJ267" s="18" t="str">
        <x:v>Intraoperative anesthetic-consumption table</x:v>
      </x:c>
      <x:c r="AK267" s="18" t="str">
        <x:v>https://drive.google.com/file/d/160N3psd5tLEphwXHJzUEZ3uJfaIXcs5V/view?usp=drivesdk</x:v>
      </x:c>
      <x:c r="AL267" s="18" t="str">
        <x:v>SOURCE-VERIFIED / AF-NORMALIZED</x:v>
      </x:c>
      <x:c r="AM267" s="18" t="str">
        <x:v>F-intra-011</x:v>
      </x:c>
      <x:c r="AN267" s="18" t="str">
        <x:v>F-intra</x:v>
      </x:c>
      <x:c r="AO267" s="18" t="str">
        <x:v>F_intraop_titrated_requirement</x:v>
      </x:c>
      <x:c r="AP267" s="18" t="str">
        <x:v>NORMALIZED_V22</x:v>
      </x:c>
      <x:c r="AQ267" s="18" t="n">
        <x:v>1</x:v>
      </x:c>
      <x:c r="AR267" s="18" t="n">
        <x:v>0</x:v>
      </x:c>
      <x:c r="AS267" s="18" t="str">
        <x:v>Some concerns</x:v>
      </x:c>
      <x:c r="AT267" s="18" t="str">
        <x:v>P2</x:v>
      </x:c>
      <x:c r="AU267" s="18"/>
      <x:c r="AV267" s="18" t="str">
        <x:v>0.5 (0.3–0.6) vs0.5 (0.4–0.7) mg; P=0.75</x:v>
      </x:c>
    </x:row>
    <x:row r="268">
      <x:c r="A268" s="18" t="str">
        <x:v>Liang 2021</x:v>
      </x:c>
      <x:c r="B268" s="18" t="str">
        <x:v>LIANG21_TEAS_vs_CTRL_REMI</x:v>
      </x:c>
      <x:c r="C268" s="18" t="str">
        <x:v>Preoperative TEAS</x:v>
      </x:c>
      <x:c r="D268" s="18" t="str">
        <x:v>Control/no stimulation</x:v>
      </x:c>
      <x:c r="E268" s="18" t="str">
        <x:v>Intraoperative opioid</x:v>
      </x:c>
      <x:c r="F268" s="18" t="str">
        <x:v>Intraoperative remifentanil consumption</x:v>
      </x:c>
      <x:c r="G268" s="18" t="str">
        <x:v>Intraoperative</x:v>
      </x:c>
      <x:c r="H268" s="18" t="str">
        <x:v>Mean/SD</x:v>
      </x:c>
      <x:c r="I268" s="18" t="n">
        <x:v>37</x:v>
      </x:c>
      <x:c r="J268" s="18" t="n">
        <x:v>38</x:v>
      </x:c>
      <x:c r="K268" s="18" t="n">
        <x:v>35</x:v>
      </x:c>
      <x:c r="L268" s="18" t="n">
        <x:v>35</x:v>
      </x:c>
      <x:c r="M268" s="18" t="n">
        <x:v>521.5</x:v>
      </x:c>
      <x:c r="N268" s="18" t="n">
        <x:v>206.8</x:v>
      </x:c>
      <x:c r="O268" s="18"/>
      <x:c r="P268" s="18"/>
      <x:c r="Q268" s="18"/>
      <x:c r="R268" s="18"/>
      <x:c r="S268" s="18" t="n">
        <x:v>464.7</x:v>
      </x:c>
      <x:c r="T268" s="18" t="n">
        <x:v>156</x:v>
      </x:c>
      <x:c r="U268" s="18"/>
      <x:c r="V268" s="18"/>
      <x:c r="W268" s="18"/>
      <x:c r="X268" s="18"/>
      <x:c r="Y268" s="18" t="str">
        <x:v>µg remifentanil</x:v>
      </x:c>
      <x:c r="Z268" s="18" t="str">
        <x:v>NR; stated non-significant</x:v>
      </x:c>
      <x:c r="AA268" s="18" t="str">
        <x:v>Yes</x:v>
      </x:c>
      <x:c r="AB268" s="18" t="str">
        <x:v>No</x:v>
      </x:c>
      <x:c r="AC268" s="18" t="str">
        <x:v>MD</x:v>
      </x:c>
      <x:c r="AD268" s="18" t="n">
        <x:v>56.8</x:v>
      </x:c>
      <x:c r="AE268" s="18" t="str">
        <x:v>No</x:v>
      </x:c>
      <x:c r="AF268" s="18" t="str">
        <x:v>No</x:v>
      </x:c>
      <x:c r="AG268" s="18" t="str">
        <x:v>Target F sensitivity / titrated intraoperative opioid</x:v>
      </x:c>
      <x:c r="AH268" s="18" t="str">
        <x:v>No</x:v>
      </x:c>
      <x:c r="AI268" s="18" t="str">
        <x:v>Five randomized participants excluded; printed intraoperative sufentanil unit is likely erroneous and must not be silently corrected.</x:v>
      </x:c>
      <x:c r="AJ268" s="18" t="str">
        <x:v>Table 1 / intraoperative anesthetic consumption</x:v>
      </x:c>
      <x:c r="AK268" s="18" t="str">
        <x:v>https://drive.google.com/file/d/1guriAcqNbJNXpfd_UjYwevULLVSeiHXS/view?usp=drivesdk</x:v>
      </x:c>
      <x:c r="AL268" s="18" t="str">
        <x:v>SOURCE-VERIFIED / AF-NORMALIZED</x:v>
      </x:c>
      <x:c r="AM268" s="18" t="str">
        <x:v>F-intra-012</x:v>
      </x:c>
      <x:c r="AN268" s="18" t="str">
        <x:v>F-intra</x:v>
      </x:c>
      <x:c r="AO268" s="18" t="str">
        <x:v>F_intraop_titrated_requirement</x:v>
      </x:c>
      <x:c r="AP268" s="18" t="str">
        <x:v>NORMALIZED_V22</x:v>
      </x:c>
      <x:c r="AQ268" s="18" t="n">
        <x:v>0</x:v>
      </x:c>
      <x:c r="AR268" s="18" t="n">
        <x:v>1</x:v>
      </x:c>
      <x:c r="AS268" s="18" t="str">
        <x:v>Some concerns</x:v>
      </x:c>
      <x:c r="AT268" s="18" t="str">
        <x:v>P1</x:v>
      </x:c>
      <x:c r="AU268" s="18"/>
      <x:c r="AV268" s="18" t="str">
        <x:v>521.5±206.8 vs464.7±156.0 μg; exact P NR, stated NS</x:v>
      </x:c>
    </x:row>
    <x:row r="269">
      <x:c r="A269" s="18" t="str">
        <x:v>Pan 2023</x:v>
      </x:c>
      <x:c r="B269" s="18" t="str">
        <x:v>PAN23_TEAS_vs_CONTROL_REMI</x:v>
      </x:c>
      <x:c r="C269" s="18" t="str">
        <x:v>TEAS</x:v>
      </x:c>
      <x:c r="D269" s="18" t="str">
        <x:v>Control/usual care</x:v>
      </x:c>
      <x:c r="E269" s="18" t="str">
        <x:v>Intraoperative opioid</x:v>
      </x:c>
      <x:c r="F269" s="18" t="str">
        <x:v>Intraoperative remifentanil consumption</x:v>
      </x:c>
      <x:c r="G269" s="18" t="str">
        <x:v>Intraoperative</x:v>
      </x:c>
      <x:c r="H269" s="18" t="str">
        <x:v>Mean/SD</x:v>
      </x:c>
      <x:c r="I269" s="18" t="n">
        <x:v>60</x:v>
      </x:c>
      <x:c r="J269" s="18" t="n">
        <x:v>60</x:v>
      </x:c>
      <x:c r="K269" s="18" t="n">
        <x:v>52</x:v>
      </x:c>
      <x:c r="L269" s="18" t="n">
        <x:v>53</x:v>
      </x:c>
      <x:c r="M269" s="18" t="n">
        <x:v>740.1</x:v>
      </x:c>
      <x:c r="N269" s="18" t="n">
        <x:v>276.9</x:v>
      </x:c>
      <x:c r="O269" s="18"/>
      <x:c r="P269" s="18"/>
      <x:c r="Q269" s="18"/>
      <x:c r="R269" s="18"/>
      <x:c r="S269" s="18" t="n">
        <x:v>854</x:v>
      </x:c>
      <x:c r="T269" s="18" t="n">
        <x:v>287.5</x:v>
      </x:c>
      <x:c r="U269" s="18"/>
      <x:c r="V269" s="18"/>
      <x:c r="W269" s="18"/>
      <x:c r="X269" s="18"/>
      <x:c r="Y269" s="18" t="str">
        <x:v>µg remifentanil</x:v>
      </x:c>
      <x:c r="Z269" s="18" t="str">
        <x:v>0.04</x:v>
      </x:c>
      <x:c r="AA269" s="18" t="str">
        <x:v>Yes</x:v>
      </x:c>
      <x:c r="AB269" s="18" t="str">
        <x:v>No</x:v>
      </x:c>
      <x:c r="AC269" s="18" t="str">
        <x:v>MD</x:v>
      </x:c>
      <x:c r="AD269" s="18" t="n">
        <x:v>-113.9</x:v>
      </x:c>
      <x:c r="AE269" s="18" t="str">
        <x:v>No</x:v>
      </x:c>
      <x:c r="AF269" s="18" t="str">
        <x:v>No</x:v>
      </x:c>
      <x:c r="AG269" s="18" t="str">
        <x:v>Target F sensitivity / High-RoB titrated intraoperative opioid</x:v>
      </x:c>
      <x:c r="AH269" s="18" t="str">
        <x:v>No</x:v>
      </x:c>
      <x:c r="AI269" s="18" t="str">
        <x:v>15/120 excluded; titrating anesthesiologist blinding not established.</x:v>
      </x:c>
      <x:c r="AJ269" s="18" t="str">
        <x:v>Table 2 / intraoperative remifentanil dose</x:v>
      </x:c>
      <x:c r="AK269" s="18" t="str">
        <x:v>https://drive.google.com/file/d/19IZpaoI-iTQOr_XOTw-a17WTw_haz8q6/view?usp=drivesdk</x:v>
      </x:c>
      <x:c r="AL269" s="18" t="str">
        <x:v>SOURCE-VERIFIED / AF-NORMALIZED / HIGH ROB</x:v>
      </x:c>
      <x:c r="AM269" s="18" t="str">
        <x:v>F-intra-013</x:v>
      </x:c>
      <x:c r="AN269" s="18" t="str">
        <x:v>F-intra</x:v>
      </x:c>
      <x:c r="AO269" s="18" t="str">
        <x:v>F_intraop_titrated_requirement</x:v>
      </x:c>
      <x:c r="AP269" s="18" t="str">
        <x:v>NORMALIZED_V22</x:v>
      </x:c>
      <x:c r="AQ269" s="18" t="n">
        <x:v>0</x:v>
      </x:c>
      <x:c r="AR269" s="18" t="n">
        <x:v>1</x:v>
      </x:c>
      <x:c r="AS269" s="18" t="str">
        <x:v>High</x:v>
      </x:c>
      <x:c r="AT269" s="18"/>
      <x:c r="AU269" s="18"/>
      <x:c r="AV269" s="18" t="str">
        <x:v>740.1±276.9 vs854.0±287.5 μg; P=0.04</x:v>
      </x:c>
    </x:row>
    <x:row r="270">
      <x:c r="A270" s="18" t="str">
        <x:v>Li 2022</x:v>
      </x:c>
      <x:c r="B270" s="18" t="str">
        <x:v>LI22_EA_vs_SHAM_REMI_FIXED</x:v>
      </x:c>
      <x:c r="C270" s="18" t="str">
        <x:v>Preoperative electroacupuncture</x:v>
      </x:c>
      <x:c r="D270" s="18" t="str">
        <x:v>Sham electroacupuncture</x:v>
      </x:c>
      <x:c r="E270" s="18" t="str">
        <x:v>Intraoperative opioid</x:v>
      </x:c>
      <x:c r="F270" s="18" t="str">
        <x:v>Fixed-rate intraoperative remifentanil exposure</x:v>
      </x:c>
      <x:c r="G270" s="18" t="str">
        <x:v>Intraoperative</x:v>
      </x:c>
      <x:c r="H270" s="18" t="str">
        <x:v>Mean/SD</x:v>
      </x:c>
      <x:c r="I270" s="18" t="n">
        <x:v>40</x:v>
      </x:c>
      <x:c r="J270" s="18" t="n">
        <x:v>40</x:v>
      </x:c>
      <x:c r="K270" s="18" t="n">
        <x:v>39</x:v>
      </x:c>
      <x:c r="L270" s="18" t="n">
        <x:v>40</x:v>
      </x:c>
      <x:c r="M270" s="18" t="n">
        <x:v>2009</x:v>
      </x:c>
      <x:c r="N270" s="18" t="n">
        <x:v>143.2</x:v>
      </x:c>
      <x:c r="O270" s="18"/>
      <x:c r="P270" s="18"/>
      <x:c r="Q270" s="18"/>
      <x:c r="R270" s="18"/>
      <x:c r="S270" s="18" t="n">
        <x:v>1989</x:v>
      </x:c>
      <x:c r="T270" s="18" t="n">
        <x:v>158.7</x:v>
      </x:c>
      <x:c r="U270" s="18"/>
      <x:c r="V270" s="18"/>
      <x:c r="W270" s="18"/>
      <x:c r="X270" s="18"/>
      <x:c r="Y270" s="18" t="str">
        <x:v>µg remifentanil</x:v>
      </x:c>
      <x:c r="Z270" s="18" t="str">
        <x:v>0.555</x:v>
      </x:c>
      <x:c r="AA270" s="18" t="str">
        <x:v>Yes</x:v>
      </x:c>
      <x:c r="AB270" s="18" t="str">
        <x:v>No</x:v>
      </x:c>
      <x:c r="AC270" s="18" t="str">
        <x:v>MD</x:v>
      </x:c>
      <x:c r="AD270" s="18" t="n">
        <x:v>20</x:v>
      </x:c>
      <x:c r="AE270" s="18" t="str">
        <x:v>No</x:v>
      </x:c>
      <x:c r="AF270" s="18" t="str">
        <x:v>No</x:v>
      </x:c>
      <x:c r="AG270" s="18" t="str">
        <x:v>Target F exposure-only; do not pool with titrated opioid requirement</x:v>
      </x:c>
      <x:c r="AH270" s="18" t="str">
        <x:v>No</x:v>
      </x:c>
      <x:c r="AI270" s="18" t="str">
        <x:v>Remifentanil fixed at 0.3 µg/kg/min; difference reflects exposure duration/body size rather than titration.</x:v>
      </x:c>
      <x:c r="AJ270" s="18" t="str">
        <x:v>Intraoperative remifentanil total</x:v>
      </x:c>
      <x:c r="AK270" s="18" t="str">
        <x:v>https://drive.google.com/file/d/1rQTrwnCvj72poJrGGvYjpxSZXvUhSD0u/view?usp=drivesdk</x:v>
      </x:c>
      <x:c r="AL270" s="18" t="str">
        <x:v>SOURCE-VERIFIED / AF-NORMALIZED</x:v>
      </x:c>
      <x:c r="AM270" s="18" t="str">
        <x:v>F-exposure-001</x:v>
      </x:c>
      <x:c r="AN270" s="18" t="str">
        <x:v>F-exposure</x:v>
      </x:c>
      <x:c r="AO270" s="18" t="str">
        <x:v>F_intraop_fixed_or_unclear_exposure</x:v>
      </x:c>
      <x:c r="AP270" s="18" t="str">
        <x:v>NORMALIZED_V22</x:v>
      </x:c>
      <x:c r="AQ270" s="18" t="n">
        <x:v>0</x:v>
      </x:c>
      <x:c r="AR270" s="18" t="n">
        <x:v>0</x:v>
      </x:c>
      <x:c r="AS270" s="18" t="str">
        <x:v>—</x:v>
      </x:c>
      <x:c r="AT270" s="18"/>
      <x:c r="AU270" s="18" t="str">
        <x:v>DO NOT POOL with titrated</x:v>
      </x:c>
      <x:c r="AV270" s="18" t="str">
        <x:v>2009±143.2 vs1989±158.7 μg; P=0.555</x:v>
      </x:c>
    </x:row>
    <x:row r="271">
      <x:c r="A271" s="18" t="str">
        <x:v>Chen 2015 (Hyperalgesia)</x:v>
      </x:c>
      <x:c r="B271" s="18" t="str">
        <x:v>CHEN15H_TEAS_vs_SHAM_REMI_FIXED</x:v>
      </x:c>
      <x:c r="C271" s="18" t="str">
        <x:v>Preoperative TEAS</x:v>
      </x:c>
      <x:c r="D271" s="18" t="str">
        <x:v>Electrodes/no-current sham</x:v>
      </x:c>
      <x:c r="E271" s="18" t="str">
        <x:v>Intraoperative opioid</x:v>
      </x:c>
      <x:c r="F271" s="18" t="str">
        <x:v>Fixed-target intraoperative remifentanil exposure</x:v>
      </x:c>
      <x:c r="G271" s="18" t="str">
        <x:v>Intraoperative</x:v>
      </x:c>
      <x:c r="H271" s="18" t="str">
        <x:v>Mean/SD</x:v>
      </x:c>
      <x:c r="I271" s="18" t="n">
        <x:v>30</x:v>
      </x:c>
      <x:c r="J271" s="18" t="n">
        <x:v>30</x:v>
      </x:c>
      <x:c r="K271" s="18" t="n">
        <x:v>29</x:v>
      </x:c>
      <x:c r="L271" s="18" t="n">
        <x:v>30</x:v>
      </x:c>
      <x:c r="M271" s="18" t="n">
        <x:v>1691</x:v>
      </x:c>
      <x:c r="N271" s="18" t="n">
        <x:v>37</x:v>
      </x:c>
      <x:c r="O271" s="18"/>
      <x:c r="P271" s="18"/>
      <x:c r="Q271" s="18"/>
      <x:c r="R271" s="18"/>
      <x:c r="S271" s="18" t="n">
        <x:v>1718</x:v>
      </x:c>
      <x:c r="T271" s="18" t="n">
        <x:v>43</x:v>
      </x:c>
      <x:c r="U271" s="18"/>
      <x:c r="V271" s="18"/>
      <x:c r="W271" s="18"/>
      <x:c r="X271" s="18"/>
      <x:c r="Y271" s="18" t="str">
        <x:v>µg remifentanil</x:v>
      </x:c>
      <x:c r="Z271" s="18" t="str">
        <x:v>0.461</x:v>
      </x:c>
      <x:c r="AA271" s="18" t="str">
        <x:v>Yes</x:v>
      </x:c>
      <x:c r="AB271" s="18" t="str">
        <x:v>No</x:v>
      </x:c>
      <x:c r="AC271" s="18" t="str">
        <x:v>MD</x:v>
      </x:c>
      <x:c r="AD271" s="18" t="n">
        <x:v>-27</x:v>
      </x:c>
      <x:c r="AE271" s="18" t="str">
        <x:v>No</x:v>
      </x:c>
      <x:c r="AF271" s="18" t="str">
        <x:v>No</x:v>
      </x:c>
      <x:c r="AG271" s="18" t="str">
        <x:v>Target F exposure-only; do not pool with titrated opioid requirement</x:v>
      </x:c>
      <x:c r="AH271" s="18" t="str">
        <x:v>No</x:v>
      </x:c>
      <x:c r="AI271" s="18" t="str">
        <x:v>Remifentanil maintained at fixed target 5.0 ng/mL; one TEAS participant excluded.</x:v>
      </x:c>
      <x:c r="AJ271" s="18" t="str">
        <x:v>Intraoperative remifentanil exposure</x:v>
      </x:c>
      <x:c r="AK271" s="18" t="str">
        <x:v>https://drive.google.com/file/d/13YKAZZsc2VQEPqkw1Ye40BYDZSRpI6N3/view?usp=drivesdk</x:v>
      </x:c>
      <x:c r="AL271" s="18" t="str">
        <x:v>SOURCE-VERIFIED / AF-NORMALIZED</x:v>
      </x:c>
      <x:c r="AM271" s="18" t="str">
        <x:v>F-exposure-002</x:v>
      </x:c>
      <x:c r="AN271" s="18" t="str">
        <x:v>F-exposure</x:v>
      </x:c>
      <x:c r="AO271" s="18" t="str">
        <x:v>F_intraop_fixed_or_unclear_exposure</x:v>
      </x:c>
      <x:c r="AP271" s="18" t="str">
        <x:v>NORMALIZED_V22</x:v>
      </x:c>
      <x:c r="AQ271" s="18" t="n">
        <x:v>0</x:v>
      </x:c>
      <x:c r="AR271" s="18" t="n">
        <x:v>0</x:v>
      </x:c>
      <x:c r="AS271" s="18" t="str">
        <x:v>Some concerns</x:v>
      </x:c>
      <x:c r="AT271" s="18"/>
      <x:c r="AU271" s="18" t="str">
        <x:v>DO NOT POOL with titrated</x:v>
      </x:c>
      <x:c r="AV271" s="18" t="str">
        <x:v>1691±37 vs1718±43 μg; P=0.461</x:v>
      </x:c>
    </x:row>
    <x:row r="272">
      <x:c r="A272" s="18" t="str">
        <x:v>Xie 2014</x:v>
      </x:c>
      <x:c r="B272" s="18" t="str">
        <x:v>XIE14_EAS_vs_SHAM_REMI</x:v>
      </x:c>
      <x:c r="C272" s="18" t="str">
        <x:v>Active EAS PC4/PC6</x:v>
      </x:c>
      <x:c r="D272" s="18" t="str">
        <x:v>Sham needling PC4/PC6</x:v>
      </x:c>
      <x:c r="E272" s="18" t="str">
        <x:v>Intraoperative opioid</x:v>
      </x:c>
      <x:c r="F272" s="18" t="str">
        <x:v>Intraoperative remifentanil exposure</x:v>
      </x:c>
      <x:c r="G272" s="18" t="str">
        <x:v>Intraoperative</x:v>
      </x:c>
      <x:c r="H272" s="18" t="str">
        <x:v>Mean/SD</x:v>
      </x:c>
      <x:c r="I272" s="18" t="n">
        <x:v>20</x:v>
      </x:c>
      <x:c r="J272" s="18" t="n">
        <x:v>20</x:v>
      </x:c>
      <x:c r="K272" s="18" t="n">
        <x:v>20</x:v>
      </x:c>
      <x:c r="L272" s="18" t="n">
        <x:v>20</x:v>
      </x:c>
      <x:c r="M272" s="18" t="n">
        <x:v>1.89</x:v>
      </x:c>
      <x:c r="N272" s="18" t="n">
        <x:v>0.63</x:v>
      </x:c>
      <x:c r="O272" s="18"/>
      <x:c r="P272" s="18"/>
      <x:c r="Q272" s="18"/>
      <x:c r="R272" s="18"/>
      <x:c r="S272" s="18" t="n">
        <x:v>1.9</x:v>
      </x:c>
      <x:c r="T272" s="18" t="n">
        <x:v>0.59</x:v>
      </x:c>
      <x:c r="U272" s="18"/>
      <x:c r="V272" s="18"/>
      <x:c r="W272" s="18"/>
      <x:c r="X272" s="18"/>
      <x:c r="Y272" s="18" t="str">
        <x:v>mg remifentanil</x:v>
      </x:c>
      <x:c r="Z272" s="18" t="str">
        <x:v>NR; stated non-significant</x:v>
      </x:c>
      <x:c r="AA272" s="18" t="str">
        <x:v>Yes</x:v>
      </x:c>
      <x:c r="AB272" s="18" t="str">
        <x:v>No</x:v>
      </x:c>
      <x:c r="AC272" s="18" t="str">
        <x:v>MD</x:v>
      </x:c>
      <x:c r="AD272" s="18" t="n">
        <x:v>-0.01</x:v>
      </x:c>
      <x:c r="AE272" s="18" t="str">
        <x:v>No</x:v>
      </x:c>
      <x:c r="AF272" s="18" t="str">
        <x:v>No</x:v>
      </x:c>
      <x:c r="AG272" s="18" t="str">
        <x:v>Target F exposure-only / separate from postoperative opioid signal</x:v>
      </x:c>
      <x:c r="AH272" s="18" t="str">
        <x:v>Yes</x:v>
      </x:c>
      <x:c r="AI272" s="18" t="str">
        <x:v>Three-arm trial; exact within-range titration algorithm and anesthesiologist masking not reported.</x:v>
      </x:c>
      <x:c r="AJ272" s="18" t="str">
        <x:v>Table 1 / intraoperative remifentanil</x:v>
      </x:c>
      <x:c r="AK272" s="18" t="str">
        <x:v>https://drive.google.com/file/d/17faY_h0rMJTuhjPOC5PL_S59jYmHDPee/view?usp=drivesdk</x:v>
      </x:c>
      <x:c r="AL272" s="18" t="str">
        <x:v>SOURCE-VERIFIED / AF-NORMALIZED</x:v>
      </x:c>
      <x:c r="AM272" s="18" t="str">
        <x:v>F-exposure-003</x:v>
      </x:c>
      <x:c r="AN272" s="18" t="str">
        <x:v>F-exposure</x:v>
      </x:c>
      <x:c r="AO272" s="18" t="str">
        <x:v>F_intraop_fixed_or_unclear_exposure</x:v>
      </x:c>
      <x:c r="AP272" s="18" t="str">
        <x:v>NORMALIZED_V22</x:v>
      </x:c>
      <x:c r="AQ272" s="18" t="n">
        <x:v>0</x:v>
      </x:c>
      <x:c r="AR272" s="18" t="n">
        <x:v>1</x:v>
      </x:c>
      <x:c r="AS272" s="18" t="str">
        <x:v>Some concerns</x:v>
      </x:c>
      <x:c r="AT272" s="18" t="str">
        <x:v>P1</x:v>
      </x:c>
      <x:c r="AU272" s="18"/>
      <x:c r="AV272" s="18" t="str">
        <x:v>1.89±0.63 vs1.90±0.59 mg</x:v>
      </x:c>
    </x:row>
    <x:row r="273">
      <x:c r="A273" s="18" t="str">
        <x:v>Yao 2015</x:v>
      </x:c>
      <x:c r="B273" s="18" t="str">
        <x:v>YAO15_TEAS_vs_CONTROL_RESCUECOUNT24</x:v>
      </x:c>
      <x:c r="C273" s="18" t="str">
        <x:v>Preoperative TEAS</x:v>
      </x:c>
      <x:c r="D273" s="18" t="str">
        <x:v>Control/no current</x:v>
      </x:c>
      <x:c r="E273" s="18" t="str">
        <x:v>Rescue opioid use</x:v>
      </x:c>
      <x:c r="F273" s="18" t="str">
        <x:v>Cumulative rescue sufentanil administrations</x:v>
      </x:c>
      <x:c r="G273" s="18" t="str">
        <x:v>0-24 h</x:v>
      </x:c>
      <x:c r="H273" s="18" t="str">
        <x:v>Median/IQR</x:v>
      </x:c>
      <x:c r="I273" s="18" t="n">
        <x:v>37</x:v>
      </x:c>
      <x:c r="J273" s="18" t="n">
        <x:v>37</x:v>
      </x:c>
      <x:c r="K273" s="18" t="n">
        <x:v>35</x:v>
      </x:c>
      <x:c r="L273" s="18" t="n">
        <x:v>36</x:v>
      </x:c>
      <x:c r="M273" s="18"/>
      <x:c r="N273" s="18"/>
      <x:c r="O273" s="18" t="n">
        <x:v>1</x:v>
      </x:c>
      <x:c r="P273" s="18" t="n">
        <x:v>1</x:v>
      </x:c>
      <x:c r="Q273" s="18" t="n">
        <x:v>3</x:v>
      </x:c>
      <x:c r="R273" s="18"/>
      <x:c r="S273" s="18"/>
      <x:c r="T273" s="18"/>
      <x:c r="U273" s="18" t="n">
        <x:v>3.5</x:v>
      </x:c>
      <x:c r="V273" s="18" t="n">
        <x:v>2</x:v>
      </x:c>
      <x:c r="W273" s="18" t="n">
        <x:v>7.8</x:v>
      </x:c>
      <x:c r="X273" s="18"/>
      <x:c r="Y273" s="18" t="str">
        <x:v>administrations</x:v>
      </x:c>
      <x:c r="Z273" s="18" t="str">
        <x:v>0.004 in Table 3; 0.04 in prose</x:v>
      </x:c>
      <x:c r="AA273" s="18" t="str">
        <x:v>Yes</x:v>
      </x:c>
      <x:c r="AB273" s="18" t="str">
        <x:v>No</x:v>
      </x:c>
      <x:c r="AC273" s="18"/>
      <x:c r="AD273" s="18"/>
      <x:c r="AE273" s="18" t="str">
        <x:v>No</x:v>
      </x:c>
      <x:c r="AF273" s="18" t="str">
        <x:v>No</x:v>
      </x:c>
      <x:c r="AG273" s="18" t="str">
        <x:v>Target F rescue-opioid count; P1 publication discrepancy</x:v>
      </x:c>
      <x:c r="AH273" s="18" t="str">
        <x:v>No</x:v>
      </x:c>
      <x:c r="AI273" s="18" t="str">
        <x:v>VAS≥4 -&gt; sufentanil 0.05 µg/kg IV. Preserve unresolved P-value discrepancy.</x:v>
      </x:c>
      <x:c r="AJ273" s="18" t="str">
        <x:v>Table 3 / cumulative rescue analgesia administrations</x:v>
      </x:c>
      <x:c r="AK273" s="18" t="str">
        <x:v>https://drive.google.com/file/d/1OhcqPgP7chnaiBaZBPBAy4PQlSFMelfh/view?usp=drivesdk</x:v>
      </x:c>
      <x:c r="AL273" s="18" t="str">
        <x:v>SOURCE-VERIFIED / AF-NORMALIZED / P1 P-VALUE HOLD</x:v>
      </x:c>
      <x:c r="AM273" s="18" t="str">
        <x:v>F-rescue-opioid-001</x:v>
      </x:c>
      <x:c r="AN273" s="18" t="str">
        <x:v>F-rescue-opioid</x:v>
      </x:c>
      <x:c r="AO273" s="18" t="str">
        <x:v>F_rescue_opioid</x:v>
      </x:c>
      <x:c r="AP273" s="18" t="str">
        <x:v>NORMALIZED_V22</x:v>
      </x:c>
      <x:c r="AQ273" s="18" t="n">
        <x:v>0</x:v>
      </x:c>
      <x:c r="AR273" s="18" t="n">
        <x:v>0</x:v>
      </x:c>
      <x:c r="AS273" s="18" t="str">
        <x:v>Some concerns</x:v>
      </x:c>
      <x:c r="AT273" s="18" t="str">
        <x:v>P1</x:v>
      </x:c>
      <x:c r="AU273" s="18" t="str">
        <x:v>UNRESOLVED P-value</x:v>
      </x:c>
      <x:c r="AV273" s="18" t="str">
        <x:v>1 (1–3) vs3.5 (2–7.8)</x:v>
      </x:c>
    </x:row>
    <x:row r="274">
      <x:c r="A274" s="18" t="str">
        <x:v>Chen 2015</x:v>
      </x:c>
      <x:c r="B274" s="18" t="str">
        <x:v>CHEN15Q_TEAS_vs_CTRL_RESCUECOUNT24</x:v>
      </x:c>
      <x:c r="C274" s="18" t="str">
        <x:v>Preoperative TEAS</x:v>
      </x:c>
      <x:c r="D274" s="18" t="str">
        <x:v>Electrodes/device with no stimulation</x:v>
      </x:c>
      <x:c r="E274" s="18" t="str">
        <x:v>Rescue opioid use</x:v>
      </x:c>
      <x:c r="F274" s="18" t="str">
        <x:v>Cumulative rescue morphine administrations</x:v>
      </x:c>
      <x:c r="G274" s="18" t="str">
        <x:v>0-24 h</x:v>
      </x:c>
      <x:c r="H274" s="18" t="str">
        <x:v>Median/IQR</x:v>
      </x:c>
      <x:c r="I274" s="18" t="n">
        <x:v>42</x:v>
      </x:c>
      <x:c r="J274" s="18" t="n">
        <x:v>42</x:v>
      </x:c>
      <x:c r="K274" s="18" t="n">
        <x:v>41</x:v>
      </x:c>
      <x:c r="L274" s="18" t="n">
        <x:v>42</x:v>
      </x:c>
      <x:c r="M274" s="18"/>
      <x:c r="N274" s="18"/>
      <x:c r="O274" s="18" t="n">
        <x:v>1</x:v>
      </x:c>
      <x:c r="P274" s="18" t="n">
        <x:v>1</x:v>
      </x:c>
      <x:c r="Q274" s="18" t="n">
        <x:v>3</x:v>
      </x:c>
      <x:c r="R274" s="18"/>
      <x:c r="S274" s="18"/>
      <x:c r="T274" s="18"/>
      <x:c r="U274" s="18" t="n">
        <x:v>3.5</x:v>
      </x:c>
      <x:c r="V274" s="18" t="n">
        <x:v>2</x:v>
      </x:c>
      <x:c r="W274" s="18" t="n">
        <x:v>7</x:v>
      </x:c>
      <x:c r="X274" s="18"/>
      <x:c r="Y274" s="18" t="str">
        <x:v>administrations of 2-mg IV morphine</x:v>
      </x:c>
      <x:c r="Z274" s="18" t="str">
        <x:v>0.004</x:v>
      </x:c>
      <x:c r="AA274" s="18" t="str">
        <x:v>Yes</x:v>
      </x:c>
      <x:c r="AB274" s="18" t="str">
        <x:v>No</x:v>
      </x:c>
      <x:c r="AC274" s="18"/>
      <x:c r="AD274" s="18"/>
      <x:c r="AE274" s="18" t="str">
        <x:v>No</x:v>
      </x:c>
      <x:c r="AF274" s="18" t="str">
        <x:v>No</x:v>
      </x:c>
      <x:c r="AG274" s="18" t="str">
        <x:v>Target F rescue-opioid count</x:v>
      </x:c>
      <x:c r="AH274" s="18" t="str">
        <x:v>No</x:v>
      </x:c>
      <x:c r="AI274" s="18" t="str">
        <x:v>Source reports count; exact pre-dose VAS trigger not separately stated. Existing v20 converted-dose row is retained separately.</x:v>
      </x:c>
      <x:c r="AJ274" s="18" t="str">
        <x:v>24-h rescue-morphine result</x:v>
      </x:c>
      <x:c r="AK274" s="18" t="str">
        <x:v>https://drive.google.com/file/d/1ZtE8GImDcpDJH1tOvzqazoh_S4Gd67oH/view?usp=drivesdk</x:v>
      </x:c>
      <x:c r="AL274" s="18" t="str">
        <x:v>SOURCE-VERIFIED / AF-NORMALIZED</x:v>
      </x:c>
      <x:c r="AM274" s="18" t="str">
        <x:v>F-rescue-opioid-003</x:v>
      </x:c>
      <x:c r="AN274" s="18" t="str">
        <x:v>F-rescue-opioid</x:v>
      </x:c>
      <x:c r="AO274" s="18" t="str">
        <x:v>F_rescue_opioid</x:v>
      </x:c>
      <x:c r="AP274" s="18" t="str">
        <x:v>NORMALIZED_V22</x:v>
      </x:c>
      <x:c r="AQ274" s="18" t="n">
        <x:v>1</x:v>
      </x:c>
      <x:c r="AR274" s="18" t="n">
        <x:v>0</x:v>
      </x:c>
      <x:c r="AS274" s="18" t="str">
        <x:v>Some concerns</x:v>
      </x:c>
      <x:c r="AT274" s="18"/>
      <x:c r="AU274" s="18"/>
      <x:c r="AV274" s="18" t="str">
        <x:v>1 (1–3) vs3.5 (2–7); P=0.004</x:v>
      </x:c>
    </x:row>
    <x:row r="275">
      <x:c r="A275" s="18" t="str">
        <x:v>Xie 2014</x:v>
      </x:c>
      <x:c r="B275" s="18" t="str">
        <x:v>XIE14_EAS_vs_SHAM_DEZOCINE48</x:v>
      </x:c>
      <x:c r="C275" s="18" t="str">
        <x:v>Active EAS PC4/PC6</x:v>
      </x:c>
      <x:c r="D275" s="18" t="str">
        <x:v>Sham needling PC4/PC6</x:v>
      </x:c>
      <x:c r="E275" s="18" t="str">
        <x:v>Rescue opioid use</x:v>
      </x:c>
      <x:c r="F275" s="18" t="str">
        <x:v>Participants receiving rescue dezocine</x:v>
      </x:c>
      <x:c r="G275" s="18" t="str">
        <x:v>Through postoperative 48 h</x:v>
      </x:c>
      <x:c r="H275" s="18" t="str">
        <x:v>Events/total</x:v>
      </x:c>
      <x:c r="I275" s="18" t="n">
        <x:v>20</x:v>
      </x:c>
      <x:c r="J275" s="18" t="n">
        <x:v>20</x:v>
      </x:c>
      <x:c r="K275" s="18" t="n">
        <x:v>20</x:v>
      </x:c>
      <x:c r="L275" s="18" t="n">
        <x:v>20</x:v>
      </x:c>
      <x:c r="M275" s="18"/>
      <x:c r="N275" s="18"/>
      <x:c r="O275" s="18"/>
      <x:c r="P275" s="18"/>
      <x:c r="Q275" s="18"/>
      <x:c r="R275" s="18" t="n">
        <x:v>1</x:v>
      </x:c>
      <x:c r="S275" s="18"/>
      <x:c r="T275" s="18"/>
      <x:c r="U275" s="18"/>
      <x:c r="V275" s="18"/>
      <x:c r="W275" s="18"/>
      <x:c r="X275" s="18" t="n">
        <x:v>6</x:v>
      </x:c>
      <x:c r="Y275" s="18" t="str">
        <x:v>participants</x:v>
      </x:c>
      <x:c r="Z275" s="18" t="str">
        <x:v>&lt;0.05; exact pairwise P NR</x:v>
      </x:c>
      <x:c r="AA275" s="18" t="str">
        <x:v>Percentages directly reported; event counts reconstructed</x:v>
      </x:c>
      <x:c r="AB275" s="18" t="str">
        <x:v>Yes — counts derived from 5% and 30% with n=20/group</x:v>
      </x:c>
      <x:c r="AC275" s="18" t="str">
        <x:v>RR</x:v>
      </x:c>
      <x:c r="AD275" s="18" t="n">
        <x:v>0.16666666666666669</x:v>
      </x:c>
      <x:c r="AE275" s="18" t="str">
        <x:v>No</x:v>
      </x:c>
      <x:c r="AF275" s="18" t="str">
        <x:v>No</x:v>
      </x:c>
      <x:c r="AG275" s="18" t="str">
        <x:v>Target F binary rescue-opioid-like outcome</x:v>
      </x:c>
      <x:c r="AH275" s="18" t="str">
        <x:v>Yes</x:v>
      </x:c>
      <x:c r="AI275" s="18" t="str">
        <x:v>Dezocine 5 mg IV at patient request; counts are derived from reported percentages.</x:v>
      </x:c>
      <x:c r="AJ275" s="18" t="str">
        <x:v>Table 2 / rescue-dezocine rates</x:v>
      </x:c>
      <x:c r="AK275" s="18" t="str">
        <x:v>https://drive.google.com/file/d/17faY_h0rMJTuhjPOC5PL_S59jYmHDPee/view?usp=drivesdk</x:v>
      </x:c>
      <x:c r="AL275" s="18" t="str">
        <x:v>SOURCE-VERIFIED / AF-NORMALIZED</x:v>
      </x:c>
      <x:c r="AM275" s="18" t="str">
        <x:v>F-rescue-opioid-004</x:v>
      </x:c>
      <x:c r="AN275" s="18" t="str">
        <x:v>F-rescue-opioid</x:v>
      </x:c>
      <x:c r="AO275" s="18" t="str">
        <x:v>F_rescue_opioid</x:v>
      </x:c>
      <x:c r="AP275" s="18" t="str">
        <x:v>NORMALIZED_V22</x:v>
      </x:c>
      <x:c r="AQ275" s="18" t="n">
        <x:v>1</x:v>
      </x:c>
      <x:c r="AR275" s="18" t="n">
        <x:v>0</x:v>
      </x:c>
      <x:c r="AS275" s="18" t="str">
        <x:v>Some concerns</x:v>
      </x:c>
      <x:c r="AT275" s="18" t="str">
        <x:v>P1</x:v>
      </x:c>
      <x:c r="AU275" s="18"/>
      <x:c r="AV275" s="18" t="str">
        <x:v>5% vs30% (derived 1/20 vs6/20)</x:v>
      </x:c>
    </x:row>
    <x:row r="276">
      <x:c r="A276" s="18" t="str">
        <x:v>Yu 2020</x:v>
      </x:c>
      <x:c r="B276" s="18" t="str">
        <x:v>YU20_TEAS_vs_CONTROL_RESCUE24</x:v>
      </x:c>
      <x:c r="C276" s="18" t="str">
        <x:v>Preoperative TEAS</x:v>
      </x:c>
      <x:c r="D276" s="18" t="str">
        <x:v>Control/no current</x:v>
      </x:c>
      <x:c r="E276" s="18" t="str">
        <x:v>Rescue opioid use</x:v>
      </x:c>
      <x:c r="F276" s="18" t="str">
        <x:v>Participants requiring rescue sufentanil</x:v>
      </x:c>
      <x:c r="G276" s="18" t="str">
        <x:v>0-24 h</x:v>
      </x:c>
      <x:c r="H276" s="18" t="str">
        <x:v>Events/total</x:v>
      </x:c>
      <x:c r="I276" s="18" t="n">
        <x:v>30</x:v>
      </x:c>
      <x:c r="J276" s="18" t="n">
        <x:v>30</x:v>
      </x:c>
      <x:c r="K276" s="18" t="n">
        <x:v>30</x:v>
      </x:c>
      <x:c r="L276" s="18" t="n">
        <x:v>30</x:v>
      </x:c>
      <x:c r="M276" s="18"/>
      <x:c r="N276" s="18"/>
      <x:c r="O276" s="18"/>
      <x:c r="P276" s="18"/>
      <x:c r="Q276" s="18"/>
      <x:c r="R276" s="18" t="n">
        <x:v>13</x:v>
      </x:c>
      <x:c r="S276" s="18"/>
      <x:c r="T276" s="18"/>
      <x:c r="U276" s="18"/>
      <x:c r="V276" s="18"/>
      <x:c r="W276" s="18"/>
      <x:c r="X276" s="18" t="n">
        <x:v>24</x:v>
      </x:c>
      <x:c r="Y276" s="18" t="str">
        <x:v>participants</x:v>
      </x:c>
      <x:c r="Z276" s="18" t="str">
        <x:v>&lt;0.01</x:v>
      </x:c>
      <x:c r="AA276" s="18" t="str">
        <x:v>Yes</x:v>
      </x:c>
      <x:c r="AB276" s="18" t="str">
        <x:v>No</x:v>
      </x:c>
      <x:c r="AC276" s="18" t="str">
        <x:v>RR</x:v>
      </x:c>
      <x:c r="AD276" s="18" t="n">
        <x:v>0.5416666666666666</x:v>
      </x:c>
      <x:c r="AE276" s="18" t="str">
        <x:v>No</x:v>
      </x:c>
      <x:c r="AF276" s="18" t="str">
        <x:v>No</x:v>
      </x:c>
      <x:c r="AG276" s="18" t="str">
        <x:v>Target F binary rescue-opioid outcome</x:v>
      </x:c>
      <x:c r="AH276" s="18" t="str">
        <x:v>No</x:v>
      </x:c>
      <x:c r="AI276" s="18" t="str">
        <x:v>Rescue sufentanil dose and exact trigger not reported; registration retrospective.</x:v>
      </x:c>
      <x:c r="AJ276" s="18" t="str">
        <x:v>24-h rescue-sufentanil result</x:v>
      </x:c>
      <x:c r="AK276" s="18" t="str">
        <x:v>https://drive.google.com/file/d/1fXpHc9FzhpPCkXto8c5lfcLoA3ROdOEz/view?usp=drivesdk</x:v>
      </x:c>
      <x:c r="AL276" s="18" t="str">
        <x:v>SOURCE-VERIFIED / AF-NORMALIZED</x:v>
      </x:c>
      <x:c r="AM276" s="18" t="str">
        <x:v>F-rescue-opioid-006</x:v>
      </x:c>
      <x:c r="AN276" s="18" t="str">
        <x:v>F-rescue-opioid</x:v>
      </x:c>
      <x:c r="AO276" s="18" t="str">
        <x:v>F_rescue_opioid</x:v>
      </x:c>
      <x:c r="AP276" s="18" t="str">
        <x:v>NORMALIZED_V22</x:v>
      </x:c>
      <x:c r="AQ276" s="18" t="n">
        <x:v>1</x:v>
      </x:c>
      <x:c r="AR276" s="18" t="n">
        <x:v>0</x:v>
      </x:c>
      <x:c r="AS276" s="18" t="str">
        <x:v>Some concerns</x:v>
      </x:c>
      <x:c r="AT276" s="18"/>
      <x:c r="AU276" s="18"/>
      <x:c r="AV276" s="18" t="str">
        <x:v>13/30 vs24/30; P&lt;0.01</x:v>
      </x:c>
    </x:row>
    <x:row r="277">
      <x:c r="A277" s="18" t="str">
        <x:v>Li 2022</x:v>
      </x:c>
      <x:c r="B277" s="18" t="str">
        <x:v>LI22_EA_vs_SHAM_RESCUEFLURB48</x:v>
      </x:c>
      <x:c r="C277" s="18" t="str">
        <x:v>Preoperative electroacupuncture</x:v>
      </x:c>
      <x:c r="D277" s="18" t="str">
        <x:v>Sham electroacupuncture</x:v>
      </x:c>
      <x:c r="E277" s="18" t="str">
        <x:v>Rescue analgesia</x:v>
      </x:c>
      <x:c r="F277" s="18" t="str">
        <x:v>Participants receiving rescue flurbiprofen</x:v>
      </x:c>
      <x:c r="G277" s="18" t="str">
        <x:v>0-48 h</x:v>
      </x:c>
      <x:c r="H277" s="18" t="str">
        <x:v>Events/total</x:v>
      </x:c>
      <x:c r="I277" s="18" t="n">
        <x:v>40</x:v>
      </x:c>
      <x:c r="J277" s="18" t="n">
        <x:v>40</x:v>
      </x:c>
      <x:c r="K277" s="18" t="n">
        <x:v>39</x:v>
      </x:c>
      <x:c r="L277" s="18" t="n">
        <x:v>40</x:v>
      </x:c>
      <x:c r="M277" s="18"/>
      <x:c r="N277" s="18"/>
      <x:c r="O277" s="18"/>
      <x:c r="P277" s="18"/>
      <x:c r="Q277" s="18"/>
      <x:c r="R277" s="18" t="n">
        <x:v>0</x:v>
      </x:c>
      <x:c r="S277" s="18"/>
      <x:c r="T277" s="18"/>
      <x:c r="U277" s="18"/>
      <x:c r="V277" s="18"/>
      <x:c r="W277" s="18"/>
      <x:c r="X277" s="18" t="n">
        <x:v>0</x:v>
      </x:c>
      <x:c r="Y277" s="18" t="str">
        <x:v>participants</x:v>
      </x:c>
      <x:c r="Z277" s="18" t="str">
        <x:v>Not estimable; double-zero</x:v>
      </x:c>
      <x:c r="AA277" s="18" t="str">
        <x:v>Yes</x:v>
      </x:c>
      <x:c r="AB277" s="18" t="str">
        <x:v>No</x:v>
      </x:c>
      <x:c r="AC277" s="18" t="str">
        <x:v>RR</x:v>
      </x:c>
      <x:c r="AD277" s="18"/>
      <x:c r="AE277" s="18" t="str">
        <x:v>No</x:v>
      </x:c>
      <x:c r="AF277" s="18" t="str">
        <x:v>No</x:v>
      </x:c>
      <x:c r="AG277" s="18" t="str">
        <x:v>Target F non-opioid rescue evidence map only</x:v>
      </x:c>
      <x:c r="AH277" s="18" t="str">
        <x:v>No</x:v>
      </x:c>
      <x:c r="AI277" s="18" t="str">
        <x:v>Flurbiprofen 50 mg rescue; exact trigger/threshold not reported. Double-zero event.</x:v>
      </x:c>
      <x:c r="AJ277" s="18" t="str">
        <x:v>Postoperative rescue-analgesia result</x:v>
      </x:c>
      <x:c r="AK277" s="18" t="str">
        <x:v>https://drive.google.com/file/d/1rQTrwnCvj72poJrGGvYjpxSZXvUhSD0u/view?usp=drivesdk</x:v>
      </x:c>
      <x:c r="AL277" s="18" t="str">
        <x:v>SOURCE-VERIFIED / AF-NORMALIZED</x:v>
      </x:c>
      <x:c r="AM277" s="18" t="str">
        <x:v>F-rescue-nonopioid-001</x:v>
      </x:c>
      <x:c r="AN277" s="18" t="str">
        <x:v>F-rescue-nonopioid</x:v>
      </x:c>
      <x:c r="AO277" s="18" t="str">
        <x:v>F_rescue_nonopioid</x:v>
      </x:c>
      <x:c r="AP277" s="18" t="str">
        <x:v>NORMALIZED_V22</x:v>
      </x:c>
      <x:c r="AQ277" s="18" t="n">
        <x:v>0</x:v>
      </x:c>
      <x:c r="AR277" s="18" t="n">
        <x:v>0</x:v>
      </x:c>
      <x:c r="AS277" s="18" t="str">
        <x:v>—</x:v>
      </x:c>
      <x:c r="AT277" s="18"/>
      <x:c r="AU277" s="18"/>
      <x:c r="AV277" s="18" t="str">
        <x:v>0/39 vs0/40</x:v>
      </x:c>
    </x:row>
    <x:row r="278">
      <x:c r="A278" s="18" t="str">
        <x:v>Lu 2021</x:v>
      </x:c>
      <x:c r="B278" s="18" t="str">
        <x:v>LU21_COMB_vs_SHAM_PARECOX24</x:v>
      </x:c>
      <x:c r="C278" s="18" t="str">
        <x:v>Combined PC6+CV17 TEAS</x:v>
      </x:c>
      <x:c r="D278" s="18" t="str">
        <x:v>Sham/no current</x:v>
      </x:c>
      <x:c r="E278" s="18" t="str">
        <x:v>Rescue analgesia</x:v>
      </x:c>
      <x:c r="F278" s="18" t="str">
        <x:v>Participants receiving rescue parecoxib</x:v>
      </x:c>
      <x:c r="G278" s="18" t="str">
        <x:v>By 24 h</x:v>
      </x:c>
      <x:c r="H278" s="18" t="str">
        <x:v>Events/total</x:v>
      </x:c>
      <x:c r="I278" s="18" t="n">
        <x:v>190</x:v>
      </x:c>
      <x:c r="J278" s="18" t="n">
        <x:v>188</x:v>
      </x:c>
      <x:c r="K278" s="18" t="n">
        <x:v>190</x:v>
      </x:c>
      <x:c r="L278" s="18" t="n">
        <x:v>188</x:v>
      </x:c>
      <x:c r="M278" s="18"/>
      <x:c r="N278" s="18"/>
      <x:c r="O278" s="18"/>
      <x:c r="P278" s="18"/>
      <x:c r="Q278" s="18"/>
      <x:c r="R278" s="18" t="n">
        <x:v>4</x:v>
      </x:c>
      <x:c r="S278" s="18"/>
      <x:c r="T278" s="18"/>
      <x:c r="U278" s="18"/>
      <x:c r="V278" s="18"/>
      <x:c r="W278" s="18"/>
      <x:c r="X278" s="18" t="n">
        <x:v>7</x:v>
      </x:c>
      <x:c r="Y278" s="18" t="str">
        <x:v>participants</x:v>
      </x:c>
      <x:c r="Z278" s="18" t="str">
        <x:v>0.35 in Table 3; 0.58 in prose</x:v>
      </x:c>
      <x:c r="AA278" s="18" t="str">
        <x:v>Yes</x:v>
      </x:c>
      <x:c r="AB278" s="18" t="str">
        <x:v>No</x:v>
      </x:c>
      <x:c r="AC278" s="18" t="str">
        <x:v>RR</x:v>
      </x:c>
      <x:c r="AD278" s="18" t="n">
        <x:v>0.5654135338345865</x:v>
      </x:c>
      <x:c r="AE278" s="18" t="str">
        <x:v>No</x:v>
      </x:c>
      <x:c r="AF278" s="18" t="str">
        <x:v>No</x:v>
      </x:c>
      <x:c r="AG278" s="18" t="str">
        <x:v>Target F non-opioid rescue; P1 publication discrepancy</x:v>
      </x:c>
      <x:c r="AH278" s="18" t="str">
        <x:v>Yes</x:v>
      </x:c>
      <x:c r="AI278" s="18" t="str">
        <x:v>NRS&gt;4 -&gt; parecoxib sodium 40 mg. Preserve P-value inconsistency.</x:v>
      </x:c>
      <x:c r="AJ278" s="18" t="str">
        <x:v>Table 3 / rescue analgesia</x:v>
      </x:c>
      <x:c r="AK278" s="18" t="str">
        <x:v>https://drive.google.com/file/d/1MgD_OucfiyNEDdDe3osh8W01U1yYZs08/view?usp=drivesdk</x:v>
      </x:c>
      <x:c r="AL278" s="18" t="str">
        <x:v>SOURCE-VERIFIED / AF-NORMALIZED / P1 P-VALUE HOLD</x:v>
      </x:c>
      <x:c r="AM278" s="18" t="str">
        <x:v>F-rescue-nonopioid-004</x:v>
      </x:c>
      <x:c r="AN278" s="18" t="str">
        <x:v>F-rescue-nonopioid</x:v>
      </x:c>
      <x:c r="AO278" s="18" t="str">
        <x:v>F_rescue_nonopioid</x:v>
      </x:c>
      <x:c r="AP278" s="18" t="str">
        <x:v>NORMALIZED_V22</x:v>
      </x:c>
      <x:c r="AQ278" s="18" t="n">
        <x:v>0</x:v>
      </x:c>
      <x:c r="AR278" s="18" t="n">
        <x:v>0</x:v>
      </x:c>
      <x:c r="AS278" s="18" t="str">
        <x:v>Some concerns</x:v>
      </x:c>
      <x:c r="AT278" s="18" t="str">
        <x:v>P1</x:v>
      </x:c>
      <x:c r="AU278" s="18" t="str">
        <x:v>UNRESOLVED P-value</x:v>
      </x:c>
      <x:c r="AV278" s="18" t="str">
        <x:v>4/190 vs7/188</x:v>
      </x:c>
    </x:row>
    <x:row r="279">
      <x:c r="A279" s="18" t="str">
        <x:v>Wu 2025</x:v>
      </x:c>
      <x:c r="B279" s="18" t="str">
        <x:v>WU25_TEAS_vs_SHAM_RESCUE_PARACET24</x:v>
      </x:c>
      <x:c r="C279" s="18" t="str">
        <x:v>PACU TEAS</x:v>
      </x:c>
      <x:c r="D279" s="18" t="str">
        <x:v>Sham/no current</x:v>
      </x:c>
      <x:c r="E279" s="18" t="str">
        <x:v>Rescue analgesia</x:v>
      </x:c>
      <x:c r="F279" s="18" t="str">
        <x:v>Compound paracetamol rescue-use metric</x:v>
      </x:c>
      <x:c r="G279" s="18" t="str">
        <x:v>Initial 24 h</x:v>
      </x:c>
      <x:c r="H279" s="18" t="str">
        <x:v>Mean/SD</x:v>
      </x:c>
      <x:c r="I279" s="18" t="n">
        <x:v>50</x:v>
      </x:c>
      <x:c r="J279" s="18" t="n">
        <x:v>50</x:v>
      </x:c>
      <x:c r="K279" s="18" t="n">
        <x:v>50</x:v>
      </x:c>
      <x:c r="L279" s="18" t="n">
        <x:v>50</x:v>
      </x:c>
      <x:c r="M279" s="18" t="n">
        <x:v>0.3</x:v>
      </x:c>
      <x:c r="N279" s="18" t="n">
        <x:v>0.5</x:v>
      </x:c>
      <x:c r="O279" s="18"/>
      <x:c r="P279" s="18"/>
      <x:c r="Q279" s="18"/>
      <x:c r="R279" s="18"/>
      <x:c r="S279" s="18" t="n">
        <x:v>0.8</x:v>
      </x:c>
      <x:c r="T279" s="18" t="n">
        <x:v>0.9</x:v>
      </x:c>
      <x:c r="U279" s="18"/>
      <x:c r="V279" s="18"/>
      <x:c r="W279" s="18"/>
      <x:c r="X279" s="18"/>
      <x:c r="Y279" s="18" t="str">
        <x:v>published rescue-use metric; unit not clearly specified</x:v>
      </x:c>
      <x:c r="Z279" s="18" t="str">
        <x:v>0.001</x:v>
      </x:c>
      <x:c r="AA279" s="18" t="str">
        <x:v>Yes</x:v>
      </x:c>
      <x:c r="AB279" s="18" t="str">
        <x:v>No</x:v>
      </x:c>
      <x:c r="AC279" s="18" t="str">
        <x:v>MD</x:v>
      </x:c>
      <x:c r="AD279" s="18" t="n">
        <x:v>-0.5</x:v>
      </x:c>
      <x:c r="AE279" s="18" t="str">
        <x:v>No</x:v>
      </x:c>
      <x:c r="AF279" s="18" t="str">
        <x:v>No</x:v>
      </x:c>
      <x:c r="AG279" s="18" t="str">
        <x:v>Target F medication-specific descriptive result only; do not collapse to opioid MME</x:v>
      </x:c>
      <x:c r="AH279" s="18" t="str">
        <x:v>No</x:v>
      </x:c>
      <x:c r="AI279" s="18" t="str">
        <x:v>VAS&gt;4 triggered additional analgesia; rule for choosing among the three drugs and table units are unclear.</x:v>
      </x:c>
      <x:c r="AJ279" s="18" t="str">
        <x:v>Table 2 / postoperative rescue medication use</x:v>
      </x:c>
      <x:c r="AK279" s="18" t="str">
        <x:v>https://drive.google.com/file/d/1ZV6JFjevGSPqnISdX61KPdcC_yEtq3vf/view?usp=drivesdk</x:v>
      </x:c>
      <x:c r="AL279" s="18" t="str">
        <x:v>SOURCE-VERIFIED / AF-NORMALIZED / UNIT-QC</x:v>
      </x:c>
      <x:c r="AM279" s="18" t="str">
        <x:v>F-mixed/undefined-003</x:v>
      </x:c>
      <x:c r="AN279" s="18" t="str">
        <x:v>F-mixed/undefined</x:v>
      </x:c>
      <x:c r="AO279" s="18" t="str">
        <x:v>F_rescue_mixed_or_undefined</x:v>
      </x:c>
      <x:c r="AP279" s="18" t="str">
        <x:v>NORMALIZED_V22</x:v>
      </x:c>
      <x:c r="AQ279" s="18" t="n">
        <x:v>0</x:v>
      </x:c>
      <x:c r="AR279" s="18" t="n">
        <x:v>1</x:v>
      </x:c>
      <x:c r="AS279" s="18" t="str">
        <x:v>Some concerns</x:v>
      </x:c>
      <x:c r="AT279" s="18"/>
      <x:c r="AU279" s="18"/>
      <x:c r="AV279" s="18" t="str">
        <x:v>Medication-specific rows</x:v>
      </x:c>
    </x:row>
    <x:row r="280">
      <x:c r="A280" s="18" t="str">
        <x:v>Wu 2025</x:v>
      </x:c>
      <x:c r="B280" s="18" t="str">
        <x:v>WU25_TEAS_vs_SHAM_RESCUE_OXYAPAP24</x:v>
      </x:c>
      <x:c r="C280" s="18" t="str">
        <x:v>PACU TEAS</x:v>
      </x:c>
      <x:c r="D280" s="18" t="str">
        <x:v>Sham/no current</x:v>
      </x:c>
      <x:c r="E280" s="18" t="str">
        <x:v>Rescue analgesia</x:v>
      </x:c>
      <x:c r="F280" s="18" t="str">
        <x:v>Oxycodone + acetaminophen rescue-use metric</x:v>
      </x:c>
      <x:c r="G280" s="18" t="str">
        <x:v>Initial 24 h</x:v>
      </x:c>
      <x:c r="H280" s="18" t="str">
        <x:v>Mean/SD</x:v>
      </x:c>
      <x:c r="I280" s="18" t="n">
        <x:v>50</x:v>
      </x:c>
      <x:c r="J280" s="18" t="n">
        <x:v>50</x:v>
      </x:c>
      <x:c r="K280" s="18" t="n">
        <x:v>50</x:v>
      </x:c>
      <x:c r="L280" s="18" t="n">
        <x:v>50</x:v>
      </x:c>
      <x:c r="M280" s="18" t="n">
        <x:v>0.3</x:v>
      </x:c>
      <x:c r="N280" s="18" t="n">
        <x:v>0.5</x:v>
      </x:c>
      <x:c r="O280" s="18"/>
      <x:c r="P280" s="18"/>
      <x:c r="Q280" s="18"/>
      <x:c r="R280" s="18"/>
      <x:c r="S280" s="18" t="n">
        <x:v>0.3</x:v>
      </x:c>
      <x:c r="T280" s="18" t="n">
        <x:v>0.6</x:v>
      </x:c>
      <x:c r="U280" s="18"/>
      <x:c r="V280" s="18"/>
      <x:c r="W280" s="18"/>
      <x:c r="X280" s="18"/>
      <x:c r="Y280" s="18" t="str">
        <x:v>published rescue-use metric; unit not clearly specified</x:v>
      </x:c>
      <x:c r="Z280" s="18" t="str">
        <x:v>0.864</x:v>
      </x:c>
      <x:c r="AA280" s="18" t="str">
        <x:v>Yes</x:v>
      </x:c>
      <x:c r="AB280" s="18" t="str">
        <x:v>No</x:v>
      </x:c>
      <x:c r="AC280" s="18" t="str">
        <x:v>MD</x:v>
      </x:c>
      <x:c r="AD280" s="18" t="n">
        <x:v>0</x:v>
      </x:c>
      <x:c r="AE280" s="18" t="str">
        <x:v>No</x:v>
      </x:c>
      <x:c r="AF280" s="18" t="str">
        <x:v>No</x:v>
      </x:c>
      <x:c r="AG280" s="18" t="str">
        <x:v>Target F medication-specific descriptive result only; do not collapse to opioid MME</x:v>
      </x:c>
      <x:c r="AH280" s="18" t="str">
        <x:v>No</x:v>
      </x:c>
      <x:c r="AI280" s="18" t="str">
        <x:v>VAS&gt;4 triggered additional analgesia; rule for choosing among the three drugs and table units are unclear.</x:v>
      </x:c>
      <x:c r="AJ280" s="18" t="str">
        <x:v>Table 2 / postoperative rescue medication use</x:v>
      </x:c>
      <x:c r="AK280" s="18" t="str">
        <x:v>https://drive.google.com/file/d/1ZV6JFjevGSPqnISdX61KPdcC_yEtq3vf/view?usp=drivesdk</x:v>
      </x:c>
      <x:c r="AL280" s="18" t="str">
        <x:v>SOURCE-VERIFIED / AF-NORMALIZED / UNIT-QC</x:v>
      </x:c>
      <x:c r="AM280" s="18" t="str">
        <x:v>F-mixed/undefined-003</x:v>
      </x:c>
      <x:c r="AN280" s="18" t="str">
        <x:v>F-mixed/undefined</x:v>
      </x:c>
      <x:c r="AO280" s="18" t="str">
        <x:v>F_rescue_mixed_or_undefined</x:v>
      </x:c>
      <x:c r="AP280" s="18" t="str">
        <x:v>NORMALIZED_V22</x:v>
      </x:c>
      <x:c r="AQ280" s="18" t="n">
        <x:v>0</x:v>
      </x:c>
      <x:c r="AR280" s="18" t="n">
        <x:v>1</x:v>
      </x:c>
      <x:c r="AS280" s="18" t="str">
        <x:v>Some concerns</x:v>
      </x:c>
      <x:c r="AT280" s="18"/>
      <x:c r="AU280" s="18"/>
      <x:c r="AV280" s="18" t="str">
        <x:v>Medication-specific rows</x:v>
      </x:c>
    </x:row>
    <x:row r="281">
      <x:c r="A281" s="18" t="str">
        <x:v>Wu 2025</x:v>
      </x:c>
      <x:c r="B281" s="18" t="str">
        <x:v>WU25_TEAS_vs_SHAM_RESCUE_PARECOX24</x:v>
      </x:c>
      <x:c r="C281" s="18" t="str">
        <x:v>PACU TEAS</x:v>
      </x:c>
      <x:c r="D281" s="18" t="str">
        <x:v>Sham/no current</x:v>
      </x:c>
      <x:c r="E281" s="18" t="str">
        <x:v>Rescue analgesia</x:v>
      </x:c>
      <x:c r="F281" s="18" t="str">
        <x:v>Parecoxib sodium rescue-use metric</x:v>
      </x:c>
      <x:c r="G281" s="18" t="str">
        <x:v>Initial 24 h</x:v>
      </x:c>
      <x:c r="H281" s="18" t="str">
        <x:v>Mean/SD</x:v>
      </x:c>
      <x:c r="I281" s="18" t="n">
        <x:v>50</x:v>
      </x:c>
      <x:c r="J281" s="18" t="n">
        <x:v>50</x:v>
      </x:c>
      <x:c r="K281" s="18" t="n">
        <x:v>50</x:v>
      </x:c>
      <x:c r="L281" s="18" t="n">
        <x:v>50</x:v>
      </x:c>
      <x:c r="M281" s="18" t="n">
        <x:v>4.8</x:v>
      </x:c>
      <x:c r="N281" s="18" t="n">
        <x:v>13.1</x:v>
      </x:c>
      <x:c r="O281" s="18"/>
      <x:c r="P281" s="18"/>
      <x:c r="Q281" s="18"/>
      <x:c r="R281" s="18"/>
      <x:c r="S281" s="18" t="n">
        <x:v>11.2</x:v>
      </x:c>
      <x:c r="T281" s="18" t="n">
        <x:v>18.1</x:v>
      </x:c>
      <x:c r="U281" s="18"/>
      <x:c r="V281" s="18"/>
      <x:c r="W281" s="18"/>
      <x:c r="X281" s="18"/>
      <x:c r="Y281" s="18" t="str">
        <x:v>published rescue-use metric; unit not clearly specified</x:v>
      </x:c>
      <x:c r="Z281" s="18" t="str">
        <x:v>0.046</x:v>
      </x:c>
      <x:c r="AA281" s="18" t="str">
        <x:v>Yes</x:v>
      </x:c>
      <x:c r="AB281" s="18" t="str">
        <x:v>No</x:v>
      </x:c>
      <x:c r="AC281" s="18" t="str">
        <x:v>MD</x:v>
      </x:c>
      <x:c r="AD281" s="18" t="n">
        <x:v>-6.3999999999999995</x:v>
      </x:c>
      <x:c r="AE281" s="18" t="str">
        <x:v>No</x:v>
      </x:c>
      <x:c r="AF281" s="18" t="str">
        <x:v>No</x:v>
      </x:c>
      <x:c r="AG281" s="18" t="str">
        <x:v>Target F medication-specific descriptive result only; do not collapse to opioid MME</x:v>
      </x:c>
      <x:c r="AH281" s="18" t="str">
        <x:v>No</x:v>
      </x:c>
      <x:c r="AI281" s="18" t="str">
        <x:v>VAS&gt;4 triggered additional analgesia; rule for choosing among the three drugs and table units are unclear.</x:v>
      </x:c>
      <x:c r="AJ281" s="18" t="str">
        <x:v>Table 2 / postoperative rescue medication use</x:v>
      </x:c>
      <x:c r="AK281" s="18" t="str">
        <x:v>https://drive.google.com/file/d/1ZV6JFjevGSPqnISdX61KPdcC_yEtq3vf/view?usp=drivesdk</x:v>
      </x:c>
      <x:c r="AL281" s="18" t="str">
        <x:v>SOURCE-VERIFIED / AF-NORMALIZED / UNIT-QC</x:v>
      </x:c>
      <x:c r="AM281" s="18" t="str">
        <x:v>F-mixed/undefined-003</x:v>
      </x:c>
      <x:c r="AN281" s="18" t="str">
        <x:v>F-mixed/undefined</x:v>
      </x:c>
      <x:c r="AO281" s="18" t="str">
        <x:v>F_rescue_mixed_or_undefined</x:v>
      </x:c>
      <x:c r="AP281" s="18" t="str">
        <x:v>NORMALIZED_V22</x:v>
      </x:c>
      <x:c r="AQ281" s="18" t="n">
        <x:v>0</x:v>
      </x:c>
      <x:c r="AR281" s="18" t="n">
        <x:v>1</x:v>
      </x:c>
      <x:c r="AS281" s="18" t="str">
        <x:v>Some concerns</x:v>
      </x:c>
      <x:c r="AT281" s="18"/>
      <x:c r="AU281" s="18"/>
      <x:c r="AV281" s="18" t="str">
        <x:v>Medication-specific rows</x:v>
      </x:c>
    </x:row>
    <x:row r="282">
      <x:c r="A282" s="18" t="str">
        <x:v>Liang 2021</x:v>
      </x:c>
      <x:c r="B282" s="18" t="str">
        <x:v>LIANG21_TEAS_vs_CTRL_EXTRAANALG</x:v>
      </x:c>
      <x:c r="C282" s="18" t="str">
        <x:v>Preoperative TEAS</x:v>
      </x:c>
      <x:c r="D282" s="18" t="str">
        <x:v>Control/no stimulation</x:v>
      </x:c>
      <x:c r="E282" s="18" t="str">
        <x:v>Rescue analgesia</x:v>
      </x:c>
      <x:c r="F282" s="18" t="str">
        <x:v>Published 'extra analgesia' metric</x:v>
      </x:c>
      <x:c r="G282" s="18" t="str">
        <x:v>Not reported</x:v>
      </x:c>
      <x:c r="H282" s="18" t="str">
        <x:v>Unresolved reported metric</x:v>
      </x:c>
      <x:c r="I282" s="18" t="n">
        <x:v>37</x:v>
      </x:c>
      <x:c r="J282" s="18" t="n">
        <x:v>38</x:v>
      </x:c>
      <x:c r="K282" s="18" t="n">
        <x:v>35</x:v>
      </x:c>
      <x:c r="L282" s="18" t="n">
        <x:v>35</x:v>
      </x:c>
      <x:c r="M282" s="18"/>
      <x:c r="N282" s="18"/>
      <x:c r="O282" s="18"/>
      <x:c r="P282" s="18"/>
      <x:c r="Q282" s="18"/>
      <x:c r="R282" s="18"/>
      <x:c r="S282" s="18"/>
      <x:c r="T282" s="18"/>
      <x:c r="U282" s="18"/>
      <x:c r="V282" s="18"/>
      <x:c r="W282" s="18"/>
      <x:c r="X282" s="18"/>
      <x:c r="Y282" s="18" t="str">
        <x:v>unresolved</x:v>
      </x:c>
      <x:c r="Z282" s="18" t="str">
        <x:v>0.045</x:v>
      </x:c>
      <x:c r="AA282" s="18" t="str">
        <x:v>Yes — source reports 3.8 (1.9) vs 5.0 (2.9), but metric/unit are undefined</x:v>
      </x:c>
      <x:c r="AB282" s="18" t="str">
        <x:v>No</x:v>
      </x:c>
      <x:c r="AC282" s="18"/>
      <x:c r="AD282" s="18"/>
      <x:c r="AE282" s="18" t="str">
        <x:v>No</x:v>
      </x:c>
      <x:c r="AF282" s="18" t="str">
        <x:v>No</x:v>
      </x:c>
      <x:c r="AG282" s="18" t="str">
        <x:v>Exclude quantitative synthesis pending author clarification</x:v>
      </x:c>
      <x:c r="AH282" s="18" t="str">
        <x:v>No</x:v>
      </x:c>
      <x:c r="AI282" s="18" t="str">
        <x:v>Source calls this 'number of patients' despite non-integer 3.8(1.9) vs5.0(2.9); drug, unit, trigger and time window not reported.</x:v>
      </x:c>
      <x:c r="AJ282" s="18" t="str">
        <x:v>Table 4 / extra analgesia</x:v>
      </x:c>
      <x:c r="AK282" s="18" t="str">
        <x:v>https://drive.google.com/file/d/1guriAcqNbJNXpfd_UjYwevULLVSeiHXS/view?usp=drivesdk</x:v>
      </x:c>
      <x:c r="AL282" s="18" t="str">
        <x:v>SOURCE-VERIFIED / AF-NORMALIZED / P1 UNRESOLVED</x:v>
      </x:c>
      <x:c r="AM282" s="18" t="str">
        <x:v>F-mixed/undefined-004</x:v>
      </x:c>
      <x:c r="AN282" s="18" t="str">
        <x:v>F-mixed/undefined</x:v>
      </x:c>
      <x:c r="AO282" s="18" t="str">
        <x:v>F_rescue_mixed_or_undefined</x:v>
      </x:c>
      <x:c r="AP282" s="18" t="str">
        <x:v>NORMALIZED_V22</x:v>
      </x:c>
      <x:c r="AQ282" s="18" t="n">
        <x:v>0</x:v>
      </x:c>
      <x:c r="AR282" s="18" t="n">
        <x:v>0</x:v>
      </x:c>
      <x:c r="AS282" s="18" t="str">
        <x:v>—</x:v>
      </x:c>
      <x:c r="AT282" s="18" t="str">
        <x:v>P1</x:v>
      </x:c>
      <x:c r="AU282" s="18" t="str">
        <x:v>EXCLUDE unresolved</x:v>
      </x:c>
      <x:c r="AV282" s="18" t="str">
        <x:v>3.8(1.9) vs5.0(2.9); P=0.045</x:v>
      </x:c>
    </x:row>
    <x:row r="283">
      <x:c r="A283" s="18" t="str">
        <x:v>Yang 2020</x:v>
      </x:c>
      <x:c r="B283" s="18" t="str">
        <x:v>YANG20_EA_vs_UC_BUCINNAZINE</x:v>
      </x:c>
      <x:c r="C283" s="18" t="str">
        <x:v>EA + usual care</x:v>
      </x:c>
      <x:c r="D283" s="18" t="str">
        <x:v>Usual care</x:v>
      </x:c>
      <x:c r="E283" s="18" t="str">
        <x:v>Rescue analgesia</x:v>
      </x:c>
      <x:c r="F283" s="18" t="str">
        <x:v>Participants receiving rescue bucinnazine</x:v>
      </x:c>
      <x:c r="G283" s="18" t="str">
        <x:v>Postoperative; exact cumulative window not reported</x:v>
      </x:c>
      <x:c r="H283" s="18" t="str">
        <x:v>Events/total</x:v>
      </x:c>
      <x:c r="I283" s="18" t="n">
        <x:v>30</x:v>
      </x:c>
      <x:c r="J283" s="18" t="n">
        <x:v>29</x:v>
      </x:c>
      <x:c r="K283" s="18" t="n">
        <x:v>29</x:v>
      </x:c>
      <x:c r="L283" s="18" t="n">
        <x:v>28</x:v>
      </x:c>
      <x:c r="M283" s="18"/>
      <x:c r="N283" s="18"/>
      <x:c r="O283" s="18"/>
      <x:c r="P283" s="18"/>
      <x:c r="Q283" s="18"/>
      <x:c r="R283" s="18" t="n">
        <x:v>5</x:v>
      </x:c>
      <x:c r="S283" s="18"/>
      <x:c r="T283" s="18"/>
      <x:c r="U283" s="18"/>
      <x:c r="V283" s="18"/>
      <x:c r="W283" s="18"/>
      <x:c r="X283" s="18" t="n">
        <x:v>7</x:v>
      </x:c>
      <x:c r="Y283" s="18" t="str">
        <x:v>participants</x:v>
      </x:c>
      <x:c r="Z283" s="18" t="str">
        <x:v>0.473</x:v>
      </x:c>
      <x:c r="AA283" s="18" t="str">
        <x:v>Yes</x:v>
      </x:c>
      <x:c r="AB283" s="18" t="str">
        <x:v>No</x:v>
      </x:c>
      <x:c r="AC283" s="18" t="str">
        <x:v>RR</x:v>
      </x:c>
      <x:c r="AD283" s="18" t="n">
        <x:v>0.6896551724137931</x:v>
      </x:c>
      <x:c r="AE283" s="18" t="str">
        <x:v>No</x:v>
      </x:c>
      <x:c r="AF283" s="18" t="str">
        <x:v>No</x:v>
      </x:c>
      <x:c r="AG283" s="18" t="str">
        <x:v>Target F rescue evidence map; no fixed-time pool</x:v>
      </x:c>
      <x:c r="AH283" s="18" t="str">
        <x:v>No</x:v>
      </x:c>
      <x:c r="AI283" s="18" t="str">
        <x:v>VAS&gt;3/10 -&gt; bucinnazine100 mg IM; exact cumulative observation window not reported.</x:v>
      </x:c>
      <x:c r="AJ283" s="18" t="str">
        <x:v>Table 3 / rescue medication</x:v>
      </x:c>
      <x:c r="AK283" s="18" t="str">
        <x:v>https://drive.google.com/file/d/1hsQR_K6W-5QNP4rqkVxHQaopRp4f1XF0/view?usp=drivesdk</x:v>
      </x:c>
      <x:c r="AL283" s="18" t="str">
        <x:v>SOURCE-VERIFIED / AF-NORMALIZED / WINDOW-QC</x:v>
      </x:c>
      <x:c r="AM283" s="18" t="str">
        <x:v>F-mixed/undefined-005</x:v>
      </x:c>
      <x:c r="AN283" s="18" t="str">
        <x:v>F-mixed/undefined</x:v>
      </x:c>
      <x:c r="AO283" s="18" t="str">
        <x:v>F_rescue_mixed_or_undefined</x:v>
      </x:c>
      <x:c r="AP283" s="18" t="str">
        <x:v>NORMALIZED_V22</x:v>
      </x:c>
      <x:c r="AQ283" s="18" t="n">
        <x:v>0</x:v>
      </x:c>
      <x:c r="AR283" s="18" t="n">
        <x:v>0</x:v>
      </x:c>
      <x:c r="AS283" s="18" t="str">
        <x:v>Some concerns</x:v>
      </x:c>
      <x:c r="AT283" s="18" t="str">
        <x:v>P2</x:v>
      </x:c>
      <x:c r="AU283" s="18" t="str">
        <x:v>UNRESOLVED window</x:v>
      </x:c>
      <x:c r="AV283" s="18" t="str">
        <x:v>Bucinnazine 5/29 vs7/28; P=0.473</x:v>
      </x:c>
    </x:row>
    <x:row r="284">
      <x:c r="A284" s="18" t="str">
        <x:v>Yang 2024</x:v>
      </x:c>
      <x:c r="B284" s="18" t="str">
        <x:v>YANG24_EA_vs_UC_BUCINNAZINE</x:v>
      </x:c>
      <x:c r="C284" s="18" t="str">
        <x:v>Perioperative EA + usual care</x:v>
      </x:c>
      <x:c r="D284" s="18" t="str">
        <x:v>Usual care</x:v>
      </x:c>
      <x:c r="E284" s="18" t="str">
        <x:v>Rescue analgesia</x:v>
      </x:c>
      <x:c r="F284" s="18" t="str">
        <x:v>Participants receiving rescue bucinnazine</x:v>
      </x:c>
      <x:c r="G284" s="18" t="str">
        <x:v>Postoperative; exact cumulative window not reported</x:v>
      </x:c>
      <x:c r="H284" s="18" t="str">
        <x:v>Events/total</x:v>
      </x:c>
      <x:c r="I284" s="18" t="n">
        <x:v>90</x:v>
      </x:c>
      <x:c r="J284" s="18" t="n">
        <x:v>90</x:v>
      </x:c>
      <x:c r="K284" s="18" t="n">
        <x:v>90</x:v>
      </x:c>
      <x:c r="L284" s="18" t="n">
        <x:v>90</x:v>
      </x:c>
      <x:c r="M284" s="18"/>
      <x:c r="N284" s="18"/>
      <x:c r="O284" s="18"/>
      <x:c r="P284" s="18"/>
      <x:c r="Q284" s="18"/>
      <x:c r="R284" s="18" t="n">
        <x:v>48</x:v>
      </x:c>
      <x:c r="S284" s="18"/>
      <x:c r="T284" s="18"/>
      <x:c r="U284" s="18"/>
      <x:c r="V284" s="18"/>
      <x:c r="W284" s="18"/>
      <x:c r="X284" s="18" t="n">
        <x:v>64</x:v>
      </x:c>
      <x:c r="Y284" s="18" t="str">
        <x:v>participants</x:v>
      </x:c>
      <x:c r="Z284" s="18" t="str">
        <x:v>0.014</x:v>
      </x:c>
      <x:c r="AA284" s="18" t="str">
        <x:v>Yes</x:v>
      </x:c>
      <x:c r="AB284" s="18" t="str">
        <x:v>No</x:v>
      </x:c>
      <x:c r="AC284" s="18" t="str">
        <x:v>RR</x:v>
      </x:c>
      <x:c r="AD284" s="18" t="n">
        <x:v>0.75</x:v>
      </x:c>
      <x:c r="AE284" s="18" t="str">
        <x:v>No</x:v>
      </x:c>
      <x:c r="AF284" s="18" t="str">
        <x:v>No</x:v>
      </x:c>
      <x:c r="AG284" s="18" t="str">
        <x:v>Target F rescue evidence map; no fixed-time pool</x:v>
      </x:c>
      <x:c r="AH284" s="18" t="str">
        <x:v>No</x:v>
      </x:c>
      <x:c r="AI284" s="18" t="str">
        <x:v>VAS≥4 or patient request -&gt; bucinnazine100 mg IM; exact cumulative observation window not reported.</x:v>
      </x:c>
      <x:c r="AJ284" s="18" t="str">
        <x:v>Table 2 / rescue medication</x:v>
      </x:c>
      <x:c r="AK284" s="18" t="str">
        <x:v>https://drive.google.com/file/d/160N3psd5tLEphwXHJzUEZ3uJfaIXcs5V/view?usp=drivesdk</x:v>
      </x:c>
      <x:c r="AL284" s="18" t="str">
        <x:v>SOURCE-VERIFIED / AF-NORMALIZED / WINDOW-QC</x:v>
      </x:c>
      <x:c r="AM284" s="18" t="str">
        <x:v>F-mixed/undefined-006</x:v>
      </x:c>
      <x:c r="AN284" s="18" t="str">
        <x:v>F-mixed/undefined</x:v>
      </x:c>
      <x:c r="AO284" s="18" t="str">
        <x:v>F_rescue_mixed_or_undefined</x:v>
      </x:c>
      <x:c r="AP284" s="18" t="str">
        <x:v>NORMALIZED_V22</x:v>
      </x:c>
      <x:c r="AQ284" s="18" t="n">
        <x:v>0</x:v>
      </x:c>
      <x:c r="AR284" s="18" t="n">
        <x:v>0</x:v>
      </x:c>
      <x:c r="AS284" s="18" t="str">
        <x:v>Some concerns</x:v>
      </x:c>
      <x:c r="AT284" s="18" t="str">
        <x:v>P2</x:v>
      </x:c>
      <x:c r="AU284" s="18" t="str">
        <x:v>UNRESOLVED window</x:v>
      </x:c>
      <x:c r="AV284" s="18" t="str">
        <x:v>Bucinnazine 48/90 vs64/90; P=0.014</x:v>
      </x:c>
    </x:row>
    <x:row r="285">
      <x:c r="A285" s="18" t="str">
        <x:v>Chen 2020</x:v>
      </x:c>
      <x:c r="B285" s="18" t="str">
        <x:v>CHEN20_TEAS_vs_SHAM_PCAATT48</x:v>
      </x:c>
      <x:c r="C285" s="18" t="str">
        <x:v>Perioperative TEAS</x:v>
      </x:c>
      <x:c r="D285" s="18" t="str">
        <x:v>Sham low/zero-current protocol</x:v>
      </x:c>
      <x:c r="E285" s="18" t="str">
        <x:v>Opioid demand</x:v>
      </x:c>
      <x:c r="F285" s="18" t="str">
        <x:v>Total PCIA attempts over 48-h course</x:v>
      </x:c>
      <x:c r="G285" s="18" t="str">
        <x:v>0-48 h</x:v>
      </x:c>
      <x:c r="H285" s="18" t="str">
        <x:v>Mean/SD</x:v>
      </x:c>
      <x:c r="I285" s="18" t="n">
        <x:v>40</x:v>
      </x:c>
      <x:c r="J285" s="18" t="n">
        <x:v>40</x:v>
      </x:c>
      <x:c r="K285" s="18" t="n">
        <x:v>40</x:v>
      </x:c>
      <x:c r="L285" s="18" t="n">
        <x:v>40</x:v>
      </x:c>
      <x:c r="M285" s="18" t="n">
        <x:v>4.83</x:v>
      </x:c>
      <x:c r="N285" s="18" t="n">
        <x:v>1.06</x:v>
      </x:c>
      <x:c r="O285" s="18"/>
      <x:c r="P285" s="18"/>
      <x:c r="Q285" s="18"/>
      <x:c r="R285" s="18"/>
      <x:c r="S285" s="18" t="n">
        <x:v>14.05</x:v>
      </x:c>
      <x:c r="T285" s="18" t="n">
        <x:v>2.01</x:v>
      </x:c>
      <x:c r="U285" s="18"/>
      <x:c r="V285" s="18"/>
      <x:c r="W285" s="18"/>
      <x:c r="X285" s="18"/>
      <x:c r="Y285" s="18" t="str">
        <x:v>pump attempts</x:v>
      </x:c>
      <x:c r="Z285" s="18" t="str">
        <x:v>&lt;0.001</x:v>
      </x:c>
      <x:c r="AA285" s="18" t="str">
        <x:v>Yes</x:v>
      </x:c>
      <x:c r="AB285" s="18" t="str">
        <x:v>No</x:v>
      </x:c>
      <x:c r="AC285" s="18" t="str">
        <x:v>MD</x:v>
      </x:c>
      <x:c r="AD285" s="18" t="n">
        <x:v>-9.22</x:v>
      </x:c>
      <x:c r="AE285" s="18" t="str">
        <x:v>No</x:v>
      </x:c>
      <x:c r="AF285" s="18" t="str">
        <x:v>No</x:v>
      </x:c>
      <x:c r="AG285" s="18" t="str">
        <x:v>Target F exploratory PCA-behavior outcome; High result-specific RoB</x:v>
      </x:c>
      <x:c r="AH285" s="18" t="str">
        <x:v>No</x:v>
      </x:c>
      <x:c r="AI285" s="18" t="str">
        <x:v>Patient-generated behavior; active stimulation above sensory threshold, sham below threshold.</x:v>
      </x:c>
      <x:c r="AJ285" s="18" t="str">
        <x:v>Secondary endpoints / 48-h PCIA attempts</x:v>
      </x:c>
      <x:c r="AK285" s="18" t="str">
        <x:v>https://drive.google.com/file/d/1y0_cC1NCl5g2vYxDMOtYmxVA_YEE-rsR/view?usp=drivesdk</x:v>
      </x:c>
      <x:c r="AL285" s="18" t="str">
        <x:v>SOURCE-VERIFIED / AF-NORMALIZED / HIGH ROB</x:v>
      </x:c>
      <x:c r="AM285" s="18" t="str">
        <x:v>F-PCA-001</x:v>
      </x:c>
      <x:c r="AN285" s="18" t="str">
        <x:v>F-PCA</x:v>
      </x:c>
      <x:c r="AO285" s="18" t="str">
        <x:v>F_PCA_behavior</x:v>
      </x:c>
      <x:c r="AP285" s="18" t="str">
        <x:v>NORMALIZED_V22</x:v>
      </x:c>
      <x:c r="AQ285" s="18" t="n">
        <x:v>0</x:v>
      </x:c>
      <x:c r="AR285" s="18" t="n">
        <x:v>1</x:v>
      </x:c>
      <x:c r="AS285" s="18" t="str">
        <x:v>High</x:v>
      </x:c>
      <x:c r="AT285" s="18"/>
      <x:c r="AU285" s="18"/>
      <x:c r="AV285" s="18" t="str">
        <x:v>4.83±1.06 /4.58±0.93 vs14.05±2.01 /7.48±1.18</x:v>
      </x:c>
    </x:row>
    <x:row r="286">
      <x:c r="A286" s="18" t="str">
        <x:v>Chen 2020</x:v>
      </x:c>
      <x:c r="B286" s="18" t="str">
        <x:v>CHEN20_TEAS_vs_SHAM_PCAEFF48</x:v>
      </x:c>
      <x:c r="C286" s="18" t="str">
        <x:v>Perioperative TEAS</x:v>
      </x:c>
      <x:c r="D286" s="18" t="str">
        <x:v>Sham low/zero-current protocol</x:v>
      </x:c>
      <x:c r="E286" s="18" t="str">
        <x:v>Opioid demand</x:v>
      </x:c>
      <x:c r="F286" s="18" t="str">
        <x:v>Effective PCIA attempts over 48-h course</x:v>
      </x:c>
      <x:c r="G286" s="18" t="str">
        <x:v>0-48 h</x:v>
      </x:c>
      <x:c r="H286" s="18" t="str">
        <x:v>Mean/SD</x:v>
      </x:c>
      <x:c r="I286" s="18" t="n">
        <x:v>40</x:v>
      </x:c>
      <x:c r="J286" s="18" t="n">
        <x:v>40</x:v>
      </x:c>
      <x:c r="K286" s="18" t="n">
        <x:v>40</x:v>
      </x:c>
      <x:c r="L286" s="18" t="n">
        <x:v>40</x:v>
      </x:c>
      <x:c r="M286" s="18" t="n">
        <x:v>4.58</x:v>
      </x:c>
      <x:c r="N286" s="18" t="n">
        <x:v>0.93</x:v>
      </x:c>
      <x:c r="O286" s="18"/>
      <x:c r="P286" s="18"/>
      <x:c r="Q286" s="18"/>
      <x:c r="R286" s="18"/>
      <x:c r="S286" s="18" t="n">
        <x:v>7.48</x:v>
      </x:c>
      <x:c r="T286" s="18" t="n">
        <x:v>1.18</x:v>
      </x:c>
      <x:c r="U286" s="18"/>
      <x:c r="V286" s="18"/>
      <x:c r="W286" s="18"/>
      <x:c r="X286" s="18"/>
      <x:c r="Y286" s="18" t="str">
        <x:v>pump attempts</x:v>
      </x:c>
      <x:c r="Z286" s="18" t="str">
        <x:v>&lt;0.001</x:v>
      </x:c>
      <x:c r="AA286" s="18" t="str">
        <x:v>Yes</x:v>
      </x:c>
      <x:c r="AB286" s="18" t="str">
        <x:v>No</x:v>
      </x:c>
      <x:c r="AC286" s="18" t="str">
        <x:v>MD</x:v>
      </x:c>
      <x:c r="AD286" s="18" t="n">
        <x:v>-2.9000000000000004</x:v>
      </x:c>
      <x:c r="AE286" s="18" t="str">
        <x:v>No</x:v>
      </x:c>
      <x:c r="AF286" s="18" t="str">
        <x:v>No</x:v>
      </x:c>
      <x:c r="AG286" s="18" t="str">
        <x:v>Target F exploratory PCA-behavior outcome; High result-specific RoB</x:v>
      </x:c>
      <x:c r="AH286" s="18" t="str">
        <x:v>No</x:v>
      </x:c>
      <x:c r="AI286" s="18" t="str">
        <x:v>Patient-generated behavior; active stimulation above sensory threshold, sham below threshold.</x:v>
      </x:c>
      <x:c r="AJ286" s="18" t="str">
        <x:v>Secondary endpoints / 48-h PCIA attempts</x:v>
      </x:c>
      <x:c r="AK286" s="18" t="str">
        <x:v>https://drive.google.com/file/d/1y0_cC1NCl5g2vYxDMOtYmxVA_YEE-rsR/view?usp=drivesdk</x:v>
      </x:c>
      <x:c r="AL286" s="18" t="str">
        <x:v>SOURCE-VERIFIED / AF-NORMALIZED / HIGH ROB</x:v>
      </x:c>
      <x:c r="AM286" s="18" t="str">
        <x:v>F-PCA-001</x:v>
      </x:c>
      <x:c r="AN286" s="18" t="str">
        <x:v>F-PCA</x:v>
      </x:c>
      <x:c r="AO286" s="18" t="str">
        <x:v>F_PCA_behavior</x:v>
      </x:c>
      <x:c r="AP286" s="18" t="str">
        <x:v>NORMALIZED_V22</x:v>
      </x:c>
      <x:c r="AQ286" s="18" t="n">
        <x:v>0</x:v>
      </x:c>
      <x:c r="AR286" s="18" t="n">
        <x:v>1</x:v>
      </x:c>
      <x:c r="AS286" s="18" t="str">
        <x:v>High</x:v>
      </x:c>
      <x:c r="AT286" s="18"/>
      <x:c r="AU286" s="18"/>
      <x:c r="AV286" s="18" t="str">
        <x:v>4.83±1.06 /4.58±0.93 vs14.05±2.01 /7.48±1.18</x:v>
      </x:c>
    </x:row>
    <x:row r="287">
      <x:c r="A287" s="18" t="str">
        <x:v>Lee 2011</x:v>
      </x:c>
      <x:c r="B287" s="18" t="str">
        <x:v>LEE11_LOW_vs_SHAM_PCADEMAND24</x:v>
      </x:c>
      <x:c r="C287" s="18" t="str">
        <x:v>Low-frequency dense-sparse SSP</x:v>
      </x:c>
      <x:c r="D287" s="18" t="str">
        <x:v>Sham SSP</x:v>
      </x:c>
      <x:c r="E287" s="18" t="str">
        <x:v>Opioid demand</x:v>
      </x:c>
      <x:c r="F287" s="18" t="str">
        <x:v>Total PCA demands</x:v>
      </x:c>
      <x:c r="G287" s="18" t="str">
        <x:v>0-24 h</x:v>
      </x:c>
      <x:c r="H287" s="18" t="str">
        <x:v>Mean/SD</x:v>
      </x:c>
      <x:c r="I287" s="18" t="n">
        <x:v>12</x:v>
      </x:c>
      <x:c r="J287" s="18" t="n">
        <x:v>12</x:v>
      </x:c>
      <x:c r="K287" s="18" t="n">
        <x:v>10</x:v>
      </x:c>
      <x:c r="L287" s="18" t="n">
        <x:v>12</x:v>
      </x:c>
      <x:c r="M287" s="18" t="n">
        <x:v>41.6</x:v>
      </x:c>
      <x:c r="N287" s="18" t="n">
        <x:v>36.47</x:v>
      </x:c>
      <x:c r="O287" s="18"/>
      <x:c r="P287" s="18"/>
      <x:c r="Q287" s="18"/>
      <x:c r="R287" s="18"/>
      <x:c r="S287" s="18" t="n">
        <x:v>74.18</x:v>
      </x:c>
      <x:c r="T287" s="18" t="n">
        <x:v>39.33</x:v>
      </x:c>
      <x:c r="U287" s="18"/>
      <x:c r="V287" s="18"/>
      <x:c r="W287" s="18"/>
      <x:c r="X287" s="18"/>
      <x:c r="Y287" s="18" t="str">
        <x:v>PCA demands</x:v>
      </x:c>
      <x:c r="Z287" s="18" t="str">
        <x:v>Direct active-vs-sham pairwise P not reported</x:v>
      </x:c>
      <x:c r="AA287" s="18" t="str">
        <x:v>Yes</x:v>
      </x:c>
      <x:c r="AB287" s="18" t="str">
        <x:v>No</x:v>
      </x:c>
      <x:c r="AC287" s="18" t="str">
        <x:v>MD</x:v>
      </x:c>
      <x:c r="AD287" s="18" t="n">
        <x:v>-32.580000000000005</x:v>
      </x:c>
      <x:c r="AE287" s="18" t="str">
        <x:v>No</x:v>
      </x:c>
      <x:c r="AF287" s="18" t="str">
        <x:v>No</x:v>
      </x:c>
      <x:c r="AG287" s="18" t="str">
        <x:v>Target F exploratory PCA-behavior outcome</x:v>
      </x:c>
      <x:c r="AH287" s="18" t="str">
        <x:v>Yes</x:v>
      </x:c>
      <x:c r="AI287" s="18" t="str">
        <x:v>Four-arm study; preserve shared sham control. Two low-frequency participants excluded.</x:v>
      </x:c>
      <x:c r="AJ287" s="18" t="str">
        <x:v>PCA-demand table / total 24-h demands</x:v>
      </x:c>
      <x:c r="AK287" s="18" t="str">
        <x:v>https://drive.google.com/file/d/1kQDSBtx3OpFOsim5oUMwhpfHOqaMy8Q9/view?usp=drivesdk</x:v>
      </x:c>
      <x:c r="AL287" s="18" t="str">
        <x:v>SOURCE-VERIFIED / AF-NORMALIZED</x:v>
      </x:c>
      <x:c r="AM287" s="18" t="str">
        <x:v>F-PCA-008</x:v>
      </x:c>
      <x:c r="AN287" s="18" t="str">
        <x:v>F-PCA</x:v>
      </x:c>
      <x:c r="AO287" s="18" t="str">
        <x:v>F_PCA_behavior</x:v>
      </x:c>
      <x:c r="AP287" s="18" t="str">
        <x:v>NORMALIZED_V22</x:v>
      </x:c>
      <x:c r="AQ287" s="18" t="n">
        <x:v>0</x:v>
      </x:c>
      <x:c r="AR287" s="18" t="n">
        <x:v>1</x:v>
      </x:c>
      <x:c r="AS287" s="18" t="str">
        <x:v>Some concerns</x:v>
      </x:c>
      <x:c r="AT287" s="18" t="str">
        <x:v>P2</x:v>
      </x:c>
      <x:c r="AU287" s="18"/>
      <x:c r="AV287" s="18" t="str">
        <x:v>Sham74.18±39.33; high52.17±21.87; low41.60±36.47</x:v>
      </x:c>
    </x:row>
    <x:row r="288">
      <x:c r="A288" s="18" t="str">
        <x:v>Lee 2011</x:v>
      </x:c>
      <x:c r="B288" s="18" t="str">
        <x:v>LEE11_HIGH_vs_SHAM_PCADEMAND24</x:v>
      </x:c>
      <x:c r="C288" s="18" t="str">
        <x:v>100-Hz SSP</x:v>
      </x:c>
      <x:c r="D288" s="18" t="str">
        <x:v>Sham SSP</x:v>
      </x:c>
      <x:c r="E288" s="18" t="str">
        <x:v>Opioid demand</x:v>
      </x:c>
      <x:c r="F288" s="18" t="str">
        <x:v>Total PCA demands</x:v>
      </x:c>
      <x:c r="G288" s="18" t="str">
        <x:v>0-24 h</x:v>
      </x:c>
      <x:c r="H288" s="18" t="str">
        <x:v>Mean/SD</x:v>
      </x:c>
      <x:c r="I288" s="18" t="n">
        <x:v>12</x:v>
      </x:c>
      <x:c r="J288" s="18" t="n">
        <x:v>12</x:v>
      </x:c>
      <x:c r="K288" s="18" t="n">
        <x:v>12</x:v>
      </x:c>
      <x:c r="L288" s="18" t="n">
        <x:v>12</x:v>
      </x:c>
      <x:c r="M288" s="18" t="n">
        <x:v>52.17</x:v>
      </x:c>
      <x:c r="N288" s="18" t="n">
        <x:v>21.87</x:v>
      </x:c>
      <x:c r="O288" s="18"/>
      <x:c r="P288" s="18"/>
      <x:c r="Q288" s="18"/>
      <x:c r="R288" s="18"/>
      <x:c r="S288" s="18" t="n">
        <x:v>74.18</x:v>
      </x:c>
      <x:c r="T288" s="18" t="n">
        <x:v>39.33</x:v>
      </x:c>
      <x:c r="U288" s="18"/>
      <x:c r="V288" s="18"/>
      <x:c r="W288" s="18"/>
      <x:c r="X288" s="18"/>
      <x:c r="Y288" s="18" t="str">
        <x:v>PCA demands</x:v>
      </x:c>
      <x:c r="Z288" s="18" t="str">
        <x:v>Direct active-vs-sham pairwise P not reported</x:v>
      </x:c>
      <x:c r="AA288" s="18" t="str">
        <x:v>Yes</x:v>
      </x:c>
      <x:c r="AB288" s="18" t="str">
        <x:v>No</x:v>
      </x:c>
      <x:c r="AC288" s="18" t="str">
        <x:v>MD</x:v>
      </x:c>
      <x:c r="AD288" s="18" t="n">
        <x:v>-22.010000000000005</x:v>
      </x:c>
      <x:c r="AE288" s="18" t="str">
        <x:v>No</x:v>
      </x:c>
      <x:c r="AF288" s="18" t="str">
        <x:v>No</x:v>
      </x:c>
      <x:c r="AG288" s="18" t="str">
        <x:v>Target F exploratory PCA-behavior outcome</x:v>
      </x:c>
      <x:c r="AH288" s="18" t="str">
        <x:v>Yes</x:v>
      </x:c>
      <x:c r="AI288" s="18" t="str">
        <x:v>Four-arm study; preserve shared sham control. Two low-frequency participants excluded.</x:v>
      </x:c>
      <x:c r="AJ288" s="18" t="str">
        <x:v>PCA-demand table / total 24-h demands</x:v>
      </x:c>
      <x:c r="AK288" s="18" t="str">
        <x:v>https://drive.google.com/file/d/1kQDSBtx3OpFOsim5oUMwhpfHOqaMy8Q9/view?usp=drivesdk</x:v>
      </x:c>
      <x:c r="AL288" s="18" t="str">
        <x:v>SOURCE-VERIFIED / AF-NORMALIZED</x:v>
      </x:c>
      <x:c r="AM288" s="18" t="str">
        <x:v>F-PCA-008</x:v>
      </x:c>
      <x:c r="AN288" s="18" t="str">
        <x:v>F-PCA</x:v>
      </x:c>
      <x:c r="AO288" s="18" t="str">
        <x:v>F_PCA_behavior</x:v>
      </x:c>
      <x:c r="AP288" s="18" t="str">
        <x:v>NORMALIZED_V22</x:v>
      </x:c>
      <x:c r="AQ288" s="18" t="n">
        <x:v>0</x:v>
      </x:c>
      <x:c r="AR288" s="18" t="n">
        <x:v>1</x:v>
      </x:c>
      <x:c r="AS288" s="18" t="str">
        <x:v>Some concerns</x:v>
      </x:c>
      <x:c r="AT288" s="18" t="str">
        <x:v>P2</x:v>
      </x:c>
      <x:c r="AU288" s="18"/>
      <x:c r="AV288" s="18" t="str">
        <x:v>Sham74.18±39.33; high52.17±21.87; low41.60±36.47</x:v>
      </x:c>
    </x:row>
    <x:row r="289">
      <x:c r="A289" s="18" t="str">
        <x:v>Yeh 2010</x:v>
      </x:c>
      <x:c r="B289" s="18" t="str">
        <x:v>YEH10_AES_vs_SHAM_PCAPUSH24</x:v>
      </x:c>
      <x:c r="C289" s="18" t="str">
        <x:v>True-acupoint AES</x:v>
      </x:c>
      <x:c r="D289" s="18" t="str">
        <x:v>Electrical sham/nonmeridian AES</x:v>
      </x:c>
      <x:c r="E289" s="18" t="str">
        <x:v>Opioid demand</x:v>
      </x:c>
      <x:c r="F289" s="18" t="str">
        <x:v>PCA button pushes</x:v>
      </x:c>
      <x:c r="G289" s="18" t="str">
        <x:v>0-24 h</x:v>
      </x:c>
      <x:c r="H289" s="18" t="str">
        <x:v>Mean/SD</x:v>
      </x:c>
      <x:c r="I289" s="18"/>
      <x:c r="J289" s="18"/>
      <x:c r="K289" s="18" t="n">
        <x:v>33</x:v>
      </x:c>
      <x:c r="L289" s="18" t="n">
        <x:v>30</x:v>
      </x:c>
      <x:c r="M289" s="18" t="n">
        <x:v>25.3</x:v>
      </x:c>
      <x:c r="N289" s="18" t="n">
        <x:v>28.5</x:v>
      </x:c>
      <x:c r="O289" s="18"/>
      <x:c r="P289" s="18"/>
      <x:c r="Q289" s="18"/>
      <x:c r="R289" s="18"/>
      <x:c r="S289" s="18" t="n">
        <x:v>47.4</x:v>
      </x:c>
      <x:c r="T289" s="18" t="n">
        <x:v>39.7</x:v>
      </x:c>
      <x:c r="U289" s="18"/>
      <x:c r="V289" s="18"/>
      <x:c r="W289" s="18"/>
      <x:c r="X289" s="18"/>
      <x:c r="Y289" s="18" t="str">
        <x:v>button pushes</x:v>
      </x:c>
      <x:c r="Z289" s="18" t="str">
        <x:v>Direct AES-vs-sham pairwise P not reported</x:v>
      </x:c>
      <x:c r="AA289" s="18" t="str">
        <x:v>Yes</x:v>
      </x:c>
      <x:c r="AB289" s="18" t="str">
        <x:v>No</x:v>
      </x:c>
      <x:c r="AC289" s="18" t="str">
        <x:v>MD</x:v>
      </x:c>
      <x:c r="AD289" s="18" t="n">
        <x:v>-22.1</x:v>
      </x:c>
      <x:c r="AE289" s="18" t="str">
        <x:v>No</x:v>
      </x:c>
      <x:c r="AF289" s="18" t="str">
        <x:v>No</x:v>
      </x:c>
      <x:c r="AG289" s="18" t="str">
        <x:v>Hold pending Yeh 2010/2011 overlap adjudication</x:v>
      </x:c>
      <x:c r="AH289" s="18" t="str">
        <x:v>Yes</x:v>
      </x:c>
      <x:c r="AI289" s="18" t="str">
        <x:v>Potential overlapping publication family with Yeh2011; do not count both independently.</x:v>
      </x:c>
      <x:c r="AJ289" s="18" t="str">
        <x:v>Table 4 / PCA button pushes</x:v>
      </x:c>
      <x:c r="AK289" s="18" t="str">
        <x:v>https://drive.google.com/file/d/1a1s31PQPWGnaVkYUtNUxO22F3QFTcwmi/view?usp=drivesdk</x:v>
      </x:c>
      <x:c r="AL289" s="18" t="str">
        <x:v>SOURCE-VERIFIED / AF-NORMALIZED / DUPLICATE-OVERLAP HOLD</x:v>
      </x:c>
      <x:c r="AM289" s="18" t="str">
        <x:v>F-PCA-010</x:v>
      </x:c>
      <x:c r="AN289" s="18" t="str">
        <x:v>F-PCA</x:v>
      </x:c>
      <x:c r="AO289" s="18" t="str">
        <x:v>F_PCA_behavior</x:v>
      </x:c>
      <x:c r="AP289" s="18" t="str">
        <x:v>NORMALIZED_V22</x:v>
      </x:c>
      <x:c r="AQ289" s="18" t="n">
        <x:v>0</x:v>
      </x:c>
      <x:c r="AR289" s="18" t="n">
        <x:v>0</x:v>
      </x:c>
      <x:c r="AS289" s="18" t="str">
        <x:v>Some concerns</x:v>
      </x:c>
      <x:c r="AT289" s="18" t="str">
        <x:v>P1</x:v>
      </x:c>
      <x:c r="AU289" s="18" t="str">
        <x:v>HOLD overlap review</x:v>
      </x:c>
      <x:c r="AV289" s="18" t="str">
        <x:v>True25.3±28.5 vs sham47.4±39.7</x:v>
      </x:c>
    </x:row>
    <x:row r="290">
      <x:c r="A290" s="18" t="str">
        <x:v>Lin 2002</x:v>
      </x:c>
      <x:c r="B290" s="18" t="str">
        <x:v>LIN02_HIGH_vs_SHAM_PCADEMAND24</x:v>
      </x:c>
      <x:c r="C290" s="18" t="str">
        <x:v>100-Hz EA</x:v>
      </x:c>
      <x:c r="D290" s="18" t="str">
        <x:v>Sham EA</x:v>
      </x:c>
      <x:c r="E290" s="18" t="str">
        <x:v>Opioid demand</x:v>
      </x:c>
      <x:c r="F290" s="18" t="str">
        <x:v>Total PCA demands</x:v>
      </x:c>
      <x:c r="G290" s="18" t="str">
        <x:v>Postoperative hour1 through hour24</x:v>
      </x:c>
      <x:c r="H290" s="18" t="str">
        <x:v>Mean/SD</x:v>
      </x:c>
      <x:c r="I290" s="18" t="n">
        <x:v>25</x:v>
      </x:c>
      <x:c r="J290" s="18" t="n">
        <x:v>25</x:v>
      </x:c>
      <x:c r="K290" s="18" t="n">
        <x:v>25</x:v>
      </x:c>
      <x:c r="L290" s="18" t="n">
        <x:v>25</x:v>
      </x:c>
      <x:c r="M290" s="18" t="n">
        <x:v>7.9</x:v>
      </x:c>
      <x:c r="N290" s="18" t="n">
        <x:v>5.9</x:v>
      </x:c>
      <x:c r="O290" s="18"/>
      <x:c r="P290" s="18"/>
      <x:c r="Q290" s="18"/>
      <x:c r="R290" s="18"/>
      <x:c r="S290" s="18" t="n">
        <x:v>16.1</x:v>
      </x:c>
      <x:c r="T290" s="18" t="n">
        <x:v>7.4</x:v>
      </x:c>
      <x:c r="U290" s="18"/>
      <x:c r="V290" s="18"/>
      <x:c r="W290" s="18"/>
      <x:c r="X290" s="18"/>
      <x:c r="Y290" s="18" t="str">
        <x:v>PCA demands</x:v>
      </x:c>
      <x:c r="Z290" s="18" t="str">
        <x:v>Pairwise P not reported</x:v>
      </x:c>
      <x:c r="AA290" s="18" t="str">
        <x:v>Yes</x:v>
      </x:c>
      <x:c r="AB290" s="18" t="str">
        <x:v>No</x:v>
      </x:c>
      <x:c r="AC290" s="18" t="str">
        <x:v>MD</x:v>
      </x:c>
      <x:c r="AD290" s="18" t="n">
        <x:v>-8.200000000000001</x:v>
      </x:c>
      <x:c r="AE290" s="18" t="str">
        <x:v>No</x:v>
      </x:c>
      <x:c r="AF290" s="18" t="str">
        <x:v>No</x:v>
      </x:c>
      <x:c r="AG290" s="18" t="str">
        <x:v>Target F exploratory PCA-behavior outcome; High result-specific RoB</x:v>
      </x:c>
      <x:c r="AH290" s="18" t="str">
        <x:v>Yes</x:v>
      </x:c>
      <x:c r="AI290" s="18" t="str">
        <x:v>Active electrical stimulation vs no-current sham may unmask patient-generated PCA behavior.</x:v>
      </x:c>
      <x:c r="AJ290" s="18" t="str">
        <x:v>Table 2 / 24-h PCA demand totals</x:v>
      </x:c>
      <x:c r="AK290" s="18" t="str">
        <x:v>https://drive.google.com/file/d/1Q5dNOPkf4PB_ctbHu1_3v3UIMIJzKRw9/view?usp=drivesdk</x:v>
      </x:c>
      <x:c r="AL290" s="18" t="str">
        <x:v>SOURCE-VERIFIED / AF-NORMALIZED / HIGH ROB</x:v>
      </x:c>
      <x:c r="AM290" s="18" t="str">
        <x:v>F-PCA-011</x:v>
      </x:c>
      <x:c r="AN290" s="18" t="str">
        <x:v>F-PCA</x:v>
      </x:c>
      <x:c r="AO290" s="18" t="str">
        <x:v>F_PCA_behavior</x:v>
      </x:c>
      <x:c r="AP290" s="18" t="str">
        <x:v>NORMALIZED_V22</x:v>
      </x:c>
      <x:c r="AQ290" s="18" t="n">
        <x:v>0</x:v>
      </x:c>
      <x:c r="AR290" s="18" t="n">
        <x:v>1</x:v>
      </x:c>
      <x:c r="AS290" s="18" t="str">
        <x:v>High</x:v>
      </x:c>
      <x:c r="AT290" s="18"/>
      <x:c r="AU290" s="18"/>
      <x:c r="AV290" s="18" t="str">
        <x:v>Sham16.1±7.4; low11.7±7.1; high7.9±5.9</x:v>
      </x:c>
    </x:row>
    <x:row r="291">
      <x:c r="A291" s="18" t="str">
        <x:v>Lin 2002</x:v>
      </x:c>
      <x:c r="B291" s="18" t="str">
        <x:v>LIN02_LOW_vs_SHAM_PCADEMAND24</x:v>
      </x:c>
      <x:c r="C291" s="18" t="str">
        <x:v>2-Hz EA</x:v>
      </x:c>
      <x:c r="D291" s="18" t="str">
        <x:v>Sham EA</x:v>
      </x:c>
      <x:c r="E291" s="18" t="str">
        <x:v>Opioid demand</x:v>
      </x:c>
      <x:c r="F291" s="18" t="str">
        <x:v>Total PCA demands</x:v>
      </x:c>
      <x:c r="G291" s="18" t="str">
        <x:v>Postoperative hour1 through hour24</x:v>
      </x:c>
      <x:c r="H291" s="18" t="str">
        <x:v>Mean/SD</x:v>
      </x:c>
      <x:c r="I291" s="18" t="n">
        <x:v>25</x:v>
      </x:c>
      <x:c r="J291" s="18" t="n">
        <x:v>25</x:v>
      </x:c>
      <x:c r="K291" s="18" t="n">
        <x:v>25</x:v>
      </x:c>
      <x:c r="L291" s="18" t="n">
        <x:v>25</x:v>
      </x:c>
      <x:c r="M291" s="18" t="n">
        <x:v>11.7</x:v>
      </x:c>
      <x:c r="N291" s="18" t="n">
        <x:v>7.1</x:v>
      </x:c>
      <x:c r="O291" s="18"/>
      <x:c r="P291" s="18"/>
      <x:c r="Q291" s="18"/>
      <x:c r="R291" s="18"/>
      <x:c r="S291" s="18" t="n">
        <x:v>16.1</x:v>
      </x:c>
      <x:c r="T291" s="18" t="n">
        <x:v>7.4</x:v>
      </x:c>
      <x:c r="U291" s="18"/>
      <x:c r="V291" s="18"/>
      <x:c r="W291" s="18"/>
      <x:c r="X291" s="18"/>
      <x:c r="Y291" s="18" t="str">
        <x:v>PCA demands</x:v>
      </x:c>
      <x:c r="Z291" s="18" t="str">
        <x:v>Pairwise P not reported</x:v>
      </x:c>
      <x:c r="AA291" s="18" t="str">
        <x:v>Yes</x:v>
      </x:c>
      <x:c r="AB291" s="18" t="str">
        <x:v>No</x:v>
      </x:c>
      <x:c r="AC291" s="18" t="str">
        <x:v>MD</x:v>
      </x:c>
      <x:c r="AD291" s="18" t="n">
        <x:v>-4.400000000000002</x:v>
      </x:c>
      <x:c r="AE291" s="18" t="str">
        <x:v>No</x:v>
      </x:c>
      <x:c r="AF291" s="18" t="str">
        <x:v>No</x:v>
      </x:c>
      <x:c r="AG291" s="18" t="str">
        <x:v>Target F exploratory PCA-behavior outcome; High result-specific RoB</x:v>
      </x:c>
      <x:c r="AH291" s="18" t="str">
        <x:v>Yes</x:v>
      </x:c>
      <x:c r="AI291" s="18" t="str">
        <x:v>Active electrical stimulation vs no-current sham may unmask patient-generated PCA behavior.</x:v>
      </x:c>
      <x:c r="AJ291" s="18" t="str">
        <x:v>Table 2 / 24-h PCA demand totals</x:v>
      </x:c>
      <x:c r="AK291" s="18" t="str">
        <x:v>https://drive.google.com/file/d/1Q5dNOPkf4PB_ctbHu1_3v3UIMIJzKRw9/view?usp=drivesdk</x:v>
      </x:c>
      <x:c r="AL291" s="18" t="str">
        <x:v>SOURCE-VERIFIED / AF-NORMALIZED / HIGH ROB</x:v>
      </x:c>
      <x:c r="AM291" s="18" t="str">
        <x:v>F-PCA-011</x:v>
      </x:c>
      <x:c r="AN291" s="18" t="str">
        <x:v>F-PCA</x:v>
      </x:c>
      <x:c r="AO291" s="18" t="str">
        <x:v>F_PCA_behavior</x:v>
      </x:c>
      <x:c r="AP291" s="18" t="str">
        <x:v>NORMALIZED_V22</x:v>
      </x:c>
      <x:c r="AQ291" s="18" t="n">
        <x:v>0</x:v>
      </x:c>
      <x:c r="AR291" s="18" t="n">
        <x:v>1</x:v>
      </x:c>
      <x:c r="AS291" s="18" t="str">
        <x:v>High</x:v>
      </x:c>
      <x:c r="AT291" s="18"/>
      <x:c r="AU291" s="18"/>
      <x:c r="AV291" s="18" t="str">
        <x:v>Sham16.1±7.4; low11.7±7.1; high7.9±5.9</x:v>
      </x:c>
    </x:row>
    <x:row r="292">
      <x:c r="A292" s="18" t="str">
        <x:v>Yeh 2011</x:v>
      </x:c>
      <x:c r="B292" s="18" t="str">
        <x:v>YEH11_AES_vs_SHAM_PCAPUSH24</x:v>
      </x:c>
      <x:c r="C292" s="18" t="str">
        <x:v>True-acupoint AES</x:v>
      </x:c>
      <x:c r="D292" s="18" t="str">
        <x:v>Electrical sham/nonacupoint AES</x:v>
      </x:c>
      <x:c r="E292" s="18" t="str">
        <x:v>Opioid demand</x:v>
      </x:c>
      <x:c r="F292" s="18" t="str">
        <x:v>PCA button pushes</x:v>
      </x:c>
      <x:c r="G292" s="18" t="str">
        <x:v>0-24 h</x:v>
      </x:c>
      <x:c r="H292" s="18" t="str">
        <x:v>Mean/SD</x:v>
      </x:c>
      <x:c r="I292" s="18" t="n">
        <x:v>30</x:v>
      </x:c>
      <x:c r="J292" s="18" t="n">
        <x:v>30</x:v>
      </x:c>
      <x:c r="K292" s="18" t="n">
        <x:v>30</x:v>
      </x:c>
      <x:c r="L292" s="18" t="n">
        <x:v>30</x:v>
      </x:c>
      <x:c r="M292" s="18" t="n">
        <x:v>24.9</x:v>
      </x:c>
      <x:c r="N292" s="18" t="n">
        <x:v>28.5</x:v>
      </x:c>
      <x:c r="O292" s="18"/>
      <x:c r="P292" s="18"/>
      <x:c r="Q292" s="18"/>
      <x:c r="R292" s="18"/>
      <x:c r="S292" s="18" t="n">
        <x:v>47.4</x:v>
      </x:c>
      <x:c r="T292" s="18" t="n">
        <x:v>39.7</x:v>
      </x:c>
      <x:c r="U292" s="18"/>
      <x:c r="V292" s="18"/>
      <x:c r="W292" s="18"/>
      <x:c r="X292" s="18"/>
      <x:c r="Y292" s="18" t="str">
        <x:v>button pushes</x:v>
      </x:c>
      <x:c r="Z292" s="18" t="str">
        <x:v>Direct AES-vs-sham pairwise P not reported</x:v>
      </x:c>
      <x:c r="AA292" s="18" t="str">
        <x:v>Yes</x:v>
      </x:c>
      <x:c r="AB292" s="18" t="str">
        <x:v>No</x:v>
      </x:c>
      <x:c r="AC292" s="18" t="str">
        <x:v>MD</x:v>
      </x:c>
      <x:c r="AD292" s="18" t="n">
        <x:v>-22.5</x:v>
      </x:c>
      <x:c r="AE292" s="18" t="str">
        <x:v>No</x:v>
      </x:c>
      <x:c r="AF292" s="18" t="str">
        <x:v>No</x:v>
      </x:c>
      <x:c r="AG292" s="18" t="str">
        <x:v>Hold pending Yeh 2010/2011 overlap adjudication</x:v>
      </x:c>
      <x:c r="AH292" s="18" t="str">
        <x:v>Yes</x:v>
      </x:c>
      <x:c r="AI292" s="18" t="str">
        <x:v>Potential overlapping publication family with Yeh2010; do not count both independently.</x:v>
      </x:c>
      <x:c r="AJ292" s="18" t="str">
        <x:v>Table 3 / PCA button pushes</x:v>
      </x:c>
      <x:c r="AK292" s="18" t="str">
        <x:v>https://drive.google.com/file/d/1ZJ60ZvJ5Q7sRu1iptK_tLLfBXxZZ_Hwl/view?usp=drivesdk</x:v>
      </x:c>
      <x:c r="AL292" s="18" t="str">
        <x:v>SOURCE-VERIFIED / AF-NORMALIZED / DUPLICATE-OVERLAP HOLD</x:v>
      </x:c>
      <x:c r="AM292" s="18" t="str">
        <x:v>F-PCA-012</x:v>
      </x:c>
      <x:c r="AN292" s="18" t="str">
        <x:v>F-PCA</x:v>
      </x:c>
      <x:c r="AO292" s="18" t="str">
        <x:v>F_PCA_behavior</x:v>
      </x:c>
      <x:c r="AP292" s="18" t="str">
        <x:v>NORMALIZED_V22</x:v>
      </x:c>
      <x:c r="AQ292" s="18" t="n">
        <x:v>0</x:v>
      </x:c>
      <x:c r="AR292" s="18" t="n">
        <x:v>0</x:v>
      </x:c>
      <x:c r="AS292" s="18" t="str">
        <x:v>Some concerns</x:v>
      </x:c>
      <x:c r="AT292" s="18" t="str">
        <x:v>P1</x:v>
      </x:c>
      <x:c r="AU292" s="18" t="str">
        <x:v>HOLD — potential overlap</x:v>
      </x:c>
      <x:c r="AV292" s="18" t="str">
        <x:v>AES24.9±28.5 vs sham47.4±39.7 vs control76.9±86.1</x:v>
      </x:c>
    </x:row>
    <x:row r="293">
      <x:c r="A293" s="18" t="str">
        <x:v>Zhou 2021</x:v>
      </x:c>
      <x:c r="B293" s="18" t="str">
        <x:v>ZHOU21_TEAS_vs_UC_MME_POSTOP</x:v>
      </x:c>
      <x:c r="C293" s="18" t="str">
        <x:v>Postoperative TEAS + ERAS</x:v>
      </x:c>
      <x:c r="D293" s="18" t="str">
        <x:v>ERAS/usual care</x:v>
      </x:c>
      <x:c r="E293" s="18" t="str">
        <x:v>Opioid consumption</x:v>
      </x:c>
      <x:c r="F293" s="18" t="str">
        <x:v>Author-defined postoperative morphine-equivalent dose</x:v>
      </x:c>
      <x:c r="G293" s="18" t="str">
        <x:v>Postoperative study period; exact cumulative window not reported</x:v>
      </x:c>
      <x:c r="H293" s="18" t="str">
        <x:v>Mean/SD</x:v>
      </x:c>
      <x:c r="I293" s="18" t="n">
        <x:v>41</x:v>
      </x:c>
      <x:c r="J293" s="18" t="n">
        <x:v>41</x:v>
      </x:c>
      <x:c r="K293" s="18" t="n">
        <x:v>41</x:v>
      </x:c>
      <x:c r="L293" s="18" t="n">
        <x:v>40</x:v>
      </x:c>
      <x:c r="M293" s="18" t="n">
        <x:v>8.935</x:v>
      </x:c>
      <x:c r="N293" s="18" t="n">
        <x:v>3.66</x:v>
      </x:c>
      <x:c r="O293" s="18"/>
      <x:c r="P293" s="18"/>
      <x:c r="Q293" s="18"/>
      <x:c r="R293" s="18"/>
      <x:c r="S293" s="18" t="n">
        <x:v>12.83</x:v>
      </x:c>
      <x:c r="T293" s="18" t="n">
        <x:v>8.097</x:v>
      </x:c>
      <x:c r="U293" s="18"/>
      <x:c r="V293" s="18"/>
      <x:c r="W293" s="18"/>
      <x:c r="X293" s="18"/>
      <x:c r="Y293" s="18" t="str">
        <x:v>mg morphine-equivalent (author-defined)</x:v>
      </x:c>
      <x:c r="Z293" s="18" t="str">
        <x:v>0.182</x:v>
      </x:c>
      <x:c r="AA293" s="18" t="str">
        <x:v>Yes</x:v>
      </x:c>
      <x:c r="AB293" s="18" t="str">
        <x:v>No</x:v>
      </x:c>
      <x:c r="AC293" s="18" t="str">
        <x:v>MD</x:v>
      </x:c>
      <x:c r="AD293" s="18" t="n">
        <x:v>-3.8949999999999996</x:v>
      </x:c>
      <x:c r="AE293" s="18" t="str">
        <x:v>No</x:v>
      </x:c>
      <x:c r="AF293" s="18" t="str">
        <x:v>No</x:v>
      </x:c>
      <x:c r="AG293" s="18" t="str">
        <x:v>Exclude fixed 24/48/72-h pools pending time-window/conversion clarification</x:v>
      </x:c>
      <x:c r="AH293" s="18" t="str">
        <x:v>No</x:v>
      </x:c>
      <x:c r="AI293" s="18" t="str">
        <x:v>Methods vs Table3 footnote use inconsistent pentazocine conversion; exact postoperative cumulative window unclear.</x:v>
      </x:c>
      <x:c r="AJ293" s="18" t="str">
        <x:v>Table 3 / analgesic consumption</x:v>
      </x:c>
      <x:c r="AK293" s="18" t="str">
        <x:v>https://drive.google.com/file/d/1PxYyULBv_ZjWeqAm_bNYkDn_j2_lNYLq/view?usp=drivesdk</x:v>
      </x:c>
      <x:c r="AL293" s="18" t="str">
        <x:v>SOURCE-VERIFIED / AF-NORMALIZED / P1 WINDOW+CONVERSION HOLD</x:v>
      </x:c>
      <x:c r="AM293" s="18" t="str">
        <x:v>F-mixed/undefined-007</x:v>
      </x:c>
      <x:c r="AN293" s="18" t="str">
        <x:v>F-mixed/undefined</x:v>
      </x:c>
      <x:c r="AO293" s="18" t="str">
        <x:v>F_rescue_mixed_or_undefined</x:v>
      </x:c>
      <x:c r="AP293" s="18" t="str">
        <x:v>NORMALIZED_V22</x:v>
      </x:c>
      <x:c r="AQ293" s="18" t="n">
        <x:v>0</x:v>
      </x:c>
      <x:c r="AR293" s="18" t="n">
        <x:v>0</x:v>
      </x:c>
      <x:c r="AS293" s="18" t="str">
        <x:v>High</x:v>
      </x:c>
      <x:c r="AT293" s="18" t="str">
        <x:v>P1</x:v>
      </x:c>
      <x:c r="AU293" s="18" t="str">
        <x:v>EXCLUDE fixed-time pools</x:v>
      </x:c>
      <x:c r="AV293" s="18" t="str">
        <x:v>Opioid use18/41 vs30/40; MME8.935±3.660 vs12.83±8.097 mg</x:v>
      </x:c>
    </x:row>
    <x:row r="294">
      <x:c r="A294" s="18" t="str">
        <x:v>He 2026 (hepatectomy/JIS)</x:v>
      </x:c>
      <x:c r="B294" s="18" t="str">
        <x:v>HEJIS26_TEAS_vs_CTRL_PCADELIV24</x:v>
      </x:c>
      <x:c r="C294" s="18" t="str">
        <x:v>Intraoperative PC6 TEAS</x:v>
      </x:c>
      <x:c r="D294" s="18" t="str">
        <x:v>No-current PC6 control</x:v>
      </x:c>
      <x:c r="E294" s="18" t="str">
        <x:v>Opioid demand</x:v>
      </x:c>
      <x:c r="F294" s="18" t="str">
        <x:v>Effective PCA deliveries</x:v>
      </x:c>
      <x:c r="G294" s="18" t="str">
        <x:v>24 h</x:v>
      </x:c>
      <x:c r="H294" s="18" t="str">
        <x:v>Mean/SD</x:v>
      </x:c>
      <x:c r="I294" s="18" t="n">
        <x:v>81</x:v>
      </x:c>
      <x:c r="J294" s="18" t="n">
        <x:v>80</x:v>
      </x:c>
      <x:c r="K294" s="18" t="n">
        <x:v>80</x:v>
      </x:c>
      <x:c r="L294" s="18" t="n">
        <x:v>79</x:v>
      </x:c>
      <x:c r="M294" s="18" t="n">
        <x:v>2.6</x:v>
      </x:c>
      <x:c r="N294" s="18" t="n">
        <x:v>3.3</x:v>
      </x:c>
      <x:c r="O294" s="18"/>
      <x:c r="P294" s="18"/>
      <x:c r="Q294" s="18"/>
      <x:c r="R294" s="18"/>
      <x:c r="S294" s="18" t="n">
        <x:v>3.5</x:v>
      </x:c>
      <x:c r="T294" s="18" t="n">
        <x:v>6</x:v>
      </x:c>
      <x:c r="U294" s="18"/>
      <x:c r="V294" s="18"/>
      <x:c r="W294" s="18"/>
      <x:c r="X294" s="18"/>
      <x:c r="Y294" s="18" t="str">
        <x:v>effective deliveries</x:v>
      </x:c>
      <x:c r="Z294" s="18" t="str">
        <x:v>0.02</x:v>
      </x:c>
      <x:c r="AA294" s="18" t="str">
        <x:v>Yes</x:v>
      </x:c>
      <x:c r="AB294" s="18" t="str">
        <x:v>No</x:v>
      </x:c>
      <x:c r="AC294" s="18" t="str">
        <x:v>MD</x:v>
      </x:c>
      <x:c r="AD294" s="18" t="n">
        <x:v>-0.9</x:v>
      </x:c>
      <x:c r="AE294" s="18" t="str">
        <x:v>No</x:v>
      </x:c>
      <x:c r="AF294" s="18" t="str">
        <x:v>No</x:v>
      </x:c>
      <x:c r="AG294" s="18" t="str">
        <x:v>Target F exploratory PCA-use outcome</x:v>
      </x:c>
      <x:c r="AH294" s="18" t="str">
        <x:v>No</x:v>
      </x:c>
      <x:c r="AI294" s="18" t="str">
        <x:v>PCA contains sufentanil + oxycodone; delivery count is not a single-opioid dose. 48-h counters remain P1 unresolved.</x:v>
      </x:c>
      <x:c r="AJ294" s="18" t="str">
        <x:v>Supplemental/secondary outcome / 24-h effective deliveries</x:v>
      </x:c>
      <x:c r="AK294" s="18" t="str">
        <x:v>https://drive.google.com/file/d/1VgOxIOrGe7ZVevkKEVP7G-0V1DXPU0Gf/view?usp=drivesdk</x:v>
      </x:c>
      <x:c r="AL294" s="18" t="str">
        <x:v>SOURCE-VERIFIED / AF-NORMALIZED</x:v>
      </x:c>
      <x:c r="AM294" s="18" t="str">
        <x:v>F-PCA-002</x:v>
      </x:c>
      <x:c r="AN294" s="18" t="str">
        <x:v>F-PCA</x:v>
      </x:c>
      <x:c r="AO294" s="18" t="str">
        <x:v>F_PCA_behavior</x:v>
      </x:c>
      <x:c r="AP294" s="18" t="str">
        <x:v>NORMALIZED_V22</x:v>
      </x:c>
      <x:c r="AQ294" s="18" t="n">
        <x:v>0</x:v>
      </x:c>
      <x:c r="AR294" s="18" t="n">
        <x:v>1</x:v>
      </x:c>
      <x:c r="AS294" s="18" t="str">
        <x:v>Some concerns</x:v>
      </x:c>
      <x:c r="AT294" s="18" t="str">
        <x:v>P1</x:v>
      </x:c>
      <x:c r="AU294" s="18"/>
      <x:c r="AV294" s="18" t="str">
        <x:v>2.7±3.3 /2.6±3.3 vs3.5±6.1 /3.5±6.0</x:v>
      </x:c>
    </x:row>
    <x:row r="295">
      <x:c r="A295" s="18" t="str">
        <x:v>Lu 2022</x:v>
      </x:c>
      <x:c r="B295" s="18" t="str">
        <x:v>LU22_TEAS_vs_CTRL_PCAATTEMPT48</x:v>
      </x:c>
      <x:c r="C295" s="18" t="str">
        <x:v>TEAS + ERAS</x:v>
      </x:c>
      <x:c r="D295" s="18" t="str">
        <x:v>No-current control + ERAS</x:v>
      </x:c>
      <x:c r="E295" s="18" t="str">
        <x:v>Opioid demand</x:v>
      </x:c>
      <x:c r="F295" s="18" t="str">
        <x:v>PCA attempts</x:v>
      </x:c>
      <x:c r="G295" s="18" t="str">
        <x:v>48 h</x:v>
      </x:c>
      <x:c r="H295" s="18" t="str">
        <x:v>Median/IQR</x:v>
      </x:c>
      <x:c r="I295" s="18" t="n">
        <x:v>50</x:v>
      </x:c>
      <x:c r="J295" s="18" t="n">
        <x:v>50</x:v>
      </x:c>
      <x:c r="K295" s="18" t="n">
        <x:v>47</x:v>
      </x:c>
      <x:c r="L295" s="18" t="n">
        <x:v>47</x:v>
      </x:c>
      <x:c r="M295" s="18"/>
      <x:c r="N295" s="18"/>
      <x:c r="O295" s="18" t="n">
        <x:v>13</x:v>
      </x:c>
      <x:c r="P295" s="18" t="n">
        <x:v>5</x:v>
      </x:c>
      <x:c r="Q295" s="18" t="n">
        <x:v>22</x:v>
      </x:c>
      <x:c r="R295" s="18"/>
      <x:c r="S295" s="18"/>
      <x:c r="T295" s="18"/>
      <x:c r="U295" s="18" t="n">
        <x:v>26</x:v>
      </x:c>
      <x:c r="V295" s="18" t="n">
        <x:v>11.5</x:v>
      </x:c>
      <x:c r="W295" s="18" t="n">
        <x:v>45.5</x:v>
      </x:c>
      <x:c r="X295" s="18"/>
      <x:c r="Y295" s="18" t="str">
        <x:v>attempts</x:v>
      </x:c>
      <x:c r="Z295" s="18" t="str">
        <x:v>0.002</x:v>
      </x:c>
      <x:c r="AA295" s="18" t="str">
        <x:v>Yes</x:v>
      </x:c>
      <x:c r="AB295" s="18" t="str">
        <x:v>No</x:v>
      </x:c>
      <x:c r="AC295" s="18"/>
      <x:c r="AD295" s="18"/>
      <x:c r="AE295" s="18" t="str">
        <x:v>No</x:v>
      </x:c>
      <x:c r="AF295" s="18" t="str">
        <x:v>No</x:v>
      </x:c>
      <x:c r="AG295" s="18" t="str">
        <x:v>Target F exploratory PCA-behavior outcome; High result-specific RoB</x:v>
      </x:c>
      <x:c r="AH295" s="18" t="str">
        <x:v>No</x:v>
      </x:c>
      <x:c r="AI295" s="18" t="str">
        <x:v>Patient blinding difficult; PCA drug/concentration/settings not reported, so do not convert to opioid dose.</x:v>
      </x:c>
      <x:c r="AJ295" s="18" t="str">
        <x:v>PCA table / 48 h pca attempts</x:v>
      </x:c>
      <x:c r="AK295" s="18" t="str">
        <x:v>https://drive.google.com/file/d/12Y86huNMuLC8cPH-L2vwlEd7r1X1Qela/view?usp=drivesdk</x:v>
      </x:c>
      <x:c r="AL295" s="18" t="str">
        <x:v>SOURCE-VERIFIED / AF-NORMALIZED / HIGH ROB</x:v>
      </x:c>
      <x:c r="AM295" s="18" t="str">
        <x:v>F-PCA-009</x:v>
      </x:c>
      <x:c r="AN295" s="18" t="str">
        <x:v>F-PCA</x:v>
      </x:c>
      <x:c r="AO295" s="18" t="str">
        <x:v>F_PCA_behavior</x:v>
      </x:c>
      <x:c r="AP295" s="18" t="str">
        <x:v>NORMALIZED_V22</x:v>
      </x:c>
      <x:c r="AQ295" s="18" t="n">
        <x:v>0</x:v>
      </x:c>
      <x:c r="AR295" s="18" t="n">
        <x:v>1</x:v>
      </x:c>
      <x:c r="AS295" s="18" t="str">
        <x:v>High</x:v>
      </x:c>
      <x:c r="AT295" s="18" t="str">
        <x:v>P2</x:v>
      </x:c>
      <x:c r="AU295" s="18"/>
      <x:c r="AV295" s="18" t="str">
        <x:v>24h attempts8.0 vs16.5; deliveries5.0 vs12.0</x:v>
      </x:c>
    </x:row>
    <x:row r="296">
      <x:c r="A296" s="18" t="str">
        <x:v>Lu 2022</x:v>
      </x:c>
      <x:c r="B296" s="18" t="str">
        <x:v>LU22_TEAS_vs_CTRL_PCADELIV48</x:v>
      </x:c>
      <x:c r="C296" s="18" t="str">
        <x:v>TEAS + ERAS</x:v>
      </x:c>
      <x:c r="D296" s="18" t="str">
        <x:v>No-current control + ERAS</x:v>
      </x:c>
      <x:c r="E296" s="18" t="str">
        <x:v>Opioid demand</x:v>
      </x:c>
      <x:c r="F296" s="18" t="str">
        <x:v>Successful PCA deliveries</x:v>
      </x:c>
      <x:c r="G296" s="18" t="str">
        <x:v>48 h</x:v>
      </x:c>
      <x:c r="H296" s="18" t="str">
        <x:v>Median/IQR</x:v>
      </x:c>
      <x:c r="I296" s="18" t="n">
        <x:v>50</x:v>
      </x:c>
      <x:c r="J296" s="18" t="n">
        <x:v>50</x:v>
      </x:c>
      <x:c r="K296" s="18" t="n">
        <x:v>47</x:v>
      </x:c>
      <x:c r="L296" s="18" t="n">
        <x:v>47</x:v>
      </x:c>
      <x:c r="M296" s="18"/>
      <x:c r="N296" s="18"/>
      <x:c r="O296" s="18" t="n">
        <x:v>7</x:v>
      </x:c>
      <x:c r="P296" s="18" t="n">
        <x:v>3</x:v>
      </x:c>
      <x:c r="Q296" s="18" t="n">
        <x:v>14</x:v>
      </x:c>
      <x:c r="R296" s="18"/>
      <x:c r="S296" s="18"/>
      <x:c r="T296" s="18"/>
      <x:c r="U296" s="18" t="n">
        <x:v>16.5</x:v>
      </x:c>
      <x:c r="V296" s="18" t="n">
        <x:v>8</x:v>
      </x:c>
      <x:c r="W296" s="18" t="n">
        <x:v>35</x:v>
      </x:c>
      <x:c r="X296" s="18"/>
      <x:c r="Y296" s="18" t="str">
        <x:v>deliveries</x:v>
      </x:c>
      <x:c r="Z296" s="18" t="str">
        <x:v>0.001</x:v>
      </x:c>
      <x:c r="AA296" s="18" t="str">
        <x:v>Yes</x:v>
      </x:c>
      <x:c r="AB296" s="18" t="str">
        <x:v>No</x:v>
      </x:c>
      <x:c r="AC296" s="18"/>
      <x:c r="AD296" s="18"/>
      <x:c r="AE296" s="18" t="str">
        <x:v>No</x:v>
      </x:c>
      <x:c r="AF296" s="18" t="str">
        <x:v>No</x:v>
      </x:c>
      <x:c r="AG296" s="18" t="str">
        <x:v>Target F exploratory PCA-behavior outcome; High result-specific RoB</x:v>
      </x:c>
      <x:c r="AH296" s="18" t="str">
        <x:v>No</x:v>
      </x:c>
      <x:c r="AI296" s="18" t="str">
        <x:v>Patient blinding difficult; PCA drug/concentration/settings not reported, so do not convert to opioid dose.</x:v>
      </x:c>
      <x:c r="AJ296" s="18" t="str">
        <x:v>PCA table / 48 h successful pca deliveries</x:v>
      </x:c>
      <x:c r="AK296" s="18" t="str">
        <x:v>https://drive.google.com/file/d/12Y86huNMuLC8cPH-L2vwlEd7r1X1Qela/view?usp=drivesdk</x:v>
      </x:c>
      <x:c r="AL296" s="18" t="str">
        <x:v>SOURCE-VERIFIED / AF-NORMALIZED / HIGH ROB</x:v>
      </x:c>
      <x:c r="AM296" s="18" t="str">
        <x:v>F-PCA-009</x:v>
      </x:c>
      <x:c r="AN296" s="18" t="str">
        <x:v>F-PCA</x:v>
      </x:c>
      <x:c r="AO296" s="18" t="str">
        <x:v>F_PCA_behavior</x:v>
      </x:c>
      <x:c r="AP296" s="18" t="str">
        <x:v>NORMALIZED_V22</x:v>
      </x:c>
      <x:c r="AQ296" s="18" t="n">
        <x:v>0</x:v>
      </x:c>
      <x:c r="AR296" s="18" t="n">
        <x:v>1</x:v>
      </x:c>
      <x:c r="AS296" s="18" t="str">
        <x:v>High</x:v>
      </x:c>
      <x:c r="AT296" s="18" t="str">
        <x:v>P2</x:v>
      </x:c>
      <x:c r="AU296" s="18"/>
      <x:c r="AV296" s="18" t="str">
        <x:v>24h attempts8.0 vs16.5; deliveries5.0 vs12.0</x:v>
      </x:c>
    </x:row>
    <x:row r="297">
      <x:c r="A297" s="18" t="str">
        <x:v>Lu 2022</x:v>
      </x:c>
      <x:c r="B297" s="18" t="str">
        <x:v>LU22_TEAS_vs_CTRL_PCAATTEMPT72</x:v>
      </x:c>
      <x:c r="C297" s="18" t="str">
        <x:v>TEAS + ERAS</x:v>
      </x:c>
      <x:c r="D297" s="18" t="str">
        <x:v>No-current control + ERAS</x:v>
      </x:c>
      <x:c r="E297" s="18" t="str">
        <x:v>Opioid demand</x:v>
      </x:c>
      <x:c r="F297" s="18" t="str">
        <x:v>PCA attempts</x:v>
      </x:c>
      <x:c r="G297" s="18" t="str">
        <x:v>72 h</x:v>
      </x:c>
      <x:c r="H297" s="18" t="str">
        <x:v>Median/IQR</x:v>
      </x:c>
      <x:c r="I297" s="18" t="n">
        <x:v>50</x:v>
      </x:c>
      <x:c r="J297" s="18" t="n">
        <x:v>50</x:v>
      </x:c>
      <x:c r="K297" s="18" t="n">
        <x:v>47</x:v>
      </x:c>
      <x:c r="L297" s="18" t="n">
        <x:v>47</x:v>
      </x:c>
      <x:c r="M297" s="18"/>
      <x:c r="N297" s="18"/>
      <x:c r="O297" s="18" t="n">
        <x:v>13</x:v>
      </x:c>
      <x:c r="P297" s="18" t="n">
        <x:v>5</x:v>
      </x:c>
      <x:c r="Q297" s="18" t="n">
        <x:v>24</x:v>
      </x:c>
      <x:c r="R297" s="18"/>
      <x:c r="S297" s="18"/>
      <x:c r="T297" s="18"/>
      <x:c r="U297" s="18" t="n">
        <x:v>24.5</x:v>
      </x:c>
      <x:c r="V297" s="18" t="n">
        <x:v>13</x:v>
      </x:c>
      <x:c r="W297" s="18" t="n">
        <x:v>46</x:v>
      </x:c>
      <x:c r="X297" s="18"/>
      <x:c r="Y297" s="18" t="str">
        <x:v>attempts</x:v>
      </x:c>
      <x:c r="Z297" s="18" t="str">
        <x:v>0.002</x:v>
      </x:c>
      <x:c r="AA297" s="18" t="str">
        <x:v>Yes</x:v>
      </x:c>
      <x:c r="AB297" s="18" t="str">
        <x:v>No</x:v>
      </x:c>
      <x:c r="AC297" s="18"/>
      <x:c r="AD297" s="18"/>
      <x:c r="AE297" s="18" t="str">
        <x:v>No</x:v>
      </x:c>
      <x:c r="AF297" s="18" t="str">
        <x:v>No</x:v>
      </x:c>
      <x:c r="AG297" s="18" t="str">
        <x:v>Target F exploratory PCA-behavior outcome; High result-specific RoB</x:v>
      </x:c>
      <x:c r="AH297" s="18" t="str">
        <x:v>No</x:v>
      </x:c>
      <x:c r="AI297" s="18" t="str">
        <x:v>Patient blinding difficult; PCA drug/concentration/settings not reported, so do not convert to opioid dose.</x:v>
      </x:c>
      <x:c r="AJ297" s="18" t="str">
        <x:v>PCA table / 72 h pca attempts</x:v>
      </x:c>
      <x:c r="AK297" s="18" t="str">
        <x:v>https://drive.google.com/file/d/12Y86huNMuLC8cPH-L2vwlEd7r1X1Qela/view?usp=drivesdk</x:v>
      </x:c>
      <x:c r="AL297" s="18" t="str">
        <x:v>SOURCE-VERIFIED / AF-NORMALIZED / HIGH ROB</x:v>
      </x:c>
      <x:c r="AM297" s="18" t="str">
        <x:v>F-PCA-009</x:v>
      </x:c>
      <x:c r="AN297" s="18" t="str">
        <x:v>F-PCA</x:v>
      </x:c>
      <x:c r="AO297" s="18" t="str">
        <x:v>F_PCA_behavior</x:v>
      </x:c>
      <x:c r="AP297" s="18" t="str">
        <x:v>NORMALIZED_V22</x:v>
      </x:c>
      <x:c r="AQ297" s="18" t="n">
        <x:v>0</x:v>
      </x:c>
      <x:c r="AR297" s="18" t="n">
        <x:v>1</x:v>
      </x:c>
      <x:c r="AS297" s="18" t="str">
        <x:v>High</x:v>
      </x:c>
      <x:c r="AT297" s="18" t="str">
        <x:v>P2</x:v>
      </x:c>
      <x:c r="AU297" s="18"/>
      <x:c r="AV297" s="18" t="str">
        <x:v>24h attempts8.0 vs16.5; deliveries5.0 vs12.0</x:v>
      </x:c>
    </x:row>
    <x:row r="298">
      <x:c r="A298" s="18" t="str">
        <x:v>Lu 2022</x:v>
      </x:c>
      <x:c r="B298" s="18" t="str">
        <x:v>LU22_TEAS_vs_CTRL_PCADELIV72</x:v>
      </x:c>
      <x:c r="C298" s="18" t="str">
        <x:v>TEAS + ERAS</x:v>
      </x:c>
      <x:c r="D298" s="18" t="str">
        <x:v>No-current control + ERAS</x:v>
      </x:c>
      <x:c r="E298" s="18" t="str">
        <x:v>Opioid demand</x:v>
      </x:c>
      <x:c r="F298" s="18" t="str">
        <x:v>Successful PCA deliveries</x:v>
      </x:c>
      <x:c r="G298" s="18" t="str">
        <x:v>72 h</x:v>
      </x:c>
      <x:c r="H298" s="18" t="str">
        <x:v>Median/IQR</x:v>
      </x:c>
      <x:c r="I298" s="18" t="n">
        <x:v>50</x:v>
      </x:c>
      <x:c r="J298" s="18" t="n">
        <x:v>50</x:v>
      </x:c>
      <x:c r="K298" s="18" t="n">
        <x:v>47</x:v>
      </x:c>
      <x:c r="L298" s="18" t="n">
        <x:v>47</x:v>
      </x:c>
      <x:c r="M298" s="18"/>
      <x:c r="N298" s="18"/>
      <x:c r="O298" s="18" t="n">
        <x:v>7</x:v>
      </x:c>
      <x:c r="P298" s="18" t="n">
        <x:v>3</x:v>
      </x:c>
      <x:c r="Q298" s="18" t="n">
        <x:v>20</x:v>
      </x:c>
      <x:c r="R298" s="18"/>
      <x:c r="S298" s="18"/>
      <x:c r="T298" s="18"/>
      <x:c r="U298" s="18" t="n">
        <x:v>16.5</x:v>
      </x:c>
      <x:c r="V298" s="18" t="n">
        <x:v>10</x:v>
      </x:c>
      <x:c r="W298" s="18" t="n">
        <x:v>36</x:v>
      </x:c>
      <x:c r="X298" s="18"/>
      <x:c r="Y298" s="18" t="str">
        <x:v>deliveries</x:v>
      </x:c>
      <x:c r="Z298" s="18" t="str">
        <x:v>0.003</x:v>
      </x:c>
      <x:c r="AA298" s="18" t="str">
        <x:v>Yes</x:v>
      </x:c>
      <x:c r="AB298" s="18" t="str">
        <x:v>No</x:v>
      </x:c>
      <x:c r="AC298" s="18"/>
      <x:c r="AD298" s="18"/>
      <x:c r="AE298" s="18" t="str">
        <x:v>No</x:v>
      </x:c>
      <x:c r="AF298" s="18" t="str">
        <x:v>No</x:v>
      </x:c>
      <x:c r="AG298" s="18" t="str">
        <x:v>Target F exploratory PCA-behavior outcome; High result-specific RoB</x:v>
      </x:c>
      <x:c r="AH298" s="18" t="str">
        <x:v>No</x:v>
      </x:c>
      <x:c r="AI298" s="18" t="str">
        <x:v>Patient blinding difficult; PCA drug/concentration/settings not reported, so do not convert to opioid dose.</x:v>
      </x:c>
      <x:c r="AJ298" s="18" t="str">
        <x:v>PCA table / 72 h successful pca deliveries</x:v>
      </x:c>
      <x:c r="AK298" s="18" t="str">
        <x:v>https://drive.google.com/file/d/12Y86huNMuLC8cPH-L2vwlEd7r1X1Qela/view?usp=drivesdk</x:v>
      </x:c>
      <x:c r="AL298" s="18" t="str">
        <x:v>SOURCE-VERIFIED / AF-NORMALIZED / HIGH ROB</x:v>
      </x:c>
      <x:c r="AM298" s="18" t="str">
        <x:v>F-PCA-009</x:v>
      </x:c>
      <x:c r="AN298" s="18" t="str">
        <x:v>F-PCA</x:v>
      </x:c>
      <x:c r="AO298" s="18" t="str">
        <x:v>F_PCA_behavior</x:v>
      </x:c>
      <x:c r="AP298" s="18" t="str">
        <x:v>NORMALIZED_V22</x:v>
      </x:c>
      <x:c r="AQ298" s="18" t="n">
        <x:v>0</x:v>
      </x:c>
      <x:c r="AR298" s="18" t="n">
        <x:v>1</x:v>
      </x:c>
      <x:c r="AS298" s="18" t="str">
        <x:v>High</x:v>
      </x:c>
      <x:c r="AT298" s="18" t="str">
        <x:v>P2</x:v>
      </x:c>
      <x:c r="AU298" s="18"/>
      <x:c r="AV298" s="18" t="str">
        <x:v>24h attempts8.0 vs16.5; deliveries5.0 vs12.0</x:v>
      </x:c>
    </x:row>
  </x:sheetData>
  <x:pageMargins left="0.7" right="0.7" top="0.75" bottom="0.75" header="0.3" footer="0.3"/>
  <x:tableParts count="1">
    <x:tablePart xmlns:r="http://schemas.openxmlformats.org/officeDocument/2006/relationships" r:id="R0c13ff7785804bf9"/>
  </x:tableParts>
</x:worksheet>
</file>

<file path=xl/worksheets/sheet22.xml><?xml version="1.0" encoding="utf-8"?>
<x:worksheet xmlns:x="http://schemas.openxmlformats.org/spreadsheetml/2006/main">
  <x:sheetFormatPr defaultRowHeight="15"/>
  <x:cols>
    <x:col min="1" max="1" width="36" hidden="0" customWidth="1"/>
    <x:col min="2" max="2" width="22" hidden="0" customWidth="1"/>
    <x:col min="3" max="3" width="62" hidden="0" customWidth="1"/>
    <x:col min="5" max="5" width="25" hidden="0" customWidth="1"/>
    <x:col min="6" max="6" width="12" hidden="0" customWidth="1"/>
    <x:col min="7" max="7" width="14" hidden="0" customWidth="1"/>
    <x:col min="8" max="8" width="14" hidden="0" customWidth="1"/>
    <x:col min="9" max="9" width="16" hidden="0" customWidth="1"/>
    <x:col min="11" max="11" width="32" hidden="0" customWidth="1"/>
    <x:col min="12" max="12" width="12" hidden="0" customWidth="1"/>
  </x:cols>
  <x:sheetData>
    <x:row r="1">
      <x:c r="A1" s="88" t="str">
        <x:v>A–F Source-Verified Normalization — v22 layered onto v20</x:v>
      </x:c>
      <x:c r="B1" s="18"/>
      <x:c r="C1" s="18"/>
      <x:c r="D1" s="18"/>
      <x:c r="E1" s="18"/>
      <x:c r="F1" s="18"/>
      <x:c r="G1" s="18"/>
      <x:c r="H1" s="18"/>
      <x:c r="I1" s="18"/>
      <x:c r="J1" s="18"/>
      <x:c r="K1" s="18"/>
      <x:c r="L1" s="18"/>
      <x:c r="M1" s="18"/>
      <x:c r="N1" s="18"/>
      <x:c r="O1" s="18"/>
      <x:c r="P1" s="18"/>
      <x:c r="Q1" s="18"/>
      <x:c r="R1" s="18"/>
    </x:row>
    <x:row r="2">
      <x:c r="A2" s="18"/>
      <x:c r="B2" s="18"/>
      <x:c r="C2" s="18"/>
      <x:c r="D2" s="18"/>
      <x:c r="E2" s="18"/>
      <x:c r="F2" s="18"/>
      <x:c r="G2" s="18"/>
      <x:c r="H2" s="18"/>
      <x:c r="I2" s="18"/>
      <x:c r="J2" s="18"/>
      <x:c r="K2" s="18"/>
      <x:c r="L2" s="18"/>
      <x:c r="M2" s="18"/>
      <x:c r="N2" s="18"/>
      <x:c r="O2" s="18"/>
      <x:c r="P2" s="18"/>
      <x:c r="Q2" s="18"/>
      <x:c r="R2" s="18"/>
    </x:row>
    <x:row r="3">
      <x:c r="A3" s="81" t="str">
        <x:v>Metric</x:v>
      </x:c>
      <x:c r="B3" s="81" t="str">
        <x:v>Count / status</x:v>
      </x:c>
      <x:c r="C3" s="81" t="str">
        <x:v>Interpretation</x:v>
      </x:c>
      <x:c r="D3" s="18"/>
      <x:c r="E3" s="81" t="str">
        <x:v>Target</x:v>
      </x:c>
      <x:c r="F3" s="81" t="str">
        <x:v>Rows</x:v>
      </x:c>
      <x:c r="G3" s="81" t="str">
        <x:v>Strict model</x:v>
      </x:c>
      <x:c r="H3" s="81" t="str">
        <x:v>Sensitivity</x:v>
      </x:c>
      <x:c r="I3" s="81" t="str">
        <x:v>Narrative/Hold</x:v>
      </x:c>
      <x:c r="J3" s="18"/>
      <x:c r="K3" s="81" t="str">
        <x:v>Reconciliation action</x:v>
      </x:c>
      <x:c r="L3" s="81" t="str">
        <x:v>Count</x:v>
      </x:c>
      <x:c r="M3" s="18"/>
      <x:c r="N3" s="18"/>
      <x:c r="O3" s="18"/>
      <x:c r="P3" s="18"/>
      <x:c r="Q3" s="18"/>
      <x:c r="R3" s="18"/>
    </x:row>
    <x:row r="4">
      <x:c r="A4" s="18" t="str">
        <x:v>Base workbook</x:v>
      </x:c>
      <x:c r="B4" s="18" t="str">
        <x:v>v20 primary opioid set</x:v>
      </x:c>
      <x:c r="C4" s="18" t="str">
        <x:v>All original v20 sheets remain intact; normalization occurs in Outcome_Data_AF_LOCK.</x:v>
      </x:c>
      <x:c r="D4" s="18"/>
      <x:c r="E4" s="18" t="str">
        <x:v>A</x:v>
      </x:c>
      <x:c r="F4" s="18" t="n">
        <x:v>10</x:v>
      </x:c>
      <x:c r="G4" s="18" t="n">
        <x:v>3</x:v>
      </x:c>
      <x:c r="H4" s="18" t="n">
        <x:v>1</x:v>
      </x:c>
      <x:c r="I4" s="18" t="n">
        <x:v>6</x:v>
      </x:c>
      <x:c r="J4" s="18"/>
      <x:c r="K4" s="18" t="str">
        <x:v>MATCHED</x:v>
      </x:c>
      <x:c r="L4" s="18" t="n">
        <x:v>57</x:v>
      </x:c>
      <x:c r="M4" s="18"/>
      <x:c r="N4" s="18"/>
      <x:c r="O4" s="18"/>
      <x:c r="P4" s="18"/>
      <x:c r="Q4" s="18"/>
      <x:c r="R4" s="18"/>
    </x:row>
    <x:row r="5">
      <x:c r="A5" s="18" t="str">
        <x:v>Original v20 Outcome_Data rows</x:v>
      </x:c>
      <x:c r="B5" s="18" t="n">
        <x:v>261</x:v>
      </x:c>
      <x:c r="C5" s="18" t="str">
        <x:v>Unchanged audit source.</x:v>
      </x:c>
      <x:c r="D5" s="18"/>
      <x:c r="E5" s="18" t="str">
        <x:v>B</x:v>
      </x:c>
      <x:c r="F5" s="18" t="n">
        <x:v>4</x:v>
      </x:c>
      <x:c r="G5" s="18" t="n">
        <x:v>1</x:v>
      </x:c>
      <x:c r="H5" s="18" t="n">
        <x:v>1</x:v>
      </x:c>
      <x:c r="I5" s="18" t="n">
        <x:v>2</x:v>
      </x:c>
      <x:c r="J5" s="18"/>
      <x:c r="K5" s="18" t="str">
        <x:v>NORMALIZED_V22</x:v>
      </x:c>
      <x:c r="L5" s="18" t="n">
        <x:v>28</x:v>
      </x:c>
      <x:c r="M5" s="18"/>
      <x:c r="N5" s="18"/>
      <x:c r="O5" s="18"/>
      <x:c r="P5" s="18"/>
      <x:c r="Q5" s="18"/>
      <x:c r="R5" s="18"/>
    </x:row>
    <x:row r="6">
      <x:c r="A6" s="18" t="str">
        <x:v>Normalized Outcome_Data_AF_LOCK rows</x:v>
      </x:c>
      <x:c r="B6" s="18" t="n">
        <x:v>297</x:v>
      </x:c>
      <x:c r="C6" s="18" t="str">
        <x:v>36 new source-scale rows appended plus 3 existing rows corrected.</x:v>
      </x:c>
      <x:c r="D6" s="18"/>
      <x:c r="E6" s="18" t="str">
        <x:v>C</x:v>
      </x:c>
      <x:c r="F6" s="18" t="n">
        <x:v>9</x:v>
      </x:c>
      <x:c r="G6" s="18" t="n">
        <x:v>2</x:v>
      </x:c>
      <x:c r="H6" s="18" t="n">
        <x:v>0</x:v>
      </x:c>
      <x:c r="I6" s="18" t="n">
        <x:v>7</x:v>
      </x:c>
      <x:c r="J6" s="18"/>
      <x:c r="K6" s="18" t="str">
        <x:v>CORRECTED_V22</x:v>
      </x:c>
      <x:c r="L6" s="18" t="n">
        <x:v>2</x:v>
      </x:c>
      <x:c r="M6" s="18"/>
      <x:c r="N6" s="18"/>
      <x:c r="O6" s="18"/>
      <x:c r="P6" s="18"/>
      <x:c r="Q6" s="18"/>
      <x:c r="R6" s="18"/>
    </x:row>
    <x:row r="7">
      <x:c r="A7" s="18" t="str">
        <x:v>A–F result-level lock rows</x:v>
      </x:c>
      <x:c r="B7" s="18" t="n">
        <x:v>108</x:v>
      </x:c>
      <x:c r="C7" s="18" t="str">
        <x:v>Result-specific endpoint/RoB decision layer.</x:v>
      </x:c>
      <x:c r="D7" s="18"/>
      <x:c r="E7" s="18" t="str">
        <x:v>D</x:v>
      </x:c>
      <x:c r="F7" s="18" t="n">
        <x:v>16</x:v>
      </x:c>
      <x:c r="G7" s="18" t="n">
        <x:v>10</x:v>
      </x:c>
      <x:c r="H7" s="18" t="n">
        <x:v>1</x:v>
      </x:c>
      <x:c r="I7" s="18" t="n">
        <x:v>5</x:v>
      </x:c>
      <x:c r="J7" s="18"/>
      <x:c r="K7" s="18" t="str">
        <x:v>NO_DATA_ROW_REQUIRED</x:v>
      </x:c>
      <x:c r="L7" s="18" t="n">
        <x:v>20</x:v>
      </x:c>
      <x:c r="M7" s="18"/>
      <x:c r="N7" s="18"/>
      <x:c r="O7" s="18"/>
      <x:c r="P7" s="18"/>
      <x:c r="Q7" s="18"/>
      <x:c r="R7" s="18"/>
    </x:row>
    <x:row r="8">
      <x:c r="A8" s="18" t="str">
        <x:v>NORMALIZED_V22 lock items</x:v>
      </x:c>
      <x:c r="B8" s="18" t="n">
        <x:v>28</x:v>
      </x:c>
      <x:c r="C8" s="18" t="str">
        <x:v>Previously missing or partial A–F result groups now represented in normalized rows.</x:v>
      </x:c>
      <x:c r="D8" s="18"/>
      <x:c r="E8" s="18" t="str">
        <x:v>E</x:v>
      </x:c>
      <x:c r="F8" s="18" t="n">
        <x:v>7</x:v>
      </x:c>
      <x:c r="G8" s="18" t="n">
        <x:v>6</x:v>
      </x:c>
      <x:c r="H8" s="18" t="n">
        <x:v>0</x:v>
      </x:c>
      <x:c r="I8" s="18" t="n">
        <x:v>1</x:v>
      </x:c>
      <x:c r="J8" s="18"/>
      <x:c r="K8" s="18" t="str">
        <x:v>P1_SCOPE_HOLD</x:v>
      </x:c>
      <x:c r="L8" s="18" t="n">
        <x:v>1</x:v>
      </x:c>
      <x:c r="M8" s="18"/>
      <x:c r="N8" s="18"/>
      <x:c r="O8" s="18"/>
      <x:c r="P8" s="18"/>
      <x:c r="Q8" s="18"/>
      <x:c r="R8" s="18"/>
    </x:row>
    <x:row r="9">
      <x:c r="A9" s="18" t="str">
        <x:v>CORRECTED_V22 lock items</x:v>
      </x:c>
      <x:c r="B9" s="18" t="n">
        <x:v>2</x:v>
      </x:c>
      <x:c r="C9" s="18" t="str">
        <x:v>Existing rows corrected in AF lock copy only.</x:v>
      </x:c>
      <x:c r="D9" s="18"/>
      <x:c r="E9" s="18" t="str">
        <x:v>F-intra</x:v>
      </x:c>
      <x:c r="F9" s="18" t="n">
        <x:v>13</x:v>
      </x:c>
      <x:c r="G9" s="18" t="n">
        <x:v>6</x:v>
      </x:c>
      <x:c r="H9" s="18" t="n">
        <x:v>6</x:v>
      </x:c>
      <x:c r="I9" s="18" t="n">
        <x:v>1</x:v>
      </x:c>
      <x:c r="J9" s="18"/>
      <x:c r="K9" s="18"/>
      <x:c r="L9" s="18"/>
      <x:c r="M9" s="18"/>
      <x:c r="N9" s="18"/>
      <x:c r="O9" s="18"/>
      <x:c r="P9" s="18"/>
      <x:c r="Q9" s="18"/>
      <x:c r="R9" s="18"/>
    </x:row>
    <x:row r="10">
      <x:c r="A10" s="18" t="str">
        <x:v>Remaining ADD_RESULT_ROW</x:v>
      </x:c>
      <x:c r="B10" s="18" t="n">
        <x:v>0</x:v>
      </x:c>
      <x:c r="C10" s="18" t="str">
        <x:v>Should be zero after this pass.</x:v>
      </x:c>
      <x:c r="D10" s="18"/>
      <x:c r="E10" s="18" t="str">
        <x:v>F-exposure</x:v>
      </x:c>
      <x:c r="F10" s="18" t="n">
        <x:v>7</x:v>
      </x:c>
      <x:c r="G10" s="18" t="n">
        <x:v>0</x:v>
      </x:c>
      <x:c r="H10" s="18" t="n">
        <x:v>4</x:v>
      </x:c>
      <x:c r="I10" s="18" t="n">
        <x:v>3</x:v>
      </x:c>
      <x:c r="J10" s="18"/>
      <x:c r="K10" s="18"/>
      <x:c r="L10" s="18"/>
      <x:c r="M10" s="18"/>
      <x:c r="N10" s="18"/>
      <x:c r="O10" s="18"/>
      <x:c r="P10" s="18"/>
      <x:c r="Q10" s="18"/>
      <x:c r="R10" s="18"/>
    </x:row>
    <x:row r="11">
      <x:c r="A11" s="18" t="str">
        <x:v>Remaining PARTIAL_MATCH_ADD_DETAIL</x:v>
      </x:c>
      <x:c r="B11" s="18" t="n">
        <x:v>0</x:v>
      </x:c>
      <x:c r="C11" s="18" t="str">
        <x:v>Should be zero after this pass.</x:v>
      </x:c>
      <x:c r="D11" s="18"/>
      <x:c r="E11" s="18" t="str">
        <x:v>F-rescue-opioid</x:v>
      </x:c>
      <x:c r="F11" s="18" t="n">
        <x:v>9</x:v>
      </x:c>
      <x:c r="G11" s="18" t="n">
        <x:v>6</x:v>
      </x:c>
      <x:c r="H11" s="18" t="n">
        <x:v>0</x:v>
      </x:c>
      <x:c r="I11" s="18" t="n">
        <x:v>3</x:v>
      </x:c>
      <x:c r="J11" s="18"/>
      <x:c r="K11" s="18"/>
      <x:c r="L11" s="18"/>
      <x:c r="M11" s="18"/>
      <x:c r="N11" s="18"/>
      <x:c r="O11" s="18"/>
      <x:c r="P11" s="18"/>
      <x:c r="Q11" s="18"/>
      <x:c r="R11" s="18"/>
    </x:row>
    <x:row r="12">
      <x:c r="A12" s="18" t="str">
        <x:v>Remaining window/value update actions</x:v>
      </x:c>
      <x:c r="B12" s="18" t="n">
        <x:v>0</x:v>
      </x:c>
      <x:c r="C12" s="18" t="str">
        <x:v>Should be zero after this pass.</x:v>
      </x:c>
      <x:c r="D12" s="18"/>
      <x:c r="E12" s="18" t="str">
        <x:v>F-rescue-nonopioid</x:v>
      </x:c>
      <x:c r="F12" s="18" t="n">
        <x:v>4</x:v>
      </x:c>
      <x:c r="G12" s="18" t="n">
        <x:v>0</x:v>
      </x:c>
      <x:c r="H12" s="18" t="n">
        <x:v>1</x:v>
      </x:c>
      <x:c r="I12" s="18" t="n">
        <x:v>3</x:v>
      </x:c>
      <x:c r="J12" s="18"/>
      <x:c r="K12" s="18" t="str">
        <x:v>P1 disposition class</x:v>
      </x:c>
      <x:c r="L12" s="18" t="str">
        <x:v>Count</x:v>
      </x:c>
      <x:c r="M12" s="18"/>
      <x:c r="N12" s="18"/>
      <x:c r="O12" s="18"/>
      <x:c r="P12" s="18"/>
      <x:c r="Q12" s="18"/>
      <x:c r="R12" s="18"/>
    </x:row>
    <x:row r="13">
      <x:c r="A13" s="18" t="str">
        <x:v>Eligibility/no-data decisions</x:v>
      </x:c>
      <x:c r="B13" s="18" t="n">
        <x:v>20</x:v>
      </x:c>
      <x:c r="C13" s="18" t="str">
        <x:v>No numerical rows fabricated.</x:v>
      </x:c>
      <x:c r="D13" s="18"/>
      <x:c r="E13" s="18" t="str">
        <x:v>F-mixed/undefined</x:v>
      </x:c>
      <x:c r="F13" s="18" t="n">
        <x:v>7</x:v>
      </x:c>
      <x:c r="G13" s="18" t="n">
        <x:v>0</x:v>
      </x:c>
      <x:c r="H13" s="18" t="n">
        <x:v>1</x:v>
      </x:c>
      <x:c r="I13" s="18" t="n">
        <x:v>6</x:v>
      </x:c>
      <x:c r="J13" s="18"/>
      <x:c r="K13" s="18" t="str">
        <x:v>HARD_HOLD_DEPENDENCY</x:v>
      </x:c>
      <x:c r="L13" s="18" t="n">
        <x:v>1</x:v>
      </x:c>
      <x:c r="M13" s="18"/>
      <x:c r="N13" s="18"/>
      <x:c r="O13" s="18"/>
      <x:c r="P13" s="18"/>
      <x:c r="Q13" s="18"/>
      <x:c r="R13" s="18"/>
    </x:row>
    <x:row r="14">
      <x:c r="A14" s="18" t="str">
        <x:v>P1 scope holds</x:v>
      </x:c>
      <x:c r="B14" s="18" t="n">
        <x:v>1</x:v>
      </x:c>
      <x:c r="C14" s="18" t="str">
        <x:v>Still requires study-scope adjudication before final dataset lock.</x:v>
      </x:c>
      <x:c r="D14" s="18"/>
      <x:c r="E14" s="18" t="str">
        <x:v>F-PCA</x:v>
      </x:c>
      <x:c r="F14" s="18" t="n">
        <x:v>12</x:v>
      </x:c>
      <x:c r="G14" s="18" t="n">
        <x:v>0</x:v>
      </x:c>
      <x:c r="H14" s="18" t="n">
        <x:v>9</x:v>
      </x:c>
      <x:c r="I14" s="18" t="n">
        <x:v>3</x:v>
      </x:c>
      <x:c r="J14" s="18"/>
      <x:c r="K14" s="18" t="str">
        <x:v>HARD_HOLD_SCOPE</x:v>
      </x:c>
      <x:c r="L14" s="18" t="n">
        <x:v>1</x:v>
      </x:c>
      <x:c r="M14" s="18"/>
      <x:c r="N14" s="18"/>
      <x:c r="O14" s="18"/>
      <x:c r="P14" s="18"/>
      <x:c r="Q14" s="18"/>
      <x:c r="R14" s="18"/>
    </x:row>
    <x:row r="15">
      <x:c r="A15" s="18" t="str">
        <x:v>Material P1 issues in unresolved register</x:v>
      </x:c>
      <x:c r="B15" s="18" t="n">
        <x:v>19</x:v>
      </x:c>
      <x:c r="C15" s="18" t="str">
        <x:v>These remain explicit holds/sensitivity rules even though rows are normalized.</x:v>
      </x:c>
      <x:c r="D15" s="18"/>
      <x:c r="E15" s="18" t="str">
        <x:v>F-postop-dose</x:v>
      </x:c>
      <x:c r="F15" s="18" t="n">
        <x:v>10</x:v>
      </x:c>
      <x:c r="G15" s="18" t="n">
        <x:v>2</x:v>
      </x:c>
      <x:c r="H15" s="18" t="n">
        <x:v>4</x:v>
      </x:c>
      <x:c r="I15" s="18" t="n">
        <x:v>4</x:v>
      </x:c>
      <x:c r="J15" s="18"/>
      <x:c r="K15" s="18" t="str">
        <x:v>RESOLVED_BY_EXCLUSION</x:v>
      </x:c>
      <x:c r="L15" s="18" t="n">
        <x:v>6</x:v>
      </x:c>
      <x:c r="M15" s="18"/>
      <x:c r="N15" s="18"/>
      <x:c r="O15" s="18"/>
      <x:c r="P15" s="18"/>
      <x:c r="Q15" s="18"/>
      <x:c r="R15" s="18"/>
    </x:row>
    <x:row r="16">
      <x:c r="A16" s="18"/>
      <x:c r="B16" s="18"/>
      <x:c r="C16" s="18"/>
      <x:c r="D16" s="18"/>
      <x:c r="E16" s="18"/>
      <x:c r="F16" s="18"/>
      <x:c r="G16" s="18"/>
      <x:c r="H16" s="18"/>
      <x:c r="I16" s="18"/>
      <x:c r="J16" s="18"/>
      <x:c r="K16" s="18" t="str">
        <x:v>RESOLVED_BY_FIELD_EXCLUSION</x:v>
      </x:c>
      <x:c r="L16" s="18" t="n">
        <x:v>1</x:v>
      </x:c>
      <x:c r="M16" s="18"/>
      <x:c r="N16" s="18"/>
      <x:c r="O16" s="18"/>
      <x:c r="P16" s="18"/>
      <x:c r="Q16" s="18"/>
      <x:c r="R16" s="18"/>
    </x:row>
    <x:row r="17">
      <x:c r="A17" s="18"/>
      <x:c r="B17" s="18"/>
      <x:c r="C17" s="18"/>
      <x:c r="D17" s="18"/>
      <x:c r="E17" s="18"/>
      <x:c r="F17" s="18"/>
      <x:c r="G17" s="18"/>
      <x:c r="H17" s="18"/>
      <x:c r="I17" s="18"/>
      <x:c r="J17" s="18"/>
      <x:c r="K17" s="18" t="str">
        <x:v>RESOLVED_BY_MANDATORY_SENSITIVITY</x:v>
      </x:c>
      <x:c r="L17" s="18" t="n">
        <x:v>1</x:v>
      </x:c>
      <x:c r="M17" s="18"/>
      <x:c r="N17" s="18"/>
      <x:c r="O17" s="18"/>
      <x:c r="P17" s="18"/>
      <x:c r="Q17" s="18"/>
      <x:c r="R17" s="18"/>
    </x:row>
    <x:row r="18">
      <x:c r="A18" s="18" t="str">
        <x:v>Important</x:v>
      </x:c>
      <x:c r="B18" s="18" t="str">
        <x:v>No units/distributions were invented</x:v>
      </x:c>
      <x:c r="C18" s="18" t="str">
        <x:v>Unresolved metrics (e.g., Liang 2021 extra analgesia) are normalized with blank numeric fields and explicit source text/QC.</x:v>
      </x:c>
      <x:c r="D18" s="18"/>
      <x:c r="E18" s="18"/>
      <x:c r="F18" s="18"/>
      <x:c r="G18" s="18"/>
      <x:c r="H18" s="18"/>
      <x:c r="I18" s="18"/>
      <x:c r="J18" s="18"/>
      <x:c r="K18" s="18" t="str">
        <x:v>RESOLVED_BY_NARRATIVE_ONLY</x:v>
      </x:c>
      <x:c r="L18" s="18" t="n">
        <x:v>1</x:v>
      </x:c>
      <x:c r="M18" s="18"/>
      <x:c r="N18" s="18"/>
      <x:c r="O18" s="18"/>
      <x:c r="P18" s="18"/>
      <x:c r="Q18" s="18"/>
      <x:c r="R18" s="18"/>
    </x:row>
    <x:row r="19">
      <x:c r="A19" s="87" t="str">
        <x:v>Native-scale rule</x:v>
      </x:c>
      <x:c r="B19" s="18" t="str">
        <x:v>Preserved</x:v>
      </x:c>
      <x:c r="C19" s="18" t="str">
        <x:v>PCA demands, rescue counts, mixed-solution volume, µg/kg, and author-defined MME remain separate estimands.</x:v>
      </x:c>
      <x:c r="D19" s="18"/>
      <x:c r="E19" s="18"/>
      <x:c r="F19" s="18"/>
      <x:c r="G19" s="18"/>
      <x:c r="H19" s="18"/>
      <x:c r="I19" s="18"/>
      <x:c r="J19" s="18"/>
      <x:c r="K19" s="18" t="str">
        <x:v>RESOLVED_BY_NATIVE_DATA_RULE</x:v>
      </x:c>
      <x:c r="L19" s="18" t="n">
        <x:v>1</x:v>
      </x:c>
      <x:c r="M19" s="18"/>
      <x:c r="N19" s="18"/>
      <x:c r="O19" s="18"/>
      <x:c r="P19" s="18"/>
      <x:c r="Q19" s="18"/>
      <x:c r="R19" s="18"/>
    </x:row>
    <x:row r="20">
      <x:c r="A20" s="87" t="str">
        <x:v>Existing v20 source</x:v>
      </x:c>
      <x:c r="B20" s="18" t="str">
        <x:v>Preserved</x:v>
      </x:c>
      <x:c r="C20" s="18" t="str">
        <x:v>Outcome_Data is unchanged. All additions/corrections live in Outcome_Data_AF_LOCK.</x:v>
      </x:c>
      <x:c r="D20" s="18"/>
      <x:c r="E20" s="18"/>
      <x:c r="F20" s="18"/>
      <x:c r="G20" s="18"/>
      <x:c r="H20" s="18"/>
      <x:c r="I20" s="18"/>
      <x:c r="J20" s="18"/>
      <x:c r="K20" s="18" t="str">
        <x:v>RESOLVED_BY_PARTIAL_EXCLUSION</x:v>
      </x:c>
      <x:c r="L20" s="18" t="n">
        <x:v>1</x:v>
      </x:c>
      <x:c r="M20" s="18"/>
      <x:c r="N20" s="18"/>
      <x:c r="O20" s="18"/>
      <x:c r="P20" s="18"/>
      <x:c r="Q20" s="18"/>
      <x:c r="R20" s="18"/>
    </x:row>
    <x:row r="21">
      <x:c r="A21" s="87" t="str">
        <x:v>Yeh family</x:v>
      </x:c>
      <x:c r="B21" s="18" t="str">
        <x:v>Still on overlap hold</x:v>
      </x:c>
      <x:c r="C21" s="18" t="str">
        <x:v>Yeh 2010 and 2011 remain non-independent until cohort overlap is adjudicated.</x:v>
      </x:c>
      <x:c r="D21" s="18"/>
      <x:c r="E21" s="18"/>
      <x:c r="F21" s="18"/>
      <x:c r="G21" s="18"/>
      <x:c r="H21" s="18"/>
      <x:c r="I21" s="18"/>
      <x:c r="J21" s="18"/>
      <x:c r="K21" s="18" t="str">
        <x:v>RESOLVED_BY_RAW_DATA_RULE</x:v>
      </x:c>
      <x:c r="L21" s="18" t="n">
        <x:v>2</x:v>
      </x:c>
      <x:c r="M21" s="18"/>
      <x:c r="N21" s="18"/>
      <x:c r="O21" s="18"/>
      <x:c r="P21" s="18"/>
      <x:c r="Q21" s="18"/>
      <x:c r="R21" s="18"/>
    </x:row>
    <x:row r="22">
      <x:c r="A22" s="87" t="str">
        <x:v>JAMA Surgery colorectal EA</x:v>
      </x:c>
      <x:c r="B22" s="18" t="str">
        <x:v>Still P1 scope hold</x:v>
      </x:c>
      <x:c r="C22" s="18" t="str">
        <x:v>No new canonical study was silently added.</x:v>
      </x:c>
      <x:c r="D22" s="18"/>
      <x:c r="E22" s="18"/>
      <x:c r="F22" s="18"/>
      <x:c r="G22" s="18"/>
      <x:c r="H22" s="18"/>
      <x:c r="I22" s="18"/>
      <x:c r="J22" s="18"/>
      <x:c r="K22" s="18" t="str">
        <x:v>RESOLVED_BY_SENSITIVITY</x:v>
      </x:c>
      <x:c r="L22" s="18" t="n">
        <x:v>1</x:v>
      </x:c>
      <x:c r="M22" s="18"/>
      <x:c r="N22" s="18"/>
      <x:c r="O22" s="18"/>
      <x:c r="P22" s="18"/>
      <x:c r="Q22" s="18"/>
      <x:c r="R22" s="18"/>
    </x:row>
    <x:row r="23">
      <x:c r="A23" s="87" t="str">
        <x:v>Next gate</x:v>
      </x:c>
      <x:c r="B23" s="18" t="str">
        <x:v>P1 adjudication / dataset freeze</x:v>
      </x:c>
      <x:c r="C23" s="18" t="str">
        <x:v>After resolving or formally dispositioning P1 holds, create the Stata export layer.</x:v>
      </x:c>
      <x:c r="D23" s="18"/>
      <x:c r="E23" s="18"/>
      <x:c r="F23" s="18"/>
      <x:c r="G23" s="18"/>
      <x:c r="H23" s="18"/>
      <x:c r="I23" s="18"/>
      <x:c r="J23" s="18"/>
      <x:c r="K23" s="18" t="str">
        <x:v>RESOLVED_BY_SOURCE_HIERARCHY</x:v>
      </x:c>
      <x:c r="L23" s="18" t="n">
        <x:v>1</x:v>
      </x:c>
      <x:c r="M23" s="18"/>
      <x:c r="N23" s="18"/>
      <x:c r="O23" s="18"/>
      <x:c r="P23" s="18"/>
      <x:c r="Q23" s="18"/>
      <x:c r="R23" s="18"/>
    </x:row>
    <x:row r="24">
      <x:c r="A24" s="87"/>
      <x:c r="B24" s="18"/>
      <x:c r="C24" s="18"/>
      <x:c r="D24" s="18"/>
      <x:c r="E24" s="18"/>
      <x:c r="F24" s="18"/>
      <x:c r="G24" s="18"/>
      <x:c r="H24" s="18"/>
      <x:c r="I24" s="18"/>
      <x:c r="J24" s="18"/>
      <x:c r="K24" s="18" t="str">
        <x:v>RESOLVED_BY_STRATIFICATION</x:v>
      </x:c>
      <x:c r="L24" s="18" t="n">
        <x:v>1</x:v>
      </x:c>
      <x:c r="M24" s="18"/>
      <x:c r="N24" s="18"/>
      <x:c r="O24" s="18"/>
      <x:c r="P24" s="18"/>
      <x:c r="Q24" s="18"/>
      <x:c r="R24" s="18"/>
    </x:row>
    <x:row r="25">
      <x:c r="A25" s="18"/>
      <x:c r="B25" s="18"/>
      <x:c r="C25" s="18"/>
      <x:c r="D25" s="18"/>
      <x:c r="E25" s="18"/>
      <x:c r="F25" s="18"/>
      <x:c r="G25" s="18"/>
      <x:c r="H25" s="18"/>
      <x:c r="I25" s="18"/>
      <x:c r="J25" s="18"/>
      <x:c r="K25" s="18" t="str">
        <x:v>RESOLVED_BY_TIMEPOINT_EXCLUSION</x:v>
      </x:c>
      <x:c r="L25" s="18" t="n">
        <x:v>1</x:v>
      </x:c>
      <x:c r="M25" s="18"/>
      <x:c r="N25" s="18"/>
      <x:c r="O25" s="18"/>
      <x:c r="P25" s="18"/>
      <x:c r="Q25" s="18"/>
      <x:c r="R25" s="18"/>
    </x:row>
    <x:row r="26">
      <x:c r="A26" s="18" t="str">
        <x:v>Final reconciliation status — v26</x:v>
      </x:c>
      <x:c r="B26" s="18" t="str">
        <x:v>Status</x:v>
      </x:c>
      <x:c r="C26" s="18" t="str">
        <x:v>Detail</x:v>
      </x:c>
      <x:c r="D26" s="18"/>
      <x:c r="E26" s="18"/>
      <x:c r="F26" s="18"/>
      <x:c r="G26" s="18"/>
      <x:c r="H26" s="18"/>
      <x:c r="I26" s="18"/>
      <x:c r="J26" s="18"/>
      <x:c r="K26" s="18"/>
      <x:c r="L26" s="18"/>
      <x:c r="M26" s="18"/>
      <x:c r="N26" s="18"/>
      <x:c r="O26" s="18"/>
      <x:c r="P26" s="18"/>
      <x:c r="Q26" s="18"/>
      <x:c r="R26" s="18"/>
    </x:row>
    <x:row r="27">
      <x:c r="A27" s="18" t="str">
        <x:v>A–F normalization</x:v>
      </x:c>
      <x:c r="B27" s="18" t="str">
        <x:v>COMPLETE</x:v>
      </x:c>
      <x:c r="C27" s="18" t="str">
        <x:v>All identified ADD/PARTIAL/window-correction items are normalized or explicitly excluded.</x:v>
      </x:c>
      <x:c r="D27" s="18"/>
      <x:c r="E27" s="18"/>
      <x:c r="F27" s="18"/>
      <x:c r="G27" s="18"/>
      <x:c r="H27" s="18"/>
      <x:c r="I27" s="18"/>
      <x:c r="J27" s="18"/>
      <x:c r="K27" s="18"/>
      <x:c r="L27" s="18"/>
      <x:c r="M27" s="18"/>
      <x:c r="N27" s="18"/>
      <x:c r="O27" s="18"/>
      <x:c r="P27" s="18"/>
      <x:c r="Q27" s="18"/>
      <x:c r="R27" s="18"/>
    </x:row>
    <x:row r="28">
      <x:c r="A28" s="18" t="str">
        <x:v>Material P1 issues</x:v>
      </x:c>
      <x:c r="B28" s="18" t="str">
        <x:v>DISPOSITIONED</x:v>
      </x:c>
      <x:c r="C28" s="18" t="str">
        <x:v>Remaining study/result problems are handled by raw-data calculation, sensitivity, stratification, narrative-only, or explicit exclusion rules.</x:v>
      </x:c>
      <x:c r="D28" s="18"/>
      <x:c r="E28" s="18"/>
      <x:c r="F28" s="18"/>
      <x:c r="G28" s="18"/>
      <x:c r="H28" s="18"/>
      <x:c r="I28" s="18"/>
      <x:c r="J28" s="18"/>
      <x:c r="K28" s="18"/>
      <x:c r="L28" s="18"/>
      <x:c r="M28" s="18"/>
      <x:c r="N28" s="18"/>
      <x:c r="O28" s="18"/>
      <x:c r="P28" s="18"/>
      <x:c r="Q28" s="18"/>
      <x:c r="R28" s="18"/>
    </x:row>
    <x:row r="29">
      <x:c r="A29" s="18" t="str">
        <x:v>Yeh 2010/2011</x:v>
      </x:c>
      <x:c r="B29" s="18" t="str">
        <x:v>DEPENDENCY HOLD</x:v>
      </x:c>
      <x:c r="C29" s="18" t="str">
        <x:v>Do not count both independently; this is already encoded and does not block analyses of other studies.</x:v>
      </x:c>
      <x:c r="D29" s="18"/>
      <x:c r="E29" s="18"/>
      <x:c r="F29" s="18"/>
      <x:c r="G29" s="18"/>
      <x:c r="H29" s="18"/>
      <x:c r="I29" s="18"/>
      <x:c r="J29" s="18"/>
      <x:c r="K29" s="18"/>
      <x:c r="L29" s="18"/>
      <x:c r="M29" s="18"/>
      <x:c r="N29" s="18"/>
      <x:c r="O29" s="18"/>
      <x:c r="P29" s="18"/>
      <x:c r="Q29" s="18"/>
      <x:c r="R29" s="18"/>
    </x:row>
    <x:row r="30">
      <x:c r="A30" s="18" t="str">
        <x:v>Yu Wang JAMA Surgery 2023</x:v>
      </x:c>
      <x:c r="B30" s="18" t="str">
        <x:v>RESOLVED — EXCLUDED</x:v>
      </x:c>
      <x:c r="C30" s="18" t="str">
        <x:v>Full-text exclusion reason: wrong outcomes. It is not a missing eligible study.</x:v>
      </x:c>
      <x:c r="D30" s="18"/>
      <x:c r="E30" s="18"/>
      <x:c r="F30" s="18"/>
      <x:c r="G30" s="18"/>
      <x:c r="H30" s="18"/>
      <x:c r="I30" s="18"/>
      <x:c r="J30" s="18"/>
      <x:c r="K30" s="18"/>
      <x:c r="L30" s="18"/>
      <x:c r="M30" s="18"/>
      <x:c r="N30" s="18"/>
      <x:c r="O30" s="18"/>
      <x:c r="P30" s="18"/>
      <x:c r="Q30" s="18"/>
      <x:c r="R30" s="18"/>
    </x:row>
    <x:row r="31">
      <x:c r="A31" s="18" t="str">
        <x:v>Global completeness blockers</x:v>
      </x:c>
      <x:c r="B31" s="18" t="n">
        <x:v>0</x:v>
      </x:c>
      <x:c r="C31" s="18" t="str">
        <x:v>No unresolved missing-study/scope blocker remains.</x:v>
      </x:c>
      <x:c r="D31" s="18"/>
      <x:c r="E31" s="18"/>
      <x:c r="F31" s="18"/>
      <x:c r="G31" s="18"/>
      <x:c r="H31" s="18"/>
      <x:c r="I31" s="18"/>
      <x:c r="J31" s="18"/>
      <x:c r="K31" s="18"/>
      <x:c r="L31" s="18"/>
      <x:c r="M31" s="18"/>
      <x:c r="N31" s="18"/>
      <x:c r="O31" s="18"/>
      <x:c r="P31" s="18"/>
      <x:c r="Q31" s="18"/>
      <x:c r="R31" s="18"/>
    </x:row>
    <x:row r="32">
      <x:c r="A32" s="18" t="str">
        <x:v>Data reconciliation</x:v>
      </x:c>
      <x:c r="B32" s="18" t="str">
        <x:v>COMPLETE</x:v>
      </x:c>
      <x:c r="C32" s="18" t="str">
        <x:v>No further broad PDF-by-PDF reconciliation pass is required.</x:v>
      </x:c>
      <x:c r="D32" s="18"/>
      <x:c r="E32" s="18"/>
      <x:c r="F32" s="18"/>
      <x:c r="G32" s="18"/>
      <x:c r="H32" s="18"/>
      <x:c r="I32" s="18"/>
      <x:c r="J32" s="18"/>
      <x:c r="K32" s="18"/>
      <x:c r="L32" s="18"/>
      <x:c r="M32" s="18"/>
      <x:c r="N32" s="18"/>
      <x:c r="O32" s="18"/>
      <x:c r="P32" s="18"/>
      <x:c r="Q32" s="18"/>
      <x:c r="R32" s="18"/>
    </x:row>
    <x:row r="33">
      <x:c r="A33" s="18" t="str">
        <x:v>Stata analysis layer</x:v>
      </x:c>
      <x:c r="B33" s="18" t="str">
        <x:v>READY</x:v>
      </x:c>
      <x:c r="C33" s="18" t="str">
        <x:v>Proceed using strict/sensitivity/hold flags in the Stata sheets.</x:v>
      </x:c>
      <x:c r="D33" s="18"/>
      <x:c r="E33" s="18"/>
      <x:c r="F33" s="18"/>
      <x:c r="G33" s="18"/>
      <x:c r="H33" s="18"/>
      <x:c r="I33" s="18"/>
      <x:c r="J33" s="18"/>
      <x:c r="K33" s="18"/>
      <x:c r="L33" s="18"/>
      <x:c r="M33" s="18"/>
      <x:c r="N33" s="18"/>
      <x:c r="O33" s="18"/>
      <x:c r="P33" s="18"/>
      <x:c r="Q33" s="18"/>
      <x:c r="R33" s="18"/>
    </x:row>
    <x:row r="34">
      <x:c r="A34" s="18" t="str">
        <x:v>Final dataset lock</x:v>
      </x:c>
      <x:c r="B34" s="18" t="str">
        <x:v>READY TO FREEZE</x:v>
      </x:c>
      <x:c r="C34" s="18" t="str">
        <x:v>Subject only to executing the prespecified Stata QC/sensitivity analyses; not further extraction reconciliation.</x:v>
      </x:c>
      <x:c r="D34" s="18"/>
      <x:c r="E34" s="18"/>
      <x:c r="F34" s="18"/>
      <x:c r="G34" s="18"/>
      <x:c r="H34" s="18"/>
      <x:c r="I34" s="18"/>
      <x:c r="J34" s="18"/>
      <x:c r="K34" s="18"/>
      <x:c r="L34" s="18"/>
      <x:c r="M34" s="18"/>
      <x:c r="N34" s="18"/>
      <x:c r="O34" s="18"/>
      <x:c r="P34" s="18"/>
      <x:c r="Q34" s="18"/>
      <x:c r="R34" s="18"/>
    </x:row>
    <x:row r="35">
      <x:c r="A35" s="18" t="str">
        <x:v>Original v20 data</x:v>
      </x:c>
      <x:c r="B35" s="18" t="str">
        <x:v>PRESERVED</x:v>
      </x:c>
      <x:c r="C35" s="18" t="str">
        <x:v>Outcome_Data and original v20 analysis sheets remain unchanged for auditability.</x:v>
      </x:c>
      <x:c r="D35" s="18"/>
      <x:c r="E35" s="18"/>
      <x:c r="F35" s="18"/>
      <x:c r="G35" s="18"/>
      <x:c r="H35" s="18"/>
      <x:c r="I35" s="18"/>
      <x:c r="J35" s="18"/>
      <x:c r="K35" s="18"/>
      <x:c r="L35" s="18"/>
      <x:c r="M35" s="18"/>
      <x:c r="N35" s="18"/>
      <x:c r="O35" s="18"/>
      <x:c r="P35" s="18"/>
      <x:c r="Q35" s="18"/>
      <x:c r="R35" s="18"/>
    </x:row>
    <x:row r="36">
      <x:c r="A36" s="81" t="str">
        <x:v>Analysis QC</x:v>
      </x:c>
      <x:c r="B36" s="81" t="str">
        <x:v>NEXT</x:v>
      </x:c>
      <x:c r="C36" s="81" t="str">
        <x:v>Verify effect calculations, conversions, multi-arm handling, heterogeneity models, and sensitivity analyses in Stata.</x:v>
      </x:c>
    </x:row>
    <x:row r="37">
      <x:c r="A37" t="str">
        <x:v>Publication reporting</x:v>
      </x:c>
      <x:c r="B37" t="str">
        <x:v>NEXT</x:v>
      </x:c>
      <x:c r="C37" t="str">
        <x:v>Document exclusions, sensitivity decisions, and source discrepancies transparently.</x:v>
      </x:c>
    </x:row>
    <x:row r="38">
      <x:c r="A38" t="str">
        <x:v>Key correction</x:v>
      </x:c>
      <x:c r="B38" t="str">
        <x:v>RECORDED</x:v>
      </x:c>
      <x:c r="C38" t="str">
        <x:v>JAMA Surgery trial removed as a scope hold because it was excluded for wrong outcomes.</x:v>
      </x:c>
    </x:row>
    <x:row r="39">
      <x:c r="A39"/>
      <x:c r="B39"/>
      <x:c r="C39"/>
    </x:row>
    <x:row r="40">
      <x:c r="A40"/>
      <x:c r="B40"/>
      <x:c r="C40"/>
    </x:row>
    <x:row r="42">
      <x:c r="A42"/>
      <x:c r="B42"/>
      <x:c r="C42"/>
    </x:row>
    <x:row r="43">
      <x:c r="A43"/>
      <x:c r="B43"/>
      <x:c r="C43"/>
    </x:row>
    <x:row r="44">
      <x:c r="A44"/>
      <x:c r="B44"/>
      <x:c r="C44"/>
    </x:row>
    <x:row r="45">
      <x:c r="A45"/>
      <x:c r="B45"/>
      <x:c r="C45"/>
    </x:row>
    <x:row r="46">
      <x:c r="A46"/>
      <x:c r="B46"/>
      <x:c r="C46"/>
    </x:row>
    <x:row r="47">
      <x:c r="A47"/>
      <x:c r="B47"/>
      <x:c r="C47"/>
    </x:row>
    <x:row r="48">
      <x:c r="A48"/>
      <x:c r="B48"/>
      <x:c r="C48"/>
    </x:row>
  </x:sheetData>
  <x:mergeCells>
    <x:mergeCell ref="A1:C1"/>
  </x:mergeCells>
  <x:pageMargins left="0.7" right="0.7" top="0.75" bottom="0.75" header="0.3" footer="0.3"/>
  <x:drawing xmlns:r="http://schemas.openxmlformats.org/officeDocument/2006/relationships" r:id="R4d21335d70a34b4f"/>
</x:worksheet>
</file>

<file path=xl/worksheets/sheet23.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38" hidden="0" customWidth="1"/>
    <x:col min="5" max="5" width="26" hidden="0" customWidth="1"/>
    <x:col min="6" max="6" width="24" hidden="0" customWidth="1"/>
    <x:col min="7" max="7" width="55" hidden="0" customWidth="1"/>
    <x:col min="8" max="8" width="55" hidden="0" customWidth="1"/>
  </x:cols>
  <x:sheetData>
    <x:row r="1">
      <x:c r="A1" s="81" t="str">
        <x:v>Lock ID</x:v>
      </x:c>
      <x:c r="B1" s="81" t="str">
        <x:v>Target</x:v>
      </x:c>
      <x:c r="C1" s="81" t="str">
        <x:v>Study</x:v>
      </x:c>
      <x:c r="D1" s="81" t="str">
        <x:v>Outcome / estimand</x:v>
      </x:c>
      <x:c r="E1" s="81" t="str">
        <x:v>Old action</x:v>
      </x:c>
      <x:c r="F1" s="81" t="str">
        <x:v>v22 action</x:v>
      </x:c>
      <x:c r="G1" s="81" t="str">
        <x:v>Normalized comparison ID(s)</x:v>
      </x:c>
      <x:c r="H1" s="81" t="str">
        <x:v>Normalization note</x:v>
      </x:c>
    </x:row>
    <x:row r="2">
      <x:c r="A2" s="18" t="str">
        <x:v>A-001</x:v>
      </x:c>
      <x:c r="B2" s="18" t="str">
        <x:v>A</x:v>
      </x:c>
      <x:c r="C2" s="18" t="str">
        <x:v>Chen 2020</x:v>
      </x:c>
      <x:c r="D2" s="18" t="str">
        <x:v>Cumulative postoperative sufentanil</x:v>
      </x:c>
      <x:c r="E2" s="18" t="str">
        <x:v>NORMALIZED_V22</x:v>
      </x:c>
      <x:c r="F2" s="18" t="str">
        <x:v>NORMALIZED_V22</x:v>
      </x:c>
      <x:c r="G2" s="18" t="str">
        <x:v>CHEN20_TEAS_vs_SHAM_SUF48</x:v>
      </x:c>
      <x:c r="H2" s="18" t="str">
        <x:v>Normalized into Outcome_Data_AF_LOCK in v22 (1 new source-scale row(s)); original v20 Outcome_Data remains unchanged.</x:v>
      </x:c>
    </x:row>
    <x:row r="3">
      <x:c r="A3" s="18" t="str">
        <x:v>A-004</x:v>
      </x:c>
      <x:c r="B3" s="18" t="str">
        <x:v>A</x:v>
      </x:c>
      <x:c r="C3" s="18" t="str">
        <x:v>Xie 2014</x:v>
      </x:c>
      <x:c r="D3" s="18" t="str">
        <x:v>Total sufentanil</x:v>
      </x:c>
      <x:c r="E3" s="18" t="str">
        <x:v>CORRECTED_V22</x:v>
      </x:c>
      <x:c r="F3" s="18" t="str">
        <x:v>CORRECTED_V22</x:v>
      </x:c>
      <x:c r="G3" s="18" t="str">
        <x:v>XIE14_EAS_vs_SHAM_TOTALSUF; XIE14_EAS_vs_CONTROL_TOTALSUF</x:v>
      </x:c>
      <x:c r="H3" s="18" t="str">
        <x:v>Existing v20 row retained in original Outcome_Data; source-level value/window correction applied only in Outcome_Data_AF_LOCK v22.</x:v>
      </x:c>
    </x:row>
    <x:row r="4">
      <x:c r="A4" s="18" t="str">
        <x:v>B-001</x:v>
      </x:c>
      <x:c r="B4" s="18" t="str">
        <x:v>B</x:v>
      </x:c>
      <x:c r="C4" s="18" t="str">
        <x:v>Yang 2024</x:v>
      </x:c>
      <x:c r="D4" s="18" t="str">
        <x:v>Cumulative postoperative morphine</x:v>
      </x:c>
      <x:c r="E4" s="18" t="str">
        <x:v>NORMALIZED_V22</x:v>
      </x:c>
      <x:c r="F4" s="18" t="str">
        <x:v>NORMALIZED_V22</x:v>
      </x:c>
      <x:c r="G4" s="18" t="str">
        <x:v>YANG24_EA_vs_UC_MORPH72</x:v>
      </x:c>
      <x:c r="H4" s="18" t="str">
        <x:v>Normalized into Outcome_Data_AF_LOCK in v22 (1 new source-scale row(s)); original v20 Outcome_Data remains unchanged.</x:v>
      </x:c>
    </x:row>
    <x:row r="5">
      <x:c r="A5" s="18" t="str">
        <x:v>D-006</x:v>
      </x:c>
      <x:c r="B5" s="18" t="str">
        <x:v>D</x:v>
      </x:c>
      <x:c r="C5" s="18" t="str">
        <x:v>Yang 2024</x:v>
      </x:c>
      <x:c r="D5" s="18" t="str">
        <x:v>Nausea incidence</x:v>
      </x:c>
      <x:c r="E5" s="18" t="str">
        <x:v>NORMALIZED_V22</x:v>
      </x:c>
      <x:c r="F5" s="18" t="str">
        <x:v>NORMALIZED_V22</x:v>
      </x:c>
      <x:c r="G5" s="18" t="str">
        <x:v>YANG24_EA_vs_UC_NAUSEA24</x:v>
      </x:c>
      <x:c r="H5" s="18" t="str">
        <x:v>Normalized into Outcome_Data_AF_LOCK in v22 (1 new source-scale row(s)); original v20 Outcome_Data remains unchanged.</x:v>
      </x:c>
    </x:row>
    <x:row r="6">
      <x:c r="A6" s="18" t="str">
        <x:v>D-009</x:v>
      </x:c>
      <x:c r="B6" s="18" t="str">
        <x:v>D</x:v>
      </x:c>
      <x:c r="C6" s="18" t="str">
        <x:v>Yang 2024</x:v>
      </x:c>
      <x:c r="D6" s="18" t="str">
        <x:v>Vomiting incidence</x:v>
      </x:c>
      <x:c r="E6" s="18" t="str">
        <x:v>CORRECTED_V22</x:v>
      </x:c>
      <x:c r="F6" s="18" t="str">
        <x:v>CORRECTED_V22</x:v>
      </x:c>
      <x:c r="G6" s="18" t="str">
        <x:v>YANG24_EA_vs_UC_VOMIT</x:v>
      </x:c>
      <x:c r="H6" s="18" t="str">
        <x:v>Existing v20 row retained in original Outcome_Data; source-level value/window correction applied only in Outcome_Data_AF_LOCK v22.</x:v>
      </x:c>
    </x:row>
    <x:row r="7">
      <x:c r="A7" s="18" t="str">
        <x:v>F-intra-002</x:v>
      </x:c>
      <x:c r="B7" s="18" t="str">
        <x:v>F-intra</x:v>
      </x:c>
      <x:c r="C7" s="18" t="str">
        <x:v>Hou 2023</x:v>
      </x:c>
      <x:c r="D7" s="18" t="str">
        <x:v>remifentanil</x:v>
      </x:c>
      <x:c r="E7" s="18" t="str">
        <x:v>NORMALIZED_V22</x:v>
      </x:c>
      <x:c r="F7" s="18" t="str">
        <x:v>NORMALIZED_V22</x:v>
      </x:c>
      <x:c r="G7" s="18" t="str">
        <x:v>HOU23_TEAS_vs_SHAM_REMI</x:v>
      </x:c>
      <x:c r="H7" s="18" t="str">
        <x:v>Normalized into Outcome_Data_AF_LOCK in v22 (1 new source-scale row(s)); original v20 Outcome_Data remains unchanged.</x:v>
      </x:c>
    </x:row>
    <x:row r="8">
      <x:c r="A8" s="18" t="str">
        <x:v>F-intra-011</x:v>
      </x:c>
      <x:c r="B8" s="18" t="str">
        <x:v>F-intra</x:v>
      </x:c>
      <x:c r="C8" s="18" t="str">
        <x:v>Yang 2024</x:v>
      </x:c>
      <x:c r="D8" s="18" t="str">
        <x:v>remifentanil</x:v>
      </x:c>
      <x:c r="E8" s="18" t="str">
        <x:v>NORMALIZED_V22</x:v>
      </x:c>
      <x:c r="F8" s="18" t="str">
        <x:v>NORMALIZED_V22</x:v>
      </x:c>
      <x:c r="G8" s="18" t="str">
        <x:v>YANG24_EA_vs_UC_REMI</x:v>
      </x:c>
      <x:c r="H8" s="18" t="str">
        <x:v>Normalized into Outcome_Data_AF_LOCK in v22 (1 new source-scale row(s)); original v20 Outcome_Data remains unchanged.</x:v>
      </x:c>
    </x:row>
    <x:row r="9">
      <x:c r="A9" s="18" t="str">
        <x:v>F-intra-012</x:v>
      </x:c>
      <x:c r="B9" s="18" t="str">
        <x:v>F-intra</x:v>
      </x:c>
      <x:c r="C9" s="18" t="str">
        <x:v>Liang 2021</x:v>
      </x:c>
      <x:c r="D9" s="18" t="str">
        <x:v>remifentanil</x:v>
      </x:c>
      <x:c r="E9" s="18" t="str">
        <x:v>NORMALIZED_V22</x:v>
      </x:c>
      <x:c r="F9" s="18" t="str">
        <x:v>NORMALIZED_V22</x:v>
      </x:c>
      <x:c r="G9" s="18" t="str">
        <x:v>LIANG21_TEAS_vs_CTRL_REMI</x:v>
      </x:c>
      <x:c r="H9" s="18" t="str">
        <x:v>Normalized into Outcome_Data_AF_LOCK in v22 (1 new source-scale row(s)); original v20 Outcome_Data remains unchanged.</x:v>
      </x:c>
    </x:row>
    <x:row r="10">
      <x:c r="A10" s="18" t="str">
        <x:v>F-intra-013</x:v>
      </x:c>
      <x:c r="B10" s="18" t="str">
        <x:v>F-intra</x:v>
      </x:c>
      <x:c r="C10" s="18" t="str">
        <x:v>Pan 2023</x:v>
      </x:c>
      <x:c r="D10" s="18" t="str">
        <x:v>remifentanil</x:v>
      </x:c>
      <x:c r="E10" s="18" t="str">
        <x:v>NORMALIZED_V22</x:v>
      </x:c>
      <x:c r="F10" s="18" t="str">
        <x:v>NORMALIZED_V22</x:v>
      </x:c>
      <x:c r="G10" s="18" t="str">
        <x:v>PAN23_TEAS_vs_CONTROL_REMI</x:v>
      </x:c>
      <x:c r="H10" s="18" t="str">
        <x:v>Normalized into Outcome_Data_AF_LOCK in v22 (1 new source-scale row(s)); original v20 Outcome_Data remains unchanged.</x:v>
      </x:c>
    </x:row>
    <x:row r="11">
      <x:c r="A11" s="18" t="str">
        <x:v>F-exposure-001</x:v>
      </x:c>
      <x:c r="B11" s="18" t="str">
        <x:v>F-exposure</x:v>
      </x:c>
      <x:c r="C11" s="18" t="str">
        <x:v>Li 2022</x:v>
      </x:c>
      <x:c r="D11" s="18" t="str">
        <x:v>Fixed-rate remifentanil exposure</x:v>
      </x:c>
      <x:c r="E11" s="18" t="str">
        <x:v>NORMALIZED_V22</x:v>
      </x:c>
      <x:c r="F11" s="18" t="str">
        <x:v>NORMALIZED_V22</x:v>
      </x:c>
      <x:c r="G11" s="18" t="str">
        <x:v>LI22_EA_vs_SHAM_REMI_FIXED</x:v>
      </x:c>
      <x:c r="H11" s="18" t="str">
        <x:v>Normalized into Outcome_Data_AF_LOCK in v22 (1 new source-scale row(s)); original v20 Outcome_Data remains unchanged.</x:v>
      </x:c>
    </x:row>
    <x:row r="12">
      <x:c r="A12" s="18" t="str">
        <x:v>F-exposure-002</x:v>
      </x:c>
      <x:c r="B12" s="18" t="str">
        <x:v>F-exposure</x:v>
      </x:c>
      <x:c r="C12" s="18" t="str">
        <x:v>Chen 2015 (Hyperalgesia)</x:v>
      </x:c>
      <x:c r="D12" s="18" t="str">
        <x:v>Fixed-target remifentanil exposure</x:v>
      </x:c>
      <x:c r="E12" s="18" t="str">
        <x:v>NORMALIZED_V22</x:v>
      </x:c>
      <x:c r="F12" s="18" t="str">
        <x:v>NORMALIZED_V22</x:v>
      </x:c>
      <x:c r="G12" s="18" t="str">
        <x:v>CHEN15H_TEAS_vs_SHAM_REMI_FIXED</x:v>
      </x:c>
      <x:c r="H12" s="18" t="str">
        <x:v>Normalized into Outcome_Data_AF_LOCK in v22 (1 new source-scale row(s)); original v20 Outcome_Data remains unchanged.</x:v>
      </x:c>
    </x:row>
    <x:row r="13">
      <x:c r="A13" s="18" t="str">
        <x:v>F-exposure-003</x:v>
      </x:c>
      <x:c r="B13" s="18" t="str">
        <x:v>F-exposure</x:v>
      </x:c>
      <x:c r="C13" s="18" t="str">
        <x:v>Xie 2014</x:v>
      </x:c>
      <x:c r="D13" s="18" t="str">
        <x:v>Intraoperative remifentanil exposure</x:v>
      </x:c>
      <x:c r="E13" s="18" t="str">
        <x:v>NORMALIZED_V22</x:v>
      </x:c>
      <x:c r="F13" s="18" t="str">
        <x:v>NORMALIZED_V22</x:v>
      </x:c>
      <x:c r="G13" s="18" t="str">
        <x:v>XIE14_EAS_vs_SHAM_REMI</x:v>
      </x:c>
      <x:c r="H13" s="18" t="str">
        <x:v>Normalized into Outcome_Data_AF_LOCK in v22 (1 new source-scale row(s)); original v20 Outcome_Data remains unchanged.</x:v>
      </x:c>
    </x:row>
    <x:row r="14">
      <x:c r="A14" s="18" t="str">
        <x:v>F-rescue-opioid-001</x:v>
      </x:c>
      <x:c r="B14" s="18" t="str">
        <x:v>F-rescue-opioid</x:v>
      </x:c>
      <x:c r="C14" s="18" t="str">
        <x:v>Yao 2015</x:v>
      </x:c>
      <x:c r="D14" s="18" t="str">
        <x:v>Rescue sufentanil administration count</x:v>
      </x:c>
      <x:c r="E14" s="18" t="str">
        <x:v>NORMALIZED_V22</x:v>
      </x:c>
      <x:c r="F14" s="18" t="str">
        <x:v>NORMALIZED_V22</x:v>
      </x:c>
      <x:c r="G14" s="18" t="str">
        <x:v>YAO15_TEAS_vs_CONTROL_RESCUECOUNT24</x:v>
      </x:c>
      <x:c r="H14" s="18" t="str">
        <x:v>Normalized into Outcome_Data_AF_LOCK in v22 (1 new source-scale row(s)); original v20 Outcome_Data remains unchanged.</x:v>
      </x:c>
    </x:row>
    <x:row r="15">
      <x:c r="A15" s="18" t="str">
        <x:v>F-rescue-opioid-003</x:v>
      </x:c>
      <x:c r="B15" s="18" t="str">
        <x:v>F-rescue-opioid</x:v>
      </x:c>
      <x:c r="C15" s="18" t="str">
        <x:v>Chen 2015</x:v>
      </x:c>
      <x:c r="D15" s="18" t="str">
        <x:v>Rescue morphine count</x:v>
      </x:c>
      <x:c r="E15" s="18" t="str">
        <x:v>NORMALIZED_V22</x:v>
      </x:c>
      <x:c r="F15" s="18" t="str">
        <x:v>NORMALIZED_V22</x:v>
      </x:c>
      <x:c r="G15" s="18" t="str">
        <x:v>CHEN15Q_TEAS_vs_CTRL_RESCUECOUNT24</x:v>
      </x:c>
      <x:c r="H15" s="18" t="str">
        <x:v>Normalized into Outcome_Data_AF_LOCK in v22 (1 new source-scale row(s)); original v20 Outcome_Data remains unchanged.</x:v>
      </x:c>
    </x:row>
    <x:row r="16">
      <x:c r="A16" s="18" t="str">
        <x:v>F-rescue-opioid-004</x:v>
      </x:c>
      <x:c r="B16" s="18" t="str">
        <x:v>F-rescue-opioid</x:v>
      </x:c>
      <x:c r="C16" s="18" t="str">
        <x:v>Xie 2014</x:v>
      </x:c>
      <x:c r="D16" s="18" t="str">
        <x:v>Rescue dezocine incidence</x:v>
      </x:c>
      <x:c r="E16" s="18" t="str">
        <x:v>NORMALIZED_V22</x:v>
      </x:c>
      <x:c r="F16" s="18" t="str">
        <x:v>NORMALIZED_V22</x:v>
      </x:c>
      <x:c r="G16" s="18" t="str">
        <x:v>XIE14_EAS_vs_SHAM_DEZOCINE48</x:v>
      </x:c>
      <x:c r="H16" s="18" t="str">
        <x:v>Normalized into Outcome_Data_AF_LOCK in v22 (1 new source-scale row(s)); original v20 Outcome_Data remains unchanged.</x:v>
      </x:c>
    </x:row>
    <x:row r="17">
      <x:c r="A17" s="18" t="str">
        <x:v>F-rescue-opioid-006</x:v>
      </x:c>
      <x:c r="B17" s="18" t="str">
        <x:v>F-rescue-opioid</x:v>
      </x:c>
      <x:c r="C17" s="18" t="str">
        <x:v>Yu 2020</x:v>
      </x:c>
      <x:c r="D17" s="18" t="str">
        <x:v>Rescue sufentanil incidence</x:v>
      </x:c>
      <x:c r="E17" s="18" t="str">
        <x:v>NORMALIZED_V22</x:v>
      </x:c>
      <x:c r="F17" s="18" t="str">
        <x:v>NORMALIZED_V22</x:v>
      </x:c>
      <x:c r="G17" s="18" t="str">
        <x:v>YU20_TEAS_vs_CONTROL_RESCUE24</x:v>
      </x:c>
      <x:c r="H17" s="18" t="str">
        <x:v>Normalized into Outcome_Data_AF_LOCK in v22 (1 new source-scale row(s)); original v20 Outcome_Data remains unchanged.</x:v>
      </x:c>
    </x:row>
    <x:row r="18">
      <x:c r="A18" s="18" t="str">
        <x:v>F-rescue-nonopioid-001</x:v>
      </x:c>
      <x:c r="B18" s="18" t="str">
        <x:v>F-rescue-nonopioid</x:v>
      </x:c>
      <x:c r="C18" s="18" t="str">
        <x:v>Li 2022</x:v>
      </x:c>
      <x:c r="D18" s="18" t="str">
        <x:v>Rescue flurbiprofen incidence</x:v>
      </x:c>
      <x:c r="E18" s="18" t="str">
        <x:v>NORMALIZED_V22</x:v>
      </x:c>
      <x:c r="F18" s="18" t="str">
        <x:v>NORMALIZED_V22</x:v>
      </x:c>
      <x:c r="G18" s="18" t="str">
        <x:v>LI22_EA_vs_SHAM_RESCUEFLURB48</x:v>
      </x:c>
      <x:c r="H18" s="18" t="str">
        <x:v>Normalized into Outcome_Data_AF_LOCK in v22 (1 new source-scale row(s)); original v20 Outcome_Data remains unchanged.</x:v>
      </x:c>
    </x:row>
    <x:row r="19">
      <x:c r="A19" s="18" t="str">
        <x:v>F-rescue-nonopioid-004</x:v>
      </x:c>
      <x:c r="B19" s="18" t="str">
        <x:v>F-rescue-nonopioid</x:v>
      </x:c>
      <x:c r="C19" s="18" t="str">
        <x:v>Lu 2021</x:v>
      </x:c>
      <x:c r="D19" s="18" t="str">
        <x:v>Rescue parecoxib incidence</x:v>
      </x:c>
      <x:c r="E19" s="18" t="str">
        <x:v>NORMALIZED_V22</x:v>
      </x:c>
      <x:c r="F19" s="18" t="str">
        <x:v>NORMALIZED_V22</x:v>
      </x:c>
      <x:c r="G19" s="18" t="str">
        <x:v>LU21_COMB_vs_SHAM_PARECOX24</x:v>
      </x:c>
      <x:c r="H19" s="18" t="str">
        <x:v>Normalized into Outcome_Data_AF_LOCK in v22 (1 new source-scale row(s)); original v20 Outcome_Data remains unchanged.</x:v>
      </x:c>
    </x:row>
    <x:row r="20">
      <x:c r="A20" s="18" t="str">
        <x:v>F-mixed/undefined-003</x:v>
      </x:c>
      <x:c r="B20" s="18" t="str">
        <x:v>F-mixed/undefined</x:v>
      </x:c>
      <x:c r="C20" s="18" t="str">
        <x:v>Wu 2025</x:v>
      </x:c>
      <x:c r="D20" s="18" t="str">
        <x:v>Mixed/undefined analgesic use</x:v>
      </x:c>
      <x:c r="E20" s="18" t="str">
        <x:v>NORMALIZED_V22</x:v>
      </x:c>
      <x:c r="F20" s="18" t="str">
        <x:v>NORMALIZED_V22</x:v>
      </x:c>
      <x:c r="G20" s="18" t="str">
        <x:v>WU25_TEAS_vs_SHAM_RESCUE_PARACET24; WU25_TEAS_vs_SHAM_RESCUE_OXYAPAP24; WU25_TEAS_vs_SHAM_RESCUE_PARECOX24</x:v>
      </x:c>
      <x:c r="H20" s="18" t="str">
        <x:v>Normalized into Outcome_Data_AF_LOCK in v22 (3 new source-scale row(s)); original v20 Outcome_Data remains unchanged.</x:v>
      </x:c>
    </x:row>
    <x:row r="21">
      <x:c r="A21" s="18" t="str">
        <x:v>F-mixed/undefined-004</x:v>
      </x:c>
      <x:c r="B21" s="18" t="str">
        <x:v>F-mixed/undefined</x:v>
      </x:c>
      <x:c r="C21" s="18" t="str">
        <x:v>Liang 2021</x:v>
      </x:c>
      <x:c r="D21" s="18" t="str">
        <x:v>Mixed/undefined analgesic use</x:v>
      </x:c>
      <x:c r="E21" s="18" t="str">
        <x:v>NORMALIZED_V22</x:v>
      </x:c>
      <x:c r="F21" s="18" t="str">
        <x:v>NORMALIZED_V22</x:v>
      </x:c>
      <x:c r="G21" s="18" t="str">
        <x:v>LIANG21_TEAS_vs_CTRL_EXTRAANALG</x:v>
      </x:c>
      <x:c r="H21" s="18" t="str">
        <x:v>Normalized into Outcome_Data_AF_LOCK in v22 (1 new source-scale row(s)); original v20 Outcome_Data remains unchanged.</x:v>
      </x:c>
    </x:row>
    <x:row r="22">
      <x:c r="A22" s="18" t="str">
        <x:v>F-mixed/undefined-005</x:v>
      </x:c>
      <x:c r="B22" s="18" t="str">
        <x:v>F-mixed/undefined</x:v>
      </x:c>
      <x:c r="C22" s="18" t="str">
        <x:v>Yang 2020</x:v>
      </x:c>
      <x:c r="D22" s="18" t="str">
        <x:v>Mixed/undefined analgesic use</x:v>
      </x:c>
      <x:c r="E22" s="18" t="str">
        <x:v>NORMALIZED_V22</x:v>
      </x:c>
      <x:c r="F22" s="18" t="str">
        <x:v>NORMALIZED_V22</x:v>
      </x:c>
      <x:c r="G22" s="18" t="str">
        <x:v>YANG20_EA_vs_UC_BUCINNAZINE</x:v>
      </x:c>
      <x:c r="H22" s="18" t="str">
        <x:v>Normalized into Outcome_Data_AF_LOCK in v22 (1 new source-scale row(s)); original v20 Outcome_Data remains unchanged.</x:v>
      </x:c>
    </x:row>
    <x:row r="23">
      <x:c r="A23" s="18" t="str">
        <x:v>F-mixed/undefined-006</x:v>
      </x:c>
      <x:c r="B23" s="18" t="str">
        <x:v>F-mixed/undefined</x:v>
      </x:c>
      <x:c r="C23" s="18" t="str">
        <x:v>Yang 2024</x:v>
      </x:c>
      <x:c r="D23" s="18" t="str">
        <x:v>Mixed/undefined analgesic use</x:v>
      </x:c>
      <x:c r="E23" s="18" t="str">
        <x:v>NORMALIZED_V22</x:v>
      </x:c>
      <x:c r="F23" s="18" t="str">
        <x:v>NORMALIZED_V22</x:v>
      </x:c>
      <x:c r="G23" s="18" t="str">
        <x:v>YANG24_EA_vs_UC_BUCINNAZINE</x:v>
      </x:c>
      <x:c r="H23" s="18" t="str">
        <x:v>Normalized into Outcome_Data_AF_LOCK in v22 (1 new source-scale row(s)); original v20 Outcome_Data remains unchanged.</x:v>
      </x:c>
    </x:row>
    <x:row r="24">
      <x:c r="A24" s="18" t="str">
        <x:v>F-mixed/undefined-007</x:v>
      </x:c>
      <x:c r="B24" s="18" t="str">
        <x:v>F-mixed/undefined</x:v>
      </x:c>
      <x:c r="C24" s="18" t="str">
        <x:v>Zhou 2021</x:v>
      </x:c>
      <x:c r="D24" s="18" t="str">
        <x:v>Mixed/undefined analgesic use</x:v>
      </x:c>
      <x:c r="E24" s="18" t="str">
        <x:v>NORMALIZED_V22</x:v>
      </x:c>
      <x:c r="F24" s="18" t="str">
        <x:v>NORMALIZED_V22</x:v>
      </x:c>
      <x:c r="G24" s="18" t="str">
        <x:v>ZHOU21_TEAS_vs_UC_OPIOIDUSE; ZHOU21_TEAS_vs_UC_MME_POSTOP</x:v>
      </x:c>
      <x:c r="H24" s="18" t="str">
        <x:v>Normalized into Outcome_Data_AF_LOCK in v22 (1 new source-scale row(s)); original v20 Outcome_Data remains unchanged.</x:v>
      </x:c>
    </x:row>
    <x:row r="25">
      <x:c r="A25" s="18" t="str">
        <x:v>F-PCA-001</x:v>
      </x:c>
      <x:c r="B25" s="18" t="str">
        <x:v>F-PCA</x:v>
      </x:c>
      <x:c r="C25" s="18" t="str">
        <x:v>Chen 2020</x:v>
      </x:c>
      <x:c r="D25" s="18" t="str">
        <x:v>PCIA total/effective attempts</x:v>
      </x:c>
      <x:c r="E25" s="18" t="str">
        <x:v>NORMALIZED_V22</x:v>
      </x:c>
      <x:c r="F25" s="18" t="str">
        <x:v>NORMALIZED_V22</x:v>
      </x:c>
      <x:c r="G25" s="18" t="str">
        <x:v>CHEN20_TEAS_vs_SHAM_PCAATT48; CHEN20_TEAS_vs_SHAM_PCAEFF48</x:v>
      </x:c>
      <x:c r="H25" s="18" t="str">
        <x:v>Normalized into Outcome_Data_AF_LOCK in v22 (2 new source-scale row(s)); original v20 Outcome_Data remains unchanged.</x:v>
      </x:c>
    </x:row>
    <x:row r="26">
      <x:c r="A26" s="18" t="str">
        <x:v>F-PCA-002</x:v>
      </x:c>
      <x:c r="B26" s="18" t="str">
        <x:v>F-PCA</x:v>
      </x:c>
      <x:c r="C26" s="18" t="str">
        <x:v>He 2026 (hepatectomy/JIS)</x:v>
      </x:c>
      <x:c r="D26" s="18" t="str">
        <x:v>PCA attempts/effective deliveries</x:v>
      </x:c>
      <x:c r="E26" s="18" t="str">
        <x:v>NORMALIZED_V22</x:v>
      </x:c>
      <x:c r="F26" s="18" t="str">
        <x:v>NORMALIZED_V22</x:v>
      </x:c>
      <x:c r="G26" s="18" t="str">
        <x:v>HEJIS26_TEAS_vs_CTRL_PCAATT24; HEJIS26_TEAS_vs_CTRL_PCADELIV24</x:v>
      </x:c>
      <x:c r="H26" s="18" t="str">
        <x:v>Normalized into Outcome_Data_AF_LOCK in v22 (1 new source-scale row(s)); original v20 Outcome_Data remains unchanged.</x:v>
      </x:c>
    </x:row>
    <x:row r="27">
      <x:c r="A27" s="18" t="str">
        <x:v>F-PCA-008</x:v>
      </x:c>
      <x:c r="B27" s="18" t="str">
        <x:v>F-PCA</x:v>
      </x:c>
      <x:c r="C27" s="18" t="str">
        <x:v>Lee 2011</x:v>
      </x:c>
      <x:c r="D27" s="18" t="str">
        <x:v>PCA demands</x:v>
      </x:c>
      <x:c r="E27" s="18" t="str">
        <x:v>NORMALIZED_V22</x:v>
      </x:c>
      <x:c r="F27" s="18" t="str">
        <x:v>NORMALIZED_V22</x:v>
      </x:c>
      <x:c r="G27" s="18" t="str">
        <x:v>LEE11_LOW_vs_SHAM_PCADEMAND24; LEE11_HIGH_vs_SHAM_PCADEMAND24</x:v>
      </x:c>
      <x:c r="H27" s="18" t="str">
        <x:v>Normalized into Outcome_Data_AF_LOCK in v22 (2 new source-scale row(s)); original v20 Outcome_Data remains unchanged.</x:v>
      </x:c>
    </x:row>
    <x:row r="28">
      <x:c r="A28" s="18" t="str">
        <x:v>F-PCA-009</x:v>
      </x:c>
      <x:c r="B28" s="18" t="str">
        <x:v>F-PCA</x:v>
      </x:c>
      <x:c r="C28" s="18" t="str">
        <x:v>Lu 2022</x:v>
      </x:c>
      <x:c r="D28" s="18" t="str">
        <x:v>PCA attempts/deliveries</x:v>
      </x:c>
      <x:c r="E28" s="18" t="str">
        <x:v>NORMALIZED_V22</x:v>
      </x:c>
      <x:c r="F28" s="18" t="str">
        <x:v>NORMALIZED_V22</x:v>
      </x:c>
      <x:c r="G28" s="18" t="str">
        <x:v>LU22_TEAS_vs_CTRL_PCAATTEMPT24; LU22_TEAS_vs_CTRL_PCADELIV24; LU22_TEAS_vs_CTRL_PCAATTEMPT48; LU22_TEAS_vs_CTRL_PCADELIV48; LU22_TEAS_vs_CTRL_PCAATTEMPT72; LU22_TEAS_vs_CTRL_PCADELIV72</x:v>
      </x:c>
      <x:c r="H28" s="18" t="str">
        <x:v>Normalized into Outcome_Data_AF_LOCK in v22 (4 new source-scale row(s)); original v20 Outcome_Data remains unchanged.</x:v>
      </x:c>
    </x:row>
    <x:row r="29">
      <x:c r="A29" s="18" t="str">
        <x:v>F-PCA-010</x:v>
      </x:c>
      <x:c r="B29" s="18" t="str">
        <x:v>F-PCA</x:v>
      </x:c>
      <x:c r="C29" s="18" t="str">
        <x:v>Yeh 2010</x:v>
      </x:c>
      <x:c r="D29" s="18" t="str">
        <x:v>PCA button pushes</x:v>
      </x:c>
      <x:c r="E29" s="18" t="str">
        <x:v>NORMALIZED_V22</x:v>
      </x:c>
      <x:c r="F29" s="18" t="str">
        <x:v>NORMALIZED_V22</x:v>
      </x:c>
      <x:c r="G29" s="18" t="str">
        <x:v>YEH10_AES_vs_SHAM_PCAPUSH24</x:v>
      </x:c>
      <x:c r="H29" s="18" t="str">
        <x:v>Normalized into Outcome_Data_AF_LOCK in v22 (1 new source-scale row(s)); original v20 Outcome_Data remains unchanged.</x:v>
      </x:c>
    </x:row>
    <x:row r="30">
      <x:c r="A30" s="18" t="str">
        <x:v>F-PCA-011</x:v>
      </x:c>
      <x:c r="B30" s="18" t="str">
        <x:v>F-PCA</x:v>
      </x:c>
      <x:c r="C30" s="18" t="str">
        <x:v>Lin 2002</x:v>
      </x:c>
      <x:c r="D30" s="18" t="str">
        <x:v>PCA demands</x:v>
      </x:c>
      <x:c r="E30" s="18" t="str">
        <x:v>NORMALIZED_V22</x:v>
      </x:c>
      <x:c r="F30" s="18" t="str">
        <x:v>NORMALIZED_V22</x:v>
      </x:c>
      <x:c r="G30" s="18" t="str">
        <x:v>LIN02_HIGH_vs_SHAM_PCADEMAND24; LIN02_LOW_vs_SHAM_PCADEMAND24</x:v>
      </x:c>
      <x:c r="H30" s="18" t="str">
        <x:v>Normalized into Outcome_Data_AF_LOCK in v22 (2 new source-scale row(s)); original v20 Outcome_Data remains unchanged.</x:v>
      </x:c>
    </x:row>
    <x:row r="31">
      <x:c r="A31" s="18" t="str">
        <x:v>F-PCA-012</x:v>
      </x:c>
      <x:c r="B31" s="18" t="str">
        <x:v>F-PCA</x:v>
      </x:c>
      <x:c r="C31" s="18" t="str">
        <x:v>Yeh 2011</x:v>
      </x:c>
      <x:c r="D31" s="18" t="str">
        <x:v>PCA button pushes</x:v>
      </x:c>
      <x:c r="E31" s="18" t="str">
        <x:v>NORMALIZED_V22</x:v>
      </x:c>
      <x:c r="F31" s="18" t="str">
        <x:v>NORMALIZED_V22</x:v>
      </x:c>
      <x:c r="G31" s="18" t="str">
        <x:v>YEH11_AES_vs_SHAM_PCAPUSH24</x:v>
      </x:c>
      <x:c r="H31" s="18" t="str">
        <x:v>Normalized into Outcome_Data_AF_LOCK in v22 (1 new source-scale row(s)); original v20 Outcome_Data remains unchanged.</x:v>
      </x:c>
    </x:row>
  </x:sheetData>
  <x:pageMargins left="0.7" right="0.7" top="0.75" bottom="0.75" header="0.3" footer="0.3"/>
  <x:tableParts count="1">
    <x:tablePart xmlns:r="http://schemas.openxmlformats.org/officeDocument/2006/relationships" r:id="Rad2329eba77644ec"/>
  </x:tableParts>
</x:worksheet>
</file>

<file path=xl/worksheets/sheet24.xml><?xml version="1.0" encoding="utf-8"?>
<x:worksheet xmlns:x="http://schemas.openxmlformats.org/spreadsheetml/2006/main">
  <x:sheetFormatPr defaultRowHeight="15"/>
  <x:cols>
    <x:col min="1" max="1" width="10" hidden="0" customWidth="1"/>
    <x:col min="2" max="2" width="34" hidden="0" customWidth="1"/>
    <x:col min="3" max="3" width="52" hidden="0" customWidth="1"/>
    <x:col min="4" max="4" width="32" hidden="0" customWidth="1"/>
    <x:col min="5" max="5" width="58" hidden="0" customWidth="1"/>
    <x:col min="6" max="6" width="28" hidden="0" customWidth="1"/>
    <x:col min="7" max="7" width="22" hidden="0" customWidth="1"/>
    <x:col min="8" max="8" width="52" hidden="0" customWidth="1"/>
    <x:col min="9" max="9" width="52" hidden="0" customWidth="1"/>
    <x:col min="10" max="10" width="48" hidden="0" customWidth="1"/>
    <x:col min="11" max="11" width="16" hidden="0" customWidth="1"/>
    <x:col min="12" max="12" width="46" hidden="0" customWidth="1"/>
  </x:cols>
  <x:sheetData>
    <x:row r="1">
      <x:c r="A1" s="81" t="str">
        <x:v>Issue ID</x:v>
      </x:c>
      <x:c r="B1" s="81" t="str">
        <x:v>Study / result</x:v>
      </x:c>
      <x:c r="C1" s="81" t="str">
        <x:v>Original P1 issue</x:v>
      </x:c>
      <x:c r="D1" s="81" t="str">
        <x:v>Disposition class</x:v>
      </x:c>
      <x:c r="E1" s="81" t="str">
        <x:v>Quantitative action</x:v>
      </x:c>
      <x:c r="F1" s="81" t="str">
        <x:v>Can Stata proceed?</x:v>
      </x:c>
      <x:c r="G1" s="81" t="str">
        <x:v>Global final-lock blocker?</x:v>
      </x:c>
      <x:c r="H1" s="81" t="str">
        <x:v>Remaining source/author need</x:v>
      </x:c>
      <x:c r="I1" s="81" t="str">
        <x:v>Decision rule</x:v>
      </x:c>
      <x:c r="J1" s="81" t="str">
        <x:v>Source URL(s)</x:v>
      </x:c>
      <x:c r="K1" s="81" t="str">
        <x:v>Disposition status</x:v>
      </x:c>
      <x:c r="L1" s="81" t="str">
        <x:v>Notes</x:v>
      </x:c>
    </x:row>
    <x:row r="2">
      <x:c r="A2" s="18" t="str">
        <x:v>P1-01</x:v>
      </x:c>
      <x:c r="B2" s="18" t="str">
        <x:v>Yeh 2010 ATHM / Yeh 2011 IJNS</x:v>
      </x:c>
      <x:c r="C2" s="18" t="str">
        <x:v>Potential overlapping/companion cohort; identical sham PCA/morphine values and near-identical active/control values.</x:v>
      </x:c>
      <x:c r="D2" s="18" t="str">
        <x:v>HARD_HOLD_DEPENDENCY</x:v>
      </x:c>
      <x:c r="E2" s="18" t="str">
        <x:v>Exclude both publications from any common pooled model until overlap is adjudicated; keep one unresolved publication-family study unit.</x:v>
      </x:c>
      <x:c r="F2" s="18" t="str">
        <x:v>YES — for all other studies; NO — for including either Yeh report</x:v>
      </x:c>
      <x:c r="G2" s="18" t="str">
        <x:v>NO</x:v>
      </x:c>
      <x:c r="H2" s="18" t="str">
        <x:v>Confirm whether cohorts overlap wholly/partly. If unresolved, retain both on duplicate-family hold.</x:v>
      </x:c>
      <x:c r="I2" s="18" t="str">
        <x:v>Exact identical sham PCA values + near-identical active/control data make independence unsafe.</x:v>
      </x:c>
      <x:c r="J2" s="18" t="str">
        <x:v>https://drive.google.com/file/d/1a1s31PQPWGnaVkYUtNUxO22F3QFTcwmi/view ; https://drive.google.com/file/d/1ZJ60ZvJ5Q7sRu1iptK_tLLfBXxZZ_Hwl/view</x:v>
      </x:c>
      <x:c r="K2" s="18" t="str">
        <x:v>HARD HOLD</x:v>
      </x:c>
      <x:c r="L2" s="18" t="str">
        <x:v>v20/v22 primary opioid sheets already exclude both reports from independent pooling.</x:v>
      </x:c>
    </x:row>
    <x:row r="3">
      <x:c r="A3" s="18" t="str">
        <x:v>P1-02</x:v>
      </x:c>
      <x:c r="B3" s="18" t="str">
        <x:v>Liu 2026 burn remifentanil</x:v>
      </x:c>
      <x:c r="C3" s="18" t="str">
        <x:v>Abstract medians/IQR differ from main Results/Figure 4.</x:v>
      </x:c>
      <x:c r="D3" s="18" t="str">
        <x:v>RESOLVED_BY_SOURCE_HIERARCHY</x:v>
      </x:c>
      <x:c r="E3" s="18" t="str">
        <x:v>Use main Results/Figure 4 values: 0.70 (0.50–1.10) vs 0.90 (0.65–1.25) mg; retain abstract discrepancy as QC; sensitivity-only per AF lock.</x:v>
      </x:c>
      <x:c r="F3" s="18" t="str">
        <x:v>YES</x:v>
      </x:c>
      <x:c r="G3" s="18" t="str">
        <x:v>NO</x:v>
      </x:c>
      <x:c r="H3" s="18" t="str">
        <x:v>Author correction desirable but not required for provisional sensitivity analysis.</x:v>
      </x:c>
      <x:c r="I3" s="18" t="str">
        <x:v>Main Results/Figure takes precedence over conflicting abstract summary.</x:v>
      </x:c>
      <x:c r="J3" s="18" t="str">
        <x:v>https://drive.google.com/file/d/1mvekGtHD2JAKCRbIXrvLw1Nz7hbQ1dZ3/view?usp=drivesdk</x:v>
      </x:c>
      <x:c r="K3" s="18" t="str">
        <x:v>DISPOSITIONED</x:v>
      </x:c>
      <x:c r="L3" s="18"/>
    </x:row>
    <x:row r="4">
      <x:c r="A4" s="18" t="str">
        <x:v>P1-03</x:v>
      </x:c>
      <x:c r="B4" s="18" t="str">
        <x:v>Liu 2026 burn rescue dezocine</x:v>
      </x:c>
      <x:c r="C4" s="18" t="str">
        <x:v>Same 3/43 vs8/43 counts have P=0.106 in Table 2 vs P=0.430 in prose.</x:v>
      </x:c>
      <x:c r="D4" s="18" t="str">
        <x:v>RESOLVED_BY_RAW_DATA_RULE</x:v>
      </x:c>
      <x:c r="E4" s="18" t="str">
        <x:v>Use raw events 3/43 vs 8/43 to calculate RR/CI in Stata; do not use either published P value as the meta-analytic effect.</x:v>
      </x:c>
      <x:c r="F4" s="18" t="str">
        <x:v>YES</x:v>
      </x:c>
      <x:c r="G4" s="18" t="str">
        <x:v>NO</x:v>
      </x:c>
      <x:c r="H4" s="18" t="str">
        <x:v>Correct publication P value is useful only for narrative reporting.</x:v>
      </x:c>
      <x:c r="I4" s="18" t="str">
        <x:v>Binary meta-analysis is calculated from events/denominators.</x:v>
      </x:c>
      <x:c r="J4" s="18" t="str">
        <x:v>https://drive.google.com/file/d/1mvekGtHD2JAKCRbIXrvLw1Nz7hbQ1dZ3/view?usp=drivesdk</x:v>
      </x:c>
      <x:c r="K4" s="18" t="str">
        <x:v>DISPOSITIONED</x:v>
      </x:c>
      <x:c r="L4" s="18"/>
    </x:row>
    <x:row r="5">
      <x:c r="A5" s="18" t="str">
        <x:v>P1-04</x:v>
      </x:c>
      <x:c r="B5" s="18" t="str">
        <x:v>Yao 2015</x:v>
      </x:c>
      <x:c r="C5" s="18" t="str">
        <x:v>Cumulative rescue count has P=0.004 in Table 3 vs0.04 in prose.</x:v>
      </x:c>
      <x:c r="D5" s="18" t="str">
        <x:v>RESOLVED_BY_NATIVE_DATA_RULE</x:v>
      </x:c>
      <x:c r="E5" s="18" t="str">
        <x:v>Retain median/IQR rescue-administration counts 1 (1–3) vs 3.5 (2–7.8); do not infer effect from the conflicting P value. Pool only with a prespecified method suitable for non-normal count data.</x:v>
      </x:c>
      <x:c r="F5" s="18" t="str">
        <x:v>YES</x:v>
      </x:c>
      <x:c r="G5" s="18" t="str">
        <x:v>NO</x:v>
      </x:c>
      <x:c r="H5" s="18" t="str">
        <x:v>Correct P value useful for narrative only.</x:v>
      </x:c>
      <x:c r="I5" s="18" t="str">
        <x:v>Native distribution data govern extraction; publication P discrepancy does not alter group values.</x:v>
      </x:c>
      <x:c r="J5" s="18" t="str">
        <x:v>https://drive.google.com/file/d/1OhcqPgP7chnaiBaZBPBAy4PQlSFMelfh/view?usp=drivesdk</x:v>
      </x:c>
      <x:c r="K5" s="18" t="str">
        <x:v>DISPOSITIONED</x:v>
      </x:c>
      <x:c r="L5" s="18"/>
    </x:row>
    <x:row r="6">
      <x:c r="A6" s="18" t="str">
        <x:v>P1-05</x:v>
      </x:c>
      <x:c r="B6" s="18" t="str">
        <x:v>Zhang 2025</x:v>
      </x:c>
      <x:c r="C6" s="18" t="str">
        <x:v>14/45 vs29/48; endpoint mixes PACU sufentanil and ward indomethacin; printed RR0.70 (0.44–1.10), P=0.005 is incompatible with raw counts.</x:v>
      </x:c>
      <x:c r="D6" s="18" t="str">
        <x:v>RESOLVED_BY_EXCLUSION</x:v>
      </x:c>
      <x:c r="E6" s="18" t="str">
        <x:v>Exclude from opioid-specific rescue pooling. Retain 14/45 vs 29/48 only in mixed/undefined rescue evidence map; do not use printed RR/CI.</x:v>
      </x:c>
      <x:c r="F6" s="18" t="str">
        <x:v>YES</x:v>
      </x:c>
      <x:c r="G6" s="18" t="str">
        <x:v>NO</x:v>
      </x:c>
      <x:c r="H6" s="18" t="str">
        <x:v>Separate PACU sufentanil and ward indomethacin counts would be needed to reclassify.</x:v>
      </x:c>
      <x:c r="I6" s="18" t="str">
        <x:v>Undefined mixed rescue endpoint cannot support an opioid-specific estimand.</x:v>
      </x:c>
      <x:c r="J6" s="18" t="str">
        <x:v>https://drive.google.com/file/d/1eHx6Hk16vmIfMgoiZ5eNae4zmCR5ktwJ/view?usp=drivesdk</x:v>
      </x:c>
      <x:c r="K6" s="18" t="str">
        <x:v>DISPOSITIONED</x:v>
      </x:c>
      <x:c r="L6" s="18"/>
    </x:row>
    <x:row r="7">
      <x:c r="A7" s="18" t="str">
        <x:v>P1-06</x:v>
      </x:c>
      <x:c r="B7" s="18" t="str">
        <x:v>Lu 2021</x:v>
      </x:c>
      <x:c r="C7" s="18" t="str">
        <x:v>Rescue parecoxib table P=0.35 vs narrative P=0.58.</x:v>
      </x:c>
      <x:c r="D7" s="18" t="str">
        <x:v>RESOLVED_BY_RAW_DATA_RULE</x:v>
      </x:c>
      <x:c r="E7" s="18" t="str">
        <x:v>For parecoxib rescue use raw counts 4/190 vs 7/188; calculate RR/CI directly. Ignore conflicting publication P=.35/.58 for quantitative synthesis.</x:v>
      </x:c>
      <x:c r="F7" s="18" t="str">
        <x:v>YES</x:v>
      </x:c>
      <x:c r="G7" s="18" t="str">
        <x:v>NO</x:v>
      </x:c>
      <x:c r="H7" s="18" t="str">
        <x:v>Correct source P value optional for narrative.</x:v>
      </x:c>
      <x:c r="I7" s="18" t="str">
        <x:v>Binary effect comes from raw event counts.</x:v>
      </x:c>
      <x:c r="J7" s="18" t="str">
        <x:v>https://drive.google.com/file/d/1MgD_OucfiyNEDdDe3osh8W01U1yYZs08/view?usp=drivesdk</x:v>
      </x:c>
      <x:c r="K7" s="18" t="str">
        <x:v>DISPOSITIONED</x:v>
      </x:c>
      <x:c r="L7" s="18"/>
    </x:row>
    <x:row r="8">
      <x:c r="A8" s="18" t="str">
        <x:v>P1-07</x:v>
      </x:c>
      <x:c r="B8" s="18" t="str">
        <x:v>He 2026 hepatectomy</x:v>
      </x:c>
      <x:c r="C8" s="18" t="str">
        <x:v>48-h mean effective deliveries slightly exceed mean attempts in TEAS arm; exact MME totals only in unavailable supplement.</x:v>
      </x:c>
      <x:c r="D8" s="18" t="str">
        <x:v>RESOLVED_BY_PARTIAL_EXCLUSION</x:v>
      </x:c>
      <x:c r="E8" s="18" t="str">
        <x:v>Use verified 24-h PCA attempts/deliveries only. Exclude unresolved 48-h counter values and unavailable 48-h MME detail until supplement clarification.</x:v>
      </x:c>
      <x:c r="F8" s="18" t="str">
        <x:v>YES</x:v>
      </x:c>
      <x:c r="G8" s="18" t="str">
        <x:v>NO</x:v>
      </x:c>
      <x:c r="H8" s="18" t="str">
        <x:v>eTable 1 / corrected 48-h pump counters if a 48-h PCA analysis is later required.</x:v>
      </x:c>
      <x:c r="I8" s="18" t="str">
        <x:v>Outcome/timepoint-specific exclusion does not invalidate the verified 24-h result.</x:v>
      </x:c>
      <x:c r="J8" s="18" t="str">
        <x:v>https://drive.google.com/file/d/1VgOxIOrGe7ZVevkKEVP7G-0V1DXPU0Gf/view?usp=drivesdk</x:v>
      </x:c>
      <x:c r="K8" s="18" t="str">
        <x:v>DISPOSITIONED</x:v>
      </x:c>
      <x:c r="L8" s="18"/>
    </x:row>
    <x:row r="9">
      <x:c r="A9" s="18" t="str">
        <x:v>P1-08</x:v>
      </x:c>
      <x:c r="B9" s="18" t="str">
        <x:v>Xie 2014</x:v>
      </x:c>
      <x:c r="C9" s="18" t="str">
        <x:v>Published 'up to postoperative48 h' total may include 30-min pre-end-of-surgery sufentanil; 2.25 vs2.5 μg/h infusion conflict.</x:v>
      </x:c>
      <x:c r="D9" s="18" t="str">
        <x:v>RESOLVED_BY_SENSITIVITY</x:v>
      </x:c>
      <x:c r="E9" s="18" t="str">
        <x:v>Keep total sufentanil only in broader/sensitivity 48-h analysis; exclude from strict postoperative-only 0–48-h primary model.</x:v>
      </x:c>
      <x:c r="F9" s="18" t="str">
        <x:v>YES</x:v>
      </x:c>
      <x:c r="G9" s="18" t="str">
        <x:v>NO</x:v>
      </x:c>
      <x:c r="H9" s="18" t="str">
        <x:v>Author clarification required only to promote Xie into the strict Target-A pool.</x:v>
      </x:c>
      <x:c r="I9" s="18" t="str">
        <x:v>Published total may include 30-min pre-end-of-surgery opioid exposure.</x:v>
      </x:c>
      <x:c r="J9" s="18" t="str">
        <x:v>https://drive.google.com/file/d/17faY_h0rMJTuhjPOC5PL_S59jYmHDPee/view?usp=drivesdk</x:v>
      </x:c>
      <x:c r="K9" s="18" t="str">
        <x:v>DISPOSITIONED</x:v>
      </x:c>
      <x:c r="L9" s="18"/>
    </x:row>
    <x:row r="10">
      <x:c r="A10" s="18" t="str">
        <x:v>P1-09</x:v>
      </x:c>
      <x:c r="B10" s="18" t="str">
        <x:v>Zhou 2021 gastric</x:v>
      </x:c>
      <x:c r="C10" s="18" t="str">
        <x:v>Exact opioid-consumption time window unclear; morphine-equivalent conversion differs between Methods and Table footnote.</x:v>
      </x:c>
      <x:c r="D10" s="18" t="str">
        <x:v>RESOLVED_BY_EXCLUSION</x:v>
      </x:c>
      <x:c r="E10" s="18" t="str">
        <x:v>Exclude from fixed 24/48/72-h opioid pools. Retain binary opioid-use and author-defined MME only in evidence map/native-scale descriptive analyses.</x:v>
      </x:c>
      <x:c r="F10" s="18" t="str">
        <x:v>YES</x:v>
      </x:c>
      <x:c r="G10" s="18" t="str">
        <x:v>NO</x:v>
      </x:c>
      <x:c r="H10" s="18" t="str">
        <x:v>Exact time window and actual conversion rule required for fixed-window MME synthesis.</x:v>
      </x:c>
      <x:c r="I10" s="18" t="str">
        <x:v>Unclear time window + inconsistent MME conversion prevents harmonized fixed-time pooling.</x:v>
      </x:c>
      <x:c r="J10" s="18" t="str">
        <x:v>https://drive.google.com/file/d/1PxYyULBv_ZjWeqAm_bNYkDn_j2_lNYLq/view?usp=drivesdk</x:v>
      </x:c>
      <x:c r="K10" s="18" t="str">
        <x:v>DISPOSITIONED</x:v>
      </x:c>
      <x:c r="L10" s="18"/>
    </x:row>
    <x:row r="11">
      <x:c r="A11" s="18" t="str">
        <x:v>P1-10</x:v>
      </x:c>
      <x:c r="B11" s="18" t="str">
        <x:v>Liang 2021 extra analgesia</x:v>
      </x:c>
      <x:c r="C11" s="18" t="str">
        <x:v>3.8(1.9) vs5.0(2.9) has no drug, unit, time window or interpretable metric.</x:v>
      </x:c>
      <x:c r="D11" s="18" t="str">
        <x:v>RESOLVED_BY_EXCLUSION</x:v>
      </x:c>
      <x:c r="E11" s="18" t="str">
        <x:v>Exclude from quantitative synthesis; retain source text 3.8(1.9) vs 5.0(2.9) as unresolved descriptive result.</x:v>
      </x:c>
      <x:c r="F11" s="18" t="str">
        <x:v>YES</x:v>
      </x:c>
      <x:c r="G11" s="18" t="str">
        <x:v>NO</x:v>
      </x:c>
      <x:c r="H11" s="18" t="str">
        <x:v>Drug, unit, metric, trigger, and time window required for re-entry.</x:v>
      </x:c>
      <x:c r="I11" s="18" t="str">
        <x:v>Undefined metric cannot be converted or classified safely.</x:v>
      </x:c>
      <x:c r="J11" s="18" t="str">
        <x:v>https://drive.google.com/file/d/1guriAcqNbJNXpfd_UjYwevULLVSeiHXS/view?usp=drivesdk</x:v>
      </x:c>
      <x:c r="K11" s="18" t="str">
        <x:v>DISPOSITIONED</x:v>
      </x:c>
      <x:c r="L11" s="18"/>
    </x:row>
    <x:row r="12">
      <x:c r="A12" s="18" t="str">
        <x:v>P1-11</x:v>
      </x:c>
      <x:c r="B12" s="18" t="str">
        <x:v>Liang 2021</x:v>
      </x:c>
      <x:c r="C12" s="18" t="str">
        <x:v>Printed intraoperative sufentanil 0.1 mg/kg per30 min appears implausible.</x:v>
      </x:c>
      <x:c r="D12" s="18" t="str">
        <x:v>RESOLVED_BY_FIELD_EXCLUSION</x:v>
      </x:c>
      <x:c r="E12" s="18" t="str">
        <x:v>Do not use the implausibly printed sufentanil dosing statement. The separately verified remifentanil result remains usable in its own sensitivity stratum.</x:v>
      </x:c>
      <x:c r="F12" s="18" t="str">
        <x:v>YES</x:v>
      </x:c>
      <x:c r="G12" s="18" t="str">
        <x:v>NO</x:v>
      </x:c>
      <x:c r="H12" s="18" t="str">
        <x:v>Author correction only if intraoperative sufentanil itself is to be analyzed.</x:v>
      </x:c>
      <x:c r="I12" s="18" t="str">
        <x:v>One erroneous/unresolved source field does not invalidate a distinct source-supported remifentanil result.</x:v>
      </x:c>
      <x:c r="J12" s="18" t="str">
        <x:v>https://drive.google.com/file/d/1guriAcqNbJNXpfd_UjYwevULLVSeiHXS/view?usp=drivesdk</x:v>
      </x:c>
      <x:c r="K12" s="18" t="str">
        <x:v>DISPOSITIONED</x:v>
      </x:c>
      <x:c r="L12" s="18"/>
    </x:row>
    <x:row r="13">
      <x:c r="A13" s="18" t="str">
        <x:v>P1-12</x:v>
      </x:c>
      <x:c r="B13" s="18" t="str">
        <x:v>Wang 2023 rescue</x:v>
      </x:c>
      <x:c r="C13" s="18" t="str">
        <x:v>Cumulative rescue-dose count reported, but drug, dose and trigger unspecified.</x:v>
      </x:c>
      <x:c r="D13" s="18" t="str">
        <x:v>RESOLVED_BY_EXCLUSION</x:v>
      </x:c>
      <x:c r="E13" s="18" t="str">
        <x:v>Retain rescue-dose-count result in mixed/undefined evidence map only; do not classify as opioid or non-opioid rescue.</x:v>
      </x:c>
      <x:c r="F13" s="18" t="str">
        <x:v>YES</x:v>
      </x:c>
      <x:c r="G13" s="18" t="str">
        <x:v>NO</x:v>
      </x:c>
      <x:c r="H13" s="18" t="str">
        <x:v>Rescue drug, dose, route, trigger and prescriber/blinding required for reclassification.</x:v>
      </x:c>
      <x:c r="I13" s="18" t="str">
        <x:v>Drug identity is essential to an opioid-specific rescue estimand.</x:v>
      </x:c>
      <x:c r="J13" s="18" t="str">
        <x:v>https://drive.google.com/file/d/177A4aH42GD90DhsvvtD-VOBSChBBpIWL/view?usp=drivesdk</x:v>
      </x:c>
      <x:c r="K13" s="18" t="str">
        <x:v>DISPOSITIONED</x:v>
      </x:c>
      <x:c r="L13" s="18"/>
    </x:row>
    <x:row r="14">
      <x:c r="A14" s="18" t="str">
        <x:v>P1-13</x:v>
      </x:c>
      <x:c r="B14" s="18" t="str">
        <x:v>Huang 2024 TKA</x:v>
      </x:c>
      <x:c r="C14" s="18" t="str">
        <x:v>Additional PCA-dose unit/drug/concentration not defined; POD2 anchored to first EA rather than surgery.</x:v>
      </x:c>
      <x:c r="D14" s="18" t="str">
        <x:v>RESOLVED_BY_EXCLUSION</x:v>
      </x:c>
      <x:c r="E14" s="18" t="str">
        <x:v>Keep additional-PCA metric as descriptive native-scale result only; do not convert to opioid dose or assign to surgery-to-24-h pool.</x:v>
      </x:c>
      <x:c r="F14" s="18" t="str">
        <x:v>YES</x:v>
      </x:c>
      <x:c r="G14" s="18" t="str">
        <x:v>NO</x:v>
      </x:c>
      <x:c r="H14" s="18" t="str">
        <x:v>PCA drug/concentration/settings/unit and exact surgery-to-measurement interval.</x:v>
      </x:c>
      <x:c r="I14" s="18" t="str">
        <x:v>Undefined PCA physical unit prevents opioid-dose conversion.</x:v>
      </x:c>
      <x:c r="J14" s="18" t="str">
        <x:v>https://drive.google.com/file/d/1z-76QoxqmtMRV32wOpem7jAyDnuD6fb8/view?usp=drivesdk</x:v>
      </x:c>
      <x:c r="K14" s="18" t="str">
        <x:v>DISPOSITIONED</x:v>
      </x:c>
      <x:c r="L14" s="18"/>
    </x:row>
    <x:row r="15">
      <x:c r="A15" s="18" t="str">
        <x:v>P1-14</x:v>
      </x:c>
      <x:c r="B15" s="18" t="str">
        <x:v>Zheng 2025</x:v>
      </x:c>
      <x:c r="C15" s="18" t="str">
        <x:v>Total/effective PCIA use reported without exact cumulative time window.</x:v>
      </x:c>
      <x:c r="D15" s="18" t="str">
        <x:v>RESOLVED_BY_EXCLUSION</x:v>
      </x:c>
      <x:c r="E15" s="18" t="str">
        <x:v>Retain PCIA-use counts in evidence map; do not assign to 24-h or 48-h PCA stratum.</x:v>
      </x:c>
      <x:c r="F15" s="18" t="str">
        <x:v>YES</x:v>
      </x:c>
      <x:c r="G15" s="18" t="str">
        <x:v>NO</x:v>
      </x:c>
      <x:c r="H15" s="18" t="str">
        <x:v>Exact cumulative observation window and device-counter definitions.</x:v>
      </x:c>
      <x:c r="I15" s="18" t="str">
        <x:v>Time-window uncertainty blocks fixed-time pooling only.</x:v>
      </x:c>
      <x:c r="J15" s="18" t="str">
        <x:v>https://drive.google.com/file/d/1-JWKZgQXaQQQBZgMSDqyIP-vG9aAxBqb/view?usp=drivesdk</x:v>
      </x:c>
      <x:c r="K15" s="18" t="str">
        <x:v>DISPOSITIONED</x:v>
      </x:c>
      <x:c r="L15" s="18"/>
    </x:row>
    <x:row r="16">
      <x:c r="A16" s="18" t="str">
        <x:v>P1-15</x:v>
      </x:c>
      <x:c r="B16" s="18" t="str">
        <x:v>Ntritsou 2014</x:v>
      </x:c>
      <x:c r="C16" s="18" t="str">
        <x:v>Rescue algorithm reported and significant, but exact group rescue quantities not given.</x:v>
      </x:c>
      <x:c r="D16" s="18" t="str">
        <x:v>RESOLVED_BY_NARRATIVE_ONLY</x:v>
      </x:c>
      <x:c r="E16" s="18" t="str">
        <x:v>Narrative/supportive rescue evidence only; no quantitative rescue effect because exact group rescue quantities are absent.</x:v>
      </x:c>
      <x:c r="F16" s="18" t="str">
        <x:v>YES</x:v>
      </x:c>
      <x:c r="G16" s="18" t="str">
        <x:v>NO</x:v>
      </x:c>
      <x:c r="H16" s="18" t="str">
        <x:v>Group-level rescue tramadol/morphine counts or doses required for pooling.</x:v>
      </x:c>
      <x:c r="I16" s="18" t="str">
        <x:v>Statistical significance alone is not an extractable treatment effect.</x:v>
      </x:c>
      <x:c r="J16" s="18" t="str">
        <x:v>https://drive.google.com/file/d/1u_kNuuXF8upB3gJA2aDq8NldYDfhnWy3/view?usp=drivesdk</x:v>
      </x:c>
      <x:c r="K16" s="18" t="str">
        <x:v>DISPOSITIONED</x:v>
      </x:c>
      <x:c r="L16" s="18"/>
    </x:row>
    <x:row r="17">
      <x:c r="A17" s="18" t="str">
        <x:v>P1-16</x:v>
      </x:c>
      <x:c r="B17" s="18" t="str">
        <x:v>Gu 2019</x:v>
      </x:c>
      <x:c r="C17" s="18" t="str">
        <x:v>Exact 24-h mixed-PCIA volume is graph-only; text only gives4/8/36 h.</x:v>
      </x:c>
      <x:c r="D17" s="18" t="str">
        <x:v>RESOLVED_BY_TIMEPOINT_EXCLUSION</x:v>
      </x:c>
      <x:c r="E17" s="18" t="str">
        <x:v>Use exact text-reported 4-, 8-, and 36-h mixed-PCIA volumes only where relevant; exclude exact 24-h analysis unless a prespecified validated digitization is performed.</x:v>
      </x:c>
      <x:c r="F17" s="18" t="str">
        <x:v>YES</x:v>
      </x:c>
      <x:c r="G17" s="18" t="str">
        <x:v>NO</x:v>
      </x:c>
      <x:c r="H17" s="18" t="str">
        <x:v>Exact 16/24-h numerical values or validated graph digitization for those timepoints.</x:v>
      </x:c>
      <x:c r="I17" s="18" t="str">
        <x:v>Do not invent graph-only point estimates.</x:v>
      </x:c>
      <x:c r="J17" s="18" t="str">
        <x:v>https://drive.google.com/file/d/1ipQFXfERgAVmgNKMpLkvaaecYJVSTDiw/view?usp=drivesdk</x:v>
      </x:c>
      <x:c r="K17" s="18" t="str">
        <x:v>DISPOSITIONED</x:v>
      </x:c>
      <x:c r="L17" s="18"/>
    </x:row>
    <x:row r="18">
      <x:c r="A18" s="18" t="str">
        <x:v>P1-17</x:v>
      </x:c>
      <x:c r="B18" s="18" t="str">
        <x:v>An 2014</x:v>
      </x:c>
      <x:c r="C18" s="18" t="str">
        <x:v>Reported total fentanyl means approach/exceed nominal reservoir implied by weight-based formulation.</x:v>
      </x:c>
      <x:c r="D18" s="18" t="str">
        <x:v>RESOLVED_BY_MANDATORY_SENSITIVITY</x:v>
      </x:c>
      <x:c r="E18" s="18" t="str">
        <x:v>Retain source-reported 48-h fentanyl result in Target-A strict dataset, but require a leave-one-study-out/sensitivity model excluding An 2014 because of the reservoir plausibility concern.</x:v>
      </x:c>
      <x:c r="F18" s="18" t="str">
        <x:v>YES</x:v>
      </x:c>
      <x:c r="G18" s="18" t="str">
        <x:v>NO</x:v>
      </x:c>
      <x:c r="H18" s="18" t="str">
        <x:v>Reservoir preparation/accounting clarification would remove the plausibility flag.</x:v>
      </x:c>
      <x:c r="I18" s="18" t="str">
        <x:v>Source value is reported and extractable; plausibility uncertainty is handled transparently by sensitivity analysis.</x:v>
      </x:c>
      <x:c r="J18" s="18" t="str">
        <x:v>https://drive.google.com/file/d/1Ygu3g28udKuPe0OS95oge2ryIGNeJ0te/view?usp=drivesdk</x:v>
      </x:c>
      <x:c r="K18" s="18" t="str">
        <x:v>DISPOSITIONED</x:v>
      </x:c>
      <x:c r="L18" s="18"/>
    </x:row>
    <x:row r="19">
      <x:c r="A19" s="18" t="str">
        <x:v>P1-18</x:v>
      </x:c>
      <x:c r="B19" s="18" t="str">
        <x:v>Jiang 2026</x:v>
      </x:c>
      <x:c r="C19" s="18" t="str">
        <x:v>Anesthesiologist masking and explicit remifentanil titration algorithm not reported; analyzed denominator smaller than randomized.</x:v>
      </x:c>
      <x:c r="D19" s="18" t="str">
        <x:v>RESOLVED_BY_STRATIFICATION</x:v>
      </x:c>
      <x:c r="E19" s="18" t="str">
        <x:v>Keep as intraoperative opioid exposure only; do not pool with clean protocol-titrated opioid-requirement studies.</x:v>
      </x:c>
      <x:c r="F19" s="18" t="str">
        <x:v>YES</x:v>
      </x:c>
      <x:c r="G19" s="18" t="str">
        <x:v>NO</x:v>
      </x:c>
      <x:c r="H19" s="18" t="str">
        <x:v>Anesthesiologist masking/titration algorithm needed only to promote into titrated-requirement stratum.</x:v>
      </x:c>
      <x:c r="I19" s="18" t="str">
        <x:v>Clinician-controlled exposure with incomplete titration reporting is a different estimand/quality stratum.</x:v>
      </x:c>
      <x:c r="J19" s="18" t="str">
        <x:v>https://drive.google.com/file/d/1nujlP9A_IMWUfd3HdCD2rOxTc9-I8v92/view?usp=drivesdk</x:v>
      </x:c>
      <x:c r="K19" s="18" t="str">
        <x:v>DISPOSITIONED</x:v>
      </x:c>
      <x:c r="L19" s="18"/>
    </x:row>
    <x:row r="20">
      <x:c r="A20" s="18" t="str">
        <x:v>P1-19</x:v>
      </x:c>
      <x:c r="B20" s="18" t="str">
        <x:v>Wang Y et al. JAMA Surg 2023 (DOI 10.1001/jamasurg.2022.5674)</x:v>
      </x:c>
      <x:c r="C20" s="18" t="str">
        <x:v>Potential eligible postoperative EA RCT is not one of v20's 63 canonical studies. Do not confuse it with Jun Wang et al. Pain Therapy 2023, which is already the canonical 'Wang 2023'.</x:v>
      </x:c>
      <x:c r="D20" s="18" t="str">
        <x:v>RESOLVED_BY_SCREENING_EXCLUSION</x:v>
      </x:c>
      <x:c r="E20" s="18" t="str">
        <x:v>Exclude from the review dataset and all meta-analyses. No numerical outcome row is required.</x:v>
      </x:c>
      <x:c r="F20" s="18" t="str">
        <x:v>YES</x:v>
      </x:c>
      <x:c r="G20" s="18" t="str">
        <x:v>NO</x:v>
      </x:c>
      <x:c r="H20" s="18" t="str">
        <x:v>None.</x:v>
      </x:c>
      <x:c r="I20" s="18" t="str">
        <x:v>The study-level full-text screening decision is exclusion for wrong outcomes; screening eligibility takes precedence over outcome extraction.</x:v>
      </x:c>
      <x:c r="J20" s="18" t="str">
        <x:v>https://jamanetwork.com/journals/jamasurgery/fullarticle/2797968 ; https://pmc.ncbi.nlm.nih.gov/articles/PMC9014026/</x:v>
      </x:c>
      <x:c r="K20" s="18" t="str">
        <x:v>RESOLVED</x:v>
      </x:c>
      <x:c r="L20" s="18" t="str">
        <x:v>User-confirmed full-text exclusion reason: wrong outcomes.</x:v>
      </x:c>
    </x:row>
  </x:sheetData>
  <x:conditionalFormatting sqref="K2:K20">
    <x:cfRule type="expression" dxfId="76" priority="1">
      <x:formula>K2="HARD HOLD"</x:formula>
    </x:cfRule>
    <x:cfRule type="expression" dxfId="77" priority="2">
      <x:formula>K2="DISPOSITIONED"</x:formula>
    </x:cfRule>
  </x:conditionalFormatting>
  <x:pageMargins left="0.7" right="0.7" top="0.75" bottom="0.75" header="0.3" footer="0.3"/>
  <x:tableParts count="1">
    <x:tablePart xmlns:r="http://schemas.openxmlformats.org/officeDocument/2006/relationships" r:id="R04f8f4ab128c4724"/>
  </x:tableParts>
</x:worksheet>
</file>

<file path=xl/worksheets/sheet25.xml><?xml version="1.0" encoding="utf-8"?>
<x:worksheet xmlns:x="http://schemas.openxmlformats.org/spreadsheetml/2006/main">
  <x:sheetFormatPr defaultRowHeight="15"/>
  <x:cols>
    <x:col min="1" max="1" width="14" hidden="0" customWidth="1"/>
    <x:col min="2" max="2" width="16" hidden="0" customWidth="1"/>
    <x:col min="3" max="3" width="31" hidden="0" customWidth="1"/>
    <x:col min="4" max="4" width="25" hidden="0" customWidth="1"/>
    <x:col min="5" max="5" width="38" hidden="0" customWidth="1"/>
    <x:col min="6" max="6" width="24" hidden="0" customWidth="1"/>
    <x:col min="7" max="7" width="24" hidden="0" customWidth="1"/>
    <x:col min="8" max="8" width="34" hidden="0" customWidth="1"/>
    <x:col min="9" max="9" width="24" hidden="0" customWidth="1"/>
    <x:col min="10" max="10" width="16" hidden="0" customWidth="1"/>
    <x:col min="11" max="11" width="10" hidden="0" customWidth="1"/>
    <x:col min="12" max="12" width="10"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24" hidden="0" customWidth="1"/>
    <x:col min="26" max="26" width="20" hidden="0" customWidth="1"/>
    <x:col min="27" max="27" width="18" hidden="0" customWidth="1"/>
    <x:col min="28" max="28" width="14" hidden="0" customWidth="1"/>
    <x:col min="29" max="29" width="16" hidden="0" customWidth="1"/>
    <x:col min="30" max="30" width="13" hidden="0" customWidth="1"/>
    <x:col min="31" max="31" width="15" hidden="0" customWidth="1"/>
    <x:col min="32" max="32" width="15" hidden="0" customWidth="1"/>
    <x:col min="33" max="33" width="15" hidden="0" customWidth="1"/>
    <x:col min="34" max="34" width="32" hidden="0" customWidth="1"/>
    <x:col min="35" max="35" width="26" hidden="0" customWidth="1"/>
    <x:col min="36" max="36" width="30" hidden="0" customWidth="1"/>
    <x:col min="37" max="37" width="48" hidden="0" customWidth="1"/>
    <x:col min="38" max="38" width="24" hidden="0" customWidth="1"/>
    <x:col min="39" max="39" width="44" hidden="0" customWidth="1"/>
    <x:col min="40" max="40" width="24" hidden="0" customWidth="1"/>
    <x:col min="41" max="41" width="46" hidden="0" customWidth="1"/>
  </x:cols>
  <x:sheetData>
    <x:row r="1">
      <x:c r="A1" s="81" t="str">
        <x:v>lock_id</x:v>
      </x:c>
      <x:c r="B1" s="81" t="str">
        <x:v>target</x:v>
      </x:c>
      <x:c r="C1" s="81" t="str">
        <x:v>endpoint_stratum</x:v>
      </x:c>
      <x:c r="D1" s="81" t="str">
        <x:v>study</x:v>
      </x:c>
      <x:c r="E1" s="81" t="str">
        <x:v>comparison_id</x:v>
      </x:c>
      <x:c r="F1" s="81" t="str">
        <x:v>intervention</x:v>
      </x:c>
      <x:c r="G1" s="81" t="str">
        <x:v>comparator</x:v>
      </x:c>
      <x:c r="H1" s="81" t="str">
        <x:v>outcome</x:v>
      </x:c>
      <x:c r="I1" s="81" t="str">
        <x:v>time_window</x:v>
      </x:c>
      <x:c r="J1" s="81" t="str">
        <x:v>data_type</x:v>
      </x:c>
      <x:c r="K1" s="81" t="str">
        <x:v>n_i</x:v>
      </x:c>
      <x:c r="L1" s="81" t="str">
        <x:v>n_c</x:v>
      </x:c>
      <x:c r="M1" s="81" t="str">
        <x:v>mean_i</x:v>
      </x:c>
      <x:c r="N1" s="81" t="str">
        <x:v>sd_i</x:v>
      </x:c>
      <x:c r="O1" s="81" t="str">
        <x:v>median_i</x:v>
      </x:c>
      <x:c r="P1" s="81" t="str">
        <x:v>q1_i</x:v>
      </x:c>
      <x:c r="Q1" s="81" t="str">
        <x:v>q3_i</x:v>
      </x:c>
      <x:c r="R1" s="81" t="str">
        <x:v>events_i</x:v>
      </x:c>
      <x:c r="S1" s="81" t="str">
        <x:v>mean_c</x:v>
      </x:c>
      <x:c r="T1" s="81" t="str">
        <x:v>sd_c</x:v>
      </x:c>
      <x:c r="U1" s="81" t="str">
        <x:v>median_c</x:v>
      </x:c>
      <x:c r="V1" s="81" t="str">
        <x:v>q1_c</x:v>
      </x:c>
      <x:c r="W1" s="81" t="str">
        <x:v>q3_c</x:v>
      </x:c>
      <x:c r="X1" s="81" t="str">
        <x:v>events_c</x:v>
      </x:c>
      <x:c r="Y1" s="81" t="str">
        <x:v>unit</x:v>
      </x:c>
      <x:c r="Z1" s="81" t="str">
        <x:v>reported_p</x:v>
      </x:c>
      <x:c r="AA1" s="81" t="str">
        <x:v>derived_effect_measure</x:v>
      </x:c>
      <x:c r="AB1" s="81" t="str">
        <x:v>derived_effect</x:v>
      </x:c>
      <x:c r="AC1" s="81" t="str">
        <x:v>rob_overall</x:v>
      </x:c>
      <x:c r="AD1" s="81" t="str">
        <x:v>include_strict</x:v>
      </x:c>
      <x:c r="AE1" s="81" t="str">
        <x:v>include_sensitivity</x:v>
      </x:c>
      <x:c r="AF1" s="81" t="str">
        <x:v>narrative_only</x:v>
      </x:c>
      <x:c r="AG1" s="81" t="str">
        <x:v>author_priority</x:v>
      </x:c>
      <x:c r="AH1" s="81" t="str">
        <x:v>p1_disposition</x:v>
      </x:c>
      <x:c r="AI1" s="81" t="str">
        <x:v>analysis_action</x:v>
      </x:c>
      <x:c r="AJ1" s="81" t="str">
        <x:v>overlap_family</x:v>
      </x:c>
      <x:c r="AK1" s="81" t="str">
        <x:v>hold_reason</x:v>
      </x:c>
      <x:c r="AL1" s="81" t="str">
        <x:v>shared_control_issue</x:v>
      </x:c>
      <x:c r="AM1" s="81" t="str">
        <x:v>source_qc</x:v>
      </x:c>
      <x:c r="AN1" s="81" t="str">
        <x:v>record_status</x:v>
      </x:c>
      <x:c r="AO1" s="81" t="str">
        <x:v>source_url</x:v>
      </x:c>
    </x:row>
    <x:row r="2">
      <x:c r="A2" s="18" t="str">
        <x:v>A-001</x:v>
      </x:c>
      <x:c r="B2" s="18" t="str">
        <x:v>A</x:v>
      </x:c>
      <x:c r="C2" s="18" t="str">
        <x:v>A_0-48h_cumulative_opioid</x:v>
      </x:c>
      <x:c r="D2" s="18" t="str">
        <x:v>Chen 2020</x:v>
      </x:c>
      <x:c r="E2" s="18" t="str">
        <x:v>CHEN20_TEAS_vs_SHAM_SUF48</x:v>
      </x:c>
      <x:c r="F2" s="18" t="str">
        <x:v>Perioperative TEAS</x:v>
      </x:c>
      <x:c r="G2" s="18" t="str">
        <x:v>Sham low/zero-current protocol</x:v>
      </x:c>
      <x:c r="H2" s="18" t="str">
        <x:v>Cumulative postoperative PCIA sufentanil consumption</x:v>
      </x:c>
      <x:c r="I2" s="18" t="str">
        <x:v>0-48 h</x:v>
      </x:c>
      <x:c r="J2" s="18" t="str">
        <x:v>Mean/SD</x:v>
      </x:c>
      <x:c r="K2" s="18" t="n">
        <x:v>40</x:v>
      </x:c>
      <x:c r="L2" s="18" t="n">
        <x:v>40</x:v>
      </x:c>
      <x:c r="M2" s="18" t="n">
        <x:v>118.52</x:v>
      </x:c>
      <x:c r="N2" s="18" t="n">
        <x:v>9.77</x:v>
      </x:c>
      <x:c r="O2" s="18"/>
      <x:c r="P2" s="18"/>
      <x:c r="Q2" s="18"/>
      <x:c r="R2" s="18"/>
      <x:c r="S2" s="18" t="n">
        <x:v>140.15</x:v>
      </x:c>
      <x:c r="T2" s="18" t="n">
        <x:v>7.87</x:v>
      </x:c>
      <x:c r="U2" s="18"/>
      <x:c r="V2" s="18"/>
      <x:c r="W2" s="18"/>
      <x:c r="X2" s="18"/>
      <x:c r="Y2" s="18" t="str">
        <x:v>µg sufentanil</x:v>
      </x:c>
      <x:c r="Z2" s="18" t="str">
        <x:v>&lt;0.001</x:v>
      </x:c>
      <x:c r="AA2" s="18" t="str">
        <x:v>MD</x:v>
      </x:c>
      <x:c r="AB2" s="18" t="n">
        <x:v>-21.63</x:v>
      </x:c>
      <x:c r="AC2" s="18" t="str">
        <x:v>Some concerns</x:v>
      </x:c>
      <x:c r="AD2" s="18" t="n">
        <x:v>1</x:v>
      </x:c>
      <x:c r="AE2" s="18" t="n">
        <x:v>0</x:v>
      </x:c>
      <x:c r="AF2" s="18" t="n">
        <x:v>0</x:v>
      </x:c>
      <x:c r="AG2" s="18"/>
      <x:c r="AH2" s="18"/>
      <x:c r="AI2" s="18" t="str">
        <x:v>STRICT_MODEL</x:v>
      </x:c>
      <x:c r="AJ2" s="18"/>
      <x:c r="AK2" s="18"/>
      <x:c r="AL2" s="18" t="str">
        <x:v>No</x:v>
      </x:c>
      <x:c r="AM2" s="18" t="str">
        <x:v>48-h cumulative pump result; preserve native µg. Registration retrospective.</x:v>
      </x:c>
      <x:c r="AN2" s="18" t="str">
        <x:v>SOURCE-VERIFIED / AF-NORMALIZED</x:v>
      </x:c>
      <x:c r="AO2" s="18" t="str">
        <x:v>https://drive.google.com/file/d/1y0_cC1NCl5g2vYxDMOtYmxVA_YEE-rsR/view?usp=drivesdk</x:v>
      </x:c>
    </x:row>
    <x:row r="3">
      <x:c r="A3" s="18" t="str">
        <x:v>A-002</x:v>
      </x:c>
      <x:c r="B3" s="18" t="str">
        <x:v>A</x:v>
      </x:c>
      <x:c r="C3" s="18" t="str">
        <x:v>A_0-48h_cumulative_opioid</x:v>
      </x:c>
      <x:c r="D3" s="18" t="str">
        <x:v>Zhang 2023</x:v>
      </x:c>
      <x:c r="E3" s="18" t="str">
        <x:v>ZHANG23_TEAS_vs_SHAM_MME48</x:v>
      </x:c>
      <x:c r="F3" s="18" t="str">
        <x:v>TEAS</x:v>
      </x:c>
      <x:c r="G3" s="18" t="str">
        <x:v>Sham/no current</x:v>
      </x:c>
      <x:c r="H3" s="18" t="str">
        <x:v>Postoperative IV morphine-equivalent consumption</x:v>
      </x:c>
      <x:c r="I3" s="18" t="str">
        <x:v>Within 48 h</x:v>
      </x:c>
      <x:c r="J3" s="18" t="str">
        <x:v>Median/IQR</x:v>
      </x:c>
      <x:c r="K3" s="18" t="n">
        <x:v>922</x:v>
      </x:c>
      <x:c r="L3" s="18" t="n">
        <x:v>916</x:v>
      </x:c>
      <x:c r="M3" s="18"/>
      <x:c r="N3" s="18"/>
      <x:c r="O3" s="18" t="n">
        <x:v>110</x:v>
      </x:c>
      <x:c r="P3" s="18" t="n">
        <x:v>80</x:v>
      </x:c>
      <x:c r="Q3" s="18" t="n">
        <x:v>110</x:v>
      </x:c>
      <x:c r="R3" s="18"/>
      <x:c r="S3" s="18"/>
      <x:c r="T3" s="18"/>
      <x:c r="U3" s="18" t="n">
        <x:v>110</x:v>
      </x:c>
      <x:c r="V3" s="18" t="n">
        <x:v>90</x:v>
      </x:c>
      <x:c r="W3" s="18" t="n">
        <x:v>110</x:v>
      </x:c>
      <x:c r="X3" s="18"/>
      <x:c r="Y3" s="18" t="str">
        <x:v>mg IV morphine-equivalent</x:v>
      </x:c>
      <x:c r="Z3" s="18" t="str">
        <x:v>NR</x:v>
      </x:c>
      <x:c r="AA3" s="18"/>
      <x:c r="AB3" s="18"/>
      <x:c r="AC3" s="18" t="str">
        <x:v>Some concerns</x:v>
      </x:c>
      <x:c r="AD3" s="18" t="n">
        <x:v>1</x:v>
      </x:c>
      <x:c r="AE3" s="18" t="n">
        <x:v>0</x:v>
      </x:c>
      <x:c r="AF3" s="18" t="n">
        <x:v>0</x:v>
      </x:c>
      <x:c r="AG3" s="18" t="str">
        <x:v>P2</x:v>
      </x:c>
      <x:c r="AH3" s="18"/>
      <x:c r="AI3" s="18" t="str">
        <x:v>STRICT_MODEL</x:v>
      </x:c>
      <x:c r="AJ3" s="18"/>
      <x:c r="AK3" s="18"/>
      <x:c r="AL3" s="18" t="str">
        <x:v>No</x:v>
      </x:c>
      <x:c r="AM3" s="18" t="str">
        <x:v>Authors converted opioids using ClinCalc; exact 24-h postoperative dose is not reported</x:v>
      </x:c>
      <x:c r="AN3" s="18" t="str">
        <x:v>SOURCE-VERIFIED / 48H ONLY</x:v>
      </x:c>
      <x:c r="AO3" s="18" t="str">
        <x:v>https://drive.google.com/file/d/1LXNXNhVJaOcYXBODulFUuMD4FQXC5dph/view?usp=drivesdk</x:v>
      </x:c>
    </x:row>
    <x:row r="4">
      <x:c r="A4" s="18" t="str">
        <x:v>A-003</x:v>
      </x:c>
      <x:c r="B4" s="18" t="str">
        <x:v>A</x:v>
      </x:c>
      <x:c r="C4" s="18" t="str">
        <x:v>A_0-48h_cumulative_opioid</x:v>
      </x:c>
      <x:c r="D4" s="18" t="str">
        <x:v>An 2014</x:v>
      </x:c>
      <x:c r="E4" s="18" t="str">
        <x:v>AN14_EA_vs_CTRL_FENT48</x:v>
      </x:c>
      <x:c r="F4" s="18" t="str">
        <x:v>Intraoperative electroacupuncture</x:v>
      </x:c>
      <x:c r="G4" s="18" t="str">
        <x:v>No acupuncture control</x:v>
      </x:c>
      <x:c r="H4" s="18" t="str">
        <x:v>Total postoperative fentanyl PCIA dose</x:v>
      </x:c>
      <x:c r="I4" s="18" t="str">
        <x:v>Through reported 48-h PCIA period</x:v>
      </x:c>
      <x:c r="J4" s="18" t="str">
        <x:v>Mean/SD</x:v>
      </x:c>
      <x:c r="K4" s="18" t="n">
        <x:v>41</x:v>
      </x:c>
      <x:c r="L4" s="18" t="n">
        <x:v>40</x:v>
      </x:c>
      <x:c r="M4" s="18" t="n">
        <x:v>0.67</x:v>
      </x:c>
      <x:c r="N4" s="18" t="n">
        <x:v>0.09</x:v>
      </x:c>
      <x:c r="O4" s="18"/>
      <x:c r="P4" s="18"/>
      <x:c r="Q4" s="18"/>
      <x:c r="R4" s="18"/>
      <x:c r="S4" s="18" t="n">
        <x:v>0.73</x:v>
      </x:c>
      <x:c r="T4" s="18" t="n">
        <x:v>0.12</x:v>
      </x:c>
      <x:c r="U4" s="18"/>
      <x:c r="V4" s="18"/>
      <x:c r="W4" s="18"/>
      <x:c r="X4" s="18"/>
      <x:c r="Y4" s="18" t="str">
        <x:v>mg fentanyl</x:v>
      </x:c>
      <x:c r="Z4" s="18" t="str">
        <x:v>NS</x:v>
      </x:c>
      <x:c r="AA4" s="18" t="str">
        <x:v>MD</x:v>
      </x:c>
      <x:c r="AB4" s="18" t="n">
        <x:v>-0.05999999999999994</x:v>
      </x:c>
      <x:c r="AC4" s="18" t="str">
        <x:v>Some concerns</x:v>
      </x:c>
      <x:c r="AD4" s="18" t="n">
        <x:v>1</x:v>
      </x:c>
      <x:c r="AE4" s="18" t="n">
        <x:v>0</x:v>
      </x:c>
      <x:c r="AF4" s="18" t="n">
        <x:v>0</x:v>
      </x:c>
      <x:c r="AG4" s="18" t="str">
        <x:v>P1</x:v>
      </x:c>
      <x:c r="AH4" s="18" t="str">
        <x:v>RESOLVED_BY_MANDATORY_SENSITIVITY</x:v>
      </x:c>
      <x:c r="AI4" s="18" t="str">
        <x:v>STRICT_MODEL</x:v>
      </x:c>
      <x:c r="AJ4" s="18"/>
      <x:c r="AK4" s="18"/>
      <x:c r="AL4" s="18" t="str">
        <x:v>No</x:v>
      </x:c>
      <x:c r="AM4" s="18" t="str">
        <x:v>Seven of 88 randomized patients were excluded from analysis; total fentanyl is not isolated to 0-24 h.</x:v>
      </x:c>
      <x:c r="AN4" s="18" t="str">
        <x:v>SOURCE-VERIFIED / ATTRITION + 48H WINDOW</x:v>
      </x:c>
      <x:c r="AO4" s="18" t="str">
        <x:v>https://drive.google.com/file/d/1Ygu3g28udKuPe0OS95oge2ryIGNeJ0te/view?usp=drivesdk</x:v>
      </x:c>
    </x:row>
    <x:row r="5">
      <x:c r="A5" s="18" t="str">
        <x:v>A-004</x:v>
      </x:c>
      <x:c r="B5" s="18" t="str">
        <x:v>A</x:v>
      </x:c>
      <x:c r="C5" s="18" t="str">
        <x:v>A_0-48h_cumulative_opioid</x:v>
      </x:c>
      <x:c r="D5" s="18" t="str">
        <x:v>Xie 2014</x:v>
      </x:c>
      <x:c r="E5" s="18" t="str">
        <x:v>XIE14_EAS_vs_SHAM_TOTALSUF</x:v>
      </x:c>
      <x:c r="F5" s="18" t="str">
        <x:v>Active EAS PC4/PC6</x:v>
      </x:c>
      <x:c r="G5" s="18" t="str">
        <x:v>Sham needling PC4/PC6</x:v>
      </x:c>
      <x:c r="H5" s="18" t="str">
        <x:v>Total postoperative/perioperative sufentanil</x:v>
      </x:c>
      <x:c r="I5" s="18" t="str">
        <x:v>Through postoperative 48 h; published total may include 30-min pre-end-of-surgery sufentanil exposure</x:v>
      </x:c>
      <x:c r="J5" s="18" t="str">
        <x:v>Mean/SD</x:v>
      </x:c>
      <x:c r="K5" s="18" t="n">
        <x:v>20</x:v>
      </x:c>
      <x:c r="L5" s="18" t="n">
        <x:v>20</x:v>
      </x:c>
      <x:c r="M5" s="18" t="n">
        <x:v>115</x:v>
      </x:c>
      <x:c r="N5" s="18" t="n">
        <x:v>6</x:v>
      </x:c>
      <x:c r="O5" s="18"/>
      <x:c r="P5" s="18"/>
      <x:c r="Q5" s="18"/>
      <x:c r="R5" s="18"/>
      <x:c r="S5" s="18" t="n">
        <x:v>133.5</x:v>
      </x:c>
      <x:c r="T5" s="18" t="n">
        <x:v>7</x:v>
      </x:c>
      <x:c r="U5" s="18"/>
      <x:c r="V5" s="18"/>
      <x:c r="W5" s="18"/>
      <x:c r="X5" s="18"/>
      <x:c r="Y5" s="18" t="str">
        <x:v>µg sufentanil</x:v>
      </x:c>
      <x:c r="Z5" s="18" t="str">
        <x:v>&lt;0.05</x:v>
      </x:c>
      <x:c r="AA5" s="18" t="str">
        <x:v>MD</x:v>
      </x:c>
      <x:c r="AB5" s="18" t="n">
        <x:v>-18.5</x:v>
      </x:c>
      <x:c r="AC5" s="18" t="str">
        <x:v>Some concerns</x:v>
      </x:c>
      <x:c r="AD5" s="18" t="n">
        <x:v>0</x:v>
      </x:c>
      <x:c r="AE5" s="18" t="n">
        <x:v>1</x:v>
      </x:c>
      <x:c r="AF5" s="18" t="n">
        <x:v>0</x:v>
      </x:c>
      <x:c r="AG5" s="18" t="str">
        <x:v>P1</x:v>
      </x:c>
      <x:c r="AH5" s="18" t="str">
        <x:v>RESOLVED_BY_SENSITIVITY</x:v>
      </x:c>
      <x:c r="AI5" s="18" t="str">
        <x:v>SENSITIVITY_MODEL</x:v>
      </x:c>
      <x:c r="AJ5" s="18"/>
      <x:c r="AK5" s="18"/>
      <x:c r="AL5" s="18" t="str">
        <x:v>Yes</x:v>
      </x:c>
      <x:c r="AM5" s="18" t="str">
        <x:v>Sufentanil began 30 min before surgery ended; continuous infusion reported inconsistently as 2.25 vs 2.5 µg/h.</x:v>
      </x:c>
      <x:c r="AN5" s="18" t="str">
        <x:v>SOURCE-VERIFIED / AF-CORRECTED / WINDOW-QC</x:v>
      </x:c>
      <x:c r="AO5" s="18" t="str">
        <x:v>https://drive.google.com/file/d/17faY_h0rMJTuhjPOC5PL_S59jYmHDPee/view?usp=drivesdk</x:v>
      </x:c>
    </x:row>
    <x:row r="6">
      <x:c r="A6" s="18" t="str">
        <x:v>A-004</x:v>
      </x:c>
      <x:c r="B6" s="18" t="str">
        <x:v>A</x:v>
      </x:c>
      <x:c r="C6" s="18" t="str">
        <x:v>A_0-48h_cumulative_opioid</x:v>
      </x:c>
      <x:c r="D6" s="18" t="str">
        <x:v>Xie 2014</x:v>
      </x:c>
      <x:c r="E6" s="18" t="str">
        <x:v>XIE14_EAS_vs_CONTROL_TOTALSUF</x:v>
      </x:c>
      <x:c r="F6" s="18" t="str">
        <x:v>Active EAS PC4/PC6</x:v>
      </x:c>
      <x:c r="G6" s="18" t="str">
        <x:v>General-anesthesia control</x:v>
      </x:c>
      <x:c r="H6" s="18" t="str">
        <x:v>Total postoperative/perioperative sufentanil</x:v>
      </x:c>
      <x:c r="I6" s="18" t="str">
        <x:v>Through postoperative 48 h; published total may include 30-min pre-end-of-surgery sufentanil exposure</x:v>
      </x:c>
      <x:c r="J6" s="18" t="str">
        <x:v>Mean/SD</x:v>
      </x:c>
      <x:c r="K6" s="18" t="n">
        <x:v>20</x:v>
      </x:c>
      <x:c r="L6" s="18" t="n">
        <x:v>20</x:v>
      </x:c>
      <x:c r="M6" s="18" t="n">
        <x:v>115</x:v>
      </x:c>
      <x:c r="N6" s="18" t="n">
        <x:v>6</x:v>
      </x:c>
      <x:c r="O6" s="18"/>
      <x:c r="P6" s="18"/>
      <x:c r="Q6" s="18"/>
      <x:c r="R6" s="18"/>
      <x:c r="S6" s="18" t="n">
        <x:v>134.3</x:v>
      </x:c>
      <x:c r="T6" s="18" t="n">
        <x:v>5.9</x:v>
      </x:c>
      <x:c r="U6" s="18"/>
      <x:c r="V6" s="18"/>
      <x:c r="W6" s="18"/>
      <x:c r="X6" s="18"/>
      <x:c r="Y6" s="18" t="str">
        <x:v>µg sufentanil</x:v>
      </x:c>
      <x:c r="Z6" s="18" t="str">
        <x:v>&lt;0.05</x:v>
      </x:c>
      <x:c r="AA6" s="18" t="str">
        <x:v>MD</x:v>
      </x:c>
      <x:c r="AB6" s="18" t="n">
        <x:v>-19.30000000000001</x:v>
      </x:c>
      <x:c r="AC6" s="18" t="str">
        <x:v>Some concerns</x:v>
      </x:c>
      <x:c r="AD6" s="18" t="n">
        <x:v>0</x:v>
      </x:c>
      <x:c r="AE6" s="18" t="n">
        <x:v>1</x:v>
      </x:c>
      <x:c r="AF6" s="18" t="n">
        <x:v>0</x:v>
      </x:c>
      <x:c r="AG6" s="18" t="str">
        <x:v>P1</x:v>
      </x:c>
      <x:c r="AH6" s="18" t="str">
        <x:v>RESOLVED_BY_SENSITIVITY</x:v>
      </x:c>
      <x:c r="AI6" s="18" t="str">
        <x:v>SENSITIVITY_MODEL</x:v>
      </x:c>
      <x:c r="AJ6" s="18"/>
      <x:c r="AK6" s="18"/>
      <x:c r="AL6" s="18" t="str">
        <x:v>Yes</x:v>
      </x:c>
      <x:c r="AM6" s="18" t="str">
        <x:v>Sufentanil began 30 min before surgery ended; continuous infusion reported inconsistently as 2.25 vs 2.5 µg/h.</x:v>
      </x:c>
      <x:c r="AN6" s="18" t="str">
        <x:v>SOURCE-VERIFIED / AF-CORRECTED / WINDOW-QC</x:v>
      </x:c>
      <x:c r="AO6" s="18" t="str">
        <x:v>https://drive.google.com/file/d/17faY_h0rMJTuhjPOC5PL_S59jYmHDPee/view?usp=drivesdk</x:v>
      </x:c>
    </x:row>
    <x:row r="7">
      <x:c r="A7" s="18" t="str">
        <x:v>B-001</x:v>
      </x:c>
      <x:c r="B7" s="18" t="str">
        <x:v>B</x:v>
      </x:c>
      <x:c r="C7" s="18" t="str">
        <x:v>B_0-72h_cumulative_opioid</x:v>
      </x:c>
      <x:c r="D7" s="18" t="str">
        <x:v>Yang 2024</x:v>
      </x:c>
      <x:c r="E7" s="18" t="str">
        <x:v>YANG24_EA_vs_UC_MORPH72</x:v>
      </x:c>
      <x:c r="F7" s="18" t="str">
        <x:v>Perioperative EA + usual care</x:v>
      </x:c>
      <x:c r="G7" s="18" t="str">
        <x:v>Usual care</x:v>
      </x:c>
      <x:c r="H7" s="18" t="str">
        <x:v>Cumulative morphine use via IV PCA</x:v>
      </x:c>
      <x:c r="I7" s="18" t="str">
        <x:v>0-72 h / POD1-3</x:v>
      </x:c>
      <x:c r="J7" s="18" t="str">
        <x:v>Mean/SD</x:v>
      </x:c>
      <x:c r="K7" s="18" t="n">
        <x:v>90</x:v>
      </x:c>
      <x:c r="L7" s="18" t="n">
        <x:v>90</x:v>
      </x:c>
      <x:c r="M7" s="18" t="n">
        <x:v>127</x:v>
      </x:c>
      <x:c r="N7" s="18" t="n">
        <x:v>12</x:v>
      </x:c>
      <x:c r="O7" s="18"/>
      <x:c r="P7" s="18"/>
      <x:c r="Q7" s="18"/>
      <x:c r="R7" s="18"/>
      <x:c r="S7" s="18" t="n">
        <x:v>127.5</x:v>
      </x:c>
      <x:c r="T7" s="18" t="n">
        <x:v>12.5</x:v>
      </x:c>
      <x:c r="U7" s="18"/>
      <x:c r="V7" s="18"/>
      <x:c r="W7" s="18"/>
      <x:c r="X7" s="18"/>
      <x:c r="Y7" s="18" t="str">
        <x:v>mg morphine</x:v>
      </x:c>
      <x:c r="Z7" s="18" t="str">
        <x:v>0.785</x:v>
      </x:c>
      <x:c r="AA7" s="18" t="str">
        <x:v>MD</x:v>
      </x:c>
      <x:c r="AB7" s="18" t="n">
        <x:v>-0.5</x:v>
      </x:c>
      <x:c r="AC7" s="18" t="str">
        <x:v>Some concerns</x:v>
      </x:c>
      <x:c r="AD7" s="18" t="n">
        <x:v>1</x:v>
      </x:c>
      <x:c r="AE7" s="18" t="n">
        <x:v>0</x:v>
      </x:c>
      <x:c r="AF7" s="18" t="n">
        <x:v>0</x:v>
      </x:c>
      <x:c r="AG7" s="18"/>
      <x:c r="AH7" s="18"/>
      <x:c r="AI7" s="18" t="str">
        <x:v>STRICT_MODEL</x:v>
      </x:c>
      <x:c r="AJ7" s="18"/>
      <x:c r="AK7" s="18"/>
      <x:c r="AL7" s="18" t="str">
        <x:v>No</x:v>
      </x:c>
      <x:c r="AM7" s="18" t="str">
        <x:v>Extracted from PCA device records; full ITT.</x:v>
      </x:c>
      <x:c r="AN7" s="18" t="str">
        <x:v>SOURCE-VERIFIED / AF-NORMALIZED</x:v>
      </x:c>
      <x:c r="AO7" s="18" t="str">
        <x:v>https://drive.google.com/file/d/160N3psd5tLEphwXHJzUEZ3uJfaIXcs5V/view?usp=drivesdk</x:v>
      </x:c>
    </x:row>
    <x:row r="8">
      <x:c r="A8" s="18" t="str">
        <x:v>B-002</x:v>
      </x:c>
      <x:c r="B8" s="18" t="str">
        <x:v>B</x:v>
      </x:c>
      <x:c r="C8" s="18" t="str">
        <x:v>B_0-72h_cumulative_opioid</x:v>
      </x:c>
      <x:c r="D8" s="18" t="str">
        <x:v>Wong 2006</x:v>
      </x:c>
      <x:c r="E8" s="18" t="str">
        <x:v>WONG06_EA_vs_SHAM_MORPHTOTAL</x:v>
      </x:c>
      <x:c r="F8" s="18" t="str">
        <x:v>Postoperative electroacupuncture</x:v>
      </x:c>
      <x:c r="G8" s="18" t="str">
        <x:v>Nonpenetrating sham acupuncture</x:v>
      </x:c>
      <x:c r="H8" s="18" t="str">
        <x:v>IV PCA morphine consumption</x:v>
      </x:c>
      <x:c r="I8" s="18" t="str">
        <x:v>First 3 postoperative days total</x:v>
      </x:c>
      <x:c r="J8" s="18" t="str">
        <x:v>Mean/SD</x:v>
      </x:c>
      <x:c r="K8" s="18" t="n">
        <x:v>13</x:v>
      </x:c>
      <x:c r="L8" s="18" t="n">
        <x:v>12</x:v>
      </x:c>
      <x:c r="M8" s="18" t="n">
        <x:v>33.9</x:v>
      </x:c>
      <x:c r="N8" s="18" t="n">
        <x:v>12.8</x:v>
      </x:c>
      <x:c r="O8" s="18"/>
      <x:c r="P8" s="18"/>
      <x:c r="Q8" s="18"/>
      <x:c r="R8" s="18"/>
      <x:c r="S8" s="18" t="n">
        <x:v>42.3</x:v>
      </x:c>
      <x:c r="T8" s="18" t="n">
        <x:v>21.3</x:v>
      </x:c>
      <x:c r="U8" s="18"/>
      <x:c r="V8" s="18"/>
      <x:c r="W8" s="18"/>
      <x:c r="X8" s="18"/>
      <x:c r="Y8" s="18" t="str">
        <x:v>mg IV morphine</x:v>
      </x:c>
      <x:c r="Z8" s="18" t="str">
        <x:v>0.25</x:v>
      </x:c>
      <x:c r="AA8" s="18" t="str">
        <x:v>MD</x:v>
      </x:c>
      <x:c r="AB8" s="18" t="n">
        <x:v>-8.399999999999999</x:v>
      </x:c>
      <x:c r="AC8" s="18" t="str">
        <x:v>Some concerns</x:v>
      </x:c>
      <x:c r="AD8" s="18" t="n">
        <x:v>0</x:v>
      </x:c>
      <x:c r="AE8" s="18" t="n">
        <x:v>1</x:v>
      </x:c>
      <x:c r="AF8" s="18" t="n">
        <x:v>0</x:v>
      </x:c>
      <x:c r="AG8" s="18"/>
      <x:c r="AH8" s="18"/>
      <x:c r="AI8" s="18" t="str">
        <x:v>SENSITIVITY_MODEL</x:v>
      </x:c>
      <x:c r="AJ8" s="18"/>
      <x:c r="AK8" s="18"/>
      <x:c r="AL8" s="18" t="str">
        <x:v>No</x:v>
      </x:c>
      <x:c r="AM8" s="18" t="str">
        <x:v>Both groups also received scheduled oral dextropropoxyphene. Two randomized sham patients were excluded after serious postoperative complications.</x:v>
      </x:c>
      <x:c r="AN8" s="18" t="str">
        <x:v>SOURCE-VERIFIED / DAY-LABEL WINDOW QC</x:v>
      </x:c>
      <x:c r="AO8" s="18" t="str">
        <x:v>https://drive.google.com/file/d/1-XmRdgXyZmOmKIDRhL80sxha5M2P00jd/view?usp=drivesdk</x:v>
      </x:c>
    </x:row>
    <x:row r="9">
      <x:c r="A9" s="18" t="str">
        <x:v>C-001</x:v>
      </x:c>
      <x:c r="B9" s="18" t="str">
        <x:v>C</x:v>
      </x:c>
      <x:c r="C9" s="18" t="str">
        <x:v>C_rest_pain_~24h</x:v>
      </x:c>
      <x:c r="D9" s="18" t="str">
        <x:v>Xing 2022</x:v>
      </x:c>
      <x:c r="E9" s="18" t="str">
        <x:v>XING22_NTG_vs_NG_RESTVAS24</x:v>
      </x:c>
      <x:c r="F9" s="18" t="str">
        <x:v>TEAS + active TAPB</x:v>
      </x:c>
      <x:c r="G9" s="18" t="str">
        <x:v>Sham TEAS + active TAPB</x:v>
      </x:c>
      <x:c r="H9" s="18" t="str">
        <x:v>Rest pain VAS</x:v>
      </x:c>
      <x:c r="I9" s="18" t="str">
        <x:v>24 h</x:v>
      </x:c>
      <x:c r="J9" s="18" t="str">
        <x:v>Mean/SD</x:v>
      </x:c>
      <x:c r="K9" s="18" t="n">
        <x:v>29</x:v>
      </x:c>
      <x:c r="L9" s="18" t="n">
        <x:v>29</x:v>
      </x:c>
      <x:c r="M9" s="18" t="n">
        <x:v>1.18</x:v>
      </x:c>
      <x:c r="N9" s="18" t="n">
        <x:v>0.42</x:v>
      </x:c>
      <x:c r="O9" s="18"/>
      <x:c r="P9" s="18"/>
      <x:c r="Q9" s="18"/>
      <x:c r="R9" s="18"/>
      <x:c r="S9" s="18" t="n">
        <x:v>1.4</x:v>
      </x:c>
      <x:c r="T9" s="18" t="n">
        <x:v>0.52</x:v>
      </x:c>
      <x:c r="U9" s="18"/>
      <x:c r="V9" s="18"/>
      <x:c r="W9" s="18"/>
      <x:c r="X9" s="18"/>
      <x:c r="Y9" s="18" t="str">
        <x:v>VAS 0-10</x:v>
      </x:c>
      <x:c r="Z9" s="18" t="str">
        <x:v>NS for NTG vs NG at 24 h</x:v>
      </x:c>
      <x:c r="AA9" s="18" t="str">
        <x:v>MD</x:v>
      </x:c>
      <x:c r="AB9" s="18" t="n">
        <x:v>-0.21999999999999997</x:v>
      </x:c>
      <x:c r="AC9" s="18" t="str">
        <x:v>High</x:v>
      </x:c>
      <x:c r="AD9" s="18" t="n">
        <x:v>1</x:v>
      </x:c>
      <x:c r="AE9" s="18" t="n">
        <x:v>0</x:v>
      </x:c>
      <x:c r="AF9" s="18" t="n">
        <x:v>0</x:v>
      </x:c>
      <x:c r="AG9" s="18"/>
      <x:c r="AH9" s="18"/>
      <x:c r="AI9" s="18" t="str">
        <x:v>STRICT_MODEL</x:v>
      </x:c>
      <x:c r="AJ9" s="18"/>
      <x:c r="AK9" s="18"/>
      <x:c r="AL9" s="18" t="str">
        <x:v>Yes</x:v>
      </x:c>
      <x:c r="AM9" s="18" t="str">
        <x:v>At 24 h both TAPB groups improved versus G, but incremental NTG-vs-NG difference was not reported significant</x:v>
      </x:c>
      <x:c r="AN9" s="18" t="str">
        <x:v>SOURCE-VERIFIED</x:v>
      </x:c>
      <x:c r="AO9" s="18" t="str">
        <x:v>https://drive.google.com/file/d/1h3IGpQ56nSh7H16xBEVyTzCBkWOXRSxK/view?usp=drivesdk</x:v>
      </x:c>
    </x:row>
    <x:row r="10">
      <x:c r="A10" s="18" t="str">
        <x:v>C-002</x:v>
      </x:c>
      <x:c r="B10" s="18" t="str">
        <x:v>C</x:v>
      </x:c>
      <x:c r="C10" s="18" t="str">
        <x:v>C_rest_pain_~24h</x:v>
      </x:c>
      <x:c r="D10" s="18" t="str">
        <x:v>Liu 2021</x:v>
      </x:c>
      <x:c r="E10" s="18" t="str">
        <x:v>LIU21_TEAS_vs_CTRL_VASREST24</x:v>
      </x:c>
      <x:c r="F10" s="18" t="str">
        <x:v>Perioperative TEAS</x:v>
      </x:c>
      <x:c r="G10" s="18" t="str">
        <x:v>Electrodes/no current</x:v>
      </x:c>
      <x:c r="H10" s="18" t="str">
        <x:v>VAS at rest</x:v>
      </x:c>
      <x:c r="I10" s="18" t="str">
        <x:v>24 h</x:v>
      </x:c>
      <x:c r="J10" s="18" t="str">
        <x:v>Mean/SD</x:v>
      </x:c>
      <x:c r="K10" s="18" t="n">
        <x:v>50</x:v>
      </x:c>
      <x:c r="L10" s="18" t="n">
        <x:v>50</x:v>
      </x:c>
      <x:c r="M10" s="18" t="n">
        <x:v>2.52</x:v>
      </x:c>
      <x:c r="N10" s="18" t="n">
        <x:v>0.505</x:v>
      </x:c>
      <x:c r="O10" s="18"/>
      <x:c r="P10" s="18"/>
      <x:c r="Q10" s="18"/>
      <x:c r="R10" s="18"/>
      <x:c r="S10" s="18" t="n">
        <x:v>2.66</x:v>
      </x:c>
      <x:c r="T10" s="18" t="n">
        <x:v>0.626</x:v>
      </x:c>
      <x:c r="U10" s="18"/>
      <x:c r="V10" s="18"/>
      <x:c r="W10" s="18"/>
      <x:c r="X10" s="18"/>
      <x:c r="Y10" s="18" t="str">
        <x:v>VAS</x:v>
      </x:c>
      <x:c r="Z10" s="18" t="str">
        <x:v>0.221</x:v>
      </x:c>
      <x:c r="AA10" s="18" t="str">
        <x:v>MD</x:v>
      </x:c>
      <x:c r="AB10" s="18" t="n">
        <x:v>-0.14000000000000012</x:v>
      </x:c>
      <x:c r="AC10" s="18" t="str">
        <x:v>High</x:v>
      </x:c>
      <x:c r="AD10" s="18" t="n">
        <x:v>1</x:v>
      </x:c>
      <x:c r="AE10" s="18" t="n">
        <x:v>0</x:v>
      </x:c>
      <x:c r="AF10" s="18" t="n">
        <x:v>0</x:v>
      </x:c>
      <x:c r="AG10" s="18"/>
      <x:c r="AH10" s="18"/>
      <x:c r="AI10" s="18" t="str">
        <x:v>STRICT_MODEL</x:v>
      </x:c>
      <x:c r="AJ10" s="18"/>
      <x:c r="AK10" s="18"/>
      <x:c r="AL10" s="18" t="str">
        <x:v>No</x:v>
      </x:c>
      <x:c r="AM10" s="18" t="str">
        <x:v>Participant blinding is unclear because active stimulation was maximum tolerated and control received no current</x:v>
      </x:c>
      <x:c r="AN10" s="18" t="str">
        <x:v>SOURCE-VERIFIED</x:v>
      </x:c>
      <x:c r="AO10" s="18" t="str">
        <x:v>https://drive.google.com/file/d/1TA4BstaUWY3EdQbDNEvvGxF35ekGanrm/view?usp=drivesdk</x:v>
      </x:c>
    </x:row>
    <x:row r="11">
      <x:c r="A11" s="18" t="str">
        <x:v>D-001</x:v>
      </x:c>
      <x:c r="B11" s="18" t="str">
        <x:v>D</x:v>
      </x:c>
      <x:c r="C11" s="18" t="str">
        <x:v>D_PONV_0-24h</x:v>
      </x:c>
      <x:c r="D11" s="18" t="str">
        <x:v>Zheng 2025</x:v>
      </x:c>
      <x:c r="E11" s="18" t="str">
        <x:v>ZHENG25_TEAS_vs_SHAM_PONV</x:v>
      </x:c>
      <x:c r="F11" s="18" t="str">
        <x:v>Perioperative TEAS</x:v>
      </x:c>
      <x:c r="G11" s="18" t="str">
        <x:v>Sham/no current</x:v>
      </x:c>
      <x:c r="H11" s="18" t="str">
        <x:v>Any PONV</x:v>
      </x:c>
      <x:c r="I11" s="18" t="str">
        <x:v>Within 24 h postoperatively</x:v>
      </x:c>
      <x:c r="J11" s="18" t="str">
        <x:v>Events/total</x:v>
      </x:c>
      <x:c r="K11" s="18" t="n">
        <x:v>42</x:v>
      </x:c>
      <x:c r="L11" s="18" t="n">
        <x:v>43</x:v>
      </x:c>
      <x:c r="M11" s="18"/>
      <x:c r="N11" s="18"/>
      <x:c r="O11" s="18"/>
      <x:c r="P11" s="18"/>
      <x:c r="Q11" s="18"/>
      <x:c r="R11" s="18" t="n">
        <x:v>18</x:v>
      </x:c>
      <x:c r="S11" s="18"/>
      <x:c r="T11" s="18"/>
      <x:c r="U11" s="18"/>
      <x:c r="V11" s="18"/>
      <x:c r="W11" s="18"/>
      <x:c r="X11" s="18" t="n">
        <x:v>29</x:v>
      </x:c>
      <x:c r="Y11" s="18" t="str">
        <x:v>participants</x:v>
      </x:c>
      <x:c r="Z11" s="18" t="str">
        <x:v>0.023</x:v>
      </x:c>
      <x:c r="AA11" s="18" t="str">
        <x:v>RR</x:v>
      </x:c>
      <x:c r="AB11" s="18" t="n">
        <x:v>0.6354679802955665</x:v>
      </x:c>
      <x:c r="AC11" s="18" t="str">
        <x:v>Some concerns</x:v>
      </x:c>
      <x:c r="AD11" s="18" t="n">
        <x:v>1</x:v>
      </x:c>
      <x:c r="AE11" s="18" t="n">
        <x:v>0</x:v>
      </x:c>
      <x:c r="AF11" s="18" t="n">
        <x:v>0</x:v>
      </x:c>
      <x:c r="AG11" s="18"/>
      <x:c r="AH11" s="18"/>
      <x:c r="AI11" s="18" t="str">
        <x:v>STRICT_MODEL</x:v>
      </x:c>
      <x:c r="AJ11" s="18"/>
      <x:c r="AK11" s="18"/>
      <x:c r="AL11" s="18" t="str">
        <x:v>No</x:v>
      </x:c>
      <x:c r="AM11" s="18" t="str">
        <x:v>Counts 18/42 and 29/43 are reconstructed from reported 42.9% and 67.4%; use percentages as source truth</x:v>
      </x:c>
      <x:c r="AN11" s="18" t="str">
        <x:v>SOURCE-VERIFIED / COUNTS DERIVED</x:v>
      </x:c>
      <x:c r="AO11" s="18" t="str">
        <x:v>https://drive.google.com/file/d/1-JWKZgQXaQQQBZgMSDqyIP-vG9aAxBqb/view?usp=drivesdk</x:v>
      </x:c>
    </x:row>
    <x:row r="12">
      <x:c r="A12" s="18" t="str">
        <x:v>D-002</x:v>
      </x:c>
      <x:c r="B12" s="18" t="str">
        <x:v>D</x:v>
      </x:c>
      <x:c r="C12" s="18" t="str">
        <x:v>D_PONV_0-24h</x:v>
      </x:c>
      <x:c r="D12" s="18" t="str">
        <x:v>Lu 2021</x:v>
      </x:c>
      <x:c r="E12" s="18" t="str">
        <x:v>LU21_COMB_vs_SHAM_PONV24</x:v>
      </x:c>
      <x:c r="F12" s="18" t="str">
        <x:v>Combined PC6+CV17 TEAS</x:v>
      </x:c>
      <x:c r="G12" s="18" t="str">
        <x:v>Sham/no current</x:v>
      </x:c>
      <x:c r="H12" s="18" t="str">
        <x:v>Any PONV</x:v>
      </x:c>
      <x:c r="I12" s="18" t="str">
        <x:v>24 h</x:v>
      </x:c>
      <x:c r="J12" s="18" t="str">
        <x:v>Events/total</x:v>
      </x:c>
      <x:c r="K12" s="18" t="n">
        <x:v>190</x:v>
      </x:c>
      <x:c r="L12" s="18" t="n">
        <x:v>188</x:v>
      </x:c>
      <x:c r="M12" s="18"/>
      <x:c r="N12" s="18"/>
      <x:c r="O12" s="18"/>
      <x:c r="P12" s="18"/>
      <x:c r="Q12" s="18"/>
      <x:c r="R12" s="18" t="n">
        <x:v>35</x:v>
      </x:c>
      <x:c r="S12" s="18"/>
      <x:c r="T12" s="18"/>
      <x:c r="U12" s="18"/>
      <x:c r="V12" s="18"/>
      <x:c r="W12" s="18"/>
      <x:c r="X12" s="18" t="n">
        <x:v>68</x:v>
      </x:c>
      <x:c r="Y12" s="18" t="str">
        <x:v>participants</x:v>
      </x:c>
      <x:c r="Z12" s="18" t="str">
        <x:v>Overall P=0.0001</x:v>
      </x:c>
      <x:c r="AA12" s="18" t="str">
        <x:v>RR</x:v>
      </x:c>
      <x:c r="AB12" s="18" t="n">
        <x:v>0.5092879256965943</x:v>
      </x:c>
      <x:c r="AC12" s="18" t="str">
        <x:v>High</x:v>
      </x:c>
      <x:c r="AD12" s="18" t="n">
        <x:v>1</x:v>
      </x:c>
      <x:c r="AE12" s="18" t="n">
        <x:v>0</x:v>
      </x:c>
      <x:c r="AF12" s="18" t="n">
        <x:v>0</x:v>
      </x:c>
      <x:c r="AG12" s="18"/>
      <x:c r="AH12" s="18"/>
      <x:c r="AI12" s="18" t="str">
        <x:v>STRICT_MODEL</x:v>
      </x:c>
      <x:c r="AJ12" s="18"/>
      <x:c r="AK12" s="18"/>
      <x:c r="AL12" s="18" t="str">
        <x:v>Yes</x:v>
      </x:c>
      <x:c r="AM12" s="18" t="str">
        <x:v>Use raw event counts; three-arm shared sham comparator</x:v>
      </x:c>
      <x:c r="AN12" s="18" t="str">
        <x:v>SOURCE-VERIFIED</x:v>
      </x:c>
      <x:c r="AO12" s="18" t="str">
        <x:v>https://drive.google.com/file/d/1MgD_OucfiyNEDdDe3osh8W01U1yYZs08/view?usp=drivesdk</x:v>
      </x:c>
    </x:row>
    <x:row r="13">
      <x:c r="A13" s="18" t="str">
        <x:v>D-003</x:v>
      </x:c>
      <x:c r="B13" s="18" t="str">
        <x:v>D</x:v>
      </x:c>
      <x:c r="C13" s="18" t="str">
        <x:v>D_PONV_0-48h</x:v>
      </x:c>
      <x:c r="D13" s="18" t="str">
        <x:v>Xiong 2021</x:v>
      </x:c>
      <x:c r="E13" s="18" t="str">
        <x:v>XIONG21_TEAS_vs_CTRL_PONV48</x:v>
      </x:c>
      <x:c r="F13" s="18" t="str">
        <x:v>TEAS + dexamethasone + tropisetron</x:v>
      </x:c>
      <x:c r="G13" s="18" t="str">
        <x:v>Dexamethasone + tropisetron</x:v>
      </x:c>
      <x:c r="H13" s="18" t="str">
        <x:v>Any PONV</x:v>
      </x:c>
      <x:c r="I13" s="18" t="str">
        <x:v>Within 48 h</x:v>
      </x:c>
      <x:c r="J13" s="18" t="str">
        <x:v>Events/total</x:v>
      </x:c>
      <x:c r="K13" s="18" t="n">
        <x:v>31</x:v>
      </x:c>
      <x:c r="L13" s="18" t="n">
        <x:v>31</x:v>
      </x:c>
      <x:c r="M13" s="18"/>
      <x:c r="N13" s="18"/>
      <x:c r="O13" s="18"/>
      <x:c r="P13" s="18"/>
      <x:c r="Q13" s="18"/>
      <x:c r="R13" s="18" t="n">
        <x:v>13</x:v>
      </x:c>
      <x:c r="S13" s="18"/>
      <x:c r="T13" s="18"/>
      <x:c r="U13" s="18"/>
      <x:c r="V13" s="18"/>
      <x:c r="W13" s="18"/>
      <x:c r="X13" s="18" t="n">
        <x:v>24</x:v>
      </x:c>
      <x:c r="Y13" s="18" t="str">
        <x:v>participants</x:v>
      </x:c>
      <x:c r="Z13" s="18" t="str">
        <x:v>0.004</x:v>
      </x:c>
      <x:c r="AA13" s="18" t="str">
        <x:v>RR</x:v>
      </x:c>
      <x:c r="AB13" s="18" t="n">
        <x:v>0.5416666666666667</x:v>
      </x:c>
      <x:c r="AC13" s="18" t="str">
        <x:v>High</x:v>
      </x:c>
      <x:c r="AD13" s="18" t="n">
        <x:v>1</x:v>
      </x:c>
      <x:c r="AE13" s="18" t="n">
        <x:v>0</x:v>
      </x:c>
      <x:c r="AF13" s="18" t="n">
        <x:v>0</x:v>
      </x:c>
      <x:c r="AG13" s="18"/>
      <x:c r="AH13" s="18"/>
      <x:c r="AI13" s="18" t="str">
        <x:v>STRICT_MODEL</x:v>
      </x:c>
      <x:c r="AJ13" s="18"/>
      <x:c r="AK13" s="18"/>
      <x:c r="AL13" s="18" t="str">
        <x:v>No</x:v>
      </x:c>
      <x:c r="AM13" s="18" t="str">
        <x:v>Participant blinding intended but active postoperative tingling may have revealed allocation</x:v>
      </x:c>
      <x:c r="AN13" s="18" t="str">
        <x:v>SOURCE-VERIFIED</x:v>
      </x:c>
      <x:c r="AO13" s="18" t="str">
        <x:v>https://drive.google.com/file/d/1sNaquYeWpsts7_e3XYP9c0CwM-tbQS6T/view?usp=drivesdk</x:v>
      </x:c>
    </x:row>
    <x:row r="14">
      <x:c r="A14" s="18" t="str">
        <x:v>D-004</x:v>
      </x:c>
      <x:c r="B14" s="18" t="str">
        <x:v>D</x:v>
      </x:c>
      <x:c r="C14" s="18" t="str">
        <x:v>D_PONV_0-48h</x:v>
      </x:c>
      <x:c r="D14" s="18" t="str">
        <x:v>Xing 2022</x:v>
      </x:c>
      <x:c r="E14" s="18" t="str">
        <x:v>XING22_NTG_vs_NG_PONV</x:v>
      </x:c>
      <x:c r="F14" s="18" t="str">
        <x:v>TEAS + active TAPB</x:v>
      </x:c>
      <x:c r="G14" s="18" t="str">
        <x:v>Sham TEAS + active TAPB</x:v>
      </x:c>
      <x:c r="H14" s="18" t="str">
        <x:v>PONV incidence</x:v>
      </x:c>
      <x:c r="I14" s="18" t="str">
        <x:v>Postoperative</x:v>
      </x:c>
      <x:c r="J14" s="18" t="str">
        <x:v>Events/total</x:v>
      </x:c>
      <x:c r="K14" s="18" t="n">
        <x:v>29</x:v>
      </x:c>
      <x:c r="L14" s="18" t="n">
        <x:v>29</x:v>
      </x:c>
      <x:c r="M14" s="18"/>
      <x:c r="N14" s="18"/>
      <x:c r="O14" s="18"/>
      <x:c r="P14" s="18"/>
      <x:c r="Q14" s="18"/>
      <x:c r="R14" s="18" t="n">
        <x:v>5</x:v>
      </x:c>
      <x:c r="S14" s="18"/>
      <x:c r="T14" s="18"/>
      <x:c r="U14" s="18"/>
      <x:c r="V14" s="18"/>
      <x:c r="W14" s="18"/>
      <x:c r="X14" s="18" t="n">
        <x:v>11</x:v>
      </x:c>
      <x:c r="Y14" s="18" t="str">
        <x:v>participants</x:v>
      </x:c>
      <x:c r="Z14" s="18" t="str">
        <x:v>&lt;0.05 pairwise</x:v>
      </x:c>
      <x:c r="AA14" s="18" t="str">
        <x:v>RR</x:v>
      </x:c>
      <x:c r="AB14" s="18" t="n">
        <x:v>0.4545454545454546</x:v>
      </x:c>
      <x:c r="AC14" s="18" t="str">
        <x:v>High</x:v>
      </x:c>
      <x:c r="AD14" s="18" t="n">
        <x:v>1</x:v>
      </x:c>
      <x:c r="AE14" s="18" t="n">
        <x:v>0</x:v>
      </x:c>
      <x:c r="AF14" s="18" t="n">
        <x:v>0</x:v>
      </x:c>
      <x:c r="AG14" s="18"/>
      <x:c r="AH14" s="18"/>
      <x:c r="AI14" s="18" t="str">
        <x:v>STRICT_MODEL</x:v>
      </x:c>
      <x:c r="AJ14" s="18"/>
      <x:c r="AK14" s="18"/>
      <x:c r="AL14" s="18" t="str">
        <x:v>Yes</x:v>
      </x:c>
      <x:c r="AM14" s="18" t="str">
        <x:v>Counts reconstructed from n=29 analyzed per arm</x:v>
      </x:c>
      <x:c r="AN14" s="18" t="str">
        <x:v>SOURCE-VERIFIED / COUNTS DERIVED</x:v>
      </x:c>
      <x:c r="AO14" s="18" t="str">
        <x:v>https://drive.google.com/file/d/1h3IGpQ56nSh7H16xBEVyTzCBkWOXRSxK/view?usp=drivesdk</x:v>
      </x:c>
    </x:row>
    <x:row r="15">
      <x:c r="A15" s="18" t="str">
        <x:v>D-005</x:v>
      </x:c>
      <x:c r="B15" s="18" t="str">
        <x:v>D</x:v>
      </x:c>
      <x:c r="C15" s="18" t="str">
        <x:v>D_PONV_other</x:v>
      </x:c>
      <x:c r="D15" s="18" t="str">
        <x:v>Zhou 2025</x:v>
      </x:c>
      <x:c r="E15" s="18" t="str">
        <x:v>ZHOU25_TEAS_vs_SHAM_PONV</x:v>
      </x:c>
      <x:c r="F15" s="18" t="str">
        <x:v>PACU TEAS</x:v>
      </x:c>
      <x:c r="G15" s="18" t="str">
        <x:v>Sham/no current</x:v>
      </x:c>
      <x:c r="H15" s="18" t="str">
        <x:v>PONV incidence</x:v>
      </x:c>
      <x:c r="I15" s="18" t="str">
        <x:v>POD1</x:v>
      </x:c>
      <x:c r="J15" s="18" t="str">
        <x:v>Events/total</x:v>
      </x:c>
      <x:c r="K15" s="18" t="n">
        <x:v>48</x:v>
      </x:c>
      <x:c r="L15" s="18" t="n">
        <x:v>49</x:v>
      </x:c>
      <x:c r="M15" s="18"/>
      <x:c r="N15" s="18"/>
      <x:c r="O15" s="18"/>
      <x:c r="P15" s="18"/>
      <x:c r="Q15" s="18"/>
      <x:c r="R15" s="18" t="n">
        <x:v>10</x:v>
      </x:c>
      <x:c r="S15" s="18"/>
      <x:c r="T15" s="18"/>
      <x:c r="U15" s="18"/>
      <x:c r="V15" s="18"/>
      <x:c r="W15" s="18"/>
      <x:c r="X15" s="18" t="n">
        <x:v>19</x:v>
      </x:c>
      <x:c r="Y15" s="18" t="str">
        <x:v>participants</x:v>
      </x:c>
      <x:c r="Z15" s="18" t="str">
        <x:v>0.047</x:v>
      </x:c>
      <x:c r="AA15" s="18" t="str">
        <x:v>RR</x:v>
      </x:c>
      <x:c r="AB15" s="18" t="n">
        <x:v>0.537280701754386</x:v>
      </x:c>
      <x:c r="AC15" s="18" t="str">
        <x:v>Some concerns</x:v>
      </x:c>
      <x:c r="AD15" s="18" t="n">
        <x:v>0</x:v>
      </x:c>
      <x:c r="AE15" s="18" t="n">
        <x:v>1</x:v>
      </x:c>
      <x:c r="AF15" s="18" t="n">
        <x:v>0</x:v>
      </x:c>
      <x:c r="AG15" s="18" t="str">
        <x:v>P2</x:v>
      </x:c>
      <x:c r="AH15" s="18"/>
      <x:c r="AI15" s="18" t="str">
        <x:v>SENSITIVITY_MODEL</x:v>
      </x:c>
      <x:c r="AJ15" s="18"/>
      <x:c r="AK15" s="18"/>
      <x:c r="AL15" s="18" t="str">
        <x:v>No</x:v>
      </x:c>
      <x:c r="AM15" s="18" t="str">
        <x:v>Participant sensory blinding uncertain</x:v>
      </x:c>
      <x:c r="AN15" s="18" t="str">
        <x:v>SOURCE-VERIFIED</x:v>
      </x:c>
      <x:c r="AO15" s="18" t="str">
        <x:v>https://drive.google.com/file/d/1gpNBuoukUttXKWiAAeZSqdIaaHSMOwDU/view?usp=drivesdk</x:v>
      </x:c>
    </x:row>
    <x:row r="16">
      <x:c r="A16" s="18" t="str">
        <x:v>D-006</x:v>
      </x:c>
      <x:c r="B16" s="18" t="str">
        <x:v>D</x:v>
      </x:c>
      <x:c r="C16" s="18" t="str">
        <x:v>D_nausea_0-24h</x:v>
      </x:c>
      <x:c r="D16" s="18" t="str">
        <x:v>Yang 2024</x:v>
      </x:c>
      <x:c r="E16" s="18" t="str">
        <x:v>YANG24_EA_vs_UC_NAUSEA24</x:v>
      </x:c>
      <x:c r="F16" s="18" t="str">
        <x:v>Perioperative EA + usual care</x:v>
      </x:c>
      <x:c r="G16" s="18" t="str">
        <x:v>Usual care</x:v>
      </x:c>
      <x:c r="H16" s="18" t="str">
        <x:v>Postoperative nausea incidence</x:v>
      </x:c>
      <x:c r="I16" s="18" t="str">
        <x:v>0-24 h</x:v>
      </x:c>
      <x:c r="J16" s="18" t="str">
        <x:v>Events/total</x:v>
      </x:c>
      <x:c r="K16" s="18" t="n">
        <x:v>90</x:v>
      </x:c>
      <x:c r="L16" s="18" t="n">
        <x:v>90</x:v>
      </x:c>
      <x:c r="M16" s="18"/>
      <x:c r="N16" s="18"/>
      <x:c r="O16" s="18"/>
      <x:c r="P16" s="18"/>
      <x:c r="Q16" s="18"/>
      <x:c r="R16" s="18" t="n">
        <x:v>24</x:v>
      </x:c>
      <x:c r="S16" s="18"/>
      <x:c r="T16" s="18"/>
      <x:c r="U16" s="18"/>
      <x:c r="V16" s="18"/>
      <x:c r="W16" s="18"/>
      <x:c r="X16" s="18" t="n">
        <x:v>40</x:v>
      </x:c>
      <x:c r="Y16" s="18" t="str">
        <x:v>participants</x:v>
      </x:c>
      <x:c r="Z16" s="18" t="str">
        <x:v>0.013</x:v>
      </x:c>
      <x:c r="AA16" s="18" t="str">
        <x:v>RR</x:v>
      </x:c>
      <x:c r="AB16" s="18" t="n">
        <x:v>0.6</x:v>
      </x:c>
      <x:c r="AC16" s="18" t="str">
        <x:v>High</x:v>
      </x:c>
      <x:c r="AD16" s="18" t="n">
        <x:v>1</x:v>
      </x:c>
      <x:c r="AE16" s="18" t="n">
        <x:v>0</x:v>
      </x:c>
      <x:c r="AF16" s="18" t="n">
        <x:v>0</x:v>
      </x:c>
      <x:c r="AG16" s="18"/>
      <x:c r="AH16" s="18"/>
      <x:c r="AI16" s="18" t="str">
        <x:v>STRICT_MODEL</x:v>
      </x:c>
      <x:c r="AJ16" s="18"/>
      <x:c r="AK16" s="18"/>
      <x:c r="AL16" s="18" t="str">
        <x:v>No</x:v>
      </x:c>
      <x:c r="AM16" s="18" t="str">
        <x:v>Nausea is subjective in an open-label EA-vs-usual-care comparison; result-specific High RoB.</x:v>
      </x:c>
      <x:c r="AN16" s="18" t="str">
        <x:v>SOURCE-VERIFIED / AF-NORMALIZED</x:v>
      </x:c>
      <x:c r="AO16" s="18" t="str">
        <x:v>https://drive.google.com/file/d/160N3psd5tLEphwXHJzUEZ3uJfaIXcs5V/view?usp=drivesdk</x:v>
      </x:c>
    </x:row>
    <x:row r="17">
      <x:c r="A17" s="18" t="str">
        <x:v>D-007</x:v>
      </x:c>
      <x:c r="B17" s="18" t="str">
        <x:v>D</x:v>
      </x:c>
      <x:c r="C17" s="18" t="str">
        <x:v>D_nausea_0-24h</x:v>
      </x:c>
      <x:c r="D17" s="18" t="str">
        <x:v>Ma 2026</x:v>
      </x:c>
      <x:c r="E17" s="18" t="str">
        <x:v>MA26_T_vs_S_NAUSEA24</x:v>
      </x:c>
      <x:c r="F17" s="18" t="str">
        <x:v>Group T: sleep disturbance + preop TEAS</x:v>
      </x:c>
      <x:c r="G17" s="18" t="str">
        <x:v>Group S: sleep disturbance, no TEAS</x:v>
      </x:c>
      <x:c r="H17" s="18" t="str">
        <x:v>Nausea</x:v>
      </x:c>
      <x:c r="I17" s="18" t="str">
        <x:v>24 h</x:v>
      </x:c>
      <x:c r="J17" s="18" t="str">
        <x:v>Events/total</x:v>
      </x:c>
      <x:c r="K17" s="18" t="n">
        <x:v>17</x:v>
      </x:c>
      <x:c r="L17" s="18" t="n">
        <x:v>16</x:v>
      </x:c>
      <x:c r="M17" s="18"/>
      <x:c r="N17" s="18"/>
      <x:c r="O17" s="18"/>
      <x:c r="P17" s="18"/>
      <x:c r="Q17" s="18"/>
      <x:c r="R17" s="18" t="n">
        <x:v>6</x:v>
      </x:c>
      <x:c r="S17" s="18"/>
      <x:c r="T17" s="18"/>
      <x:c r="U17" s="18"/>
      <x:c r="V17" s="18"/>
      <x:c r="W17" s="18"/>
      <x:c r="X17" s="18" t="n">
        <x:v>8</x:v>
      </x:c>
      <x:c r="Y17" s="18" t="str">
        <x:v>participants</x:v>
      </x:c>
      <x:c r="Z17" s="18" t="str">
        <x:v>Overall 3-group P=0.590; randomized T-vs-S pairwise NR</x:v>
      </x:c>
      <x:c r="AA17" s="18" t="str">
        <x:v>RR</x:v>
      </x:c>
      <x:c r="AB17" s="18" t="n">
        <x:v>0.7058823529411765</x:v>
      </x:c>
      <x:c r="AC17" s="18" t="str">
        <x:v>High</x:v>
      </x:c>
      <x:c r="AD17" s="18" t="n">
        <x:v>1</x:v>
      </x:c>
      <x:c r="AE17" s="18" t="n">
        <x:v>0</x:v>
      </x:c>
      <x:c r="AF17" s="18" t="n">
        <x:v>0</x:v>
      </x:c>
      <x:c r="AG17" s="18"/>
      <x:c r="AH17" s="18"/>
      <x:c r="AI17" s="18" t="str">
        <x:v>STRICT_MODEL</x:v>
      </x:c>
      <x:c r="AJ17" s="18"/>
      <x:c r="AK17" s="18"/>
      <x:c r="AL17" s="18" t="str">
        <x:v>No</x:v>
      </x:c>
      <x:c r="AM17" s="18" t="str">
        <x:v>Overall P-value includes non-randomized Group C; do not treat it as the randomized pairwise P-value</x:v>
      </x:c>
      <x:c r="AN17" s="18" t="str">
        <x:v>SOURCE-VERIFIED</x:v>
      </x:c>
      <x:c r="AO17" s="18" t="str">
        <x:v>https://drive.google.com/file/d/1tMEOwvRWIMeEmBmKfeHEt7YF10yxslUe/view?usp=drivesdk</x:v>
      </x:c>
    </x:row>
    <x:row r="18">
      <x:c r="A18" s="18" t="str">
        <x:v>D-008</x:v>
      </x:c>
      <x:c r="B18" s="18" t="str">
        <x:v>D</x:v>
      </x:c>
      <x:c r="C18" s="18" t="str">
        <x:v>D_nausea_0-48h</x:v>
      </x:c>
      <x:c r="D18" s="18" t="str">
        <x:v>Luo 2026</x:v>
      </x:c>
      <x:c r="E18" s="18" t="str">
        <x:v>LUO26_TEAS_vs_SHAM_NAUSEA48</x:v>
      </x:c>
      <x:c r="F18" s="18" t="str">
        <x:v>Intraoperative PC6 TEAS + standard antiemetics</x:v>
      </x:c>
      <x:c r="G18" s="18" t="str">
        <x:v>Sham/no current + standard antiemetics</x:v>
      </x:c>
      <x:c r="H18" s="18" t="str">
        <x:v>Cumulative postoperative nausea</x:v>
      </x:c>
      <x:c r="I18" s="18" t="str">
        <x:v>0-48 h</x:v>
      </x:c>
      <x:c r="J18" s="18" t="str">
        <x:v>Events/total</x:v>
      </x:c>
      <x:c r="K18" s="18" t="n">
        <x:v>138</x:v>
      </x:c>
      <x:c r="L18" s="18" t="n">
        <x:v>139</x:v>
      </x:c>
      <x:c r="M18" s="18"/>
      <x:c r="N18" s="18"/>
      <x:c r="O18" s="18"/>
      <x:c r="P18" s="18"/>
      <x:c r="Q18" s="18"/>
      <x:c r="R18" s="18" t="n">
        <x:v>24</x:v>
      </x:c>
      <x:c r="S18" s="18"/>
      <x:c r="T18" s="18"/>
      <x:c r="U18" s="18"/>
      <x:c r="V18" s="18"/>
      <x:c r="W18" s="18"/>
      <x:c r="X18" s="18" t="n">
        <x:v>53</x:v>
      </x:c>
      <x:c r="Y18" s="18" t="str">
        <x:v>participants</x:v>
      </x:c>
      <x:c r="Z18" s="18" t="str">
        <x:v>&lt;0.01</x:v>
      </x:c>
      <x:c r="AA18" s="18" t="str">
        <x:v>RR</x:v>
      </x:c>
      <x:c r="AB18" s="18" t="n">
        <x:v>0.45611156685808035</x:v>
      </x:c>
      <x:c r="AC18" s="18" t="str">
        <x:v>High</x:v>
      </x:c>
      <x:c r="AD18" s="18" t="n">
        <x:v>1</x:v>
      </x:c>
      <x:c r="AE18" s="18" t="n">
        <x:v>0</x:v>
      </x:c>
      <x:c r="AF18" s="18" t="n">
        <x:v>0</x:v>
      </x:c>
      <x:c r="AG18" s="18"/>
      <x:c r="AH18" s="18"/>
      <x:c r="AI18" s="18" t="str">
        <x:v>STRICT_MODEL</x:v>
      </x:c>
      <x:c r="AJ18" s="18"/>
      <x:c r="AK18" s="18"/>
      <x:c r="AL18" s="18" t="str">
        <x:v>No</x:v>
      </x:c>
      <x:c r="AM18" s="18" t="str">
        <x:v>Participant blinding was empirically poor: 77.5% of TEAS and 66.2% of sham participants correctly guessed allocation</x:v>
      </x:c>
      <x:c r="AN18" s="18" t="str">
        <x:v>SOURCE-VERIFIED</x:v>
      </x:c>
      <x:c r="AO18" s="18" t="str">
        <x:v>https://drive.google.com/file/d/1xxZle6mPpcnmHLblJbsy1kA4CyQHpvm2/view?usp=drivesdk</x:v>
      </x:c>
    </x:row>
    <x:row r="19">
      <x:c r="A19" s="18" t="str">
        <x:v>D-009</x:v>
      </x:c>
      <x:c r="B19" s="18" t="str">
        <x:v>D</x:v>
      </x:c>
      <x:c r="C19" s="18" t="str">
        <x:v>D_vomiting_0-24h</x:v>
      </x:c>
      <x:c r="D19" s="18" t="str">
        <x:v>Yang 2024</x:v>
      </x:c>
      <x:c r="E19" s="18" t="str">
        <x:v>YANG24_EA_vs_UC_VOMIT</x:v>
      </x:c>
      <x:c r="F19" s="18" t="str">
        <x:v>Perioperative EA + usual care</x:v>
      </x:c>
      <x:c r="G19" s="18" t="str">
        <x:v>Usual care</x:v>
      </x:c>
      <x:c r="H19" s="18" t="str">
        <x:v>Postoperative vomiting</x:v>
      </x:c>
      <x:c r="I19" s="18" t="str">
        <x:v>0-24 h</x:v>
      </x:c>
      <x:c r="J19" s="18" t="str">
        <x:v>Events/total</x:v>
      </x:c>
      <x:c r="K19" s="18" t="n">
        <x:v>90</x:v>
      </x:c>
      <x:c r="L19" s="18" t="n">
        <x:v>90</x:v>
      </x:c>
      <x:c r="M19" s="18"/>
      <x:c r="N19" s="18"/>
      <x:c r="O19" s="18"/>
      <x:c r="P19" s="18"/>
      <x:c r="Q19" s="18"/>
      <x:c r="R19" s="18" t="n">
        <x:v>12</x:v>
      </x:c>
      <x:c r="S19" s="18"/>
      <x:c r="T19" s="18"/>
      <x:c r="U19" s="18"/>
      <x:c r="V19" s="18"/>
      <x:c r="W19" s="18"/>
      <x:c r="X19" s="18" t="n">
        <x:v>25</x:v>
      </x:c>
      <x:c r="Y19" s="18" t="str">
        <x:v>participants</x:v>
      </x:c>
      <x:c r="Z19" s="18" t="str">
        <x:v>0.016</x:v>
      </x:c>
      <x:c r="AA19" s="18" t="str">
        <x:v>RR</x:v>
      </x:c>
      <x:c r="AB19" s="18" t="n">
        <x:v>0.48</x:v>
      </x:c>
      <x:c r="AC19" s="18" t="str">
        <x:v>Some concerns</x:v>
      </x:c>
      <x:c r="AD19" s="18" t="n">
        <x:v>1</x:v>
      </x:c>
      <x:c r="AE19" s="18" t="n">
        <x:v>0</x:v>
      </x:c>
      <x:c r="AF19" s="18" t="n">
        <x:v>0</x:v>
      </x:c>
      <x:c r="AG19" s="18"/>
      <x:c r="AH19" s="18"/>
      <x:c r="AI19" s="18" t="str">
        <x:v>STRICT_MODEL</x:v>
      </x:c>
      <x:c r="AJ19" s="18"/>
      <x:c r="AK19" s="18"/>
      <x:c r="AL19" s="18" t="str">
        <x:v>No</x:v>
      </x:c>
      <x:c r="AM19" s="18" t="str">
        <x:v>Vomiting 12/90 vs25/90 is the 0-24 h interval; prior v20 label 'within72 h' corrected in AF lock copy.</x:v>
      </x:c>
      <x:c r="AN19" s="18" t="str">
        <x:v>SOURCE-VERIFIED / AF-CORRECTED</x:v>
      </x:c>
      <x:c r="AO19" s="18" t="str">
        <x:v>https://drive.google.com/file/d/160N3psd5tLEphwXHJzUEZ3uJfaIXcs5V/view?usp=drivesdk</x:v>
      </x:c>
    </x:row>
    <x:row r="20">
      <x:c r="A20" s="18" t="str">
        <x:v>D-010</x:v>
      </x:c>
      <x:c r="B20" s="18" t="str">
        <x:v>D</x:v>
      </x:c>
      <x:c r="C20" s="18" t="str">
        <x:v>D_vomiting_0-24h</x:v>
      </x:c>
      <x:c r="D20" s="18" t="str">
        <x:v>Ma 2026</x:v>
      </x:c>
      <x:c r="E20" s="18" t="str">
        <x:v>MA26_T_vs_S_VOMIT24</x:v>
      </x:c>
      <x:c r="F20" s="18" t="str">
        <x:v>Group T: sleep disturbance + preop TEAS</x:v>
      </x:c>
      <x:c r="G20" s="18" t="str">
        <x:v>Group S: sleep disturbance, no TEAS</x:v>
      </x:c>
      <x:c r="H20" s="18" t="str">
        <x:v>Vomiting</x:v>
      </x:c>
      <x:c r="I20" s="18" t="str">
        <x:v>24 h</x:v>
      </x:c>
      <x:c r="J20" s="18" t="str">
        <x:v>Events/total</x:v>
      </x:c>
      <x:c r="K20" s="18" t="n">
        <x:v>17</x:v>
      </x:c>
      <x:c r="L20" s="18" t="n">
        <x:v>16</x:v>
      </x:c>
      <x:c r="M20" s="18"/>
      <x:c r="N20" s="18"/>
      <x:c r="O20" s="18"/>
      <x:c r="P20" s="18"/>
      <x:c r="Q20" s="18"/>
      <x:c r="R20" s="18" t="n">
        <x:v>6</x:v>
      </x:c>
      <x:c r="S20" s="18"/>
      <x:c r="T20" s="18"/>
      <x:c r="U20" s="18"/>
      <x:c r="V20" s="18"/>
      <x:c r="W20" s="18"/>
      <x:c r="X20" s="18" t="n">
        <x:v>7</x:v>
      </x:c>
      <x:c r="Y20" s="18" t="str">
        <x:v>participants</x:v>
      </x:c>
      <x:c r="Z20" s="18" t="str">
        <x:v>Overall 3-group P=0.863; randomized T-vs-S pairwise NR</x:v>
      </x:c>
      <x:c r="AA20" s="18" t="str">
        <x:v>RR</x:v>
      </x:c>
      <x:c r="AB20" s="18" t="n">
        <x:v>0.8067226890756303</x:v>
      </x:c>
      <x:c r="AC20" s="18" t="str">
        <x:v>Some concerns</x:v>
      </x:c>
      <x:c r="AD20" s="18" t="n">
        <x:v>1</x:v>
      </x:c>
      <x:c r="AE20" s="18" t="n">
        <x:v>0</x:v>
      </x:c>
      <x:c r="AF20" s="18" t="n">
        <x:v>0</x:v>
      </x:c>
      <x:c r="AG20" s="18"/>
      <x:c r="AH20" s="18"/>
      <x:c r="AI20" s="18" t="str">
        <x:v>STRICT_MODEL</x:v>
      </x:c>
      <x:c r="AJ20" s="18"/>
      <x:c r="AK20" s="18"/>
      <x:c r="AL20" s="18" t="str">
        <x:v>No</x:v>
      </x:c>
      <x:c r="AM20" s="18" t="str">
        <x:v>Overall P-value includes non-randomized Group C</x:v>
      </x:c>
      <x:c r="AN20" s="18" t="str">
        <x:v>SOURCE-VERIFIED</x:v>
      </x:c>
      <x:c r="AO20" s="18" t="str">
        <x:v>https://drive.google.com/file/d/1tMEOwvRWIMeEmBmKfeHEt7YF10yxslUe/view?usp=drivesdk</x:v>
      </x:c>
    </x:row>
    <x:row r="21">
      <x:c r="A21" s="18" t="str">
        <x:v>D-011</x:v>
      </x:c>
      <x:c r="B21" s="18" t="str">
        <x:v>D</x:v>
      </x:c>
      <x:c r="C21" s="18" t="str">
        <x:v>D_vomiting_0-48h</x:v>
      </x:c>
      <x:c r="D21" s="18" t="str">
        <x:v>Luo 2026</x:v>
      </x:c>
      <x:c r="E21" s="18" t="str">
        <x:v>LUO26_TEAS_vs_SHAM_VOMIT48</x:v>
      </x:c>
      <x:c r="F21" s="18" t="str">
        <x:v>Intraoperative PC6 TEAS + standard antiemetics</x:v>
      </x:c>
      <x:c r="G21" s="18" t="str">
        <x:v>Sham/no current + standard antiemetics</x:v>
      </x:c>
      <x:c r="H21" s="18" t="str">
        <x:v>Cumulative postoperative vomiting</x:v>
      </x:c>
      <x:c r="I21" s="18" t="str">
        <x:v>0-48 h</x:v>
      </x:c>
      <x:c r="J21" s="18" t="str">
        <x:v>Events/total</x:v>
      </x:c>
      <x:c r="K21" s="18" t="n">
        <x:v>138</x:v>
      </x:c>
      <x:c r="L21" s="18" t="n">
        <x:v>139</x:v>
      </x:c>
      <x:c r="M21" s="18"/>
      <x:c r="N21" s="18"/>
      <x:c r="O21" s="18"/>
      <x:c r="P21" s="18"/>
      <x:c r="Q21" s="18"/>
      <x:c r="R21" s="18" t="n">
        <x:v>9</x:v>
      </x:c>
      <x:c r="S21" s="18"/>
      <x:c r="T21" s="18"/>
      <x:c r="U21" s="18"/>
      <x:c r="V21" s="18"/>
      <x:c r="W21" s="18"/>
      <x:c r="X21" s="18" t="n">
        <x:v>27</x:v>
      </x:c>
      <x:c r="Y21" s="18" t="str">
        <x:v>participants</x:v>
      </x:c>
      <x:c r="Z21" s="18" t="str">
        <x:v>&lt;0.01</x:v>
      </x:c>
      <x:c r="AA21" s="18" t="str">
        <x:v>RR</x:v>
      </x:c>
      <x:c r="AB21" s="18" t="n">
        <x:v>0.3357487922705314</x:v>
      </x:c>
      <x:c r="AC21" s="18" t="str">
        <x:v>Some concerns</x:v>
      </x:c>
      <x:c r="AD21" s="18" t="n">
        <x:v>1</x:v>
      </x:c>
      <x:c r="AE21" s="18" t="n">
        <x:v>0</x:v>
      </x:c>
      <x:c r="AF21" s="18" t="n">
        <x:v>0</x:v>
      </x:c>
      <x:c r="AG21" s="18"/>
      <x:c r="AH21" s="18"/>
      <x:c r="AI21" s="18" t="str">
        <x:v>STRICT_MODEL</x:v>
      </x:c>
      <x:c r="AJ21" s="18"/>
      <x:c r="AK21" s="18"/>
      <x:c r="AL21" s="18" t="str">
        <x:v>No</x:v>
      </x:c>
      <x:c r="AM21" s="18" t="str">
        <x:v>Vomiting is more objective than nausea, but participant masking was incomplete</x:v>
      </x:c>
      <x:c r="AN21" s="18" t="str">
        <x:v>SOURCE-VERIFIED</x:v>
      </x:c>
      <x:c r="AO21" s="18" t="str">
        <x:v>https://drive.google.com/file/d/1xxZle6mPpcnmHLblJbsy1kA4CyQHpvm2/view?usp=drivesdk</x:v>
      </x:c>
    </x:row>
    <x:row r="22">
      <x:c r="A22" s="18" t="str">
        <x:v>E-001</x:v>
      </x:c>
      <x:c r="B22" s="18" t="str">
        <x:v>E</x:v>
      </x:c>
      <x:c r="C22" s="18" t="str">
        <x:v>E_time_to_first_flatus</x:v>
      </x:c>
      <x:c r="D22" s="18" t="str">
        <x:v>Zhou 2025</x:v>
      </x:c>
      <x:c r="E22" s="18" t="str">
        <x:v>ZHOU25_TEAS_vs_SHAM_FLATUS</x:v>
      </x:c>
      <x:c r="F22" s="18" t="str">
        <x:v>PACU TEAS</x:v>
      </x:c>
      <x:c r="G22" s="18" t="str">
        <x:v>Sham/no current</x:v>
      </x:c>
      <x:c r="H22" s="18" t="str">
        <x:v>Time to first flatus</x:v>
      </x:c>
      <x:c r="I22" s="18" t="str">
        <x:v>Postoperative</x:v>
      </x:c>
      <x:c r="J22" s="18" t="str">
        <x:v>Mean/SD</x:v>
      </x:c>
      <x:c r="K22" s="18" t="n">
        <x:v>48</x:v>
      </x:c>
      <x:c r="L22" s="18" t="n">
        <x:v>49</x:v>
      </x:c>
      <x:c r="M22" s="18" t="n">
        <x:v>14.1</x:v>
      </x:c>
      <x:c r="N22" s="18" t="n">
        <x:v>3.19</x:v>
      </x:c>
      <x:c r="O22" s="18"/>
      <x:c r="P22" s="18"/>
      <x:c r="Q22" s="18"/>
      <x:c r="R22" s="18"/>
      <x:c r="S22" s="18" t="n">
        <x:v>15.88</x:v>
      </x:c>
      <x:c r="T22" s="18" t="n">
        <x:v>3.78</x:v>
      </x:c>
      <x:c r="U22" s="18"/>
      <x:c r="V22" s="18"/>
      <x:c r="W22" s="18"/>
      <x:c r="X22" s="18"/>
      <x:c r="Y22" s="18" t="str">
        <x:v>hours</x:v>
      </x:c>
      <x:c r="Z22" s="18" t="str">
        <x:v>0.014</x:v>
      </x:c>
      <x:c r="AA22" s="18" t="str">
        <x:v>MD</x:v>
      </x:c>
      <x:c r="AB22" s="18" t="n">
        <x:v>-1.7800000000000011</x:v>
      </x:c>
      <x:c r="AC22" s="18" t="str">
        <x:v>Some concerns</x:v>
      </x:c>
      <x:c r="AD22" s="18" t="n">
        <x:v>1</x:v>
      </x:c>
      <x:c r="AE22" s="18" t="n">
        <x:v>0</x:v>
      </x:c>
      <x:c r="AF22" s="18" t="n">
        <x:v>0</x:v>
      </x:c>
      <x:c r="AG22" s="18" t="str">
        <x:v>P2</x:v>
      </x:c>
      <x:c r="AH22" s="18"/>
      <x:c r="AI22" s="18" t="str">
        <x:v>STRICT_MODEL</x:v>
      </x:c>
      <x:c r="AJ22" s="18"/>
      <x:c r="AK22" s="18"/>
      <x:c r="AL22" s="18" t="str">
        <x:v>No</x:v>
      </x:c>
      <x:c r="AM22" s="18" t="str">
        <x:v>Ascertainment mechanism should be considered in RoB because participant sensory blinding may be imperfect</x:v>
      </x:c>
      <x:c r="AN22" s="18" t="str">
        <x:v>SOURCE-VERIFIED</x:v>
      </x:c>
      <x:c r="AO22" s="18" t="str">
        <x:v>https://drive.google.com/file/d/1gpNBuoukUttXKWiAAeZSqdIaaHSMOwDU/view?usp=drivesdk</x:v>
      </x:c>
    </x:row>
    <x:row r="23">
      <x:c r="A23" s="18" t="str">
        <x:v>E-002</x:v>
      </x:c>
      <x:c r="B23" s="18" t="str">
        <x:v>E</x:v>
      </x:c>
      <x:c r="C23" s="18" t="str">
        <x:v>E_time_to_first_flatus</x:v>
      </x:c>
      <x:c r="D23" s="18" t="str">
        <x:v>Yang 2020</x:v>
      </x:c>
      <x:c r="E23" s="18" t="str">
        <x:v>YANG20_EA_vs_UC</x:v>
      </x:c>
      <x:c r="F23" s="18" t="str">
        <x:v>EA + usual care</x:v>
      </x:c>
      <x:c r="G23" s="18" t="str">
        <x:v>Usual care</x:v>
      </x:c>
      <x:c r="H23" s="18" t="str">
        <x:v>Time to first postoperative flatus</x:v>
      </x:c>
      <x:c r="I23" s="18" t="str">
        <x:v>From surgery to first flatus</x:v>
      </x:c>
      <x:c r="J23" s="18" t="str">
        <x:v>Mean/SD</x:v>
      </x:c>
      <x:c r="K23" s="18" t="n">
        <x:v>29</x:v>
      </x:c>
      <x:c r="L23" s="18" t="n">
        <x:v>28</x:v>
      </x:c>
      <x:c r="M23" s="18" t="n">
        <x:v>20.8</x:v>
      </x:c>
      <x:c r="N23" s="18" t="n">
        <x:v>4.6</x:v>
      </x:c>
      <x:c r="O23" s="18"/>
      <x:c r="P23" s="18"/>
      <x:c r="Q23" s="18"/>
      <x:c r="R23" s="18"/>
      <x:c r="S23" s="18" t="n">
        <x:v>24.1</x:v>
      </x:c>
      <x:c r="T23" s="18" t="n">
        <x:v>6.2</x:v>
      </x:c>
      <x:c r="U23" s="18"/>
      <x:c r="V23" s="18"/>
      <x:c r="W23" s="18"/>
      <x:c r="X23" s="18"/>
      <x:c r="Y23" s="18" t="str">
        <x:v>hours</x:v>
      </x:c>
      <x:c r="Z23" s="18" t="str">
        <x:v>0.026</x:v>
      </x:c>
      <x:c r="AA23" s="18" t="str">
        <x:v>MD</x:v>
      </x:c>
      <x:c r="AB23" s="18" t="n">
        <x:v>-3.3000000000000007</x:v>
      </x:c>
      <x:c r="AC23" s="18" t="str">
        <x:v>Some concerns</x:v>
      </x:c>
      <x:c r="AD23" s="18" t="n">
        <x:v>1</x:v>
      </x:c>
      <x:c r="AE23" s="18" t="n">
        <x:v>0</x:v>
      </x:c>
      <x:c r="AF23" s="18" t="n">
        <x:v>0</x:v>
      </x:c>
      <x:c r="AG23" s="18" t="str">
        <x:v>P2</x:v>
      </x:c>
      <x:c r="AH23" s="18"/>
      <x:c r="AI23" s="18" t="str">
        <x:v>STRICT_MODEL</x:v>
      </x:c>
      <x:c r="AJ23" s="18"/>
      <x:c r="AK23" s="18"/>
      <x:c r="AL23" s="18" t="str">
        <x:v>No</x:v>
      </x:c>
      <x:c r="AM23" s="18" t="str">
        <x:v>Open-label; 2/59 excluded after randomization; participant-report contribution unclear</x:v>
      </x:c>
      <x:c r="AN23" s="18" t="str">
        <x:v>SOURCE-VERIFIED</x:v>
      </x:c>
      <x:c r="AO23" s="18" t="str">
        <x:v>https://drive.google.com/file/d/1hsQR_K6W-5QNP4rqkVxHQaopRp4f1XF0/view?usp=drivesdk</x:v>
      </x:c>
    </x:row>
    <x:row r="24">
      <x:c r="A24" s="18" t="str">
        <x:v>E-003</x:v>
      </x:c>
      <x:c r="B24" s="18" t="str">
        <x:v>E</x:v>
      </x:c>
      <x:c r="C24" s="18" t="str">
        <x:v>E_time_to_first_flatus</x:v>
      </x:c>
      <x:c r="D24" s="18" t="str">
        <x:v>Yang 2024</x:v>
      </x:c>
      <x:c r="E24" s="18" t="str">
        <x:v>YANG24_EA_vs_UC_FLATUS</x:v>
      </x:c>
      <x:c r="F24" s="18" t="str">
        <x:v>Perioperative EA + usual care</x:v>
      </x:c>
      <x:c r="G24" s="18" t="str">
        <x:v>Usual care</x:v>
      </x:c>
      <x:c r="H24" s="18" t="str">
        <x:v>Time to first flatus</x:v>
      </x:c>
      <x:c r="I24" s="18" t="str">
        <x:v>Postoperative</x:v>
      </x:c>
      <x:c r="J24" s="18" t="str">
        <x:v>Mean/SD</x:v>
      </x:c>
      <x:c r="K24" s="18" t="n">
        <x:v>90</x:v>
      </x:c>
      <x:c r="L24" s="18" t="n">
        <x:v>90</x:v>
      </x:c>
      <x:c r="M24" s="18" t="n">
        <x:v>15.4</x:v>
      </x:c>
      <x:c r="N24" s="18" t="n">
        <x:v>3.2</x:v>
      </x:c>
      <x:c r="O24" s="18"/>
      <x:c r="P24" s="18"/>
      <x:c r="Q24" s="18"/>
      <x:c r="R24" s="18"/>
      <x:c r="S24" s="18" t="n">
        <x:v>17</x:v>
      </x:c>
      <x:c r="T24" s="18" t="n">
        <x:v>3.7</x:v>
      </x:c>
      <x:c r="U24" s="18"/>
      <x:c r="V24" s="18"/>
      <x:c r="W24" s="18"/>
      <x:c r="X24" s="18"/>
      <x:c r="Y24" s="18" t="str">
        <x:v>hours</x:v>
      </x:c>
      <x:c r="Z24" s="18" t="str">
        <x:v>0.004</x:v>
      </x:c>
      <x:c r="AA24" s="18" t="str">
        <x:v>MD</x:v>
      </x:c>
      <x:c r="AB24" s="18" t="n">
        <x:v>-1.5999999999999996</x:v>
      </x:c>
      <x:c r="AC24" s="18" t="str">
        <x:v>High</x:v>
      </x:c>
      <x:c r="AD24" s="18" t="n">
        <x:v>1</x:v>
      </x:c>
      <x:c r="AE24" s="18" t="n">
        <x:v>0</x:v>
      </x:c>
      <x:c r="AF24" s="18" t="n">
        <x:v>0</x:v>
      </x:c>
      <x:c r="AG24" s="18"/>
      <x:c r="AH24" s="18"/>
      <x:c r="AI24" s="18" t="str">
        <x:v>STRICT_MODEL</x:v>
      </x:c>
      <x:c r="AJ24" s="18"/>
      <x:c r="AK24" s="18"/>
      <x:c r="AL24" s="18" t="str">
        <x:v>No</x:v>
      </x:c>
      <x:c r="AM24" s="18" t="str">
        <x:v>Open-label participants; outcome assessor blinded</x:v>
      </x:c>
      <x:c r="AN24" s="18" t="str">
        <x:v>SOURCE-VERIFIED</x:v>
      </x:c>
      <x:c r="AO24" s="18" t="str">
        <x:v>https://drive.google.com/file/d/160N3psd5tLEphwXHJzUEZ3uJfaIXcs5V/view?usp=drivesdk</x:v>
      </x:c>
    </x:row>
    <x:row r="25">
      <x:c r="A25" s="18" t="str">
        <x:v>E-004</x:v>
      </x:c>
      <x:c r="B25" s="18" t="str">
        <x:v>E</x:v>
      </x:c>
      <x:c r="C25" s="18" t="str">
        <x:v>E_time_to_first_flatus</x:v>
      </x:c>
      <x:c r="D25" s="18" t="str">
        <x:v>Xing 2022</x:v>
      </x:c>
      <x:c r="E25" s="18" t="str">
        <x:v>XING22_NTG_vs_NG_FLATUS</x:v>
      </x:c>
      <x:c r="F25" s="18" t="str">
        <x:v>TEAS + active TAPB</x:v>
      </x:c>
      <x:c r="G25" s="18" t="str">
        <x:v>Sham TEAS + active TAPB</x:v>
      </x:c>
      <x:c r="H25" s="18" t="str">
        <x:v>Time to first flatus</x:v>
      </x:c>
      <x:c r="I25" s="18" t="str">
        <x:v>Postoperative</x:v>
      </x:c>
      <x:c r="J25" s="18" t="str">
        <x:v>Mean/SD</x:v>
      </x:c>
      <x:c r="K25" s="18" t="n">
        <x:v>29</x:v>
      </x:c>
      <x:c r="L25" s="18" t="n">
        <x:v>29</x:v>
      </x:c>
      <x:c r="M25" s="18" t="n">
        <x:v>32.57</x:v>
      </x:c>
      <x:c r="N25" s="18" t="n">
        <x:v>6.94</x:v>
      </x:c>
      <x:c r="O25" s="18"/>
      <x:c r="P25" s="18"/>
      <x:c r="Q25" s="18"/>
      <x:c r="R25" s="18"/>
      <x:c r="S25" s="18" t="n">
        <x:v>36.83</x:v>
      </x:c>
      <x:c r="T25" s="18" t="n">
        <x:v>6.19</x:v>
      </x:c>
      <x:c r="U25" s="18"/>
      <x:c r="V25" s="18"/>
      <x:c r="W25" s="18"/>
      <x:c r="X25" s="18"/>
      <x:c r="Y25" s="18" t="str">
        <x:v>hours</x:v>
      </x:c>
      <x:c r="Z25" s="18" t="str">
        <x:v>&lt;0.05 pairwise</x:v>
      </x:c>
      <x:c r="AA25" s="18" t="str">
        <x:v>MD</x:v>
      </x:c>
      <x:c r="AB25" s="18" t="n">
        <x:v>-4.259999999999998</x:v>
      </x:c>
      <x:c r="AC25" s="18" t="str">
        <x:v>Some concerns</x:v>
      </x:c>
      <x:c r="AD25" s="18" t="n">
        <x:v>1</x:v>
      </x:c>
      <x:c r="AE25" s="18" t="n">
        <x:v>0</x:v>
      </x:c>
      <x:c r="AF25" s="18" t="n">
        <x:v>0</x:v>
      </x:c>
      <x:c r="AG25" s="18" t="str">
        <x:v>P2</x:v>
      </x:c>
      <x:c r="AH25" s="18"/>
      <x:c r="AI25" s="18" t="str">
        <x:v>STRICT_MODEL</x:v>
      </x:c>
      <x:c r="AJ25" s="18"/>
      <x:c r="AK25" s="18"/>
      <x:c r="AL25" s="18" t="str">
        <x:v>Yes</x:v>
      </x:c>
      <x:c r="AM25" s="18" t="str">
        <x:v>Three-arm study; use NTG vs NG for incremental TEAS effect</x:v>
      </x:c>
      <x:c r="AN25" s="18" t="str">
        <x:v>SOURCE-VERIFIED</x:v>
      </x:c>
      <x:c r="AO25" s="18" t="str">
        <x:v>https://drive.google.com/file/d/1h3IGpQ56nSh7H16xBEVyTzCBkWOXRSxK/view?usp=drivesdk</x:v>
      </x:c>
    </x:row>
    <x:row r="26">
      <x:c r="A26" s="18" t="str">
        <x:v>E-006</x:v>
      </x:c>
      <x:c r="B26" s="18" t="str">
        <x:v>E</x:v>
      </x:c>
      <x:c r="C26" s="18" t="str">
        <x:v>E_time_to_first_flatus</x:v>
      </x:c>
      <x:c r="D26" s="18" t="str">
        <x:v>Lu 2022</x:v>
      </x:c>
      <x:c r="E26" s="18" t="str">
        <x:v>LU22_TEAS_vs_CTRL_FLATUS</x:v>
      </x:c>
      <x:c r="F26" s="18" t="str">
        <x:v>TEAS + ERAS</x:v>
      </x:c>
      <x:c r="G26" s="18" t="str">
        <x:v>No-current control + ERAS</x:v>
      </x:c>
      <x:c r="H26" s="18" t="str">
        <x:v>Time to first flatus</x:v>
      </x:c>
      <x:c r="I26" s="18" t="str">
        <x:v>Postoperative</x:v>
      </x:c>
      <x:c r="J26" s="18" t="str">
        <x:v>Mean/SD</x:v>
      </x:c>
      <x:c r="K26" s="18" t="n">
        <x:v>47</x:v>
      </x:c>
      <x:c r="L26" s="18" t="n">
        <x:v>47</x:v>
      </x:c>
      <x:c r="M26" s="18" t="n">
        <x:v>34.5</x:v>
      </x:c>
      <x:c r="N26" s="18" t="n">
        <x:v>16.7</x:v>
      </x:c>
      <x:c r="O26" s="18"/>
      <x:c r="P26" s="18"/>
      <x:c r="Q26" s="18"/>
      <x:c r="R26" s="18"/>
      <x:c r="S26" s="18" t="n">
        <x:v>42.4</x:v>
      </x:c>
      <x:c r="T26" s="18" t="n">
        <x:v>22.9</x:v>
      </x:c>
      <x:c r="U26" s="18"/>
      <x:c r="V26" s="18"/>
      <x:c r="W26" s="18"/>
      <x:c r="X26" s="18"/>
      <x:c r="Y26" s="18" t="str">
        <x:v>hours</x:v>
      </x:c>
      <x:c r="Z26" s="18" t="str">
        <x:v>0.03</x:v>
      </x:c>
      <x:c r="AA26" s="18" t="str">
        <x:v>MD</x:v>
      </x:c>
      <x:c r="AB26" s="18" t="n">
        <x:v>-7.899999999999999</x:v>
      </x:c>
      <x:c r="AC26" s="18" t="str">
        <x:v>Some concerns</x:v>
      </x:c>
      <x:c r="AD26" s="18" t="n">
        <x:v>1</x:v>
      </x:c>
      <x:c r="AE26" s="18" t="n">
        <x:v>0</x:v>
      </x:c>
      <x:c r="AF26" s="18" t="n">
        <x:v>0</x:v>
      </x:c>
      <x:c r="AG26" s="18" t="str">
        <x:v>P2</x:v>
      </x:c>
      <x:c r="AH26" s="18"/>
      <x:c r="AI26" s="18" t="str">
        <x:v>STRICT_MODEL</x:v>
      </x:c>
      <x:c r="AJ26" s="18"/>
      <x:c r="AK26" s="18"/>
      <x:c r="AL26" s="18" t="str">
        <x:v>No</x:v>
      </x:c>
      <x:c r="AM26" s="18" t="str">
        <x:v>Same 6 post-randomization exclusions apply</x:v>
      </x:c>
      <x:c r="AN26" s="18" t="str">
        <x:v>SOURCE-VERIFIED / ATTRITION QC</x:v>
      </x:c>
      <x:c r="AO26" s="18" t="str">
        <x:v>https://drive.google.com/file/d/12Y86huNMuLC8cPH-L2vwlEd7r1X1Qela/view?usp=drivesdk</x:v>
      </x:c>
    </x:row>
    <x:row r="27">
      <x:c r="A27" s="18" t="str">
        <x:v>E-007</x:v>
      </x:c>
      <x:c r="B27" s="18" t="str">
        <x:v>E</x:v>
      </x:c>
      <x:c r="C27" s="18" t="str">
        <x:v>E_time_to_first_flatus</x:v>
      </x:c>
      <x:c r="D27" s="18" t="str">
        <x:v>Ng 2013</x:v>
      </x:c>
      <x:c r="E27" s="18" t="str">
        <x:v>NG13_EA_vs_SHAM_FLATUS</x:v>
      </x:c>
      <x:c r="F27" s="18" t="str">
        <x:v>Electroacupuncture</x:v>
      </x:c>
      <x:c r="G27" s="18" t="str">
        <x:v>Sham acupuncture</x:v>
      </x:c>
      <x:c r="H27" s="18" t="str">
        <x:v>Time to first flatus</x:v>
      </x:c>
      <x:c r="I27" s="18" t="str">
        <x:v>Postoperative</x:v>
      </x:c>
      <x:c r="J27" s="18" t="str">
        <x:v>Mean/SD</x:v>
      </x:c>
      <x:c r="K27" s="18" t="n">
        <x:v>55</x:v>
      </x:c>
      <x:c r="L27" s="18" t="n">
        <x:v>55</x:v>
      </x:c>
      <x:c r="M27" s="18" t="n">
        <x:v>2</x:v>
      </x:c>
      <x:c r="N27" s="18" t="n">
        <x:v>0.9</x:v>
      </x:c>
      <x:c r="O27" s="18"/>
      <x:c r="P27" s="18"/>
      <x:c r="Q27" s="18"/>
      <x:c r="R27" s="18"/>
      <x:c r="S27" s="18" t="n">
        <x:v>2.3</x:v>
      </x:c>
      <x:c r="T27" s="18" t="n">
        <x:v>1.1</x:v>
      </x:c>
      <x:c r="U27" s="18"/>
      <x:c r="V27" s="18"/>
      <x:c r="W27" s="18"/>
      <x:c r="X27" s="18"/>
      <x:c r="Y27" s="18" t="str">
        <x:v>days</x:v>
      </x:c>
      <x:c r="Z27" s="18" t="str">
        <x:v>0.095</x:v>
      </x:c>
      <x:c r="AA27" s="18" t="str">
        <x:v>MD</x:v>
      </x:c>
      <x:c r="AB27" s="18" t="n">
        <x:v>-0.2999999999999998</x:v>
      </x:c>
      <x:c r="AC27" s="18" t="str">
        <x:v>Some concerns</x:v>
      </x:c>
      <x:c r="AD27" s="18" t="n">
        <x:v>1</x:v>
      </x:c>
      <x:c r="AE27" s="18" t="n">
        <x:v>0</x:v>
      </x:c>
      <x:c r="AF27" s="18" t="n">
        <x:v>0</x:v>
      </x:c>
      <x:c r="AG27" s="18" t="str">
        <x:v>P2</x:v>
      </x:c>
      <x:c r="AH27" s="18"/>
      <x:c r="AI27" s="18" t="str">
        <x:v>STRICT_MODEL</x:v>
      </x:c>
      <x:c r="AJ27" s="18"/>
      <x:c r="AK27" s="18"/>
      <x:c r="AL27" s="18" t="str">
        <x:v>Yes</x:v>
      </x:c>
      <x:c r="AM27" s="18" t="str">
        <x:v>No statistically significant EA-vs-sham difference</x:v>
      </x:c>
      <x:c r="AN27" s="18" t="str">
        <x:v>SOURCE-VERIFIED</x:v>
      </x:c>
      <x:c r="AO27" s="18" t="str">
        <x:v>https://drive.google.com/file/d/1R1zCiyfWvuSp99Hi2U_K1__8kgdi90gd/view?usp=drivesdk</x:v>
      </x:c>
    </x:row>
    <x:row r="28">
      <x:c r="A28" s="18" t="str">
        <x:v>F-intra-001</x:v>
      </x:c>
      <x:c r="B28" s="18" t="str">
        <x:v>F-intra</x:v>
      </x:c>
      <x:c r="C28" s="18" t="str">
        <x:v>F_intraop_titrated_requirement</x:v>
      </x:c>
      <x:c r="D28" s="18" t="str">
        <x:v>Liu 2026 (burn)</x:v>
      </x:c>
      <x:c r="E28" s="18" t="str">
        <x:v>LIU26BURN_TEAS_vs_SHAM_REMI</x:v>
      </x:c>
      <x:c r="F28" s="18" t="str">
        <x:v>Pre-induction TEAS</x:v>
      </x:c>
      <x:c r="G28" s="18" t="str">
        <x:v>Placebo/sham TEAS</x:v>
      </x:c>
      <x:c r="H28" s="18" t="str">
        <x:v>Remifentanil consumption</x:v>
      </x:c>
      <x:c r="I28" s="18" t="str">
        <x:v>Intraoperative</x:v>
      </x:c>
      <x:c r="J28" s="18" t="str">
        <x:v>Median/IQR</x:v>
      </x:c>
      <x:c r="K28" s="18" t="n">
        <x:v>43</x:v>
      </x:c>
      <x:c r="L28" s="18" t="n">
        <x:v>43</x:v>
      </x:c>
      <x:c r="M28" s="18"/>
      <x:c r="N28" s="18"/>
      <x:c r="O28" s="18" t="n">
        <x:v>0.7</x:v>
      </x:c>
      <x:c r="P28" s="18" t="n">
        <x:v>0.5</x:v>
      </x:c>
      <x:c r="Q28" s="18" t="n">
        <x:v>1.1</x:v>
      </x:c>
      <x:c r="R28" s="18"/>
      <x:c r="S28" s="18"/>
      <x:c r="T28" s="18"/>
      <x:c r="U28" s="18" t="n">
        <x:v>0.9</x:v>
      </x:c>
      <x:c r="V28" s="18" t="n">
        <x:v>0.65</x:v>
      </x:c>
      <x:c r="W28" s="18" t="n">
        <x:v>1.25</x:v>
      </x:c>
      <x:c r="X28" s="18"/>
      <x:c r="Y28" s="18" t="str">
        <x:v>mg remifentanil</x:v>
      </x:c>
      <x:c r="Z28" s="18" t="str">
        <x:v>0.039</x:v>
      </x:c>
      <x:c r="AA28" s="18"/>
      <x:c r="AB28" s="18"/>
      <x:c r="AC28" s="18" t="str">
        <x:v>Some concerns</x:v>
      </x:c>
      <x:c r="AD28" s="18" t="n">
        <x:v>0</x:v>
      </x:c>
      <x:c r="AE28" s="18" t="n">
        <x:v>0</x:v>
      </x:c>
      <x:c r="AF28" s="18" t="n">
        <x:v>1</x:v>
      </x:c>
      <x:c r="AG28" s="18" t="str">
        <x:v>P1</x:v>
      </x:c>
      <x:c r="AH28" s="18" t="str">
        <x:v>RESOLVED_BY_SOURCE_HIERARCHY</x:v>
      </x:c>
      <x:c r="AI28" s="18" t="str">
        <x:v>EXCLUDE_OR_NARRATIVE</x:v>
      </x:c>
      <x:c r="AJ28" s="18"/>
      <x:c r="AK28" s="18" t="str">
        <x:v>UNRESOLVED before pooling</x:v>
      </x:c>
      <x:c r="AL28" s="18" t="str">
        <x:v>No</x:v>
      </x:c>
      <x:c r="AM28" s="18" t="str">
        <x:v>Abstract gives TEAS 0.65 (0.45-1.00) and control 0.90 (0.67-1.23); master uses Results/Figure 4 values and retains source discrepancy</x:v>
      </x:c>
      <x:c r="AN28" s="18" t="str">
        <x:v>SOURCE-VERIFIED / ABSTRACT VALUE QC</x:v>
      </x:c>
      <x:c r="AO28" s="18" t="str">
        <x:v>https://drive.google.com/file/d/1mvekGtHD2JAKCRbIXrvLw1Nz7hbQ1dZ3/view?usp=drivesdk</x:v>
      </x:c>
    </x:row>
    <x:row r="29">
      <x:c r="A29" s="18" t="str">
        <x:v>F-intra-002</x:v>
      </x:c>
      <x:c r="B29" s="18" t="str">
        <x:v>F-intra</x:v>
      </x:c>
      <x:c r="C29" s="18" t="str">
        <x:v>F_intraop_titrated_requirement</x:v>
      </x:c>
      <x:c r="D29" s="18" t="str">
        <x:v>Hou 2023</x:v>
      </x:c>
      <x:c r="E29" s="18" t="str">
        <x:v>HOU23_TEAS_vs_SHAM_REMI</x:v>
      </x:c>
      <x:c r="F29" s="18" t="str">
        <x:v>Perioperative TEAS</x:v>
      </x:c>
      <x:c r="G29" s="18" t="str">
        <x:v>Sham/no-current TEAS</x:v>
      </x:c>
      <x:c r="H29" s="18" t="str">
        <x:v>Intraoperative remifentanil consumption</x:v>
      </x:c>
      <x:c r="I29" s="18" t="str">
        <x:v>Intraoperative</x:v>
      </x:c>
      <x:c r="J29" s="18" t="str">
        <x:v>Median/IQR</x:v>
      </x:c>
      <x:c r="K29" s="18" t="n">
        <x:v>36</x:v>
      </x:c>
      <x:c r="L29" s="18" t="n">
        <x:v>36</x:v>
      </x:c>
      <x:c r="M29" s="18"/>
      <x:c r="N29" s="18"/>
      <x:c r="O29" s="18" t="n">
        <x:v>950</x:v>
      </x:c>
      <x:c r="P29" s="18" t="n">
        <x:v>750</x:v>
      </x:c>
      <x:c r="Q29" s="18" t="n">
        <x:v>1238</x:v>
      </x:c>
      <x:c r="R29" s="18"/>
      <x:c r="S29" s="18"/>
      <x:c r="T29" s="18"/>
      <x:c r="U29" s="18" t="n">
        <x:v>1000</x:v>
      </x:c>
      <x:c r="V29" s="18" t="n">
        <x:v>881</x:v>
      </x:c>
      <x:c r="W29" s="18" t="n">
        <x:v>1144</x:v>
      </x:c>
      <x:c r="X29" s="18"/>
      <x:c r="Y29" s="18" t="str">
        <x:v>µg remifentanil</x:v>
      </x:c>
      <x:c r="Z29" s="18" t="str">
        <x:v>0.572</x:v>
      </x:c>
      <x:c r="AA29" s="18"/>
      <x:c r="AB29" s="18"/>
      <x:c r="AC29" s="18" t="str">
        <x:v>Some concerns</x:v>
      </x:c>
      <x:c r="AD29" s="18" t="n">
        <x:v>1</x:v>
      </x:c>
      <x:c r="AE29" s="18" t="n">
        <x:v>0</x:v>
      </x:c>
      <x:c r="AF29" s="18" t="n">
        <x:v>0</x:v>
      </x:c>
      <x:c r="AG29" s="18"/>
      <x:c r="AH29" s="18"/>
      <x:c r="AI29" s="18" t="str">
        <x:v>STRICT_MODEL</x:v>
      </x:c>
      <x:c r="AJ29" s="18"/>
      <x:c r="AK29" s="18"/>
      <x:c r="AL29" s="18" t="str">
        <x:v>No</x:v>
      </x:c>
      <x:c r="AM29" s="18" t="str">
        <x:v>TCI target 2.0-3.0 ng/mL; detailed within-range titration algorithm not reported.</x:v>
      </x:c>
      <x:c r="AN29" s="18" t="str">
        <x:v>SOURCE-VERIFIED / AF-NORMALIZED</x:v>
      </x:c>
      <x:c r="AO29" s="18" t="str">
        <x:v>https://drive.google.com/file/d/161WdTRehgwvDHvQ8OkRf8U9TbUmVQgaR/view?usp=drivesdk</x:v>
      </x:c>
    </x:row>
    <x:row r="30">
      <x:c r="A30" s="18" t="str">
        <x:v>F-intra-003</x:v>
      </x:c>
      <x:c r="B30" s="18" t="str">
        <x:v>F-intra</x:v>
      </x:c>
      <x:c r="C30" s="18" t="str">
        <x:v>F_intraop_titrated_requirement</x:v>
      </x:c>
      <x:c r="D30" s="18" t="str">
        <x:v>Zhang 2014</x:v>
      </x:c>
      <x:c r="E30" s="18" t="str">
        <x:v>ZHANG14_TEAS_vs_SHAM_REMI</x:v>
      </x:c>
      <x:c r="F30" s="18" t="str">
        <x:v>Preoperative TEAS</x:v>
      </x:c>
      <x:c r="G30" s="18" t="str">
        <x:v>Sham/no current</x:v>
      </x:c>
      <x:c r="H30" s="18" t="str">
        <x:v>Remifentanil consumption rate</x:v>
      </x:c>
      <x:c r="I30" s="18" t="str">
        <x:v>Intraoperative</x:v>
      </x:c>
      <x:c r="J30" s="18" t="str">
        <x:v>Mean/SD</x:v>
      </x:c>
      <x:c r="K30" s="18" t="n">
        <x:v>33</x:v>
      </x:c>
      <x:c r="L30" s="18" t="n">
        <x:v>32</x:v>
      </x:c>
      <x:c r="M30" s="18" t="n">
        <x:v>0.06</x:v>
      </x:c>
      <x:c r="N30" s="18" t="n">
        <x:v>0.02</x:v>
      </x:c>
      <x:c r="O30" s="18"/>
      <x:c r="P30" s="18"/>
      <x:c r="Q30" s="18"/>
      <x:c r="R30" s="18"/>
      <x:c r="S30" s="18" t="n">
        <x:v>0.09</x:v>
      </x:c>
      <x:c r="T30" s="18" t="n">
        <x:v>0.03</x:v>
      </x:c>
      <x:c r="U30" s="18"/>
      <x:c r="V30" s="18"/>
      <x:c r="W30" s="18"/>
      <x:c r="X30" s="18"/>
      <x:c r="Y30" s="18" t="str">
        <x:v>µg/kg/min</x:v>
      </x:c>
      <x:c r="Z30" s="18" t="str">
        <x:v>0.01</x:v>
      </x:c>
      <x:c r="AA30" s="18" t="str">
        <x:v>MD</x:v>
      </x:c>
      <x:c r="AB30" s="18" t="n">
        <x:v>-0.03</x:v>
      </x:c>
      <x:c r="AC30" s="18" t="str">
        <x:v>Some concerns</x:v>
      </x:c>
      <x:c r="AD30" s="18" t="n">
        <x:v>1</x:v>
      </x:c>
      <x:c r="AE30" s="18" t="n">
        <x:v>0</x:v>
      </x:c>
      <x:c r="AF30" s="18" t="n">
        <x:v>0</x:v>
      </x:c>
      <x:c r="AG30" s="18" t="str">
        <x:v>P3</x:v>
      </x:c>
      <x:c r="AH30" s="18"/>
      <x:c r="AI30" s="18" t="str">
        <x:v>STRICT_MODEL</x:v>
      </x:c>
      <x:c r="AJ30" s="18"/>
      <x:c r="AK30" s="18"/>
      <x:c r="AL30" s="18" t="str">
        <x:v>No</x:v>
      </x:c>
      <x:c r="AM30" s="18" t="str">
        <x:v>Weight/time-normalized consumption, not absolute remifentanil dose</x:v>
      </x:c>
      <x:c r="AN30" s="18" t="str">
        <x:v>SOURCE-VERIFIED</x:v>
      </x:c>
      <x:c r="AO30" s="18" t="str">
        <x:v>https://drive.google.com/file/d/1lws1zFpIE-wbLY8X9ewYyTuIP-WySa-c/view?usp=drivesdk</x:v>
      </x:c>
    </x:row>
    <x:row r="31">
      <x:c r="A31" s="18" t="str">
        <x:v>F-intra-004</x:v>
      </x:c>
      <x:c r="B31" s="18" t="str">
        <x:v>F-intra</x:v>
      </x:c>
      <x:c r="C31" s="18" t="str">
        <x:v>F_intraop_titrated_requirement</x:v>
      </x:c>
      <x:c r="D31" s="18" t="str">
        <x:v>Huang 2017</x:v>
      </x:c>
      <x:c r="E31" s="18" t="str">
        <x:v>HUANG17_2100_vs_CTRL_REMI</x:v>
      </x:c>
      <x:c r="F31" s="18" t="str">
        <x:v>2/100-Hz TEAS</x:v>
      </x:c>
      <x:c r="G31" s="18" t="str">
        <x:v>Placebo TEAS/no current</x:v>
      </x:c>
      <x:c r="H31" s="18" t="str">
        <x:v>Total opioid as remifentanil-equivalent rate</x:v>
      </x:c>
      <x:c r="I31" s="18" t="str">
        <x:v>Intraoperative</x:v>
      </x:c>
      <x:c r="J31" s="18" t="str">
        <x:v>Mean/SD</x:v>
      </x:c>
      <x:c r="K31" s="18" t="n">
        <x:v>20</x:v>
      </x:c>
      <x:c r="L31" s="18" t="n">
        <x:v>20</x:v>
      </x:c>
      <x:c r="M31" s="18" t="n">
        <x:v>0.1128</x:v>
      </x:c>
      <x:c r="N31" s="18" t="n">
        <x:v>0.034</x:v>
      </x:c>
      <x:c r="O31" s="18"/>
      <x:c r="P31" s="18"/>
      <x:c r="Q31" s="18"/>
      <x:c r="R31" s="18"/>
      <x:c r="S31" s="18" t="n">
        <x:v>0.1617</x:v>
      </x:c>
      <x:c r="T31" s="18" t="n">
        <x:v>0.037</x:v>
      </x:c>
      <x:c r="U31" s="18"/>
      <x:c r="V31" s="18"/>
      <x:c r="W31" s="18"/>
      <x:c r="X31" s="18"/>
      <x:c r="Y31" s="18" t="str">
        <x:v>µg/kg/min remifentanil-equivalent</x:v>
      </x:c>
      <x:c r="Z31" s="18" t="str">
        <x:v>2/100 vs control P≤0.001</x:v>
      </x:c>
      <x:c r="AA31" s="18" t="str">
        <x:v>MD</x:v>
      </x:c>
      <x:c r="AB31" s="18" t="n">
        <x:v>-0.04890000000000001</x:v>
      </x:c>
      <x:c r="AC31" s="18" t="str">
        <x:v>Some concerns</x:v>
      </x:c>
      <x:c r="AD31" s="18" t="n">
        <x:v>0</x:v>
      </x:c>
      <x:c r="AE31" s="18" t="n">
        <x:v>1</x:v>
      </x:c>
      <x:c r="AF31" s="18" t="n">
        <x:v>0</x:v>
      </x:c>
      <x:c r="AG31" s="18" t="str">
        <x:v>P2</x:v>
      </x:c>
      <x:c r="AH31" s="18"/>
      <x:c r="AI31" s="18" t="str">
        <x:v>SENSITIVITY_MODEL</x:v>
      </x:c>
      <x:c r="AJ31" s="18"/>
      <x:c r="AK31" s="18"/>
      <x:c r="AL31" s="18" t="str">
        <x:v>Yes</x:v>
      </x:c>
      <x:c r="AM31" s="18" t="str">
        <x:v>Four-arm frequency trial; preserve each active frequency separately</x:v>
      </x:c>
      <x:c r="AN31" s="18" t="str">
        <x:v>SOURCE-VERIFIED</x:v>
      </x:c>
      <x:c r="AO31" s="18" t="str">
        <x:v>https://drive.google.com/file/d/1RJGi1PYvw75qVW9UK8CBtJPH4G035ASs/view?usp=drivesdk</x:v>
      </x:c>
    </x:row>
    <x:row r="32">
      <x:c r="A32" s="18" t="str">
        <x:v>F-intra-005</x:v>
      </x:c>
      <x:c r="B32" s="18" t="str">
        <x:v>F-intra</x:v>
      </x:c>
      <x:c r="C32" s="18" t="str">
        <x:v>F_intraop_titrated_requirement</x:v>
      </x:c>
      <x:c r="D32" s="18" t="str">
        <x:v>Sim 2002</x:v>
      </x:c>
      <x:c r="E32" s="18" t="str">
        <x:v>SIM02_PREOP_vs_PLACEBO_ALFENT</x:v>
      </x:c>
      <x:c r="F32" s="18" t="str">
        <x:v>Preoperative EA</x:v>
      </x:c>
      <x:c r="G32" s="18" t="str">
        <x:v>Placebo EA</x:v>
      </x:c>
      <x:c r="H32" s="18" t="str">
        <x:v>Alfentanil requirement rate</x:v>
      </x:c>
      <x:c r="I32" s="18" t="str">
        <x:v>Intraoperative</x:v>
      </x:c>
      <x:c r="J32" s="18" t="str">
        <x:v>Mean/SD</x:v>
      </x:c>
      <x:c r="K32" s="18" t="n">
        <x:v>30</x:v>
      </x:c>
      <x:c r="L32" s="18" t="n">
        <x:v>30</x:v>
      </x:c>
      <x:c r="M32" s="18" t="n">
        <x:v>0.44</x:v>
      </x:c>
      <x:c r="N32" s="18" t="n">
        <x:v>0.15</x:v>
      </x:c>
      <x:c r="O32" s="18"/>
      <x:c r="P32" s="18"/>
      <x:c r="Q32" s="18"/>
      <x:c r="R32" s="18"/>
      <x:c r="S32" s="18" t="n">
        <x:v>0.51</x:v>
      </x:c>
      <x:c r="T32" s="18" t="n">
        <x:v>0.21</x:v>
      </x:c>
      <x:c r="U32" s="18"/>
      <x:c r="V32" s="18"/>
      <x:c r="W32" s="18"/>
      <x:c r="X32" s="18"/>
      <x:c r="Y32" s="18" t="str">
        <x:v>µg/kg/min</x:v>
      </x:c>
      <x:c r="Z32" s="18" t="str">
        <x:v>0.472</x:v>
      </x:c>
      <x:c r="AA32" s="18" t="str">
        <x:v>MD</x:v>
      </x:c>
      <x:c r="AB32" s="18" t="n">
        <x:v>-0.07</x:v>
      </x:c>
      <x:c r="AC32" s="18" t="str">
        <x:v>Some concerns</x:v>
      </x:c>
      <x:c r="AD32" s="18" t="n">
        <x:v>1</x:v>
      </x:c>
      <x:c r="AE32" s="18" t="n">
        <x:v>0</x:v>
      </x:c>
      <x:c r="AF32" s="18" t="n">
        <x:v>0</x:v>
      </x:c>
      <x:c r="AG32" s="18"/>
      <x:c r="AH32" s="18"/>
      <x:c r="AI32" s="18" t="str">
        <x:v>STRICT_MODEL</x:v>
      </x:c>
      <x:c r="AJ32" s="18"/>
      <x:c r="AK32" s="18"/>
      <x:c r="AL32" s="18" t="str">
        <x:v>Yes</x:v>
      </x:c>
      <x:c r="AM32" s="18" t="str">
        <x:v>No significant placebo-controlled intraoperative opioid-sparing effect</x:v>
      </x:c>
      <x:c r="AN32" s="18" t="str">
        <x:v>SOURCE-VERIFIED</x:v>
      </x:c>
      <x:c r="AO32" s="18" t="str">
        <x:v>https://drive.google.com/file/d/1YsNHL-J3Kgfu8mCanRrNu_bHk_roj0w6/view?usp=drivesdk</x:v>
      </x:c>
    </x:row>
    <x:row r="33">
      <x:c r="A33" s="18" t="str">
        <x:v>F-intra-006</x:v>
      </x:c>
      <x:c r="B33" s="18" t="str">
        <x:v>F-intra</x:v>
      </x:c>
      <x:c r="C33" s="18" t="str">
        <x:v>F_intraop_titrated_requirement</x:v>
      </x:c>
      <x:c r="D33" s="18" t="str">
        <x:v>Wu 2022</x:v>
      </x:c>
      <x:c r="E33" s="18" t="str">
        <x:v>WU22_PTEAS_vs_CTRL_REMI</x:v>
      </x:c>
      <x:c r="F33" s="18" t="str">
        <x:v>Perioperative pTEAS</x:v>
      </x:c>
      <x:c r="G33" s="18" t="str">
        <x:v>No-current control</x:v>
      </x:c>
      <x:c r="H33" s="18" t="str">
        <x:v>Cumulative remifentanil</x:v>
      </x:c>
      <x:c r="I33" s="18" t="str">
        <x:v>Intraoperative</x:v>
      </x:c>
      <x:c r="J33" s="18" t="str">
        <x:v>Mean/SD</x:v>
      </x:c>
      <x:c r="K33" s="18" t="n">
        <x:v>44</x:v>
      </x:c>
      <x:c r="L33" s="18" t="n">
        <x:v>40</x:v>
      </x:c>
      <x:c r="M33" s="18" t="n">
        <x:v>1383</x:v>
      </x:c>
      <x:c r="N33" s="18" t="n">
        <x:v>494</x:v>
      </x:c>
      <x:c r="O33" s="18"/>
      <x:c r="P33" s="18"/>
      <x:c r="Q33" s="18"/>
      <x:c r="R33" s="18"/>
      <x:c r="S33" s="18" t="n">
        <x:v>1637</x:v>
      </x:c>
      <x:c r="T33" s="18" t="n">
        <x:v>630</x:v>
      </x:c>
      <x:c r="U33" s="18"/>
      <x:c r="V33" s="18"/>
      <x:c r="W33" s="18"/>
      <x:c r="X33" s="18"/>
      <x:c r="Y33" s="18" t="str">
        <x:v>µg remifentanil</x:v>
      </x:c>
      <x:c r="Z33" s="18" t="str">
        <x:v>0.042</x:v>
      </x:c>
      <x:c r="AA33" s="18" t="str">
        <x:v>MD</x:v>
      </x:c>
      <x:c r="AB33" s="18" t="n">
        <x:v>-254</x:v>
      </x:c>
      <x:c r="AC33" s="18" t="str">
        <x:v>Some concerns</x:v>
      </x:c>
      <x:c r="AD33" s="18" t="n">
        <x:v>0</x:v>
      </x:c>
      <x:c r="AE33" s="18" t="n">
        <x:v>1</x:v>
      </x:c>
      <x:c r="AF33" s="18" t="n">
        <x:v>0</x:v>
      </x:c>
      <x:c r="AG33" s="18"/>
      <x:c r="AH33" s="18"/>
      <x:c r="AI33" s="18" t="str">
        <x:v>SENSITIVITY_MODEL</x:v>
      </x:c>
      <x:c r="AJ33" s="18"/>
      <x:c r="AK33" s="18"/>
      <x:c r="AL33" s="18" t="str">
        <x:v>No</x:v>
      </x:c>
      <x:c r="AM33" s="18" t="str">
        <x:v>Complete-case analysis with asymmetric attrition</x:v>
      </x:c>
      <x:c r="AN33" s="18" t="str">
        <x:v>SOURCE-VERIFIED</x:v>
      </x:c>
      <x:c r="AO33" s="18" t="str">
        <x:v>https://drive.google.com/file/d/1XR_8qmeHR7ulwV7NaaI0CeYbpwKdc_ym/view?usp=drivesdk</x:v>
      </x:c>
    </x:row>
    <x:row r="34">
      <x:c r="A34" s="18" t="str">
        <x:v>F-intra-007</x:v>
      </x:c>
      <x:c r="B34" s="18" t="str">
        <x:v>F-intra</x:v>
      </x:c>
      <x:c r="C34" s="18" t="str">
        <x:v>F_intraop_titrated_requirement</x:v>
      </x:c>
      <x:c r="D34" s="18" t="str">
        <x:v>Xing 2022</x:v>
      </x:c>
      <x:c r="E34" s="18" t="str">
        <x:v>XING22_NTG_vs_NG_REMI</x:v>
      </x:c>
      <x:c r="F34" s="18" t="str">
        <x:v>TEAS + active TAPB</x:v>
      </x:c>
      <x:c r="G34" s="18" t="str">
        <x:v>Sham TEAS + active TAPB</x:v>
      </x:c>
      <x:c r="H34" s="18" t="str">
        <x:v>Total remifentanil consumption</x:v>
      </x:c>
      <x:c r="I34" s="18" t="str">
        <x:v>Intraoperative</x:v>
      </x:c>
      <x:c r="J34" s="18" t="str">
        <x:v>Mean/SD</x:v>
      </x:c>
      <x:c r="K34" s="18" t="n">
        <x:v>29</x:v>
      </x:c>
      <x:c r="L34" s="18" t="n">
        <x:v>29</x:v>
      </x:c>
      <x:c r="M34" s="18" t="n">
        <x:v>1182.61</x:v>
      </x:c>
      <x:c r="N34" s="18" t="n">
        <x:v>253.61</x:v>
      </x:c>
      <x:c r="O34" s="18"/>
      <x:c r="P34" s="18"/>
      <x:c r="Q34" s="18"/>
      <x:c r="R34" s="18"/>
      <x:c r="S34" s="18" t="n">
        <x:v>1415.41</x:v>
      </x:c>
      <x:c r="T34" s="18" t="n">
        <x:v>295.67</x:v>
      </x:c>
      <x:c r="U34" s="18"/>
      <x:c r="V34" s="18"/>
      <x:c r="W34" s="18"/>
      <x:c r="X34" s="18"/>
      <x:c r="Y34" s="18" t="str">
        <x:v>µg remifentanil</x:v>
      </x:c>
      <x:c r="Z34" s="18" t="str">
        <x:v>&lt;0.05 pairwise</x:v>
      </x:c>
      <x:c r="AA34" s="18" t="str">
        <x:v>MD</x:v>
      </x:c>
      <x:c r="AB34" s="18" t="n">
        <x:v>-232.80000000000018</x:v>
      </x:c>
      <x:c r="AC34" s="18" t="str">
        <x:v>Some concerns</x:v>
      </x:c>
      <x:c r="AD34" s="18" t="n">
        <x:v>1</x:v>
      </x:c>
      <x:c r="AE34" s="18" t="n">
        <x:v>0</x:v>
      </x:c>
      <x:c r="AF34" s="18" t="n">
        <x:v>0</x:v>
      </x:c>
      <x:c r="AG34" s="18"/>
      <x:c r="AH34" s="18"/>
      <x:c r="AI34" s="18" t="str">
        <x:v>STRICT_MODEL</x:v>
      </x:c>
      <x:c r="AJ34" s="18"/>
      <x:c r="AK34" s="18"/>
      <x:c r="AL34" s="18" t="str">
        <x:v>Yes</x:v>
      </x:c>
      <x:c r="AM34" s="18" t="str">
        <x:v>Direct TEAS contrast is NTG vs NG; do not attribute NTG-vs-G combined package entirely to TEAS</x:v>
      </x:c>
      <x:c r="AN34" s="18" t="str">
        <x:v>SOURCE-VERIFIED</x:v>
      </x:c>
      <x:c r="AO34" s="18" t="str">
        <x:v>https://drive.google.com/file/d/1h3IGpQ56nSh7H16xBEVyTzCBkWOXRSxK/view?usp=drivesdk</x:v>
      </x:c>
    </x:row>
    <x:row r="35">
      <x:c r="A35" s="18" t="str">
        <x:v>F-intra-008</x:v>
      </x:c>
      <x:c r="B35" s="18" t="str">
        <x:v>F-intra</x:v>
      </x:c>
      <x:c r="C35" s="18" t="str">
        <x:v>F_intraop_titrated_requirement</x:v>
      </x:c>
      <x:c r="D35" s="18" t="str">
        <x:v>Lu 2021</x:v>
      </x:c>
      <x:c r="E35" s="18" t="str">
        <x:v>LU21_COMB_vs_SHAM_REMI</x:v>
      </x:c>
      <x:c r="F35" s="18" t="str">
        <x:v>Combined PC6+CV17 TEAS</x:v>
      </x:c>
      <x:c r="G35" s="18" t="str">
        <x:v>Sham/no current</x:v>
      </x:c>
      <x:c r="H35" s="18" t="str">
        <x:v>Total remifentanil</x:v>
      </x:c>
      <x:c r="I35" s="18" t="str">
        <x:v>Intraoperative</x:v>
      </x:c>
      <x:c r="J35" s="18" t="str">
        <x:v>Mean/SD</x:v>
      </x:c>
      <x:c r="K35" s="18" t="n">
        <x:v>190</x:v>
      </x:c>
      <x:c r="L35" s="18" t="n">
        <x:v>188</x:v>
      </x:c>
      <x:c r="M35" s="18" t="n">
        <x:v>1.2</x:v>
      </x:c>
      <x:c r="N35" s="18" t="n">
        <x:v>0.5</x:v>
      </x:c>
      <x:c r="O35" s="18"/>
      <x:c r="P35" s="18"/>
      <x:c r="Q35" s="18"/>
      <x:c r="R35" s="18"/>
      <x:c r="S35" s="18" t="n">
        <x:v>1.4</x:v>
      </x:c>
      <x:c r="T35" s="18" t="n">
        <x:v>0.7</x:v>
      </x:c>
      <x:c r="U35" s="18"/>
      <x:c r="V35" s="18"/>
      <x:c r="W35" s="18"/>
      <x:c r="X35" s="18"/>
      <x:c r="Y35" s="18" t="str">
        <x:v>mg remifentanil</x:v>
      </x:c>
      <x:c r="Z35" s="18" t="str">
        <x:v>P&lt;0.001 combined vs sham</x:v>
      </x:c>
      <x:c r="AA35" s="18" t="str">
        <x:v>MD</x:v>
      </x:c>
      <x:c r="AB35" s="18" t="n">
        <x:v>-0.19999999999999996</x:v>
      </x:c>
      <x:c r="AC35" s="18" t="str">
        <x:v>Some concerns</x:v>
      </x:c>
      <x:c r="AD35" s="18" t="n">
        <x:v>1</x:v>
      </x:c>
      <x:c r="AE35" s="18" t="n">
        <x:v>0</x:v>
      </x:c>
      <x:c r="AF35" s="18" t="n">
        <x:v>0</x:v>
      </x:c>
      <x:c r="AG35" s="18"/>
      <x:c r="AH35" s="18"/>
      <x:c r="AI35" s="18" t="str">
        <x:v>STRICT_MODEL</x:v>
      </x:c>
      <x:c r="AJ35" s="18"/>
      <x:c r="AK35" s="18"/>
      <x:c r="AL35" s="18" t="str">
        <x:v>Yes</x:v>
      </x:c>
      <x:c r="AM35" s="18" t="str">
        <x:v>Three-arm trial; sham is a shared comparator</x:v>
      </x:c>
      <x:c r="AN35" s="18" t="str">
        <x:v>SOURCE-VERIFIED</x:v>
      </x:c>
      <x:c r="AO35" s="18" t="str">
        <x:v>https://drive.google.com/file/d/1MgD_OucfiyNEDdDe3osh8W01U1yYZs08/view?usp=drivesdk</x:v>
      </x:c>
    </x:row>
    <x:row r="36">
      <x:c r="A36" s="18" t="str">
        <x:v>F-intra-009</x:v>
      </x:c>
      <x:c r="B36" s="18" t="str">
        <x:v>F-intra</x:v>
      </x:c>
      <x:c r="C36" s="18" t="str">
        <x:v>F_intraop_titrated_requirement</x:v>
      </x:c>
      <x:c r="D36" s="18" t="str">
        <x:v>Zheng 2025</x:v>
      </x:c>
      <x:c r="E36" s="18" t="str">
        <x:v>ZHENG25_TEAS_vs_SHAM_REMI</x:v>
      </x:c>
      <x:c r="F36" s="18" t="str">
        <x:v>Perioperative TEAS</x:v>
      </x:c>
      <x:c r="G36" s="18" t="str">
        <x:v>Sham/no current</x:v>
      </x:c>
      <x:c r="H36" s="18" t="str">
        <x:v>Total intraoperative remifentanil consumption</x:v>
      </x:c>
      <x:c r="I36" s="18" t="str">
        <x:v>Intraoperative</x:v>
      </x:c>
      <x:c r="J36" s="18" t="str">
        <x:v>Mean/SD</x:v>
      </x:c>
      <x:c r="K36" s="18" t="n">
        <x:v>42</x:v>
      </x:c>
      <x:c r="L36" s="18" t="n">
        <x:v>43</x:v>
      </x:c>
      <x:c r="M36" s="18" t="n">
        <x:v>233.1</x:v>
      </x:c>
      <x:c r="N36" s="18" t="n">
        <x:v>29.6</x:v>
      </x:c>
      <x:c r="O36" s="18"/>
      <x:c r="P36" s="18"/>
      <x:c r="Q36" s="18"/>
      <x:c r="R36" s="18"/>
      <x:c r="S36" s="18" t="n">
        <x:v>289.5</x:v>
      </x:c>
      <x:c r="T36" s="18" t="n">
        <x:v>37.9</x:v>
      </x:c>
      <x:c r="U36" s="18"/>
      <x:c r="V36" s="18"/>
      <x:c r="W36" s="18"/>
      <x:c r="X36" s="18"/>
      <x:c r="Y36" s="18" t="str">
        <x:v>µg remifentanil</x:v>
      </x:c>
      <x:c r="Z36" s="18" t="str">
        <x:v>0.031</x:v>
      </x:c>
      <x:c r="AA36" s="18" t="str">
        <x:v>MD</x:v>
      </x:c>
      <x:c r="AB36" s="18" t="n">
        <x:v>-56.400000000000006</x:v>
      </x:c>
      <x:c r="AC36" s="18" t="str">
        <x:v>Some concerns</x:v>
      </x:c>
      <x:c r="AD36" s="18" t="n">
        <x:v>0</x:v>
      </x:c>
      <x:c r="AE36" s="18" t="n">
        <x:v>1</x:v>
      </x:c>
      <x:c r="AF36" s="18" t="n">
        <x:v>0</x:v>
      </x:c>
      <x:c r="AG36" s="18"/>
      <x:c r="AH36" s="18"/>
      <x:c r="AI36" s="18" t="str">
        <x:v>SENSITIVITY_MODEL</x:v>
      </x:c>
      <x:c r="AJ36" s="18"/>
      <x:c r="AK36" s="18"/>
      <x:c r="AL36" s="18" t="str">
        <x:v>No</x:v>
      </x:c>
      <x:c r="AM36" s="18" t="str">
        <x:v>Not a postoperative endpoint</x:v>
      </x:c>
      <x:c r="AN36" s="18" t="str">
        <x:v>SOURCE-VERIFIED</x:v>
      </x:c>
      <x:c r="AO36" s="18" t="str">
        <x:v>https://drive.google.com/file/d/1-JWKZgQXaQQQBZgMSDqyIP-vG9aAxBqb/view?usp=drivesdk</x:v>
      </x:c>
    </x:row>
    <x:row r="37">
      <x:c r="A37" s="18" t="str">
        <x:v>F-intra-010</x:v>
      </x:c>
      <x:c r="B37" s="18" t="str">
        <x:v>F-intra</x:v>
      </x:c>
      <x:c r="C37" s="18" t="str">
        <x:v>F_intraop_titrated_requirement</x:v>
      </x:c>
      <x:c r="D37" s="18" t="str">
        <x:v>Guo 2023</x:v>
      </x:c>
      <x:c r="E37" s="18" t="str">
        <x:v>GUO23_TEAS_vs_SHAM_REMI</x:v>
      </x:c>
      <x:c r="F37" s="18" t="str">
        <x:v>Perioperative TEAS</x:v>
      </x:c>
      <x:c r="G37" s="18" t="str">
        <x:v>Sham/no-current TEAS</x:v>
      </x:c>
      <x:c r="H37" s="18" t="str">
        <x:v>Remifentanil consumption</x:v>
      </x:c>
      <x:c r="I37" s="18" t="str">
        <x:v>Intraoperative</x:v>
      </x:c>
      <x:c r="J37" s="18" t="str">
        <x:v>Mean/SD</x:v>
      </x:c>
      <x:c r="K37" s="18" t="n">
        <x:v>55</x:v>
      </x:c>
      <x:c r="L37" s="18" t="n">
        <x:v>55</x:v>
      </x:c>
      <x:c r="M37" s="18" t="n">
        <x:v>0.87</x:v>
      </x:c>
      <x:c r="N37" s="18" t="n">
        <x:v>0.3</x:v>
      </x:c>
      <x:c r="O37" s="18"/>
      <x:c r="P37" s="18"/>
      <x:c r="Q37" s="18"/>
      <x:c r="R37" s="18"/>
      <x:c r="S37" s="18" t="n">
        <x:v>1.01</x:v>
      </x:c>
      <x:c r="T37" s="18" t="n">
        <x:v>0.39</x:v>
      </x:c>
      <x:c r="U37" s="18"/>
      <x:c r="V37" s="18"/>
      <x:c r="W37" s="18"/>
      <x:c r="X37" s="18"/>
      <x:c r="Y37" s="18" t="str">
        <x:v>mg remifentanil</x:v>
      </x:c>
      <x:c r="Z37" s="18" t="str">
        <x:v>0.040</x:v>
      </x:c>
      <x:c r="AA37" s="18" t="str">
        <x:v>MD</x:v>
      </x:c>
      <x:c r="AB37" s="18" t="n">
        <x:v>-0.14</x:v>
      </x:c>
      <x:c r="AC37" s="18" t="str">
        <x:v>Some concerns</x:v>
      </x:c>
      <x:c r="AD37" s="18" t="n">
        <x:v>0</x:v>
      </x:c>
      <x:c r="AE37" s="18" t="n">
        <x:v>1</x:v>
      </x:c>
      <x:c r="AF37" s="18" t="n">
        <x:v>0</x:v>
      </x:c>
      <x:c r="AG37" s="18"/>
      <x:c r="AH37" s="18"/>
      <x:c r="AI37" s="18" t="str">
        <x:v>SENSITIVITY_MODEL</x:v>
      </x:c>
      <x:c r="AJ37" s="18"/>
      <x:c r="AK37" s="18"/>
      <x:c r="AL37" s="18" t="str">
        <x:v>No</x:v>
      </x:c>
      <x:c r="AM37" s="18" t="str">
        <x:v>Complete-case n=55/group</x:v>
      </x:c>
      <x:c r="AN37" s="18" t="str">
        <x:v>SOURCE-VERIFIED</x:v>
      </x:c>
      <x:c r="AO37" s="18" t="str">
        <x:v>https://drive.google.com/file/d/1Idfl7rfZhgAUJHDpsmgzp17ADiGvrU8C/view?usp=drivesdk</x:v>
      </x:c>
    </x:row>
    <x:row r="38">
      <x:c r="A38" s="18" t="str">
        <x:v>F-intra-011</x:v>
      </x:c>
      <x:c r="B38" s="18" t="str">
        <x:v>F-intra</x:v>
      </x:c>
      <x:c r="C38" s="18" t="str">
        <x:v>F_intraop_titrated_requirement</x:v>
      </x:c>
      <x:c r="D38" s="18" t="str">
        <x:v>Yang 2024</x:v>
      </x:c>
      <x:c r="E38" s="18" t="str">
        <x:v>YANG24_EA_vs_UC_REMI</x:v>
      </x:c>
      <x:c r="F38" s="18" t="str">
        <x:v>Perioperative EA + usual care</x:v>
      </x:c>
      <x:c r="G38" s="18" t="str">
        <x:v>Usual care</x:v>
      </x:c>
      <x:c r="H38" s="18" t="str">
        <x:v>Intraoperative remifentanil consumption</x:v>
      </x:c>
      <x:c r="I38" s="18" t="str">
        <x:v>Intraoperative</x:v>
      </x:c>
      <x:c r="J38" s="18" t="str">
        <x:v>Median/IQR</x:v>
      </x:c>
      <x:c r="K38" s="18" t="n">
        <x:v>90</x:v>
      </x:c>
      <x:c r="L38" s="18" t="n">
        <x:v>90</x:v>
      </x:c>
      <x:c r="M38" s="18"/>
      <x:c r="N38" s="18"/>
      <x:c r="O38" s="18" t="n">
        <x:v>0.5</x:v>
      </x:c>
      <x:c r="P38" s="18" t="n">
        <x:v>0.3</x:v>
      </x:c>
      <x:c r="Q38" s="18" t="n">
        <x:v>0.6</x:v>
      </x:c>
      <x:c r="R38" s="18"/>
      <x:c r="S38" s="18"/>
      <x:c r="T38" s="18"/>
      <x:c r="U38" s="18" t="n">
        <x:v>0.5</x:v>
      </x:c>
      <x:c r="V38" s="18" t="n">
        <x:v>0.4</x:v>
      </x:c>
      <x:c r="W38" s="18" t="n">
        <x:v>0.7</x:v>
      </x:c>
      <x:c r="X38" s="18"/>
      <x:c r="Y38" s="18" t="str">
        <x:v>mg remifentanil</x:v>
      </x:c>
      <x:c r="Z38" s="18" t="str">
        <x:v>0.75</x:v>
      </x:c>
      <x:c r="AA38" s="18"/>
      <x:c r="AB38" s="18"/>
      <x:c r="AC38" s="18" t="str">
        <x:v>Some concerns</x:v>
      </x:c>
      <x:c r="AD38" s="18" t="n">
        <x:v>1</x:v>
      </x:c>
      <x:c r="AE38" s="18" t="n">
        <x:v>0</x:v>
      </x:c>
      <x:c r="AF38" s="18" t="n">
        <x:v>0</x:v>
      </x:c>
      <x:c r="AG38" s="18"/>
      <x:c r="AH38" s="18"/>
      <x:c r="AI38" s="18" t="str">
        <x:v>STRICT_MODEL</x:v>
      </x:c>
      <x:c r="AJ38" s="18"/>
      <x:c r="AK38" s="18"/>
      <x:c r="AL38" s="18" t="str">
        <x:v>No</x:v>
      </x:c>
      <x:c r="AM38" s="18" t="str">
        <x:v>Preoperative EA occurred before surgery; anesthetist blinded.</x:v>
      </x:c>
      <x:c r="AN38" s="18" t="str">
        <x:v>SOURCE-VERIFIED / AF-NORMALIZED</x:v>
      </x:c>
      <x:c r="AO38" s="18" t="str">
        <x:v>https://drive.google.com/file/d/160N3psd5tLEphwXHJzUEZ3uJfaIXcs5V/view?usp=drivesdk</x:v>
      </x:c>
    </x:row>
    <x:row r="39">
      <x:c r="A39" s="18" t="str">
        <x:v>F-intra-012</x:v>
      </x:c>
      <x:c r="B39" s="18" t="str">
        <x:v>F-intra</x:v>
      </x:c>
      <x:c r="C39" s="18" t="str">
        <x:v>F_intraop_titrated_requirement</x:v>
      </x:c>
      <x:c r="D39" s="18" t="str">
        <x:v>Liang 2021</x:v>
      </x:c>
      <x:c r="E39" s="18" t="str">
        <x:v>LIANG21_TEAS_vs_CTRL_REMI</x:v>
      </x:c>
      <x:c r="F39" s="18" t="str">
        <x:v>Preoperative TEAS</x:v>
      </x:c>
      <x:c r="G39" s="18" t="str">
        <x:v>Control/no stimulation</x:v>
      </x:c>
      <x:c r="H39" s="18" t="str">
        <x:v>Intraoperative remifentanil consumption</x:v>
      </x:c>
      <x:c r="I39" s="18" t="str">
        <x:v>Intraoperative</x:v>
      </x:c>
      <x:c r="J39" s="18" t="str">
        <x:v>Mean/SD</x:v>
      </x:c>
      <x:c r="K39" s="18" t="n">
        <x:v>35</x:v>
      </x:c>
      <x:c r="L39" s="18" t="n">
        <x:v>35</x:v>
      </x:c>
      <x:c r="M39" s="18" t="n">
        <x:v>521.5</x:v>
      </x:c>
      <x:c r="N39" s="18" t="n">
        <x:v>206.8</x:v>
      </x:c>
      <x:c r="O39" s="18"/>
      <x:c r="P39" s="18"/>
      <x:c r="Q39" s="18"/>
      <x:c r="R39" s="18"/>
      <x:c r="S39" s="18" t="n">
        <x:v>464.7</x:v>
      </x:c>
      <x:c r="T39" s="18" t="n">
        <x:v>156</x:v>
      </x:c>
      <x:c r="U39" s="18"/>
      <x:c r="V39" s="18"/>
      <x:c r="W39" s="18"/>
      <x:c r="X39" s="18"/>
      <x:c r="Y39" s="18" t="str">
        <x:v>µg remifentanil</x:v>
      </x:c>
      <x:c r="Z39" s="18" t="str">
        <x:v>NR; stated non-significant</x:v>
      </x:c>
      <x:c r="AA39" s="18" t="str">
        <x:v>MD</x:v>
      </x:c>
      <x:c r="AB39" s="18" t="n">
        <x:v>56.8</x:v>
      </x:c>
      <x:c r="AC39" s="18" t="str">
        <x:v>Some concerns</x:v>
      </x:c>
      <x:c r="AD39" s="18" t="n">
        <x:v>0</x:v>
      </x:c>
      <x:c r="AE39" s="18" t="n">
        <x:v>1</x:v>
      </x:c>
      <x:c r="AF39" s="18" t="n">
        <x:v>0</x:v>
      </x:c>
      <x:c r="AG39" s="18"/>
      <x:c r="AH39" s="18"/>
      <x:c r="AI39" s="18" t="str">
        <x:v>SENSITIVITY_MODEL</x:v>
      </x:c>
      <x:c r="AJ39" s="18"/>
      <x:c r="AK39" s="18"/>
      <x:c r="AL39" s="18" t="str">
        <x:v>No</x:v>
      </x:c>
      <x:c r="AM39" s="18" t="str">
        <x:v>Five randomized participants excluded; printed intraoperative sufentanil unit is likely erroneous and must not be silently corrected.</x:v>
      </x:c>
      <x:c r="AN39" s="18" t="str">
        <x:v>SOURCE-VERIFIED / AF-NORMALIZED</x:v>
      </x:c>
      <x:c r="AO39" s="18" t="str">
        <x:v>https://drive.google.com/file/d/1guriAcqNbJNXpfd_UjYwevULLVSeiHXS/view?usp=drivesdk</x:v>
      </x:c>
    </x:row>
    <x:row r="40">
      <x:c r="A40" s="18" t="str">
        <x:v>F-intra-013</x:v>
      </x:c>
      <x:c r="B40" s="18" t="str">
        <x:v>F-intra</x:v>
      </x:c>
      <x:c r="C40" s="18" t="str">
        <x:v>F_intraop_titrated_requirement</x:v>
      </x:c>
      <x:c r="D40" s="18" t="str">
        <x:v>Pan 2023</x:v>
      </x:c>
      <x:c r="E40" s="18" t="str">
        <x:v>PAN23_TEAS_vs_CONTROL_REMI</x:v>
      </x:c>
      <x:c r="F40" s="18" t="str">
        <x:v>TEAS</x:v>
      </x:c>
      <x:c r="G40" s="18" t="str">
        <x:v>Control/usual care</x:v>
      </x:c>
      <x:c r="H40" s="18" t="str">
        <x:v>Intraoperative remifentanil consumption</x:v>
      </x:c>
      <x:c r="I40" s="18" t="str">
        <x:v>Intraoperative</x:v>
      </x:c>
      <x:c r="J40" s="18" t="str">
        <x:v>Mean/SD</x:v>
      </x:c>
      <x:c r="K40" s="18" t="n">
        <x:v>52</x:v>
      </x:c>
      <x:c r="L40" s="18" t="n">
        <x:v>53</x:v>
      </x:c>
      <x:c r="M40" s="18" t="n">
        <x:v>740.1</x:v>
      </x:c>
      <x:c r="N40" s="18" t="n">
        <x:v>276.9</x:v>
      </x:c>
      <x:c r="O40" s="18"/>
      <x:c r="P40" s="18"/>
      <x:c r="Q40" s="18"/>
      <x:c r="R40" s="18"/>
      <x:c r="S40" s="18" t="n">
        <x:v>854</x:v>
      </x:c>
      <x:c r="T40" s="18" t="n">
        <x:v>287.5</x:v>
      </x:c>
      <x:c r="U40" s="18"/>
      <x:c r="V40" s="18"/>
      <x:c r="W40" s="18"/>
      <x:c r="X40" s="18"/>
      <x:c r="Y40" s="18" t="str">
        <x:v>µg remifentanil</x:v>
      </x:c>
      <x:c r="Z40" s="18" t="str">
        <x:v>0.04</x:v>
      </x:c>
      <x:c r="AA40" s="18" t="str">
        <x:v>MD</x:v>
      </x:c>
      <x:c r="AB40" s="18" t="n">
        <x:v>-113.9</x:v>
      </x:c>
      <x:c r="AC40" s="18" t="str">
        <x:v>High</x:v>
      </x:c>
      <x:c r="AD40" s="18" t="n">
        <x:v>0</x:v>
      </x:c>
      <x:c r="AE40" s="18" t="n">
        <x:v>1</x:v>
      </x:c>
      <x:c r="AF40" s="18" t="n">
        <x:v>0</x:v>
      </x:c>
      <x:c r="AG40" s="18"/>
      <x:c r="AH40" s="18"/>
      <x:c r="AI40" s="18" t="str">
        <x:v>SENSITIVITY_MODEL</x:v>
      </x:c>
      <x:c r="AJ40" s="18"/>
      <x:c r="AK40" s="18"/>
      <x:c r="AL40" s="18" t="str">
        <x:v>No</x:v>
      </x:c>
      <x:c r="AM40" s="18" t="str">
        <x:v>15/120 excluded; titrating anesthesiologist blinding not established.</x:v>
      </x:c>
      <x:c r="AN40" s="18" t="str">
        <x:v>SOURCE-VERIFIED / AF-NORMALIZED / HIGH ROB</x:v>
      </x:c>
      <x:c r="AO40" s="18" t="str">
        <x:v>https://drive.google.com/file/d/19IZpaoI-iTQOr_XOTw-a17WTw_haz8q6/view?usp=drivesdk</x:v>
      </x:c>
    </x:row>
    <x:row r="41">
      <x:c r="A41" s="18" t="str">
        <x:v>F-exposure-001</x:v>
      </x:c>
      <x:c r="B41" s="18" t="str">
        <x:v>F-exposure</x:v>
      </x:c>
      <x:c r="C41" s="18" t="str">
        <x:v>F_intraop_fixed_or_unclear_exposure</x:v>
      </x:c>
      <x:c r="D41" s="18" t="str">
        <x:v>Li 2022</x:v>
      </x:c>
      <x:c r="E41" s="18" t="str">
        <x:v>LI22_EA_vs_SHAM_REMI_FIXED</x:v>
      </x:c>
      <x:c r="F41" s="18" t="str">
        <x:v>Preoperative electroacupuncture</x:v>
      </x:c>
      <x:c r="G41" s="18" t="str">
        <x:v>Sham electroacupuncture</x:v>
      </x:c>
      <x:c r="H41" s="18" t="str">
        <x:v>Fixed-rate intraoperative remifentanil exposure</x:v>
      </x:c>
      <x:c r="I41" s="18" t="str">
        <x:v>Intraoperative</x:v>
      </x:c>
      <x:c r="J41" s="18" t="str">
        <x:v>Mean/SD</x:v>
      </x:c>
      <x:c r="K41" s="18" t="n">
        <x:v>39</x:v>
      </x:c>
      <x:c r="L41" s="18" t="n">
        <x:v>40</x:v>
      </x:c>
      <x:c r="M41" s="18" t="n">
        <x:v>2009</x:v>
      </x:c>
      <x:c r="N41" s="18" t="n">
        <x:v>143.2</x:v>
      </x:c>
      <x:c r="O41" s="18"/>
      <x:c r="P41" s="18"/>
      <x:c r="Q41" s="18"/>
      <x:c r="R41" s="18"/>
      <x:c r="S41" s="18" t="n">
        <x:v>1989</x:v>
      </x:c>
      <x:c r="T41" s="18" t="n">
        <x:v>158.7</x:v>
      </x:c>
      <x:c r="U41" s="18"/>
      <x:c r="V41" s="18"/>
      <x:c r="W41" s="18"/>
      <x:c r="X41" s="18"/>
      <x:c r="Y41" s="18" t="str">
        <x:v>µg remifentanil</x:v>
      </x:c>
      <x:c r="Z41" s="18" t="str">
        <x:v>0.555</x:v>
      </x:c>
      <x:c r="AA41" s="18" t="str">
        <x:v>MD</x:v>
      </x:c>
      <x:c r="AB41" s="18" t="n">
        <x:v>20</x:v>
      </x:c>
      <x:c r="AC41" s="18" t="str">
        <x:v>—</x:v>
      </x:c>
      <x:c r="AD41" s="18" t="n">
        <x:v>0</x:v>
      </x:c>
      <x:c r="AE41" s="18" t="n">
        <x:v>0</x:v>
      </x:c>
      <x:c r="AF41" s="18" t="n">
        <x:v>1</x:v>
      </x:c>
      <x:c r="AG41" s="18"/>
      <x:c r="AH41" s="18"/>
      <x:c r="AI41" s="18" t="str">
        <x:v>EXCLUDE_OR_NARRATIVE</x:v>
      </x:c>
      <x:c r="AJ41" s="18"/>
      <x:c r="AK41" s="18" t="str">
        <x:v>DO NOT POOL with titrated</x:v>
      </x:c>
      <x:c r="AL41" s="18" t="str">
        <x:v>No</x:v>
      </x:c>
      <x:c r="AM41" s="18" t="str">
        <x:v>Remifentanil fixed at 0.3 µg/kg/min; difference reflects exposure duration/body size rather than titration.</x:v>
      </x:c>
      <x:c r="AN41" s="18" t="str">
        <x:v>SOURCE-VERIFIED / AF-NORMALIZED</x:v>
      </x:c>
      <x:c r="AO41" s="18" t="str">
        <x:v>https://drive.google.com/file/d/1rQTrwnCvj72poJrGGvYjpxSZXvUhSD0u/view?usp=drivesdk</x:v>
      </x:c>
    </x:row>
    <x:row r="42">
      <x:c r="A42" s="18" t="str">
        <x:v>F-exposure-002</x:v>
      </x:c>
      <x:c r="B42" s="18" t="str">
        <x:v>F-exposure</x:v>
      </x:c>
      <x:c r="C42" s="18" t="str">
        <x:v>F_intraop_fixed_or_unclear_exposure</x:v>
      </x:c>
      <x:c r="D42" s="18" t="str">
        <x:v>Chen 2015 (Hyperalgesia)</x:v>
      </x:c>
      <x:c r="E42" s="18" t="str">
        <x:v>CHEN15H_TEAS_vs_SHAM_REMI_FIXED</x:v>
      </x:c>
      <x:c r="F42" s="18" t="str">
        <x:v>Preoperative TEAS</x:v>
      </x:c>
      <x:c r="G42" s="18" t="str">
        <x:v>Electrodes/no-current sham</x:v>
      </x:c>
      <x:c r="H42" s="18" t="str">
        <x:v>Fixed-target intraoperative remifentanil exposure</x:v>
      </x:c>
      <x:c r="I42" s="18" t="str">
        <x:v>Intraoperative</x:v>
      </x:c>
      <x:c r="J42" s="18" t="str">
        <x:v>Mean/SD</x:v>
      </x:c>
      <x:c r="K42" s="18" t="n">
        <x:v>29</x:v>
      </x:c>
      <x:c r="L42" s="18" t="n">
        <x:v>30</x:v>
      </x:c>
      <x:c r="M42" s="18" t="n">
        <x:v>1691</x:v>
      </x:c>
      <x:c r="N42" s="18" t="n">
        <x:v>37</x:v>
      </x:c>
      <x:c r="O42" s="18"/>
      <x:c r="P42" s="18"/>
      <x:c r="Q42" s="18"/>
      <x:c r="R42" s="18"/>
      <x:c r="S42" s="18" t="n">
        <x:v>1718</x:v>
      </x:c>
      <x:c r="T42" s="18" t="n">
        <x:v>43</x:v>
      </x:c>
      <x:c r="U42" s="18"/>
      <x:c r="V42" s="18"/>
      <x:c r="W42" s="18"/>
      <x:c r="X42" s="18"/>
      <x:c r="Y42" s="18" t="str">
        <x:v>µg remifentanil</x:v>
      </x:c>
      <x:c r="Z42" s="18" t="str">
        <x:v>0.461</x:v>
      </x:c>
      <x:c r="AA42" s="18" t="str">
        <x:v>MD</x:v>
      </x:c>
      <x:c r="AB42" s="18" t="n">
        <x:v>-27</x:v>
      </x:c>
      <x:c r="AC42" s="18" t="str">
        <x:v>Some concerns</x:v>
      </x:c>
      <x:c r="AD42" s="18" t="n">
        <x:v>0</x:v>
      </x:c>
      <x:c r="AE42" s="18" t="n">
        <x:v>0</x:v>
      </x:c>
      <x:c r="AF42" s="18" t="n">
        <x:v>1</x:v>
      </x:c>
      <x:c r="AG42" s="18"/>
      <x:c r="AH42" s="18"/>
      <x:c r="AI42" s="18" t="str">
        <x:v>EXCLUDE_OR_NARRATIVE</x:v>
      </x:c>
      <x:c r="AJ42" s="18"/>
      <x:c r="AK42" s="18" t="str">
        <x:v>DO NOT POOL with titrated</x:v>
      </x:c>
      <x:c r="AL42" s="18" t="str">
        <x:v>No</x:v>
      </x:c>
      <x:c r="AM42" s="18" t="str">
        <x:v>Remifentanil maintained at fixed target 5.0 ng/mL; one TEAS participant excluded.</x:v>
      </x:c>
      <x:c r="AN42" s="18" t="str">
        <x:v>SOURCE-VERIFIED / AF-NORMALIZED</x:v>
      </x:c>
      <x:c r="AO42" s="18" t="str">
        <x:v>https://drive.google.com/file/d/13YKAZZsc2VQEPqkw1Ye40BYDZSRpI6N3/view?usp=drivesdk</x:v>
      </x:c>
    </x:row>
    <x:row r="43">
      <x:c r="A43" s="18" t="str">
        <x:v>F-exposure-003</x:v>
      </x:c>
      <x:c r="B43" s="18" t="str">
        <x:v>F-exposure</x:v>
      </x:c>
      <x:c r="C43" s="18" t="str">
        <x:v>F_intraop_fixed_or_unclear_exposure</x:v>
      </x:c>
      <x:c r="D43" s="18" t="str">
        <x:v>Xie 2014</x:v>
      </x:c>
      <x:c r="E43" s="18" t="str">
        <x:v>XIE14_EAS_vs_SHAM_REMI</x:v>
      </x:c>
      <x:c r="F43" s="18" t="str">
        <x:v>Active EAS PC4/PC6</x:v>
      </x:c>
      <x:c r="G43" s="18" t="str">
        <x:v>Sham needling PC4/PC6</x:v>
      </x:c>
      <x:c r="H43" s="18" t="str">
        <x:v>Intraoperative remifentanil exposure</x:v>
      </x:c>
      <x:c r="I43" s="18" t="str">
        <x:v>Intraoperative</x:v>
      </x:c>
      <x:c r="J43" s="18" t="str">
        <x:v>Mean/SD</x:v>
      </x:c>
      <x:c r="K43" s="18" t="n">
        <x:v>20</x:v>
      </x:c>
      <x:c r="L43" s="18" t="n">
        <x:v>20</x:v>
      </x:c>
      <x:c r="M43" s="18" t="n">
        <x:v>1.89</x:v>
      </x:c>
      <x:c r="N43" s="18" t="n">
        <x:v>0.63</x:v>
      </x:c>
      <x:c r="O43" s="18"/>
      <x:c r="P43" s="18"/>
      <x:c r="Q43" s="18"/>
      <x:c r="R43" s="18"/>
      <x:c r="S43" s="18" t="n">
        <x:v>1.9</x:v>
      </x:c>
      <x:c r="T43" s="18" t="n">
        <x:v>0.59</x:v>
      </x:c>
      <x:c r="U43" s="18"/>
      <x:c r="V43" s="18"/>
      <x:c r="W43" s="18"/>
      <x:c r="X43" s="18"/>
      <x:c r="Y43" s="18" t="str">
        <x:v>mg remifentanil</x:v>
      </x:c>
      <x:c r="Z43" s="18" t="str">
        <x:v>NR; stated non-significant</x:v>
      </x:c>
      <x:c r="AA43" s="18" t="str">
        <x:v>MD</x:v>
      </x:c>
      <x:c r="AB43" s="18" t="n">
        <x:v>-0.01</x:v>
      </x:c>
      <x:c r="AC43" s="18" t="str">
        <x:v>Some concerns</x:v>
      </x:c>
      <x:c r="AD43" s="18" t="n">
        <x:v>0</x:v>
      </x:c>
      <x:c r="AE43" s="18" t="n">
        <x:v>1</x:v>
      </x:c>
      <x:c r="AF43" s="18" t="n">
        <x:v>0</x:v>
      </x:c>
      <x:c r="AG43" s="18"/>
      <x:c r="AH43" s="18"/>
      <x:c r="AI43" s="18" t="str">
        <x:v>SENSITIVITY_MODEL</x:v>
      </x:c>
      <x:c r="AJ43" s="18"/>
      <x:c r="AK43" s="18"/>
      <x:c r="AL43" s="18" t="str">
        <x:v>Yes</x:v>
      </x:c>
      <x:c r="AM43" s="18" t="str">
        <x:v>Three-arm trial; exact within-range titration algorithm and anesthesiologist masking not reported.</x:v>
      </x:c>
      <x:c r="AN43" s="18" t="str">
        <x:v>SOURCE-VERIFIED / AF-NORMALIZED</x:v>
      </x:c>
      <x:c r="AO43" s="18" t="str">
        <x:v>https://drive.google.com/file/d/17faY_h0rMJTuhjPOC5PL_S59jYmHDPee/view?usp=drivesdk</x:v>
      </x:c>
    </x:row>
    <x:row r="44">
      <x:c r="A44" s="18" t="str">
        <x:v>F-exposure-004</x:v>
      </x:c>
      <x:c r="B44" s="18" t="str">
        <x:v>F-exposure</x:v>
      </x:c>
      <x:c r="C44" s="18" t="str">
        <x:v>F_intraop_fixed_or_unclear_exposure</x:v>
      </x:c>
      <x:c r="D44" s="18" t="str">
        <x:v>Ntritsou 2014</x:v>
      </x:c>
      <x:c r="E44" s="18" t="str">
        <x:v>NTRI14_EA_vs_SHAM_REMI</x:v>
      </x:c>
      <x:c r="F44" s="18" t="str">
        <x:v>Perioperative EA + tramadol/ketamine</x:v>
      </x:c>
      <x:c r="G44" s="18" t="str">
        <x:v>Sham + tramadol/ketamine</x:v>
      </x:c>
      <x:c r="H44" s="18" t="str">
        <x:v>Remifentanil consumption</x:v>
      </x:c>
      <x:c r="I44" s="18" t="str">
        <x:v>Intraoperative</x:v>
      </x:c>
      <x:c r="J44" s="18" t="str">
        <x:v>Mean/SD</x:v>
      </x:c>
      <x:c r="K44" s="18" t="n">
        <x:v>35</x:v>
      </x:c>
      <x:c r="L44" s="18" t="n">
        <x:v>35</x:v>
      </x:c>
      <x:c r="M44" s="18" t="n">
        <x:v>1003.6</x:v>
      </x:c>
      <x:c r="N44" s="18" t="n">
        <x:v>522.7</x:v>
      </x:c>
      <x:c r="O44" s="18"/>
      <x:c r="P44" s="18"/>
      <x:c r="Q44" s="18"/>
      <x:c r="R44" s="18"/>
      <x:c r="S44" s="18" t="n">
        <x:v>1041.9</x:v>
      </x:c>
      <x:c r="T44" s="18" t="n">
        <x:v>631.9</x:v>
      </x:c>
      <x:c r="U44" s="18"/>
      <x:c r="V44" s="18"/>
      <x:c r="W44" s="18"/>
      <x:c r="X44" s="18"/>
      <x:c r="Y44" s="18" t="str">
        <x:v>µg remifentanil</x:v>
      </x:c>
      <x:c r="Z44" s="18" t="str">
        <x:v>0.783</x:v>
      </x:c>
      <x:c r="AA44" s="18" t="str">
        <x:v>MD</x:v>
      </x:c>
      <x:c r="AB44" s="18" t="n">
        <x:v>-38.30000000000007</x:v>
      </x:c>
      <x:c r="AC44" s="18" t="str">
        <x:v>Some concerns</x:v>
      </x:c>
      <x:c r="AD44" s="18" t="n">
        <x:v>0</x:v>
      </x:c>
      <x:c r="AE44" s="18" t="n">
        <x:v>1</x:v>
      </x:c>
      <x:c r="AF44" s="18" t="n">
        <x:v>0</x:v>
      </x:c>
      <x:c r="AG44" s="18"/>
      <x:c r="AH44" s="18"/>
      <x:c r="AI44" s="18" t="str">
        <x:v>SENSITIVITY_MODEL</x:v>
      </x:c>
      <x:c r="AJ44" s="18"/>
      <x:c r="AK44" s="18"/>
      <x:c r="AL44" s="18" t="str">
        <x:v>No</x:v>
      </x:c>
      <x:c r="AM44" s="18" t="str">
        <x:v>No significant intraoperative opioid-sparing effect</x:v>
      </x:c>
      <x:c r="AN44" s="18" t="str">
        <x:v>SOURCE-VERIFIED</x:v>
      </x:c>
      <x:c r="AO44" s="18" t="str">
        <x:v>https://drive.google.com/file/d/1u_kNuuXF8upB3gJA2aDq8NldYDfhnWy3/view?usp=drivesdk</x:v>
      </x:c>
    </x:row>
    <x:row r="45">
      <x:c r="A45" s="18" t="str">
        <x:v>F-exposure-005</x:v>
      </x:c>
      <x:c r="B45" s="18" t="str">
        <x:v>F-exposure</x:v>
      </x:c>
      <x:c r="C45" s="18" t="str">
        <x:v>F_intraop_fixed_or_unclear_exposure</x:v>
      </x:c>
      <x:c r="D45" s="18" t="str">
        <x:v>Sun 2017</x:v>
      </x:c>
      <x:c r="E45" s="18" t="str">
        <x:v>SUN17_INTRAOP_MORPH_EQUIV</x:v>
      </x:c>
      <x:c r="F45" s="18" t="str">
        <x:v>Pre/intraoperative TEAS timing arms</x:v>
      </x:c>
      <x:c r="G45" s="18" t="str">
        <x:v>All-period sham TEAS</x:v>
      </x:c>
      <x:c r="H45" s="18" t="str">
        <x:v>Author-defined intraoperative morphine-equivalent exposure</x:v>
      </x:c>
      <x:c r="I45" s="18" t="str">
        <x:v>Intraoperative</x:v>
      </x:c>
      <x:c r="J45" s="18" t="str">
        <x:v>Study-defined converted metric</x:v>
      </x:c>
      <x:c r="K45" s="18" t="n">
        <x:v>91</x:v>
      </x:c>
      <x:c r="L45" s="18" t="n">
        <x:v>90</x:v>
      </x:c>
      <x:c r="M45" s="18"/>
      <x:c r="N45" s="18"/>
      <x:c r="O45" s="18"/>
      <x:c r="P45" s="18"/>
      <x:c r="Q45" s="18"/>
      <x:c r="R45" s="18"/>
      <x:c r="S45" s="18"/>
      <x:c r="T45" s="18"/>
      <x:c r="U45" s="18"/>
      <x:c r="V45" s="18"/>
      <x:c r="W45" s="18"/>
      <x:c r="X45" s="18"/>
      <x:c r="Y45" s="18" t="str">
        <x:v>mg/kg morphine-equivalent</x:v>
      </x:c>
      <x:c r="Z45" s="18" t="str">
        <x:v>0.303</x:v>
      </x:c>
      <x:c r="AA45" s="18"/>
      <x:c r="AB45" s="18"/>
      <x:c r="AC45" s="18" t="str">
        <x:v>Some concerns</x:v>
      </x:c>
      <x:c r="AD45" s="18" t="n">
        <x:v>0</x:v>
      </x:c>
      <x:c r="AE45" s="18" t="n">
        <x:v>1</x:v>
      </x:c>
      <x:c r="AF45" s="18" t="n">
        <x:v>0</x:v>
      </x:c>
      <x:c r="AG45" s="18"/>
      <x:c r="AH45" s="18"/>
      <x:c r="AI45" s="18" t="str">
        <x:v>SENSITIVITY_MODEL</x:v>
      </x:c>
      <x:c r="AJ45" s="18"/>
      <x:c r="AK45" s="18"/>
      <x:c r="AL45" s="18" t="str">
        <x:v>Yes</x:v>
      </x:c>
      <x:c r="AM45" s="18" t="str">
        <x:v>Values ~1.5-1.6 mg/kg across all four groups; study-specific conversion of sufentanil/remifentanil</x:v>
      </x:c>
      <x:c r="AN45" s="18" t="str">
        <x:v>SOURCE-VERIFIED / STUDY-DEFINED CONVERSION</x:v>
      </x:c>
      <x:c r="AO45" s="18" t="str">
        <x:v>https://drive.google.com/file/d/1lELlw0IpkhqoB8OuintAI22fxKfNEcEd/view?usp=drivesdk</x:v>
      </x:c>
    </x:row>
    <x:row r="46">
      <x:c r="A46" s="18" t="str">
        <x:v>F-exposure-006</x:v>
      </x:c>
      <x:c r="B46" s="18" t="str">
        <x:v>F-exposure</x:v>
      </x:c>
      <x:c r="C46" s="18" t="str">
        <x:v>F_intraop_fixed_or_unclear_exposure</x:v>
      </x:c>
      <x:c r="D46" s="18" t="str">
        <x:v>Jiang 2026</x:v>
      </x:c>
      <x:c r="E46" s="18" t="str">
        <x:v>JIANG26_TEAS_vs_SHAM_INTRAOP_REMI</x:v>
      </x:c>
      <x:c r="F46" s="18" t="str">
        <x:v>Perioperative TEAS</x:v>
      </x:c>
      <x:c r="G46" s="18" t="str">
        <x:v>Sham/no current</x:v>
      </x:c>
      <x:c r="H46" s="18" t="str">
        <x:v>Remifentanil consumption</x:v>
      </x:c>
      <x:c r="I46" s="18" t="str">
        <x:v>Intraoperative</x:v>
      </x:c>
      <x:c r="J46" s="18" t="str">
        <x:v>Median/IQR</x:v>
      </x:c>
      <x:c r="K46" s="18" t="n">
        <x:v>294</x:v>
      </x:c>
      <x:c r="L46" s="18" t="n">
        <x:v>293</x:v>
      </x:c>
      <x:c r="M46" s="18"/>
      <x:c r="N46" s="18"/>
      <x:c r="O46" s="18" t="n">
        <x:v>841.4</x:v>
      </x:c>
      <x:c r="P46" s="18" t="n">
        <x:v>593.85</x:v>
      </x:c>
      <x:c r="Q46" s="18" t="n">
        <x:v>1278</x:v>
      </x:c>
      <x:c r="R46" s="18"/>
      <x:c r="S46" s="18"/>
      <x:c r="T46" s="18"/>
      <x:c r="U46" s="18" t="n">
        <x:v>795.2</x:v>
      </x:c>
      <x:c r="V46" s="18" t="n">
        <x:v>584</x:v>
      </x:c>
      <x:c r="W46" s="18" t="n">
        <x:v>1228.2</x:v>
      </x:c>
      <x:c r="X46" s="18"/>
      <x:c r="Y46" s="18" t="str">
        <x:v>µg remifentanil</x:v>
      </x:c>
      <x:c r="Z46" s="18" t="str">
        <x:v>0.284</x:v>
      </x:c>
      <x:c r="AA46" s="18"/>
      <x:c r="AB46" s="18"/>
      <x:c r="AC46" s="18" t="str">
        <x:v>Some concerns</x:v>
      </x:c>
      <x:c r="AD46" s="18" t="n">
        <x:v>0</x:v>
      </x:c>
      <x:c r="AE46" s="18" t="n">
        <x:v>1</x:v>
      </x:c>
      <x:c r="AF46" s="18" t="n">
        <x:v>0</x:v>
      </x:c>
      <x:c r="AG46" s="18" t="str">
        <x:v>P1</x:v>
      </x:c>
      <x:c r="AH46" s="18" t="str">
        <x:v>RESOLVED_BY_STRATIFICATION</x:v>
      </x:c>
      <x:c r="AI46" s="18" t="str">
        <x:v>SENSITIVITY_MODEL</x:v>
      </x:c>
      <x:c r="AJ46" s="18"/>
      <x:c r="AK46" s="18"/>
      <x:c r="AL46" s="18" t="str">
        <x:v>No</x:v>
      </x:c>
      <x:c r="AM46" s="18" t="str">
        <x:v>Direct source result; not a postoperative endpoint</x:v>
      </x:c>
      <x:c r="AN46" s="18" t="str">
        <x:v>SOURCE-VERIFIED</x:v>
      </x:c>
      <x:c r="AO46" s="18" t="str">
        <x:v>https://drive.google.com/file/d/1nujlP9A_IMWUfd3HdCD2rOxTc9-I8v92/view?usp=drivesdk</x:v>
      </x:c>
    </x:row>
    <x:row r="47">
      <x:c r="A47" s="18" t="str">
        <x:v>F-exposure-007</x:v>
      </x:c>
      <x:c r="B47" s="18" t="str">
        <x:v>F-exposure</x:v>
      </x:c>
      <x:c r="C47" s="18" t="str">
        <x:v>F_intraop_fixed_or_unclear_exposure</x:v>
      </x:c>
      <x:c r="D47" s="18" t="str">
        <x:v>Wu 2025</x:v>
      </x:c>
      <x:c r="E47" s="18" t="str">
        <x:v>WU25_TEAS_vs_SHAM_INTRAOPREMI</x:v>
      </x:c>
      <x:c r="F47" s="18" t="str">
        <x:v>PACU TEAS</x:v>
      </x:c>
      <x:c r="G47" s="18" t="str">
        <x:v>Sham/no current</x:v>
      </x:c>
      <x:c r="H47" s="18" t="str">
        <x:v>Remifentanil consumption</x:v>
      </x:c>
      <x:c r="I47" s="18" t="str">
        <x:v>Intraoperative</x:v>
      </x:c>
      <x:c r="J47" s="18" t="str">
        <x:v>Mean/SD</x:v>
      </x:c>
      <x:c r="K47" s="18" t="n">
        <x:v>50</x:v>
      </x:c>
      <x:c r="L47" s="18" t="n">
        <x:v>50</x:v>
      </x:c>
      <x:c r="M47" s="18" t="n">
        <x:v>489.4</x:v>
      </x:c>
      <x:c r="N47" s="18" t="n">
        <x:v>226</x:v>
      </x:c>
      <x:c r="O47" s="18"/>
      <x:c r="P47" s="18"/>
      <x:c r="Q47" s="18"/>
      <x:c r="R47" s="18"/>
      <x:c r="S47" s="18" t="n">
        <x:v>533.8</x:v>
      </x:c>
      <x:c r="T47" s="18" t="n">
        <x:v>263.6</x:v>
      </x:c>
      <x:c r="U47" s="18"/>
      <x:c r="V47" s="18"/>
      <x:c r="W47" s="18"/>
      <x:c r="X47" s="18"/>
      <x:c r="Y47" s="18" t="str">
        <x:v>µg remifentanil</x:v>
      </x:c>
      <x:c r="Z47" s="18" t="str">
        <x:v>0.368</x:v>
      </x:c>
      <x:c r="AA47" s="18" t="str">
        <x:v>MD</x:v>
      </x:c>
      <x:c r="AB47" s="18" t="n">
        <x:v>-44.39999999999998</x:v>
      </x:c>
      <x:c r="AC47" s="18" t="str">
        <x:v>Some concerns</x:v>
      </x:c>
      <x:c r="AD47" s="18" t="n">
        <x:v>0</x:v>
      </x:c>
      <x:c r="AE47" s="18" t="n">
        <x:v>0</x:v>
      </x:c>
      <x:c r="AF47" s="18" t="n">
        <x:v>1</x:v>
      </x:c>
      <x:c r="AG47" s="18"/>
      <x:c r="AH47" s="18"/>
      <x:c r="AI47" s="18" t="str">
        <x:v>EXCLUDE_OR_NARRATIVE</x:v>
      </x:c>
      <x:c r="AJ47" s="18"/>
      <x:c r="AK47" s="18" t="str">
        <x:v>EXCLUDE treatment effect</x:v>
      </x:c>
      <x:c r="AL47" s="18" t="str">
        <x:v>No</x:v>
      </x:c>
      <x:c r="AM47" s="18" t="str">
        <x:v>No significant intraoperative opioid-sparing effect</x:v>
      </x:c>
      <x:c r="AN47" s="18" t="str">
        <x:v>SOURCE-VERIFIED</x:v>
      </x:c>
      <x:c r="AO47" s="18" t="str">
        <x:v>https://drive.google.com/file/d/1ZV6JFjevGSPqnISdX61KPdcC_yEtq3vf/view?usp=drivesdk</x:v>
      </x:c>
    </x:row>
    <x:row r="48">
      <x:c r="A48" s="18" t="str">
        <x:v>F-exposure-007</x:v>
      </x:c>
      <x:c r="B48" s="18" t="str">
        <x:v>F-exposure</x:v>
      </x:c>
      <x:c r="C48" s="18" t="str">
        <x:v>F_intraop_fixed_or_unclear_exposure</x:v>
      </x:c>
      <x:c r="D48" s="18" t="str">
        <x:v>Wu 2025</x:v>
      </x:c>
      <x:c r="E48" s="18" t="str">
        <x:v>WU25_TEAS_vs_SHAM_INTRAOPSUF</x:v>
      </x:c>
      <x:c r="F48" s="18" t="str">
        <x:v>PACU TEAS</x:v>
      </x:c>
      <x:c r="G48" s="18" t="str">
        <x:v>Sham/no current</x:v>
      </x:c>
      <x:c r="H48" s="18" t="str">
        <x:v>Sufentanil consumption</x:v>
      </x:c>
      <x:c r="I48" s="18" t="str">
        <x:v>Intraoperative</x:v>
      </x:c>
      <x:c r="J48" s="18" t="str">
        <x:v>Mean/SD</x:v>
      </x:c>
      <x:c r="K48" s="18" t="n">
        <x:v>50</x:v>
      </x:c>
      <x:c r="L48" s="18" t="n">
        <x:v>50</x:v>
      </x:c>
      <x:c r="M48" s="18" t="n">
        <x:v>24.2</x:v>
      </x:c>
      <x:c r="N48" s="18" t="n">
        <x:v>9.5</x:v>
      </x:c>
      <x:c r="O48" s="18"/>
      <x:c r="P48" s="18"/>
      <x:c r="Q48" s="18"/>
      <x:c r="R48" s="18"/>
      <x:c r="S48" s="18" t="n">
        <x:v>24.3</x:v>
      </x:c>
      <x:c r="T48" s="18" t="n">
        <x:v>10.9</x:v>
      </x:c>
      <x:c r="U48" s="18"/>
      <x:c r="V48" s="18"/>
      <x:c r="W48" s="18"/>
      <x:c r="X48" s="18"/>
      <x:c r="Y48" s="18" t="str">
        <x:v>µg sufentanil</x:v>
      </x:c>
      <x:c r="Z48" s="18" t="str">
        <x:v>0.953</x:v>
      </x:c>
      <x:c r="AA48" s="18" t="str">
        <x:v>MD</x:v>
      </x:c>
      <x:c r="AB48" s="18" t="n">
        <x:v>-0.10000000000000142</x:v>
      </x:c>
      <x:c r="AC48" s="18" t="str">
        <x:v>Some concerns</x:v>
      </x:c>
      <x:c r="AD48" s="18" t="n">
        <x:v>0</x:v>
      </x:c>
      <x:c r="AE48" s="18" t="n">
        <x:v>0</x:v>
      </x:c>
      <x:c r="AF48" s="18" t="n">
        <x:v>1</x:v>
      </x:c>
      <x:c r="AG48" s="18"/>
      <x:c r="AH48" s="18"/>
      <x:c r="AI48" s="18" t="str">
        <x:v>EXCLUDE_OR_NARRATIVE</x:v>
      </x:c>
      <x:c r="AJ48" s="18"/>
      <x:c r="AK48" s="18" t="str">
        <x:v>EXCLUDE treatment effect</x:v>
      </x:c>
      <x:c r="AL48" s="18" t="str">
        <x:v>No</x:v>
      </x:c>
      <x:c r="AM48" s="18" t="str">
        <x:v>No intraoperative opioid-sparing effect</x:v>
      </x:c>
      <x:c r="AN48" s="18" t="str">
        <x:v>SOURCE-VERIFIED</x:v>
      </x:c>
      <x:c r="AO48" s="18" t="str">
        <x:v>https://drive.google.com/file/d/1ZV6JFjevGSPqnISdX61KPdcC_yEtq3vf/view?usp=drivesdk</x:v>
      </x:c>
    </x:row>
    <x:row r="49">
      <x:c r="A49" s="18" t="str">
        <x:v>F-rescue-opioid-001</x:v>
      </x:c>
      <x:c r="B49" s="18" t="str">
        <x:v>F-rescue-opioid</x:v>
      </x:c>
      <x:c r="C49" s="18" t="str">
        <x:v>F_rescue_opioid</x:v>
      </x:c>
      <x:c r="D49" s="18" t="str">
        <x:v>Yao 2015</x:v>
      </x:c>
      <x:c r="E49" s="18" t="str">
        <x:v>YAO15_TEAS_vs_CONTROL_RESCUECOUNT24</x:v>
      </x:c>
      <x:c r="F49" s="18" t="str">
        <x:v>Preoperative TEAS</x:v>
      </x:c>
      <x:c r="G49" s="18" t="str">
        <x:v>Control/no current</x:v>
      </x:c>
      <x:c r="H49" s="18" t="str">
        <x:v>Cumulative rescue sufentanil administrations</x:v>
      </x:c>
      <x:c r="I49" s="18" t="str">
        <x:v>0-24 h</x:v>
      </x:c>
      <x:c r="J49" s="18" t="str">
        <x:v>Median/IQR</x:v>
      </x:c>
      <x:c r="K49" s="18" t="n">
        <x:v>35</x:v>
      </x:c>
      <x:c r="L49" s="18" t="n">
        <x:v>36</x:v>
      </x:c>
      <x:c r="M49" s="18"/>
      <x:c r="N49" s="18"/>
      <x:c r="O49" s="18" t="n">
        <x:v>1</x:v>
      </x:c>
      <x:c r="P49" s="18" t="n">
        <x:v>1</x:v>
      </x:c>
      <x:c r="Q49" s="18" t="n">
        <x:v>3</x:v>
      </x:c>
      <x:c r="R49" s="18"/>
      <x:c r="S49" s="18"/>
      <x:c r="T49" s="18"/>
      <x:c r="U49" s="18" t="n">
        <x:v>3.5</x:v>
      </x:c>
      <x:c r="V49" s="18" t="n">
        <x:v>2</x:v>
      </x:c>
      <x:c r="W49" s="18" t="n">
        <x:v>7.8</x:v>
      </x:c>
      <x:c r="X49" s="18"/>
      <x:c r="Y49" s="18" t="str">
        <x:v>administrations</x:v>
      </x:c>
      <x:c r="Z49" s="18" t="str">
        <x:v>0.004 in Table 3; 0.04 in prose</x:v>
      </x:c>
      <x:c r="AA49" s="18"/>
      <x:c r="AB49" s="18"/>
      <x:c r="AC49" s="18" t="str">
        <x:v>Some concerns</x:v>
      </x:c>
      <x:c r="AD49" s="18" t="n">
        <x:v>0</x:v>
      </x:c>
      <x:c r="AE49" s="18" t="n">
        <x:v>0</x:v>
      </x:c>
      <x:c r="AF49" s="18" t="n">
        <x:v>1</x:v>
      </x:c>
      <x:c r="AG49" s="18" t="str">
        <x:v>P1</x:v>
      </x:c>
      <x:c r="AH49" s="18" t="str">
        <x:v>RESOLVED_BY_NATIVE_DATA_RULE</x:v>
      </x:c>
      <x:c r="AI49" s="18" t="str">
        <x:v>EXCLUDE_OR_NARRATIVE</x:v>
      </x:c>
      <x:c r="AJ49" s="18"/>
      <x:c r="AK49" s="18" t="str">
        <x:v>UNRESOLVED P-value</x:v>
      </x:c>
      <x:c r="AL49" s="18" t="str">
        <x:v>No</x:v>
      </x:c>
      <x:c r="AM49" s="18" t="str">
        <x:v>VAS≥4 -&gt; sufentanil 0.05 µg/kg IV. Preserve unresolved P-value discrepancy.</x:v>
      </x:c>
      <x:c r="AN49" s="18" t="str">
        <x:v>SOURCE-VERIFIED / AF-NORMALIZED / P1 P-VALUE HOLD</x:v>
      </x:c>
      <x:c r="AO49" s="18" t="str">
        <x:v>https://drive.google.com/file/d/1OhcqPgP7chnaiBaZBPBAy4PQlSFMelfh/view?usp=drivesdk</x:v>
      </x:c>
    </x:row>
    <x:row r="50">
      <x:c r="A50" s="18" t="str">
        <x:v>F-rescue-opioid-002</x:v>
      </x:c>
      <x:c r="B50" s="18" t="str">
        <x:v>F-rescue-opioid</x:v>
      </x:c>
      <x:c r="C50" s="18" t="str">
        <x:v>F_rescue_opioid</x:v>
      </x:c>
      <x:c r="D50" s="18" t="str">
        <x:v>Chen 2015 (Hyperalgesia)</x:v>
      </x:c>
      <x:c r="E50" s="18" t="str">
        <x:v>CHEN15H_TEAS_vs_SHAM_RESCUECOUNT24</x:v>
      </x:c>
      <x:c r="F50" s="18" t="str">
        <x:v>Preoperative TEAS</x:v>
      </x:c>
      <x:c r="G50" s="18" t="str">
        <x:v>Electrodes/no-current sham</x:v>
      </x:c>
      <x:c r="H50" s="18" t="str">
        <x:v>Cumulative number of rescue sufentanil PCIA boluses</x:v>
      </x:c>
      <x:c r="I50" s="18" t="str">
        <x:v>0-24 h</x:v>
      </x:c>
      <x:c r="J50" s="18" t="str">
        <x:v>Median/IQR</x:v>
      </x:c>
      <x:c r="K50" s="18" t="n">
        <x:v>29</x:v>
      </x:c>
      <x:c r="L50" s="18" t="n">
        <x:v>30</x:v>
      </x:c>
      <x:c r="M50" s="18"/>
      <x:c r="N50" s="18"/>
      <x:c r="O50" s="18" t="n">
        <x:v>3</x:v>
      </x:c>
      <x:c r="P50" s="18" t="n">
        <x:v>2</x:v>
      </x:c>
      <x:c r="Q50" s="18" t="n">
        <x:v>4</x:v>
      </x:c>
      <x:c r="R50" s="18"/>
      <x:c r="S50" s="18"/>
      <x:c r="T50" s="18"/>
      <x:c r="U50" s="18" t="n">
        <x:v>7</x:v>
      </x:c>
      <x:c r="V50" s="18" t="n">
        <x:v>6</x:v>
      </x:c>
      <x:c r="W50" s="18" t="n">
        <x:v>8</x:v>
      </x:c>
      <x:c r="X50" s="18"/>
      <x:c r="Y50" s="18" t="str">
        <x:v>boluses</x:v>
      </x:c>
      <x:c r="Z50" s="18" t="str">
        <x:v>&lt;0.001</x:v>
      </x:c>
      <x:c r="AA50" s="18"/>
      <x:c r="AB50" s="18"/>
      <x:c r="AC50" s="18" t="str">
        <x:v>Some concerns</x:v>
      </x:c>
      <x:c r="AD50" s="18" t="n">
        <x:v>1</x:v>
      </x:c>
      <x:c r="AE50" s="18" t="n">
        <x:v>0</x:v>
      </x:c>
      <x:c r="AF50" s="18" t="n">
        <x:v>0</x:v>
      </x:c>
      <x:c r="AG50" s="18"/>
      <x:c r="AH50" s="18"/>
      <x:c r="AI50" s="18" t="str">
        <x:v>STRICT_MODEL</x:v>
      </x:c>
      <x:c r="AJ50" s="18"/>
      <x:c r="AK50" s="18"/>
      <x:c r="AL50" s="18" t="str">
        <x:v>No</x:v>
      </x:c>
      <x:c r="AM50" s="18" t="str">
        <x:v>One TEAS participant excluded for protocol breach. Do not convert using group-average body weight to absolute µg.</x:v>
      </x:c>
      <x:c r="AN50" s="18" t="str">
        <x:v>SOURCE-VERIFIED / ATTRITION QC</x:v>
      </x:c>
      <x:c r="AO50" s="18" t="str">
        <x:v>https://drive.google.com/file/d/13YKAZZsc2VQEPqkw1Ye40BYDZSRpI6N3/view?usp=drivesdk</x:v>
      </x:c>
    </x:row>
    <x:row r="51">
      <x:c r="A51" s="18" t="str">
        <x:v>F-rescue-opioid-003</x:v>
      </x:c>
      <x:c r="B51" s="18" t="str">
        <x:v>F-rescue-opioid</x:v>
      </x:c>
      <x:c r="C51" s="18" t="str">
        <x:v>F_rescue_opioid</x:v>
      </x:c>
      <x:c r="D51" s="18" t="str">
        <x:v>Chen 2015</x:v>
      </x:c>
      <x:c r="E51" s="18" t="str">
        <x:v>CHEN15Q_TEAS_vs_CTRL_RESCUECOUNT24</x:v>
      </x:c>
      <x:c r="F51" s="18" t="str">
        <x:v>Preoperative TEAS</x:v>
      </x:c>
      <x:c r="G51" s="18" t="str">
        <x:v>Electrodes/device with no stimulation</x:v>
      </x:c>
      <x:c r="H51" s="18" t="str">
        <x:v>Cumulative rescue morphine administrations</x:v>
      </x:c>
      <x:c r="I51" s="18" t="str">
        <x:v>0-24 h</x:v>
      </x:c>
      <x:c r="J51" s="18" t="str">
        <x:v>Median/IQR</x:v>
      </x:c>
      <x:c r="K51" s="18" t="n">
        <x:v>41</x:v>
      </x:c>
      <x:c r="L51" s="18" t="n">
        <x:v>42</x:v>
      </x:c>
      <x:c r="M51" s="18"/>
      <x:c r="N51" s="18"/>
      <x:c r="O51" s="18" t="n">
        <x:v>1</x:v>
      </x:c>
      <x:c r="P51" s="18" t="n">
        <x:v>1</x:v>
      </x:c>
      <x:c r="Q51" s="18" t="n">
        <x:v>3</x:v>
      </x:c>
      <x:c r="R51" s="18"/>
      <x:c r="S51" s="18"/>
      <x:c r="T51" s="18"/>
      <x:c r="U51" s="18" t="n">
        <x:v>3.5</x:v>
      </x:c>
      <x:c r="V51" s="18" t="n">
        <x:v>2</x:v>
      </x:c>
      <x:c r="W51" s="18" t="n">
        <x:v>7</x:v>
      </x:c>
      <x:c r="X51" s="18"/>
      <x:c r="Y51" s="18" t="str">
        <x:v>administrations of 2-mg IV morphine</x:v>
      </x:c>
      <x:c r="Z51" s="18" t="str">
        <x:v>0.004</x:v>
      </x:c>
      <x:c r="AA51" s="18"/>
      <x:c r="AB51" s="18"/>
      <x:c r="AC51" s="18" t="str">
        <x:v>Some concerns</x:v>
      </x:c>
      <x:c r="AD51" s="18" t="n">
        <x:v>1</x:v>
      </x:c>
      <x:c r="AE51" s="18" t="n">
        <x:v>0</x:v>
      </x:c>
      <x:c r="AF51" s="18" t="n">
        <x:v>0</x:v>
      </x:c>
      <x:c r="AG51" s="18"/>
      <x:c r="AH51" s="18"/>
      <x:c r="AI51" s="18" t="str">
        <x:v>STRICT_MODEL</x:v>
      </x:c>
      <x:c r="AJ51" s="18"/>
      <x:c r="AK51" s="18"/>
      <x:c r="AL51" s="18" t="str">
        <x:v>No</x:v>
      </x:c>
      <x:c r="AM51" s="18" t="str">
        <x:v>Source reports count; exact pre-dose VAS trigger not separately stated. Existing v20 converted-dose row is retained separately.</x:v>
      </x:c>
      <x:c r="AN51" s="18" t="str">
        <x:v>SOURCE-VERIFIED / AF-NORMALIZED</x:v>
      </x:c>
      <x:c r="AO51" s="18" t="str">
        <x:v>https://drive.google.com/file/d/1ZtE8GImDcpDJH1tOvzqazoh_S4Gd67oH/view?usp=drivesdk</x:v>
      </x:c>
    </x:row>
    <x:row r="52">
      <x:c r="A52" s="18" t="str">
        <x:v>F-rescue-opioid-004</x:v>
      </x:c>
      <x:c r="B52" s="18" t="str">
        <x:v>F-rescue-opioid</x:v>
      </x:c>
      <x:c r="C52" s="18" t="str">
        <x:v>F_rescue_opioid</x:v>
      </x:c>
      <x:c r="D52" s="18" t="str">
        <x:v>Xie 2014</x:v>
      </x:c>
      <x:c r="E52" s="18" t="str">
        <x:v>XIE14_EAS_vs_SHAM_DEZOCINE48</x:v>
      </x:c>
      <x:c r="F52" s="18" t="str">
        <x:v>Active EAS PC4/PC6</x:v>
      </x:c>
      <x:c r="G52" s="18" t="str">
        <x:v>Sham needling PC4/PC6</x:v>
      </x:c>
      <x:c r="H52" s="18" t="str">
        <x:v>Participants receiving rescue dezocine</x:v>
      </x:c>
      <x:c r="I52" s="18" t="str">
        <x:v>Through postoperative 48 h</x:v>
      </x:c>
      <x:c r="J52" s="18" t="str">
        <x:v>Events/total</x:v>
      </x:c>
      <x:c r="K52" s="18" t="n">
        <x:v>20</x:v>
      </x:c>
      <x:c r="L52" s="18" t="n">
        <x:v>20</x:v>
      </x:c>
      <x:c r="M52" s="18"/>
      <x:c r="N52" s="18"/>
      <x:c r="O52" s="18"/>
      <x:c r="P52" s="18"/>
      <x:c r="Q52" s="18"/>
      <x:c r="R52" s="18" t="n">
        <x:v>1</x:v>
      </x:c>
      <x:c r="S52" s="18"/>
      <x:c r="T52" s="18"/>
      <x:c r="U52" s="18"/>
      <x:c r="V52" s="18"/>
      <x:c r="W52" s="18"/>
      <x:c r="X52" s="18" t="n">
        <x:v>6</x:v>
      </x:c>
      <x:c r="Y52" s="18" t="str">
        <x:v>participants</x:v>
      </x:c>
      <x:c r="Z52" s="18" t="str">
        <x:v>&lt;0.05; exact pairwise P NR</x:v>
      </x:c>
      <x:c r="AA52" s="18" t="str">
        <x:v>RR</x:v>
      </x:c>
      <x:c r="AB52" s="18" t="n">
        <x:v>0.16666666666666669</x:v>
      </x:c>
      <x:c r="AC52" s="18" t="str">
        <x:v>Some concerns</x:v>
      </x:c>
      <x:c r="AD52" s="18" t="n">
        <x:v>1</x:v>
      </x:c>
      <x:c r="AE52" s="18" t="n">
        <x:v>0</x:v>
      </x:c>
      <x:c r="AF52" s="18" t="n">
        <x:v>0</x:v>
      </x:c>
      <x:c r="AG52" s="18"/>
      <x:c r="AH52" s="18"/>
      <x:c r="AI52" s="18" t="str">
        <x:v>STRICT_MODEL</x:v>
      </x:c>
      <x:c r="AJ52" s="18"/>
      <x:c r="AK52" s="18"/>
      <x:c r="AL52" s="18" t="str">
        <x:v>Yes</x:v>
      </x:c>
      <x:c r="AM52" s="18" t="str">
        <x:v>Dezocine 5 mg IV at patient request; counts are derived from reported percentages.</x:v>
      </x:c>
      <x:c r="AN52" s="18" t="str">
        <x:v>SOURCE-VERIFIED / AF-NORMALIZED</x:v>
      </x:c>
      <x:c r="AO52" s="18" t="str">
        <x:v>https://drive.google.com/file/d/17faY_h0rMJTuhjPOC5PL_S59jYmHDPee/view?usp=drivesdk</x:v>
      </x:c>
    </x:row>
    <x:row r="53">
      <x:c r="A53" s="18" t="str">
        <x:v>F-rescue-opioid-005</x:v>
      </x:c>
      <x:c r="B53" s="18" t="str">
        <x:v>F-rescue-opioid</x:v>
      </x:c>
      <x:c r="C53" s="18" t="str">
        <x:v>F_rescue_opioid</x:v>
      </x:c>
      <x:c r="D53" s="18" t="str">
        <x:v>Ntritsou 2014</x:v>
      </x:c>
      <x:c r="E53" s="18" t="str">
        <x:v>NTRI14_EA_vs_SHAM_RESCUE</x:v>
      </x:c>
      <x:c r="F53" s="18" t="str">
        <x:v>Perioperative EA + tramadol/ketamine</x:v>
      </x:c>
      <x:c r="G53" s="18" t="str">
        <x:v>Sham + tramadol/ketamine</x:v>
      </x:c>
      <x:c r="H53" s="18" t="str">
        <x:v>Total rescue analgesia</x:v>
      </x:c>
      <x:c r="I53" s="18" t="str">
        <x:v>First 24 h</x:v>
      </x:c>
      <x:c r="J53" s="18" t="str">
        <x:v>Qualitative / exact quantities unavailable</x:v>
      </x:c>
      <x:c r="K53" s="18" t="n">
        <x:v>35</x:v>
      </x:c>
      <x:c r="L53" s="18" t="n">
        <x:v>35</x:v>
      </x:c>
      <x:c r="M53" s="18"/>
      <x:c r="N53" s="18"/>
      <x:c r="O53" s="18"/>
      <x:c r="P53" s="18"/>
      <x:c r="Q53" s="18"/>
      <x:c r="R53" s="18"/>
      <x:c r="S53" s="18"/>
      <x:c r="T53" s="18"/>
      <x:c r="U53" s="18"/>
      <x:c r="V53" s="18"/>
      <x:c r="W53" s="18"/>
      <x:c r="X53" s="18"/>
      <x:c r="Y53" s="18" t="str">
        <x:v>tramadol 50 mg IV then morphine 2 mg IV as needed</x:v>
      </x:c>
      <x:c r="Z53" s="18" t="str">
        <x:v>P&lt;0.001 reported</x:v>
      </x:c>
      <x:c r="AA53" s="18"/>
      <x:c r="AB53" s="18"/>
      <x:c r="AC53" s="18" t="str">
        <x:v>Some concerns</x:v>
      </x:c>
      <x:c r="AD53" s="18" t="n">
        <x:v>0</x:v>
      </x:c>
      <x:c r="AE53" s="18" t="n">
        <x:v>0</x:v>
      </x:c>
      <x:c r="AF53" s="18" t="n">
        <x:v>1</x:v>
      </x:c>
      <x:c r="AG53" s="18" t="str">
        <x:v>P1</x:v>
      </x:c>
      <x:c r="AH53" s="18" t="str">
        <x:v>RESOLVED_BY_NARRATIVE_ONLY</x:v>
      </x:c>
      <x:c r="AI53" s="18" t="str">
        <x:v>EXCLUDE_OR_NARRATIVE</x:v>
      </x:c>
      <x:c r="AJ53" s="18"/>
      <x:c r="AK53" s="18"/>
      <x:c r="AL53" s="18" t="str">
        <x:v>No</x:v>
      </x:c>
      <x:c r="AM53" s="18" t="str">
        <x:v>Main article reports significantly less total rescue analgesia but does not tabulate exact rescue tramadol/morphine quantities</x:v>
      </x:c>
      <x:c r="AN53" s="18" t="str">
        <x:v>MISSING / EXACT RESCUE DOSES NOT REPORTED</x:v>
      </x:c>
      <x:c r="AO53" s="18" t="str">
        <x:v>https://drive.google.com/file/d/1u_kNuuXF8upB3gJA2aDq8NldYDfhnWy3/view?usp=drivesdk</x:v>
      </x:c>
    </x:row>
    <x:row r="54">
      <x:c r="A54" s="18" t="str">
        <x:v>F-rescue-opioid-006</x:v>
      </x:c>
      <x:c r="B54" s="18" t="str">
        <x:v>F-rescue-opioid</x:v>
      </x:c>
      <x:c r="C54" s="18" t="str">
        <x:v>F_rescue_opioid</x:v>
      </x:c>
      <x:c r="D54" s="18" t="str">
        <x:v>Yu 2020</x:v>
      </x:c>
      <x:c r="E54" s="18" t="str">
        <x:v>YU20_TEAS_vs_CONTROL_RESCUE24</x:v>
      </x:c>
      <x:c r="F54" s="18" t="str">
        <x:v>Preoperative TEAS</x:v>
      </x:c>
      <x:c r="G54" s="18" t="str">
        <x:v>Control/no current</x:v>
      </x:c>
      <x:c r="H54" s="18" t="str">
        <x:v>Participants requiring rescue sufentanil</x:v>
      </x:c>
      <x:c r="I54" s="18" t="str">
        <x:v>0-24 h</x:v>
      </x:c>
      <x:c r="J54" s="18" t="str">
        <x:v>Events/total</x:v>
      </x:c>
      <x:c r="K54" s="18" t="n">
        <x:v>30</x:v>
      </x:c>
      <x:c r="L54" s="18" t="n">
        <x:v>30</x:v>
      </x:c>
      <x:c r="M54" s="18"/>
      <x:c r="N54" s="18"/>
      <x:c r="O54" s="18"/>
      <x:c r="P54" s="18"/>
      <x:c r="Q54" s="18"/>
      <x:c r="R54" s="18" t="n">
        <x:v>13</x:v>
      </x:c>
      <x:c r="S54" s="18"/>
      <x:c r="T54" s="18"/>
      <x:c r="U54" s="18"/>
      <x:c r="V54" s="18"/>
      <x:c r="W54" s="18"/>
      <x:c r="X54" s="18" t="n">
        <x:v>24</x:v>
      </x:c>
      <x:c r="Y54" s="18" t="str">
        <x:v>participants</x:v>
      </x:c>
      <x:c r="Z54" s="18" t="str">
        <x:v>&lt;0.01</x:v>
      </x:c>
      <x:c r="AA54" s="18" t="str">
        <x:v>RR</x:v>
      </x:c>
      <x:c r="AB54" s="18" t="n">
        <x:v>0.5416666666666666</x:v>
      </x:c>
      <x:c r="AC54" s="18" t="str">
        <x:v>Some concerns</x:v>
      </x:c>
      <x:c r="AD54" s="18" t="n">
        <x:v>1</x:v>
      </x:c>
      <x:c r="AE54" s="18" t="n">
        <x:v>0</x:v>
      </x:c>
      <x:c r="AF54" s="18" t="n">
        <x:v>0</x:v>
      </x:c>
      <x:c r="AG54" s="18"/>
      <x:c r="AH54" s="18"/>
      <x:c r="AI54" s="18" t="str">
        <x:v>STRICT_MODEL</x:v>
      </x:c>
      <x:c r="AJ54" s="18"/>
      <x:c r="AK54" s="18"/>
      <x:c r="AL54" s="18" t="str">
        <x:v>No</x:v>
      </x:c>
      <x:c r="AM54" s="18" t="str">
        <x:v>Rescue sufentanil dose and exact trigger not reported; registration retrospective.</x:v>
      </x:c>
      <x:c r="AN54" s="18" t="str">
        <x:v>SOURCE-VERIFIED / AF-NORMALIZED</x:v>
      </x:c>
      <x:c r="AO54" s="18" t="str">
        <x:v>https://drive.google.com/file/d/1fXpHc9FzhpPCkXto8c5lfcLoA3ROdOEz/view?usp=drivesdk</x:v>
      </x:c>
    </x:row>
    <x:row r="55">
      <x:c r="A55" s="18" t="str">
        <x:v>F-rescue-opioid-007</x:v>
      </x:c>
      <x:c r="B55" s="18" t="str">
        <x:v>F-rescue-opioid</x:v>
      </x:c>
      <x:c r="C55" s="18" t="str">
        <x:v>F_rescue_opioid</x:v>
      </x:c>
      <x:c r="D55" s="18" t="str">
        <x:v>Tu 2024</x:v>
      </x:c>
      <x:c r="E55" s="18" t="str">
        <x:v>TU24_TEAS_vs_SHAM_TRAMADOL</x:v>
      </x:c>
      <x:c r="F55" s="18" t="str">
        <x:v>Postoperative TEAS</x:v>
      </x:c>
      <x:c r="G55" s="18" t="str">
        <x:v>Sham/no current</x:v>
      </x:c>
      <x:c r="H55" s="18" t="str">
        <x:v>Any rescue tramadol use</x:v>
      </x:c>
      <x:c r="I55" s="18" t="str">
        <x:v>Within 24 h</x:v>
      </x:c>
      <x:c r="J55" s="18" t="str">
        <x:v>Events/total</x:v>
      </x:c>
      <x:c r="K55" s="18" t="n">
        <x:v>57</x:v>
      </x:c>
      <x:c r="L55" s="18" t="n">
        <x:v>58</x:v>
      </x:c>
      <x:c r="M55" s="18"/>
      <x:c r="N55" s="18"/>
      <x:c r="O55" s="18"/>
      <x:c r="P55" s="18"/>
      <x:c r="Q55" s="18"/>
      <x:c r="R55" s="18" t="n">
        <x:v>3</x:v>
      </x:c>
      <x:c r="S55" s="18"/>
      <x:c r="T55" s="18"/>
      <x:c r="U55" s="18"/>
      <x:c r="V55" s="18"/>
      <x:c r="W55" s="18"/>
      <x:c r="X55" s="18" t="n">
        <x:v>6</x:v>
      </x:c>
      <x:c r="Y55" s="18" t="str">
        <x:v>participants</x:v>
      </x:c>
      <x:c r="Z55" s="18" t="str">
        <x:v>0.315</x:v>
      </x:c>
      <x:c r="AA55" s="18" t="str">
        <x:v>RR</x:v>
      </x:c>
      <x:c r="AB55" s="18" t="n">
        <x:v>0.5087719298245614</x:v>
      </x:c>
      <x:c r="AC55" s="18" t="str">
        <x:v>Some concerns</x:v>
      </x:c>
      <x:c r="AD55" s="18" t="n">
        <x:v>1</x:v>
      </x:c>
      <x:c r="AE55" s="18" t="n">
        <x:v>0</x:v>
      </x:c>
      <x:c r="AF55" s="18" t="n">
        <x:v>0</x:v>
      </x:c>
      <x:c r="AG55" s="18"/>
      <x:c r="AH55" s="18"/>
      <x:c r="AI55" s="18" t="str">
        <x:v>STRICT_MODEL</x:v>
      </x:c>
      <x:c r="AJ55" s="18"/>
      <x:c r="AK55" s="18"/>
      <x:c r="AL55" s="18" t="str">
        <x:v>No</x:v>
      </x:c>
      <x:c r="AM55" s="18" t="str">
        <x:v>Tramadol was 10 mg IM for VAS &gt;6; number of doses/cumulative tramadol per patient is not reported</x:v>
      </x:c>
      <x:c r="AN55" s="18" t="str">
        <x:v>SOURCE-VERIFIED / DOSE MISSING</x:v>
      </x:c>
      <x:c r="AO55" s="18" t="str">
        <x:v>https://drive.google.com/file/d/1xQ9SbXVZblphUrb0-T9xpnAXk-_z5nBX/view?usp=drivesdk</x:v>
      </x:c>
    </x:row>
    <x:row r="56">
      <x:c r="A56" s="18" t="str">
        <x:v>F-rescue-opioid-008</x:v>
      </x:c>
      <x:c r="B56" s="18" t="str">
        <x:v>F-rescue-opioid</x:v>
      </x:c>
      <x:c r="C56" s="18" t="str">
        <x:v>F_rescue_opioid</x:v>
      </x:c>
      <x:c r="D56" s="18" t="str">
        <x:v>Liu 2026 (burn)</x:v>
      </x:c>
      <x:c r="E56" s="18" t="str">
        <x:v>LIU26BURN_TEAS_vs_SHAM_RESCUE</x:v>
      </x:c>
      <x:c r="F56" s="18" t="str">
        <x:v>Pre-induction TEAS</x:v>
      </x:c>
      <x:c r="G56" s="18" t="str">
        <x:v>Placebo/sham TEAS</x:v>
      </x:c>
      <x:c r="H56" s="18" t="str">
        <x:v>Any rescue dezocine use</x:v>
      </x:c>
      <x:c r="I56" s="18" t="str">
        <x:v>Through POD1</x:v>
      </x:c>
      <x:c r="J56" s="18" t="str">
        <x:v>Events/total</x:v>
      </x:c>
      <x:c r="K56" s="18" t="n">
        <x:v>43</x:v>
      </x:c>
      <x:c r="L56" s="18" t="n">
        <x:v>43</x:v>
      </x:c>
      <x:c r="M56" s="18"/>
      <x:c r="N56" s="18"/>
      <x:c r="O56" s="18"/>
      <x:c r="P56" s="18"/>
      <x:c r="Q56" s="18"/>
      <x:c r="R56" s="18" t="n">
        <x:v>3</x:v>
      </x:c>
      <x:c r="S56" s="18"/>
      <x:c r="T56" s="18"/>
      <x:c r="U56" s="18"/>
      <x:c r="V56" s="18"/>
      <x:c r="W56" s="18"/>
      <x:c r="X56" s="18" t="n">
        <x:v>8</x:v>
      </x:c>
      <x:c r="Y56" s="18" t="str">
        <x:v>participants</x:v>
      </x:c>
      <x:c r="Z56" s="18" t="str">
        <x:v>Table P=0.106; prose P=0.430</x:v>
      </x:c>
      <x:c r="AA56" s="18" t="str">
        <x:v>RR</x:v>
      </x:c>
      <x:c r="AB56" s="18" t="n">
        <x:v>0.375</x:v>
      </x:c>
      <x:c r="AC56" s="18" t="str">
        <x:v>Some concerns</x:v>
      </x:c>
      <x:c r="AD56" s="18" t="n">
        <x:v>0</x:v>
      </x:c>
      <x:c r="AE56" s="18" t="n">
        <x:v>0</x:v>
      </x:c>
      <x:c r="AF56" s="18" t="n">
        <x:v>1</x:v>
      </x:c>
      <x:c r="AG56" s="18" t="str">
        <x:v>P1</x:v>
      </x:c>
      <x:c r="AH56" s="18" t="str">
        <x:v>RESOLVED_BY_RAW_DATA_RULE</x:v>
      </x:c>
      <x:c r="AI56" s="18" t="str">
        <x:v>EXCLUDE_OR_NARRATIVE</x:v>
      </x:c>
      <x:c r="AJ56" s="18"/>
      <x:c r="AK56" s="18" t="str">
        <x:v>UNRESOLVED P-value</x:v>
      </x:c>
      <x:c r="AL56" s="18" t="str">
        <x:v>No</x:v>
      </x:c>
      <x:c r="AM56" s="18" t="str">
        <x:v>All rescue users received one 5-mg IM dezocine dose; no repeat rescue doses were required</x:v>
      </x:c>
      <x:c r="AN56" s="18" t="str">
        <x:v>SOURCE-VERIFIED / P-VALUE CONFLICT</x:v>
      </x:c>
      <x:c r="AO56" s="18" t="str">
        <x:v>https://drive.google.com/file/d/1mvekGtHD2JAKCRbIXrvLw1Nz7hbQ1dZ3/view?usp=drivesdk</x:v>
      </x:c>
    </x:row>
    <x:row r="57">
      <x:c r="A57" s="18" t="str">
        <x:v>F-rescue-opioid-009</x:v>
      </x:c>
      <x:c r="B57" s="18" t="str">
        <x:v>F-rescue-opioid</x:v>
      </x:c>
      <x:c r="C57" s="18" t="str">
        <x:v>F_rescue_opioid</x:v>
      </x:c>
      <x:c r="D57" s="18" t="str">
        <x:v>Zhou 2025</x:v>
      </x:c>
      <x:c r="E57" s="18" t="str">
        <x:v>ZHOU25_TEAS_vs_SHAM_RESCUE</x:v>
      </x:c>
      <x:c r="F57" s="18" t="str">
        <x:v>PACU TEAS</x:v>
      </x:c>
      <x:c r="G57" s="18" t="str">
        <x:v>Sham/no current</x:v>
      </x:c>
      <x:c r="H57" s="18" t="str">
        <x:v>Any rescue analgesia</x:v>
      </x:c>
      <x:c r="I57" s="18" t="str">
        <x:v>POD1-POD3</x:v>
      </x:c>
      <x:c r="J57" s="18" t="str">
        <x:v>Events/total</x:v>
      </x:c>
      <x:c r="K57" s="18" t="n">
        <x:v>48</x:v>
      </x:c>
      <x:c r="L57" s="18" t="n">
        <x:v>49</x:v>
      </x:c>
      <x:c r="M57" s="18"/>
      <x:c r="N57" s="18"/>
      <x:c r="O57" s="18"/>
      <x:c r="P57" s="18"/>
      <x:c r="Q57" s="18"/>
      <x:c r="R57" s="18" t="n">
        <x:v>6</x:v>
      </x:c>
      <x:c r="S57" s="18"/>
      <x:c r="T57" s="18"/>
      <x:c r="U57" s="18"/>
      <x:c r="V57" s="18"/>
      <x:c r="W57" s="18"/>
      <x:c r="X57" s="18" t="n">
        <x:v>13</x:v>
      </x:c>
      <x:c r="Y57" s="18" t="str">
        <x:v>participants</x:v>
      </x:c>
      <x:c r="Z57" s="18" t="str">
        <x:v>0.124</x:v>
      </x:c>
      <x:c r="AA57" s="18" t="str">
        <x:v>RR</x:v>
      </x:c>
      <x:c r="AB57" s="18" t="n">
        <x:v>0.47115384615384615</x:v>
      </x:c>
      <x:c r="AC57" s="18" t="str">
        <x:v>Some concerns</x:v>
      </x:c>
      <x:c r="AD57" s="18" t="n">
        <x:v>1</x:v>
      </x:c>
      <x:c r="AE57" s="18" t="n">
        <x:v>0</x:v>
      </x:c>
      <x:c r="AF57" s="18" t="n">
        <x:v>0</x:v>
      </x:c>
      <x:c r="AG57" s="18"/>
      <x:c r="AH57" s="18"/>
      <x:c r="AI57" s="18" t="str">
        <x:v>STRICT_MODEL</x:v>
      </x:c>
      <x:c r="AJ57" s="18"/>
      <x:c r="AK57" s="18"/>
      <x:c r="AL57" s="18" t="str">
        <x:v>No</x:v>
      </x:c>
      <x:c r="AM57" s="18" t="str">
        <x:v>Not a 24-h opioid dose; exact cumulative tramadol dose is not reported</x:v>
      </x:c>
      <x:c r="AN57" s="18" t="str">
        <x:v>SOURCE-VERIFIED</x:v>
      </x:c>
      <x:c r="AO57" s="18" t="str">
        <x:v>https://drive.google.com/file/d/1gpNBuoukUttXKWiAAeZSqdIaaHSMOwDU/view?usp=drivesdk</x:v>
      </x:c>
    </x:row>
    <x:row r="58">
      <x:c r="A58" s="18" t="str">
        <x:v>F-rescue-nonopioid-001</x:v>
      </x:c>
      <x:c r="B58" s="18" t="str">
        <x:v>F-rescue-nonopioid</x:v>
      </x:c>
      <x:c r="C58" s="18" t="str">
        <x:v>F_rescue_nonopioid</x:v>
      </x:c>
      <x:c r="D58" s="18" t="str">
        <x:v>Li 2022</x:v>
      </x:c>
      <x:c r="E58" s="18" t="str">
        <x:v>LI22_EA_vs_SHAM_RESCUEFLURB48</x:v>
      </x:c>
      <x:c r="F58" s="18" t="str">
        <x:v>Preoperative electroacupuncture</x:v>
      </x:c>
      <x:c r="G58" s="18" t="str">
        <x:v>Sham electroacupuncture</x:v>
      </x:c>
      <x:c r="H58" s="18" t="str">
        <x:v>Participants receiving rescue flurbiprofen</x:v>
      </x:c>
      <x:c r="I58" s="18" t="str">
        <x:v>0-48 h</x:v>
      </x:c>
      <x:c r="J58" s="18" t="str">
        <x:v>Events/total</x:v>
      </x:c>
      <x:c r="K58" s="18" t="n">
        <x:v>39</x:v>
      </x:c>
      <x:c r="L58" s="18" t="n">
        <x:v>40</x:v>
      </x:c>
      <x:c r="M58" s="18"/>
      <x:c r="N58" s="18"/>
      <x:c r="O58" s="18"/>
      <x:c r="P58" s="18"/>
      <x:c r="Q58" s="18"/>
      <x:c r="R58" s="18" t="n">
        <x:v>0</x:v>
      </x:c>
      <x:c r="S58" s="18"/>
      <x:c r="T58" s="18"/>
      <x:c r="U58" s="18"/>
      <x:c r="V58" s="18"/>
      <x:c r="W58" s="18"/>
      <x:c r="X58" s="18" t="n">
        <x:v>0</x:v>
      </x:c>
      <x:c r="Y58" s="18" t="str">
        <x:v>participants</x:v>
      </x:c>
      <x:c r="Z58" s="18" t="str">
        <x:v>Not estimable; double-zero</x:v>
      </x:c>
      <x:c r="AA58" s="18" t="str">
        <x:v>RR</x:v>
      </x:c>
      <x:c r="AB58" s="18"/>
      <x:c r="AC58" s="18" t="str">
        <x:v>—</x:v>
      </x:c>
      <x:c r="AD58" s="18" t="n">
        <x:v>0</x:v>
      </x:c>
      <x:c r="AE58" s="18" t="n">
        <x:v>0</x:v>
      </x:c>
      <x:c r="AF58" s="18" t="n">
        <x:v>1</x:v>
      </x:c>
      <x:c r="AG58" s="18"/>
      <x:c r="AH58" s="18"/>
      <x:c r="AI58" s="18" t="str">
        <x:v>EXCLUDE_OR_NARRATIVE</x:v>
      </x:c>
      <x:c r="AJ58" s="18"/>
      <x:c r="AK58" s="18"/>
      <x:c r="AL58" s="18" t="str">
        <x:v>No</x:v>
      </x:c>
      <x:c r="AM58" s="18" t="str">
        <x:v>Flurbiprofen 50 mg rescue; exact trigger/threshold not reported. Double-zero event.</x:v>
      </x:c>
      <x:c r="AN58" s="18" t="str">
        <x:v>SOURCE-VERIFIED / AF-NORMALIZED</x:v>
      </x:c>
      <x:c r="AO58" s="18" t="str">
        <x:v>https://drive.google.com/file/d/1rQTrwnCvj72poJrGGvYjpxSZXvUhSD0u/view?usp=drivesdk</x:v>
      </x:c>
    </x:row>
    <x:row r="59">
      <x:c r="A59" s="18" t="str">
        <x:v>F-rescue-nonopioid-002</x:v>
      </x:c>
      <x:c r="B59" s="18" t="str">
        <x:v>F-rescue-nonopioid</x:v>
      </x:c>
      <x:c r="C59" s="18" t="str">
        <x:v>F_rescue_nonopioid</x:v>
      </x:c>
      <x:c r="D59" s="18" t="str">
        <x:v>Hou 2023</x:v>
      </x:c>
      <x:c r="E59" s="18" t="str">
        <x:v>HOU23_TEAS_vs_SHAM_RESCUE</x:v>
      </x:c>
      <x:c r="F59" s="18" t="str">
        <x:v>Perioperative TEAS</x:v>
      </x:c>
      <x:c r="G59" s="18" t="str">
        <x:v>Sham/no-current TEAS</x:v>
      </x:c>
      <x:c r="H59" s="18" t="str">
        <x:v>Any rescue flurbiprofen use</x:v>
      </x:c>
      <x:c r="I59" s="18" t="str">
        <x:v>Postoperative</x:v>
      </x:c>
      <x:c r="J59" s="18" t="str">
        <x:v>Events/total</x:v>
      </x:c>
      <x:c r="K59" s="18" t="n">
        <x:v>36</x:v>
      </x:c>
      <x:c r="L59" s="18" t="n">
        <x:v>36</x:v>
      </x:c>
      <x:c r="M59" s="18"/>
      <x:c r="N59" s="18"/>
      <x:c r="O59" s="18"/>
      <x:c r="P59" s="18"/>
      <x:c r="Q59" s="18"/>
      <x:c r="R59" s="18" t="n">
        <x:v>15</x:v>
      </x:c>
      <x:c r="S59" s="18"/>
      <x:c r="T59" s="18"/>
      <x:c r="U59" s="18"/>
      <x:c r="V59" s="18"/>
      <x:c r="W59" s="18"/>
      <x:c r="X59" s="18" t="n">
        <x:v>28</x:v>
      </x:c>
      <x:c r="Y59" s="18" t="str">
        <x:v>participants</x:v>
      </x:c>
      <x:c r="Z59" s="18" t="str">
        <x:v>0.002</x:v>
      </x:c>
      <x:c r="AA59" s="18" t="str">
        <x:v>RR</x:v>
      </x:c>
      <x:c r="AB59" s="18" t="n">
        <x:v>0.5357142857142857</x:v>
      </x:c>
      <x:c r="AC59" s="18" t="str">
        <x:v>Some concerns</x:v>
      </x:c>
      <x:c r="AD59" s="18" t="n">
        <x:v>0</x:v>
      </x:c>
      <x:c r="AE59" s="18" t="n">
        <x:v>0</x:v>
      </x:c>
      <x:c r="AF59" s="18" t="n">
        <x:v>1</x:v>
      </x:c>
      <x:c r="AG59" s="18"/>
      <x:c r="AH59" s="18"/>
      <x:c r="AI59" s="18" t="str">
        <x:v>EXCLUDE_OR_NARRATIVE</x:v>
      </x:c>
      <x:c r="AJ59" s="18"/>
      <x:c r="AK59" s="18" t="str">
        <x:v>UNRESOLVED window</x:v>
      </x:c>
      <x:c r="AL59" s="18" t="str">
        <x:v>No</x:v>
      </x:c>
      <x:c r="AM59" s="18" t="str">
        <x:v>Flurbiprofen is an NSAID, not an opioid</x:v>
      </x:c>
      <x:c r="AN59" s="18" t="str">
        <x:v>SOURCE-VERIFIED</x:v>
      </x:c>
      <x:c r="AO59" s="18" t="str">
        <x:v>https://drive.google.com/file/d/161WdTRehgwvDHvQ8OkRf8U9TbUmVQgaR/view?usp=drivesdk</x:v>
      </x:c>
    </x:row>
    <x:row r="60">
      <x:c r="A60" s="18" t="str">
        <x:v>F-rescue-nonopioid-003</x:v>
      </x:c>
      <x:c r="B60" s="18" t="str">
        <x:v>F-rescue-nonopioid</x:v>
      </x:c>
      <x:c r="C60" s="18" t="str">
        <x:v>F_rescue_nonopioid</x:v>
      </x:c>
      <x:c r="D60" s="18" t="str">
        <x:v>Sun 2017</x:v>
      </x:c>
      <x:c r="E60" s="18" t="str">
        <x:v>SUN17_TSS_vs_SSS_NSAID48</x:v>
      </x:c>
      <x:c r="F60" s="18" t="str">
        <x:v>Preoperative true TEAS only</x:v>
      </x:c>
      <x:c r="G60" s="18" t="str">
        <x:v>All-period sham TEAS (SSS)</x:v>
      </x:c>
      <x:c r="H60" s="18" t="str">
        <x:v>Supplemental flurbiprofen axetil requirement</x:v>
      </x:c>
      <x:c r="I60" s="18" t="str">
        <x:v>Within 48 h</x:v>
      </x:c>
      <x:c r="J60" s="18" t="str">
        <x:v>Published percentage</x:v>
      </x:c>
      <x:c r="K60" s="18" t="n">
        <x:v>91</x:v>
      </x:c>
      <x:c r="L60" s="18" t="n">
        <x:v>90</x:v>
      </x:c>
      <x:c r="M60" s="18"/>
      <x:c r="N60" s="18"/>
      <x:c r="O60" s="18"/>
      <x:c r="P60" s="18"/>
      <x:c r="Q60" s="18"/>
      <x:c r="R60" s="18"/>
      <x:c r="S60" s="18"/>
      <x:c r="T60" s="18"/>
      <x:c r="U60" s="18"/>
      <x:c r="V60" s="18"/>
      <x:c r="W60" s="18"/>
      <x:c r="X60" s="18"/>
      <x:c r="Y60" s="18" t="str">
        <x:v>11.0% intervention vs 23.3% SSS</x:v>
      </x:c>
      <x:c r="Z60" s="18" t="str">
        <x:v>0.020 overall; TST vs SSS significant</x:v>
      </x:c>
      <x:c r="AA60" s="18"/>
      <x:c r="AB60" s="18"/>
      <x:c r="AC60" s="18" t="str">
        <x:v>Some concerns</x:v>
      </x:c>
      <x:c r="AD60" s="18" t="n">
        <x:v>0</x:v>
      </x:c>
      <x:c r="AE60" s="18" t="n">
        <x:v>1</x:v>
      </x:c>
      <x:c r="AF60" s="18" t="n">
        <x:v>0</x:v>
      </x:c>
      <x:c r="AG60" s="18"/>
      <x:c r="AH60" s="18"/>
      <x:c r="AI60" s="18" t="str">
        <x:v>SENSITIVITY_MODEL</x:v>
      </x:c>
      <x:c r="AJ60" s="18"/>
      <x:c r="AK60" s="18"/>
      <x:c r="AL60" s="18" t="str">
        <x:v>Yes</x:v>
      </x:c>
      <x:c r="AM60" s="18" t="str">
        <x:v>Do not convert printed percentages to exact event counts without confirmation</x:v>
      </x:c>
      <x:c r="AN60" s="18" t="str">
        <x:v>SOURCE-VERIFIED / PERCENTAGES ONLY</x:v>
      </x:c>
      <x:c r="AO60" s="18" t="str">
        <x:v>https://drive.google.com/file/d/1lELlw0IpkhqoB8OuintAI22fxKfNEcEd/view?usp=drivesdk</x:v>
      </x:c>
    </x:row>
    <x:row r="61">
      <x:c r="A61" s="18" t="str">
        <x:v>F-rescue-nonopioid-003</x:v>
      </x:c>
      <x:c r="B61" s="18" t="str">
        <x:v>F-rescue-nonopioid</x:v>
      </x:c>
      <x:c r="C61" s="18" t="str">
        <x:v>F_rescue_nonopioid</x:v>
      </x:c>
      <x:c r="D61" s="18" t="str">
        <x:v>Sun 2017</x:v>
      </x:c>
      <x:c r="E61" s="18" t="str">
        <x:v>SUN17_TTS_vs_SSS_NSAID48</x:v>
      </x:c>
      <x:c r="F61" s="18" t="str">
        <x:v>Preoperative + intraoperative true TEAS</x:v>
      </x:c>
      <x:c r="G61" s="18" t="str">
        <x:v>All-period sham TEAS (SSS)</x:v>
      </x:c>
      <x:c r="H61" s="18" t="str">
        <x:v>Supplemental flurbiprofen axetil requirement</x:v>
      </x:c>
      <x:c r="I61" s="18" t="str">
        <x:v>Within 48 h</x:v>
      </x:c>
      <x:c r="J61" s="18" t="str">
        <x:v>Published percentage</x:v>
      </x:c>
      <x:c r="K61" s="18" t="n">
        <x:v>91</x:v>
      </x:c>
      <x:c r="L61" s="18" t="n">
        <x:v>90</x:v>
      </x:c>
      <x:c r="M61" s="18"/>
      <x:c r="N61" s="18"/>
      <x:c r="O61" s="18"/>
      <x:c r="P61" s="18"/>
      <x:c r="Q61" s="18"/>
      <x:c r="R61" s="18"/>
      <x:c r="S61" s="18"/>
      <x:c r="T61" s="18"/>
      <x:c r="U61" s="18"/>
      <x:c r="V61" s="18"/>
      <x:c r="W61" s="18"/>
      <x:c r="X61" s="18"/>
      <x:c r="Y61" s="18" t="str">
        <x:v>15.4% intervention vs 23.3% SSS</x:v>
      </x:c>
      <x:c r="Z61" s="18" t="str">
        <x:v>0.020 overall; TST vs SSS significant</x:v>
      </x:c>
      <x:c r="AA61" s="18"/>
      <x:c r="AB61" s="18"/>
      <x:c r="AC61" s="18" t="str">
        <x:v>Some concerns</x:v>
      </x:c>
      <x:c r="AD61" s="18" t="n">
        <x:v>0</x:v>
      </x:c>
      <x:c r="AE61" s="18" t="n">
        <x:v>1</x:v>
      </x:c>
      <x:c r="AF61" s="18" t="n">
        <x:v>0</x:v>
      </x:c>
      <x:c r="AG61" s="18"/>
      <x:c r="AH61" s="18"/>
      <x:c r="AI61" s="18" t="str">
        <x:v>SENSITIVITY_MODEL</x:v>
      </x:c>
      <x:c r="AJ61" s="18"/>
      <x:c r="AK61" s="18"/>
      <x:c r="AL61" s="18" t="str">
        <x:v>Yes</x:v>
      </x:c>
      <x:c r="AM61" s="18" t="str">
        <x:v>Do not convert printed percentages to exact event counts without confirmation</x:v>
      </x:c>
      <x:c r="AN61" s="18" t="str">
        <x:v>SOURCE-VERIFIED / PERCENTAGES ONLY</x:v>
      </x:c>
      <x:c r="AO61" s="18" t="str">
        <x:v>https://drive.google.com/file/d/1lELlw0IpkhqoB8OuintAI22fxKfNEcEd/view?usp=drivesdk</x:v>
      </x:c>
    </x:row>
    <x:row r="62">
      <x:c r="A62" s="18" t="str">
        <x:v>F-rescue-nonopioid-003</x:v>
      </x:c>
      <x:c r="B62" s="18" t="str">
        <x:v>F-rescue-nonopioid</x:v>
      </x:c>
      <x:c r="C62" s="18" t="str">
        <x:v>F_rescue_nonopioid</x:v>
      </x:c>
      <x:c r="D62" s="18" t="str">
        <x:v>Sun 2017</x:v>
      </x:c>
      <x:c r="E62" s="18" t="str">
        <x:v>SUN17_TST_vs_SSS_NSAID48</x:v>
      </x:c>
      <x:c r="F62" s="18" t="str">
        <x:v>Preoperative + postoperative true TEAS</x:v>
      </x:c>
      <x:c r="G62" s="18" t="str">
        <x:v>All-period sham TEAS (SSS)</x:v>
      </x:c>
      <x:c r="H62" s="18" t="str">
        <x:v>Supplemental flurbiprofen axetil requirement</x:v>
      </x:c>
      <x:c r="I62" s="18" t="str">
        <x:v>Within 48 h</x:v>
      </x:c>
      <x:c r="J62" s="18" t="str">
        <x:v>Published percentage</x:v>
      </x:c>
      <x:c r="K62" s="18" t="n">
        <x:v>89</x:v>
      </x:c>
      <x:c r="L62" s="18" t="n">
        <x:v>90</x:v>
      </x:c>
      <x:c r="M62" s="18"/>
      <x:c r="N62" s="18"/>
      <x:c r="O62" s="18"/>
      <x:c r="P62" s="18"/>
      <x:c r="Q62" s="18"/>
      <x:c r="R62" s="18"/>
      <x:c r="S62" s="18"/>
      <x:c r="T62" s="18"/>
      <x:c r="U62" s="18"/>
      <x:c r="V62" s="18"/>
      <x:c r="W62" s="18"/>
      <x:c r="X62" s="18"/>
      <x:c r="Y62" s="18" t="str">
        <x:v>7.9% intervention vs 23.3% SSS</x:v>
      </x:c>
      <x:c r="Z62" s="18" t="str">
        <x:v>0.020 overall; TST vs SSS significant</x:v>
      </x:c>
      <x:c r="AA62" s="18"/>
      <x:c r="AB62" s="18"/>
      <x:c r="AC62" s="18" t="str">
        <x:v>Some concerns</x:v>
      </x:c>
      <x:c r="AD62" s="18" t="n">
        <x:v>0</x:v>
      </x:c>
      <x:c r="AE62" s="18" t="n">
        <x:v>1</x:v>
      </x:c>
      <x:c r="AF62" s="18" t="n">
        <x:v>0</x:v>
      </x:c>
      <x:c r="AG62" s="18"/>
      <x:c r="AH62" s="18"/>
      <x:c r="AI62" s="18" t="str">
        <x:v>SENSITIVITY_MODEL</x:v>
      </x:c>
      <x:c r="AJ62" s="18"/>
      <x:c r="AK62" s="18"/>
      <x:c r="AL62" s="18" t="str">
        <x:v>Yes</x:v>
      </x:c>
      <x:c r="AM62" s="18" t="str">
        <x:v>Do not convert printed percentages to exact event counts without confirmation</x:v>
      </x:c>
      <x:c r="AN62" s="18" t="str">
        <x:v>SOURCE-VERIFIED / PERCENTAGES ONLY</x:v>
      </x:c>
      <x:c r="AO62" s="18" t="str">
        <x:v>https://drive.google.com/file/d/1lELlw0IpkhqoB8OuintAI22fxKfNEcEd/view?usp=drivesdk</x:v>
      </x:c>
    </x:row>
    <x:row r="63">
      <x:c r="A63" s="18" t="str">
        <x:v>F-rescue-nonopioid-004</x:v>
      </x:c>
      <x:c r="B63" s="18" t="str">
        <x:v>F-rescue-nonopioid</x:v>
      </x:c>
      <x:c r="C63" s="18" t="str">
        <x:v>F_rescue_nonopioid</x:v>
      </x:c>
      <x:c r="D63" s="18" t="str">
        <x:v>Lu 2021</x:v>
      </x:c>
      <x:c r="E63" s="18" t="str">
        <x:v>LU21_COMB_vs_SHAM_PARECOX24</x:v>
      </x:c>
      <x:c r="F63" s="18" t="str">
        <x:v>Combined PC6+CV17 TEAS</x:v>
      </x:c>
      <x:c r="G63" s="18" t="str">
        <x:v>Sham/no current</x:v>
      </x:c>
      <x:c r="H63" s="18" t="str">
        <x:v>Participants receiving rescue parecoxib</x:v>
      </x:c>
      <x:c r="I63" s="18" t="str">
        <x:v>By 24 h</x:v>
      </x:c>
      <x:c r="J63" s="18" t="str">
        <x:v>Events/total</x:v>
      </x:c>
      <x:c r="K63" s="18" t="n">
        <x:v>190</x:v>
      </x:c>
      <x:c r="L63" s="18" t="n">
        <x:v>188</x:v>
      </x:c>
      <x:c r="M63" s="18"/>
      <x:c r="N63" s="18"/>
      <x:c r="O63" s="18"/>
      <x:c r="P63" s="18"/>
      <x:c r="Q63" s="18"/>
      <x:c r="R63" s="18" t="n">
        <x:v>4</x:v>
      </x:c>
      <x:c r="S63" s="18"/>
      <x:c r="T63" s="18"/>
      <x:c r="U63" s="18"/>
      <x:c r="V63" s="18"/>
      <x:c r="W63" s="18"/>
      <x:c r="X63" s="18" t="n">
        <x:v>7</x:v>
      </x:c>
      <x:c r="Y63" s="18" t="str">
        <x:v>participants</x:v>
      </x:c>
      <x:c r="Z63" s="18" t="str">
        <x:v>0.35 in Table 3; 0.58 in prose</x:v>
      </x:c>
      <x:c r="AA63" s="18" t="str">
        <x:v>RR</x:v>
      </x:c>
      <x:c r="AB63" s="18" t="n">
        <x:v>0.5654135338345865</x:v>
      </x:c>
      <x:c r="AC63" s="18" t="str">
        <x:v>Some concerns</x:v>
      </x:c>
      <x:c r="AD63" s="18" t="n">
        <x:v>0</x:v>
      </x:c>
      <x:c r="AE63" s="18" t="n">
        <x:v>0</x:v>
      </x:c>
      <x:c r="AF63" s="18" t="n">
        <x:v>1</x:v>
      </x:c>
      <x:c r="AG63" s="18" t="str">
        <x:v>P1</x:v>
      </x:c>
      <x:c r="AH63" s="18" t="str">
        <x:v>RESOLVED_BY_RAW_DATA_RULE</x:v>
      </x:c>
      <x:c r="AI63" s="18" t="str">
        <x:v>EXCLUDE_OR_NARRATIVE</x:v>
      </x:c>
      <x:c r="AJ63" s="18"/>
      <x:c r="AK63" s="18" t="str">
        <x:v>UNRESOLVED P-value</x:v>
      </x:c>
      <x:c r="AL63" s="18" t="str">
        <x:v>Yes</x:v>
      </x:c>
      <x:c r="AM63" s="18" t="str">
        <x:v>NRS&gt;4 -&gt; parecoxib sodium 40 mg. Preserve P-value inconsistency.</x:v>
      </x:c>
      <x:c r="AN63" s="18" t="str">
        <x:v>SOURCE-VERIFIED / AF-NORMALIZED / P1 P-VALUE HOLD</x:v>
      </x:c>
      <x:c r="AO63" s="18" t="str">
        <x:v>https://drive.google.com/file/d/1MgD_OucfiyNEDdDe3osh8W01U1yYZs08/view?usp=drivesdk</x:v>
      </x:c>
    </x:row>
    <x:row r="64">
      <x:c r="A64" s="18" t="str">
        <x:v>F-mixed/undefined-001</x:v>
      </x:c>
      <x:c r="B64" s="18" t="str">
        <x:v>F-mixed/undefined</x:v>
      </x:c>
      <x:c r="C64" s="18" t="str">
        <x:v>F_rescue_mixed_or_undefined</x:v>
      </x:c>
      <x:c r="D64" s="18" t="str">
        <x:v>Wang 2023</x:v>
      </x:c>
      <x:c r="E64" s="18" t="str">
        <x:v>WANG23_TEAS_vs_SHAM_RESCUEDOSE</x:v>
      </x:c>
      <x:c r="F64" s="18" t="str">
        <x:v>Nighttime TEAS</x:v>
      </x:c>
      <x:c r="G64" s="18" t="str">
        <x:v>Sham/no current</x:v>
      </x:c>
      <x:c r="H64" s="18" t="str">
        <x:v>Cumulative number of additional rescue-analgesia doses</x:v>
      </x:c>
      <x:c r="I64" s="18" t="str">
        <x:v>0-72 h</x:v>
      </x:c>
      <x:c r="J64" s="18" t="str">
        <x:v>Mean/SD</x:v>
      </x:c>
      <x:c r="K64" s="18" t="n">
        <x:v>40</x:v>
      </x:c>
      <x:c r="L64" s="18" t="n">
        <x:v>43</x:v>
      </x:c>
      <x:c r="M64" s="18" t="n">
        <x:v>0.53</x:v>
      </x:c>
      <x:c r="N64" s="18" t="n">
        <x:v>0.55</x:v>
      </x:c>
      <x:c r="O64" s="18"/>
      <x:c r="P64" s="18"/>
      <x:c r="Q64" s="18"/>
      <x:c r="R64" s="18"/>
      <x:c r="S64" s="18" t="n">
        <x:v>0.98</x:v>
      </x:c>
      <x:c r="T64" s="18" t="n">
        <x:v>0.96</x:v>
      </x:c>
      <x:c r="U64" s="18"/>
      <x:c r="V64" s="18"/>
      <x:c r="W64" s="18"/>
      <x:c r="X64" s="18"/>
      <x:c r="Y64" s="18" t="str">
        <x:v>rescue doses</x:v>
      </x:c>
      <x:c r="Z64" s="18" t="str">
        <x:v>0.011</x:v>
      </x:c>
      <x:c r="AA64" s="18" t="str">
        <x:v>MD</x:v>
      </x:c>
      <x:c r="AB64" s="18" t="n">
        <x:v>-0.44999999999999996</x:v>
      </x:c>
      <x:c r="AC64" s="18" t="str">
        <x:v>Some concerns</x:v>
      </x:c>
      <x:c r="AD64" s="18" t="n">
        <x:v>0</x:v>
      </x:c>
      <x:c r="AE64" s="18" t="n">
        <x:v>0</x:v>
      </x:c>
      <x:c r="AF64" s="18" t="n">
        <x:v>1</x:v>
      </x:c>
      <x:c r="AG64" s="18" t="str">
        <x:v>P1</x:v>
      </x:c>
      <x:c r="AH64" s="18" t="str">
        <x:v>RESOLVED_BY_EXCLUSION</x:v>
      </x:c>
      <x:c r="AI64" s="18" t="str">
        <x:v>EXCLUDE_OR_NARRATIVE</x:v>
      </x:c>
      <x:c r="AJ64" s="18"/>
      <x:c r="AK64" s="18" t="str">
        <x:v>UNRESOLVED</x:v>
      </x:c>
      <x:c r="AL64" s="18" t="str">
        <x:v>No</x:v>
      </x:c>
      <x:c r="AM64" s="18" t="str">
        <x:v>Rescue drug, dose, route and opioid/non-opioid identity are not specified in the main article</x:v>
      </x:c>
      <x:c r="AN64" s="18" t="str">
        <x:v>SOURCE-VERIFIED / DRUG IDENTITY MISSING</x:v>
      </x:c>
      <x:c r="AO64" s="18" t="str">
        <x:v>https://drive.google.com/file/d/177A4aH42GD90DhsvvtD-VOBSChBBpIWL/view?usp=drivesdk</x:v>
      </x:c>
    </x:row>
    <x:row r="65">
      <x:c r="A65" s="18" t="str">
        <x:v>F-mixed/undefined-002</x:v>
      </x:c>
      <x:c r="B65" s="18" t="str">
        <x:v>F-mixed/undefined</x:v>
      </x:c>
      <x:c r="C65" s="18" t="str">
        <x:v>F_rescue_mixed_or_undefined</x:v>
      </x:c>
      <x:c r="D65" s="18" t="str">
        <x:v>Zhang 2025</x:v>
      </x:c>
      <x:c r="E65" s="18" t="str">
        <x:v>ZHANG25_TEAS_vs_SHAM_RESCUE</x:v>
      </x:c>
      <x:c r="F65" s="18" t="str">
        <x:v>Perioperative TEAS</x:v>
      </x:c>
      <x:c r="G65" s="18" t="str">
        <x:v>Sub-sensory sham</x:v>
      </x:c>
      <x:c r="H65" s="18" t="str">
        <x:v>Any rescue analgesia demand</x:v>
      </x:c>
      <x:c r="I65" s="18" t="str">
        <x:v>POD1 / postoperative period reported in Table 4</x:v>
      </x:c>
      <x:c r="J65" s="18" t="str">
        <x:v>Events/total</x:v>
      </x:c>
      <x:c r="K65" s="18" t="n">
        <x:v>45</x:v>
      </x:c>
      <x:c r="L65" s="18" t="n">
        <x:v>48</x:v>
      </x:c>
      <x:c r="M65" s="18"/>
      <x:c r="N65" s="18"/>
      <x:c r="O65" s="18"/>
      <x:c r="P65" s="18"/>
      <x:c r="Q65" s="18"/>
      <x:c r="R65" s="18" t="n">
        <x:v>14</x:v>
      </x:c>
      <x:c r="S65" s="18"/>
      <x:c r="T65" s="18"/>
      <x:c r="U65" s="18"/>
      <x:c r="V65" s="18"/>
      <x:c r="W65" s="18"/>
      <x:c r="X65" s="18" t="n">
        <x:v>29</x:v>
      </x:c>
      <x:c r="Y65" s="18" t="str">
        <x:v>participants</x:v>
      </x:c>
      <x:c r="Z65" s="18" t="str">
        <x:v>0.005 in Table 4; 0.002 in prose</x:v>
      </x:c>
      <x:c r="AA65" s="18" t="str">
        <x:v>RR</x:v>
      </x:c>
      <x:c r="AB65" s="18" t="n">
        <x:v>0.5149425287356322</x:v>
      </x:c>
      <x:c r="AC65" s="18" t="str">
        <x:v>Some concerns</x:v>
      </x:c>
      <x:c r="AD65" s="18" t="n">
        <x:v>0</x:v>
      </x:c>
      <x:c r="AE65" s="18" t="n">
        <x:v>0</x:v>
      </x:c>
      <x:c r="AF65" s="18" t="n">
        <x:v>1</x:v>
      </x:c>
      <x:c r="AG65" s="18" t="str">
        <x:v>P1</x:v>
      </x:c>
      <x:c r="AH65" s="18" t="str">
        <x:v>RESOLVED_BY_EXCLUSION</x:v>
      </x:c>
      <x:c r="AI65" s="18" t="str">
        <x:v>EXCLUDE_OR_NARRATIVE</x:v>
      </x:c>
      <x:c r="AJ65" s="18"/>
      <x:c r="AK65" s="18" t="str">
        <x:v>DO NOT POOL pending clarification</x:v>
      </x:c>
      <x:c r="AL65" s="18" t="str">
        <x:v>No</x:v>
      </x:c>
      <x:c r="AM65" s="18" t="str">
        <x:v>Published RR 0.70 (0.44-1.10) conflicts with raw counts (~0.52) and significant P-value; use raw event counts</x:v>
      </x:c>
      <x:c r="AN65" s="18" t="str">
        <x:v>SOURCE-VERIFIED / PUBLISHED EFFECT QC</x:v>
      </x:c>
      <x:c r="AO65" s="18" t="str">
        <x:v>https://drive.google.com/file/d/1eHx6Hk16vmIfMgoiZ5eNae4zmCR5ktwJ/view?usp=drivesdk</x:v>
      </x:c>
    </x:row>
    <x:row r="66">
      <x:c r="A66" s="18" t="str">
        <x:v>F-mixed/undefined-003</x:v>
      </x:c>
      <x:c r="B66" s="18" t="str">
        <x:v>F-mixed/undefined</x:v>
      </x:c>
      <x:c r="C66" s="18" t="str">
        <x:v>F_rescue_mixed_or_undefined</x:v>
      </x:c>
      <x:c r="D66" s="18" t="str">
        <x:v>Wu 2025</x:v>
      </x:c>
      <x:c r="E66" s="18" t="str">
        <x:v>WU25_TEAS_vs_SHAM_RESCUE_PARACET24</x:v>
      </x:c>
      <x:c r="F66" s="18" t="str">
        <x:v>PACU TEAS</x:v>
      </x:c>
      <x:c r="G66" s="18" t="str">
        <x:v>Sham/no current</x:v>
      </x:c>
      <x:c r="H66" s="18" t="str">
        <x:v>Compound paracetamol rescue-use metric</x:v>
      </x:c>
      <x:c r="I66" s="18" t="str">
        <x:v>Initial 24 h</x:v>
      </x:c>
      <x:c r="J66" s="18" t="str">
        <x:v>Mean/SD</x:v>
      </x:c>
      <x:c r="K66" s="18" t="n">
        <x:v>50</x:v>
      </x:c>
      <x:c r="L66" s="18" t="n">
        <x:v>50</x:v>
      </x:c>
      <x:c r="M66" s="18" t="n">
        <x:v>0.3</x:v>
      </x:c>
      <x:c r="N66" s="18" t="n">
        <x:v>0.5</x:v>
      </x:c>
      <x:c r="O66" s="18"/>
      <x:c r="P66" s="18"/>
      <x:c r="Q66" s="18"/>
      <x:c r="R66" s="18"/>
      <x:c r="S66" s="18" t="n">
        <x:v>0.8</x:v>
      </x:c>
      <x:c r="T66" s="18" t="n">
        <x:v>0.9</x:v>
      </x:c>
      <x:c r="U66" s="18"/>
      <x:c r="V66" s="18"/>
      <x:c r="W66" s="18"/>
      <x:c r="X66" s="18"/>
      <x:c r="Y66" s="18" t="str">
        <x:v>published rescue-use metric; unit not clearly specified</x:v>
      </x:c>
      <x:c r="Z66" s="18" t="str">
        <x:v>0.001</x:v>
      </x:c>
      <x:c r="AA66" s="18" t="str">
        <x:v>MD</x:v>
      </x:c>
      <x:c r="AB66" s="18" t="n">
        <x:v>-0.5</x:v>
      </x:c>
      <x:c r="AC66" s="18" t="str">
        <x:v>Some concerns</x:v>
      </x:c>
      <x:c r="AD66" s="18" t="n">
        <x:v>0</x:v>
      </x:c>
      <x:c r="AE66" s="18" t="n">
        <x:v>1</x:v>
      </x:c>
      <x:c r="AF66" s="18" t="n">
        <x:v>0</x:v>
      </x:c>
      <x:c r="AG66" s="18"/>
      <x:c r="AH66" s="18"/>
      <x:c r="AI66" s="18" t="str">
        <x:v>SENSITIVITY_MODEL</x:v>
      </x:c>
      <x:c r="AJ66" s="18"/>
      <x:c r="AK66" s="18"/>
      <x:c r="AL66" s="18" t="str">
        <x:v>No</x:v>
      </x:c>
      <x:c r="AM66" s="18" t="str">
        <x:v>VAS&gt;4 triggered additional analgesia; rule for choosing among the three drugs and table units are unclear.</x:v>
      </x:c>
      <x:c r="AN66" s="18" t="str">
        <x:v>SOURCE-VERIFIED / AF-NORMALIZED / UNIT-QC</x:v>
      </x:c>
      <x:c r="AO66" s="18" t="str">
        <x:v>https://drive.google.com/file/d/1ZV6JFjevGSPqnISdX61KPdcC_yEtq3vf/view?usp=drivesdk</x:v>
      </x:c>
    </x:row>
    <x:row r="67">
      <x:c r="A67" s="18" t="str">
        <x:v>F-mixed/undefined-003</x:v>
      </x:c>
      <x:c r="B67" s="18" t="str">
        <x:v>F-mixed/undefined</x:v>
      </x:c>
      <x:c r="C67" s="18" t="str">
        <x:v>F_rescue_mixed_or_undefined</x:v>
      </x:c>
      <x:c r="D67" s="18" t="str">
        <x:v>Wu 2025</x:v>
      </x:c>
      <x:c r="E67" s="18" t="str">
        <x:v>WU25_TEAS_vs_SHAM_RESCUE_OXYAPAP24</x:v>
      </x:c>
      <x:c r="F67" s="18" t="str">
        <x:v>PACU TEAS</x:v>
      </x:c>
      <x:c r="G67" s="18" t="str">
        <x:v>Sham/no current</x:v>
      </x:c>
      <x:c r="H67" s="18" t="str">
        <x:v>Oxycodone + acetaminophen rescue-use metric</x:v>
      </x:c>
      <x:c r="I67" s="18" t="str">
        <x:v>Initial 24 h</x:v>
      </x:c>
      <x:c r="J67" s="18" t="str">
        <x:v>Mean/SD</x:v>
      </x:c>
      <x:c r="K67" s="18" t="n">
        <x:v>50</x:v>
      </x:c>
      <x:c r="L67" s="18" t="n">
        <x:v>50</x:v>
      </x:c>
      <x:c r="M67" s="18" t="n">
        <x:v>0.3</x:v>
      </x:c>
      <x:c r="N67" s="18" t="n">
        <x:v>0.5</x:v>
      </x:c>
      <x:c r="O67" s="18"/>
      <x:c r="P67" s="18"/>
      <x:c r="Q67" s="18"/>
      <x:c r="R67" s="18"/>
      <x:c r="S67" s="18" t="n">
        <x:v>0.3</x:v>
      </x:c>
      <x:c r="T67" s="18" t="n">
        <x:v>0.6</x:v>
      </x:c>
      <x:c r="U67" s="18"/>
      <x:c r="V67" s="18"/>
      <x:c r="W67" s="18"/>
      <x:c r="X67" s="18"/>
      <x:c r="Y67" s="18" t="str">
        <x:v>published rescue-use metric; unit not clearly specified</x:v>
      </x:c>
      <x:c r="Z67" s="18" t="str">
        <x:v>0.864</x:v>
      </x:c>
      <x:c r="AA67" s="18" t="str">
        <x:v>MD</x:v>
      </x:c>
      <x:c r="AB67" s="18" t="n">
        <x:v>0</x:v>
      </x:c>
      <x:c r="AC67" s="18" t="str">
        <x:v>Some concerns</x:v>
      </x:c>
      <x:c r="AD67" s="18" t="n">
        <x:v>0</x:v>
      </x:c>
      <x:c r="AE67" s="18" t="n">
        <x:v>1</x:v>
      </x:c>
      <x:c r="AF67" s="18" t="n">
        <x:v>0</x:v>
      </x:c>
      <x:c r="AG67" s="18"/>
      <x:c r="AH67" s="18"/>
      <x:c r="AI67" s="18" t="str">
        <x:v>SENSITIVITY_MODEL</x:v>
      </x:c>
      <x:c r="AJ67" s="18"/>
      <x:c r="AK67" s="18"/>
      <x:c r="AL67" s="18" t="str">
        <x:v>No</x:v>
      </x:c>
      <x:c r="AM67" s="18" t="str">
        <x:v>VAS&gt;4 triggered additional analgesia; rule for choosing among the three drugs and table units are unclear.</x:v>
      </x:c>
      <x:c r="AN67" s="18" t="str">
        <x:v>SOURCE-VERIFIED / AF-NORMALIZED / UNIT-QC</x:v>
      </x:c>
      <x:c r="AO67" s="18" t="str">
        <x:v>https://drive.google.com/file/d/1ZV6JFjevGSPqnISdX61KPdcC_yEtq3vf/view?usp=drivesdk</x:v>
      </x:c>
    </x:row>
    <x:row r="68">
      <x:c r="A68" s="18" t="str">
        <x:v>F-mixed/undefined-003</x:v>
      </x:c>
      <x:c r="B68" s="18" t="str">
        <x:v>F-mixed/undefined</x:v>
      </x:c>
      <x:c r="C68" s="18" t="str">
        <x:v>F_rescue_mixed_or_undefined</x:v>
      </x:c>
      <x:c r="D68" s="18" t="str">
        <x:v>Wu 2025</x:v>
      </x:c>
      <x:c r="E68" s="18" t="str">
        <x:v>WU25_TEAS_vs_SHAM_RESCUE_PARECOX24</x:v>
      </x:c>
      <x:c r="F68" s="18" t="str">
        <x:v>PACU TEAS</x:v>
      </x:c>
      <x:c r="G68" s="18" t="str">
        <x:v>Sham/no current</x:v>
      </x:c>
      <x:c r="H68" s="18" t="str">
        <x:v>Parecoxib sodium rescue-use metric</x:v>
      </x:c>
      <x:c r="I68" s="18" t="str">
        <x:v>Initial 24 h</x:v>
      </x:c>
      <x:c r="J68" s="18" t="str">
        <x:v>Mean/SD</x:v>
      </x:c>
      <x:c r="K68" s="18" t="n">
        <x:v>50</x:v>
      </x:c>
      <x:c r="L68" s="18" t="n">
        <x:v>50</x:v>
      </x:c>
      <x:c r="M68" s="18" t="n">
        <x:v>4.8</x:v>
      </x:c>
      <x:c r="N68" s="18" t="n">
        <x:v>13.1</x:v>
      </x:c>
      <x:c r="O68" s="18"/>
      <x:c r="P68" s="18"/>
      <x:c r="Q68" s="18"/>
      <x:c r="R68" s="18"/>
      <x:c r="S68" s="18" t="n">
        <x:v>11.2</x:v>
      </x:c>
      <x:c r="T68" s="18" t="n">
        <x:v>18.1</x:v>
      </x:c>
      <x:c r="U68" s="18"/>
      <x:c r="V68" s="18"/>
      <x:c r="W68" s="18"/>
      <x:c r="X68" s="18"/>
      <x:c r="Y68" s="18" t="str">
        <x:v>published rescue-use metric; unit not clearly specified</x:v>
      </x:c>
      <x:c r="Z68" s="18" t="str">
        <x:v>0.046</x:v>
      </x:c>
      <x:c r="AA68" s="18" t="str">
        <x:v>MD</x:v>
      </x:c>
      <x:c r="AB68" s="18" t="n">
        <x:v>-6.3999999999999995</x:v>
      </x:c>
      <x:c r="AC68" s="18" t="str">
        <x:v>Some concerns</x:v>
      </x:c>
      <x:c r="AD68" s="18" t="n">
        <x:v>0</x:v>
      </x:c>
      <x:c r="AE68" s="18" t="n">
        <x:v>1</x:v>
      </x:c>
      <x:c r="AF68" s="18" t="n">
        <x:v>0</x:v>
      </x:c>
      <x:c r="AG68" s="18"/>
      <x:c r="AH68" s="18"/>
      <x:c r="AI68" s="18" t="str">
        <x:v>SENSITIVITY_MODEL</x:v>
      </x:c>
      <x:c r="AJ68" s="18"/>
      <x:c r="AK68" s="18"/>
      <x:c r="AL68" s="18" t="str">
        <x:v>No</x:v>
      </x:c>
      <x:c r="AM68" s="18" t="str">
        <x:v>VAS&gt;4 triggered additional analgesia; rule for choosing among the three drugs and table units are unclear.</x:v>
      </x:c>
      <x:c r="AN68" s="18" t="str">
        <x:v>SOURCE-VERIFIED / AF-NORMALIZED / UNIT-QC</x:v>
      </x:c>
      <x:c r="AO68" s="18" t="str">
        <x:v>https://drive.google.com/file/d/1ZV6JFjevGSPqnISdX61KPdcC_yEtq3vf/view?usp=drivesdk</x:v>
      </x:c>
    </x:row>
    <x:row r="69">
      <x:c r="A69" s="18" t="str">
        <x:v>F-mixed/undefined-004</x:v>
      </x:c>
      <x:c r="B69" s="18" t="str">
        <x:v>F-mixed/undefined</x:v>
      </x:c>
      <x:c r="C69" s="18" t="str">
        <x:v>F_rescue_mixed_or_undefined</x:v>
      </x:c>
      <x:c r="D69" s="18" t="str">
        <x:v>Liang 2021</x:v>
      </x:c>
      <x:c r="E69" s="18" t="str">
        <x:v>LIANG21_TEAS_vs_CTRL_EXTRAANALG</x:v>
      </x:c>
      <x:c r="F69" s="18" t="str">
        <x:v>Preoperative TEAS</x:v>
      </x:c>
      <x:c r="G69" s="18" t="str">
        <x:v>Control/no stimulation</x:v>
      </x:c>
      <x:c r="H69" s="18" t="str">
        <x:v>Published 'extra analgesia' metric</x:v>
      </x:c>
      <x:c r="I69" s="18" t="str">
        <x:v>Not reported</x:v>
      </x:c>
      <x:c r="J69" s="18" t="str">
        <x:v>Unresolved reported metric</x:v>
      </x:c>
      <x:c r="K69" s="18" t="n">
        <x:v>35</x:v>
      </x:c>
      <x:c r="L69" s="18" t="n">
        <x:v>35</x:v>
      </x:c>
      <x:c r="M69" s="18"/>
      <x:c r="N69" s="18"/>
      <x:c r="O69" s="18"/>
      <x:c r="P69" s="18"/>
      <x:c r="Q69" s="18"/>
      <x:c r="R69" s="18"/>
      <x:c r="S69" s="18"/>
      <x:c r="T69" s="18"/>
      <x:c r="U69" s="18"/>
      <x:c r="V69" s="18"/>
      <x:c r="W69" s="18"/>
      <x:c r="X69" s="18"/>
      <x:c r="Y69" s="18" t="str">
        <x:v>unresolved</x:v>
      </x:c>
      <x:c r="Z69" s="18" t="str">
        <x:v>0.045</x:v>
      </x:c>
      <x:c r="AA69" s="18"/>
      <x:c r="AB69" s="18"/>
      <x:c r="AC69" s="18" t="str">
        <x:v>—</x:v>
      </x:c>
      <x:c r="AD69" s="18" t="n">
        <x:v>0</x:v>
      </x:c>
      <x:c r="AE69" s="18" t="n">
        <x:v>0</x:v>
      </x:c>
      <x:c r="AF69" s="18" t="n">
        <x:v>1</x:v>
      </x:c>
      <x:c r="AG69" s="18" t="str">
        <x:v>P1</x:v>
      </x:c>
      <x:c r="AH69" s="18" t="str">
        <x:v>RESOLVED_BY_EXCLUSION</x:v>
      </x:c>
      <x:c r="AI69" s="18" t="str">
        <x:v>EXCLUDE_OR_NARRATIVE</x:v>
      </x:c>
      <x:c r="AJ69" s="18"/>
      <x:c r="AK69" s="18" t="str">
        <x:v>EXCLUDE unresolved</x:v>
      </x:c>
      <x:c r="AL69" s="18" t="str">
        <x:v>No</x:v>
      </x:c>
      <x:c r="AM69" s="18" t="str">
        <x:v>Source calls this 'number of patients' despite non-integer 3.8(1.9) vs5.0(2.9); drug, unit, trigger and time window not reported.</x:v>
      </x:c>
      <x:c r="AN69" s="18" t="str">
        <x:v>SOURCE-VERIFIED / AF-NORMALIZED / P1 UNRESOLVED</x:v>
      </x:c>
      <x:c r="AO69" s="18" t="str">
        <x:v>https://drive.google.com/file/d/1guriAcqNbJNXpfd_UjYwevULLVSeiHXS/view?usp=drivesdk</x:v>
      </x:c>
    </x:row>
    <x:row r="70">
      <x:c r="A70" s="18" t="str">
        <x:v>F-mixed/undefined-005</x:v>
      </x:c>
      <x:c r="B70" s="18" t="str">
        <x:v>F-mixed/undefined</x:v>
      </x:c>
      <x:c r="C70" s="18" t="str">
        <x:v>F_rescue_mixed_or_undefined</x:v>
      </x:c>
      <x:c r="D70" s="18" t="str">
        <x:v>Yang 2020</x:v>
      </x:c>
      <x:c r="E70" s="18" t="str">
        <x:v>YANG20_EA_vs_UC_BUCINNAZINE</x:v>
      </x:c>
      <x:c r="F70" s="18" t="str">
        <x:v>EA + usual care</x:v>
      </x:c>
      <x:c r="G70" s="18" t="str">
        <x:v>Usual care</x:v>
      </x:c>
      <x:c r="H70" s="18" t="str">
        <x:v>Participants receiving rescue bucinnazine</x:v>
      </x:c>
      <x:c r="I70" s="18" t="str">
        <x:v>Postoperative; exact cumulative window not reported</x:v>
      </x:c>
      <x:c r="J70" s="18" t="str">
        <x:v>Events/total</x:v>
      </x:c>
      <x:c r="K70" s="18" t="n">
        <x:v>29</x:v>
      </x:c>
      <x:c r="L70" s="18" t="n">
        <x:v>28</x:v>
      </x:c>
      <x:c r="M70" s="18"/>
      <x:c r="N70" s="18"/>
      <x:c r="O70" s="18"/>
      <x:c r="P70" s="18"/>
      <x:c r="Q70" s="18"/>
      <x:c r="R70" s="18" t="n">
        <x:v>5</x:v>
      </x:c>
      <x:c r="S70" s="18"/>
      <x:c r="T70" s="18"/>
      <x:c r="U70" s="18"/>
      <x:c r="V70" s="18"/>
      <x:c r="W70" s="18"/>
      <x:c r="X70" s="18" t="n">
        <x:v>7</x:v>
      </x:c>
      <x:c r="Y70" s="18" t="str">
        <x:v>participants</x:v>
      </x:c>
      <x:c r="Z70" s="18" t="str">
        <x:v>0.473</x:v>
      </x:c>
      <x:c r="AA70" s="18" t="str">
        <x:v>RR</x:v>
      </x:c>
      <x:c r="AB70" s="18" t="n">
        <x:v>0.6896551724137931</x:v>
      </x:c>
      <x:c r="AC70" s="18" t="str">
        <x:v>Some concerns</x:v>
      </x:c>
      <x:c r="AD70" s="18" t="n">
        <x:v>0</x:v>
      </x:c>
      <x:c r="AE70" s="18" t="n">
        <x:v>0</x:v>
      </x:c>
      <x:c r="AF70" s="18" t="n">
        <x:v>1</x:v>
      </x:c>
      <x:c r="AG70" s="18" t="str">
        <x:v>P2</x:v>
      </x:c>
      <x:c r="AH70" s="18"/>
      <x:c r="AI70" s="18" t="str">
        <x:v>EXCLUDE_OR_NARRATIVE</x:v>
      </x:c>
      <x:c r="AJ70" s="18"/>
      <x:c r="AK70" s="18" t="str">
        <x:v>UNRESOLVED window</x:v>
      </x:c>
      <x:c r="AL70" s="18" t="str">
        <x:v>No</x:v>
      </x:c>
      <x:c r="AM70" s="18" t="str">
        <x:v>VAS&gt;3/10 -&gt; bucinnazine100 mg IM; exact cumulative observation window not reported.</x:v>
      </x:c>
      <x:c r="AN70" s="18" t="str">
        <x:v>SOURCE-VERIFIED / AF-NORMALIZED / WINDOW-QC</x:v>
      </x:c>
      <x:c r="AO70" s="18" t="str">
        <x:v>https://drive.google.com/file/d/1hsQR_K6W-5QNP4rqkVxHQaopRp4f1XF0/view?usp=drivesdk</x:v>
      </x:c>
    </x:row>
    <x:row r="71">
      <x:c r="A71" s="18" t="str">
        <x:v>F-mixed/undefined-006</x:v>
      </x:c>
      <x:c r="B71" s="18" t="str">
        <x:v>F-mixed/undefined</x:v>
      </x:c>
      <x:c r="C71" s="18" t="str">
        <x:v>F_rescue_mixed_or_undefined</x:v>
      </x:c>
      <x:c r="D71" s="18" t="str">
        <x:v>Yang 2024</x:v>
      </x:c>
      <x:c r="E71" s="18" t="str">
        <x:v>YANG24_EA_vs_UC_BUCINNAZINE</x:v>
      </x:c>
      <x:c r="F71" s="18" t="str">
        <x:v>Perioperative EA + usual care</x:v>
      </x:c>
      <x:c r="G71" s="18" t="str">
        <x:v>Usual care</x:v>
      </x:c>
      <x:c r="H71" s="18" t="str">
        <x:v>Participants receiving rescue bucinnazine</x:v>
      </x:c>
      <x:c r="I71" s="18" t="str">
        <x:v>Postoperative; exact cumulative window not reported</x:v>
      </x:c>
      <x:c r="J71" s="18" t="str">
        <x:v>Events/total</x:v>
      </x:c>
      <x:c r="K71" s="18" t="n">
        <x:v>90</x:v>
      </x:c>
      <x:c r="L71" s="18" t="n">
        <x:v>90</x:v>
      </x:c>
      <x:c r="M71" s="18"/>
      <x:c r="N71" s="18"/>
      <x:c r="O71" s="18"/>
      <x:c r="P71" s="18"/>
      <x:c r="Q71" s="18"/>
      <x:c r="R71" s="18" t="n">
        <x:v>48</x:v>
      </x:c>
      <x:c r="S71" s="18"/>
      <x:c r="T71" s="18"/>
      <x:c r="U71" s="18"/>
      <x:c r="V71" s="18"/>
      <x:c r="W71" s="18"/>
      <x:c r="X71" s="18" t="n">
        <x:v>64</x:v>
      </x:c>
      <x:c r="Y71" s="18" t="str">
        <x:v>participants</x:v>
      </x:c>
      <x:c r="Z71" s="18" t="str">
        <x:v>0.014</x:v>
      </x:c>
      <x:c r="AA71" s="18" t="str">
        <x:v>RR</x:v>
      </x:c>
      <x:c r="AB71" s="18" t="n">
        <x:v>0.75</x:v>
      </x:c>
      <x:c r="AC71" s="18" t="str">
        <x:v>Some concerns</x:v>
      </x:c>
      <x:c r="AD71" s="18" t="n">
        <x:v>0</x:v>
      </x:c>
      <x:c r="AE71" s="18" t="n">
        <x:v>0</x:v>
      </x:c>
      <x:c r="AF71" s="18" t="n">
        <x:v>1</x:v>
      </x:c>
      <x:c r="AG71" s="18" t="str">
        <x:v>P2</x:v>
      </x:c>
      <x:c r="AH71" s="18"/>
      <x:c r="AI71" s="18" t="str">
        <x:v>EXCLUDE_OR_NARRATIVE</x:v>
      </x:c>
      <x:c r="AJ71" s="18"/>
      <x:c r="AK71" s="18" t="str">
        <x:v>UNRESOLVED window</x:v>
      </x:c>
      <x:c r="AL71" s="18" t="str">
        <x:v>No</x:v>
      </x:c>
      <x:c r="AM71" s="18" t="str">
        <x:v>VAS≥4 or patient request -&gt; bucinnazine100 mg IM; exact cumulative observation window not reported.</x:v>
      </x:c>
      <x:c r="AN71" s="18" t="str">
        <x:v>SOURCE-VERIFIED / AF-NORMALIZED / WINDOW-QC</x:v>
      </x:c>
      <x:c r="AO71" s="18" t="str">
        <x:v>https://drive.google.com/file/d/160N3psd5tLEphwXHJzUEZ3uJfaIXcs5V/view?usp=drivesdk</x:v>
      </x:c>
    </x:row>
    <x:row r="72">
      <x:c r="A72" s="18" t="str">
        <x:v>F-mixed/undefined-007</x:v>
      </x:c>
      <x:c r="B72" s="18" t="str">
        <x:v>F-mixed/undefined</x:v>
      </x:c>
      <x:c r="C72" s="18" t="str">
        <x:v>F_rescue_mixed_or_undefined</x:v>
      </x:c>
      <x:c r="D72" s="18" t="str">
        <x:v>Zhou 2021</x:v>
      </x:c>
      <x:c r="E72" s="18" t="str">
        <x:v>ZHOU21_TEAS_vs_UC_OPIOIDUSE</x:v>
      </x:c>
      <x:c r="F72" s="18" t="str">
        <x:v>Postoperative TEAS + ERAS</x:v>
      </x:c>
      <x:c r="G72" s="18" t="str">
        <x:v>ERAS/usual care</x:v>
      </x:c>
      <x:c r="H72" s="18" t="str">
        <x:v>Any postoperative opioid use</x:v>
      </x:c>
      <x:c r="I72" s="18" t="str">
        <x:v>Postoperative window not clearly defined as 0-24 h</x:v>
      </x:c>
      <x:c r="J72" s="18" t="str">
        <x:v>Events/total</x:v>
      </x:c>
      <x:c r="K72" s="18" t="n">
        <x:v>41</x:v>
      </x:c>
      <x:c r="L72" s="18" t="n">
        <x:v>40</x:v>
      </x:c>
      <x:c r="M72" s="18"/>
      <x:c r="N72" s="18"/>
      <x:c r="O72" s="18"/>
      <x:c r="P72" s="18"/>
      <x:c r="Q72" s="18"/>
      <x:c r="R72" s="18" t="n">
        <x:v>18</x:v>
      </x:c>
      <x:c r="S72" s="18"/>
      <x:c r="T72" s="18"/>
      <x:c r="U72" s="18"/>
      <x:c r="V72" s="18"/>
      <x:c r="W72" s="18"/>
      <x:c r="X72" s="18" t="n">
        <x:v>30</x:v>
      </x:c>
      <x:c r="Y72" s="18" t="str">
        <x:v>participants</x:v>
      </x:c>
      <x:c r="Z72" s="18" t="str">
        <x:v>0.004</x:v>
      </x:c>
      <x:c r="AA72" s="18" t="str">
        <x:v>RR</x:v>
      </x:c>
      <x:c r="AB72" s="18" t="n">
        <x:v>0.5853658536585366</x:v>
      </x:c>
      <x:c r="AC72" s="18" t="str">
        <x:v>High</x:v>
      </x:c>
      <x:c r="AD72" s="18" t="n">
        <x:v>0</x:v>
      </x:c>
      <x:c r="AE72" s="18" t="n">
        <x:v>0</x:v>
      </x:c>
      <x:c r="AF72" s="18" t="n">
        <x:v>1</x:v>
      </x:c>
      <x:c r="AG72" s="18" t="str">
        <x:v>P1</x:v>
      </x:c>
      <x:c r="AH72" s="18" t="str">
        <x:v>RESOLVED_BY_EXCLUSION</x:v>
      </x:c>
      <x:c r="AI72" s="18" t="str">
        <x:v>EXCLUDE_OR_NARRATIVE</x:v>
      </x:c>
      <x:c r="AJ72" s="18"/>
      <x:c r="AK72" s="18" t="str">
        <x:v>EXCLUDE fixed-time pools</x:v>
      </x:c>
      <x:c r="AL72" s="18" t="str">
        <x:v>No</x:v>
      </x:c>
      <x:c r="AM72" s="18" t="str">
        <x:v>Exact postoperative time window is not clearly stated</x:v>
      </x:c>
      <x:c r="AN72" s="18" t="str">
        <x:v>SOURCE-VERIFIED / WINDOW QC</x:v>
      </x:c>
      <x:c r="AO72" s="18" t="str">
        <x:v>https://drive.google.com/file/d/1PxYyULBv_ZjWeqAm_bNYkDn_j2_lNYLq/view?usp=drivesdk</x:v>
      </x:c>
    </x:row>
    <x:row r="73">
      <x:c r="A73" s="18" t="str">
        <x:v>F-mixed/undefined-007</x:v>
      </x:c>
      <x:c r="B73" s="18" t="str">
        <x:v>F-mixed/undefined</x:v>
      </x:c>
      <x:c r="C73" s="18" t="str">
        <x:v>F_rescue_mixed_or_undefined</x:v>
      </x:c>
      <x:c r="D73" s="18" t="str">
        <x:v>Zhou 2021</x:v>
      </x:c>
      <x:c r="E73" s="18" t="str">
        <x:v>ZHOU21_TEAS_vs_UC_MME_POSTOP</x:v>
      </x:c>
      <x:c r="F73" s="18" t="str">
        <x:v>Postoperative TEAS + ERAS</x:v>
      </x:c>
      <x:c r="G73" s="18" t="str">
        <x:v>ERAS/usual care</x:v>
      </x:c>
      <x:c r="H73" s="18" t="str">
        <x:v>Author-defined postoperative morphine-equivalent dose</x:v>
      </x:c>
      <x:c r="I73" s="18" t="str">
        <x:v>Postoperative study period; exact cumulative window not reported</x:v>
      </x:c>
      <x:c r="J73" s="18" t="str">
        <x:v>Mean/SD</x:v>
      </x:c>
      <x:c r="K73" s="18" t="n">
        <x:v>41</x:v>
      </x:c>
      <x:c r="L73" s="18" t="n">
        <x:v>40</x:v>
      </x:c>
      <x:c r="M73" s="18" t="n">
        <x:v>8.935</x:v>
      </x:c>
      <x:c r="N73" s="18" t="n">
        <x:v>3.66</x:v>
      </x:c>
      <x:c r="O73" s="18"/>
      <x:c r="P73" s="18"/>
      <x:c r="Q73" s="18"/>
      <x:c r="R73" s="18"/>
      <x:c r="S73" s="18" t="n">
        <x:v>12.83</x:v>
      </x:c>
      <x:c r="T73" s="18" t="n">
        <x:v>8.097</x:v>
      </x:c>
      <x:c r="U73" s="18"/>
      <x:c r="V73" s="18"/>
      <x:c r="W73" s="18"/>
      <x:c r="X73" s="18"/>
      <x:c r="Y73" s="18" t="str">
        <x:v>mg morphine-equivalent (author-defined)</x:v>
      </x:c>
      <x:c r="Z73" s="18" t="str">
        <x:v>0.182</x:v>
      </x:c>
      <x:c r="AA73" s="18" t="str">
        <x:v>MD</x:v>
      </x:c>
      <x:c r="AB73" s="18" t="n">
        <x:v>-3.8949999999999996</x:v>
      </x:c>
      <x:c r="AC73" s="18" t="str">
        <x:v>High</x:v>
      </x:c>
      <x:c r="AD73" s="18" t="n">
        <x:v>0</x:v>
      </x:c>
      <x:c r="AE73" s="18" t="n">
        <x:v>0</x:v>
      </x:c>
      <x:c r="AF73" s="18" t="n">
        <x:v>1</x:v>
      </x:c>
      <x:c r="AG73" s="18" t="str">
        <x:v>P1</x:v>
      </x:c>
      <x:c r="AH73" s="18" t="str">
        <x:v>RESOLVED_BY_EXCLUSION</x:v>
      </x:c>
      <x:c r="AI73" s="18" t="str">
        <x:v>EXCLUDE_OR_NARRATIVE</x:v>
      </x:c>
      <x:c r="AJ73" s="18"/>
      <x:c r="AK73" s="18" t="str">
        <x:v>EXCLUDE fixed-time pools</x:v>
      </x:c>
      <x:c r="AL73" s="18" t="str">
        <x:v>No</x:v>
      </x:c>
      <x:c r="AM73" s="18" t="str">
        <x:v>Methods vs Table3 footnote use inconsistent pentazocine conversion; exact postoperative cumulative window unclear.</x:v>
      </x:c>
      <x:c r="AN73" s="18" t="str">
        <x:v>SOURCE-VERIFIED / AF-NORMALIZED / P1 WINDOW+CONVERSION HOLD</x:v>
      </x:c>
      <x:c r="AO73" s="18" t="str">
        <x:v>https://drive.google.com/file/d/1PxYyULBv_ZjWeqAm_bNYkDn_j2_lNYLq/view?usp=drivesdk</x:v>
      </x:c>
    </x:row>
    <x:row r="74">
      <x:c r="A74" s="18" t="str">
        <x:v>F-PCA-001</x:v>
      </x:c>
      <x:c r="B74" s="18" t="str">
        <x:v>F-PCA</x:v>
      </x:c>
      <x:c r="C74" s="18" t="str">
        <x:v>F_PCA_behavior</x:v>
      </x:c>
      <x:c r="D74" s="18" t="str">
        <x:v>Chen 2020</x:v>
      </x:c>
      <x:c r="E74" s="18" t="str">
        <x:v>CHEN20_TEAS_vs_SHAM_PCAATT48</x:v>
      </x:c>
      <x:c r="F74" s="18" t="str">
        <x:v>Perioperative TEAS</x:v>
      </x:c>
      <x:c r="G74" s="18" t="str">
        <x:v>Sham low/zero-current protocol</x:v>
      </x:c>
      <x:c r="H74" s="18" t="str">
        <x:v>Total PCIA attempts over 48-h course</x:v>
      </x:c>
      <x:c r="I74" s="18" t="str">
        <x:v>0-48 h</x:v>
      </x:c>
      <x:c r="J74" s="18" t="str">
        <x:v>Mean/SD</x:v>
      </x:c>
      <x:c r="K74" s="18" t="n">
        <x:v>40</x:v>
      </x:c>
      <x:c r="L74" s="18" t="n">
        <x:v>40</x:v>
      </x:c>
      <x:c r="M74" s="18" t="n">
        <x:v>4.83</x:v>
      </x:c>
      <x:c r="N74" s="18" t="n">
        <x:v>1.06</x:v>
      </x:c>
      <x:c r="O74" s="18"/>
      <x:c r="P74" s="18"/>
      <x:c r="Q74" s="18"/>
      <x:c r="R74" s="18"/>
      <x:c r="S74" s="18" t="n">
        <x:v>14.05</x:v>
      </x:c>
      <x:c r="T74" s="18" t="n">
        <x:v>2.01</x:v>
      </x:c>
      <x:c r="U74" s="18"/>
      <x:c r="V74" s="18"/>
      <x:c r="W74" s="18"/>
      <x:c r="X74" s="18"/>
      <x:c r="Y74" s="18" t="str">
        <x:v>pump attempts</x:v>
      </x:c>
      <x:c r="Z74" s="18" t="str">
        <x:v>&lt;0.001</x:v>
      </x:c>
      <x:c r="AA74" s="18" t="str">
        <x:v>MD</x:v>
      </x:c>
      <x:c r="AB74" s="18" t="n">
        <x:v>-9.22</x:v>
      </x:c>
      <x:c r="AC74" s="18" t="str">
        <x:v>High</x:v>
      </x:c>
      <x:c r="AD74" s="18" t="n">
        <x:v>0</x:v>
      </x:c>
      <x:c r="AE74" s="18" t="n">
        <x:v>1</x:v>
      </x:c>
      <x:c r="AF74" s="18" t="n">
        <x:v>0</x:v>
      </x:c>
      <x:c r="AG74" s="18"/>
      <x:c r="AH74" s="18"/>
      <x:c r="AI74" s="18" t="str">
        <x:v>SENSITIVITY_MODEL</x:v>
      </x:c>
      <x:c r="AJ74" s="18"/>
      <x:c r="AK74" s="18"/>
      <x:c r="AL74" s="18" t="str">
        <x:v>No</x:v>
      </x:c>
      <x:c r="AM74" s="18" t="str">
        <x:v>Patient-generated behavior; active stimulation above sensory threshold, sham below threshold.</x:v>
      </x:c>
      <x:c r="AN74" s="18" t="str">
        <x:v>SOURCE-VERIFIED / AF-NORMALIZED / HIGH ROB</x:v>
      </x:c>
      <x:c r="AO74" s="18" t="str">
        <x:v>https://drive.google.com/file/d/1y0_cC1NCl5g2vYxDMOtYmxVA_YEE-rsR/view?usp=drivesdk</x:v>
      </x:c>
    </x:row>
    <x:row r="75">
      <x:c r="A75" s="18" t="str">
        <x:v>F-PCA-001</x:v>
      </x:c>
      <x:c r="B75" s="18" t="str">
        <x:v>F-PCA</x:v>
      </x:c>
      <x:c r="C75" s="18" t="str">
        <x:v>F_PCA_behavior</x:v>
      </x:c>
      <x:c r="D75" s="18" t="str">
        <x:v>Chen 2020</x:v>
      </x:c>
      <x:c r="E75" s="18" t="str">
        <x:v>CHEN20_TEAS_vs_SHAM_PCAEFF48</x:v>
      </x:c>
      <x:c r="F75" s="18" t="str">
        <x:v>Perioperative TEAS</x:v>
      </x:c>
      <x:c r="G75" s="18" t="str">
        <x:v>Sham low/zero-current protocol</x:v>
      </x:c>
      <x:c r="H75" s="18" t="str">
        <x:v>Effective PCIA attempts over 48-h course</x:v>
      </x:c>
      <x:c r="I75" s="18" t="str">
        <x:v>0-48 h</x:v>
      </x:c>
      <x:c r="J75" s="18" t="str">
        <x:v>Mean/SD</x:v>
      </x:c>
      <x:c r="K75" s="18" t="n">
        <x:v>40</x:v>
      </x:c>
      <x:c r="L75" s="18" t="n">
        <x:v>40</x:v>
      </x:c>
      <x:c r="M75" s="18" t="n">
        <x:v>4.58</x:v>
      </x:c>
      <x:c r="N75" s="18" t="n">
        <x:v>0.93</x:v>
      </x:c>
      <x:c r="O75" s="18"/>
      <x:c r="P75" s="18"/>
      <x:c r="Q75" s="18"/>
      <x:c r="R75" s="18"/>
      <x:c r="S75" s="18" t="n">
        <x:v>7.48</x:v>
      </x:c>
      <x:c r="T75" s="18" t="n">
        <x:v>1.18</x:v>
      </x:c>
      <x:c r="U75" s="18"/>
      <x:c r="V75" s="18"/>
      <x:c r="W75" s="18"/>
      <x:c r="X75" s="18"/>
      <x:c r="Y75" s="18" t="str">
        <x:v>pump attempts</x:v>
      </x:c>
      <x:c r="Z75" s="18" t="str">
        <x:v>&lt;0.001</x:v>
      </x:c>
      <x:c r="AA75" s="18" t="str">
        <x:v>MD</x:v>
      </x:c>
      <x:c r="AB75" s="18" t="n">
        <x:v>-2.9000000000000004</x:v>
      </x:c>
      <x:c r="AC75" s="18" t="str">
        <x:v>High</x:v>
      </x:c>
      <x:c r="AD75" s="18" t="n">
        <x:v>0</x:v>
      </x:c>
      <x:c r="AE75" s="18" t="n">
        <x:v>1</x:v>
      </x:c>
      <x:c r="AF75" s="18" t="n">
        <x:v>0</x:v>
      </x:c>
      <x:c r="AG75" s="18"/>
      <x:c r="AH75" s="18"/>
      <x:c r="AI75" s="18" t="str">
        <x:v>SENSITIVITY_MODEL</x:v>
      </x:c>
      <x:c r="AJ75" s="18"/>
      <x:c r="AK75" s="18"/>
      <x:c r="AL75" s="18" t="str">
        <x:v>No</x:v>
      </x:c>
      <x:c r="AM75" s="18" t="str">
        <x:v>Patient-generated behavior; active stimulation above sensory threshold, sham below threshold.</x:v>
      </x:c>
      <x:c r="AN75" s="18" t="str">
        <x:v>SOURCE-VERIFIED / AF-NORMALIZED / HIGH ROB</x:v>
      </x:c>
      <x:c r="AO75" s="18" t="str">
        <x:v>https://drive.google.com/file/d/1y0_cC1NCl5g2vYxDMOtYmxVA_YEE-rsR/view?usp=drivesdk</x:v>
      </x:c>
    </x:row>
    <x:row r="76">
      <x:c r="A76" s="18" t="str">
        <x:v>F-PCA-002</x:v>
      </x:c>
      <x:c r="B76" s="18" t="str">
        <x:v>F-PCA</x:v>
      </x:c>
      <x:c r="C76" s="18" t="str">
        <x:v>F_PCA_behavior</x:v>
      </x:c>
      <x:c r="D76" s="18" t="str">
        <x:v>He 2026 (hepatectomy/JIS)</x:v>
      </x:c>
      <x:c r="E76" s="18" t="str">
        <x:v>HEJIS26_TEAS_vs_CTRL_PCAATT24</x:v>
      </x:c>
      <x:c r="F76" s="18" t="str">
        <x:v>Intraoperative PC6 TEAS</x:v>
      </x:c>
      <x:c r="G76" s="18" t="str">
        <x:v>No-current PC6 control</x:v>
      </x:c>
      <x:c r="H76" s="18" t="str">
        <x:v>PCA attempts</x:v>
      </x:c>
      <x:c r="I76" s="18" t="str">
        <x:v>24 h</x:v>
      </x:c>
      <x:c r="J76" s="18" t="str">
        <x:v>Mean/SD</x:v>
      </x:c>
      <x:c r="K76" s="18" t="n">
        <x:v>80</x:v>
      </x:c>
      <x:c r="L76" s="18" t="n">
        <x:v>79</x:v>
      </x:c>
      <x:c r="M76" s="18" t="n">
        <x:v>2.7</x:v>
      </x:c>
      <x:c r="N76" s="18" t="n">
        <x:v>3.3</x:v>
      </x:c>
      <x:c r="O76" s="18"/>
      <x:c r="P76" s="18"/>
      <x:c r="Q76" s="18"/>
      <x:c r="R76" s="18"/>
      <x:c r="S76" s="18" t="n">
        <x:v>3.5</x:v>
      </x:c>
      <x:c r="T76" s="18" t="n">
        <x:v>6.1</x:v>
      </x:c>
      <x:c r="U76" s="18"/>
      <x:c r="V76" s="18"/>
      <x:c r="W76" s="18"/>
      <x:c r="X76" s="18"/>
      <x:c r="Y76" s="18" t="str">
        <x:v>attempts</x:v>
      </x:c>
      <x:c r="Z76" s="18" t="str">
        <x:v>0.02</x:v>
      </x:c>
      <x:c r="AA76" s="18" t="str">
        <x:v>MD</x:v>
      </x:c>
      <x:c r="AB76" s="18" t="n">
        <x:v>-0.7999999999999998</x:v>
      </x:c>
      <x:c r="AC76" s="18" t="str">
        <x:v>Some concerns</x:v>
      </x:c>
      <x:c r="AD76" s="18" t="n">
        <x:v>0</x:v>
      </x:c>
      <x:c r="AE76" s="18" t="n">
        <x:v>1</x:v>
      </x:c>
      <x:c r="AF76" s="18" t="n">
        <x:v>0</x:v>
      </x:c>
      <x:c r="AG76" s="18" t="str">
        <x:v>P1</x:v>
      </x:c>
      <x:c r="AH76" s="18" t="str">
        <x:v>RESOLVED_BY_PARTIAL_EXCLUSION</x:v>
      </x:c>
      <x:c r="AI76" s="18" t="str">
        <x:v>SENSITIVITY_MODEL</x:v>
      </x:c>
      <x:c r="AJ76" s="18"/>
      <x:c r="AK76" s="18"/>
      <x:c r="AL76" s="18" t="str">
        <x:v>No</x:v>
      </x:c>
      <x:c r="AM76" s="18" t="str">
        <x:v>Fewer attempts despite no difference in total MME</x:v>
      </x:c>
      <x:c r="AN76" s="18" t="str">
        <x:v>SOURCE-VERIFIED</x:v>
      </x:c>
      <x:c r="AO76" s="18" t="str">
        <x:v>https://drive.google.com/file/d/1VgOxIOrGe7ZVevkKEVP7G-0V1DXPU0Gf/view?usp=drivesdk</x:v>
      </x:c>
    </x:row>
    <x:row r="77">
      <x:c r="A77" s="18" t="str">
        <x:v>F-PCA-002</x:v>
      </x:c>
      <x:c r="B77" s="18" t="str">
        <x:v>F-PCA</x:v>
      </x:c>
      <x:c r="C77" s="18" t="str">
        <x:v>F_PCA_behavior</x:v>
      </x:c>
      <x:c r="D77" s="18" t="str">
        <x:v>He 2026 (hepatectomy/JIS)</x:v>
      </x:c>
      <x:c r="E77" s="18" t="str">
        <x:v>HEJIS26_TEAS_vs_CTRL_PCADELIV24</x:v>
      </x:c>
      <x:c r="F77" s="18" t="str">
        <x:v>Intraoperative PC6 TEAS</x:v>
      </x:c>
      <x:c r="G77" s="18" t="str">
        <x:v>No-current PC6 control</x:v>
      </x:c>
      <x:c r="H77" s="18" t="str">
        <x:v>Effective PCA deliveries</x:v>
      </x:c>
      <x:c r="I77" s="18" t="str">
        <x:v>24 h</x:v>
      </x:c>
      <x:c r="J77" s="18" t="str">
        <x:v>Mean/SD</x:v>
      </x:c>
      <x:c r="K77" s="18" t="n">
        <x:v>80</x:v>
      </x:c>
      <x:c r="L77" s="18" t="n">
        <x:v>79</x:v>
      </x:c>
      <x:c r="M77" s="18" t="n">
        <x:v>2.6</x:v>
      </x:c>
      <x:c r="N77" s="18" t="n">
        <x:v>3.3</x:v>
      </x:c>
      <x:c r="O77" s="18"/>
      <x:c r="P77" s="18"/>
      <x:c r="Q77" s="18"/>
      <x:c r="R77" s="18"/>
      <x:c r="S77" s="18" t="n">
        <x:v>3.5</x:v>
      </x:c>
      <x:c r="T77" s="18" t="n">
        <x:v>6</x:v>
      </x:c>
      <x:c r="U77" s="18"/>
      <x:c r="V77" s="18"/>
      <x:c r="W77" s="18"/>
      <x:c r="X77" s="18"/>
      <x:c r="Y77" s="18" t="str">
        <x:v>effective deliveries</x:v>
      </x:c>
      <x:c r="Z77" s="18" t="str">
        <x:v>0.02</x:v>
      </x:c>
      <x:c r="AA77" s="18" t="str">
        <x:v>MD</x:v>
      </x:c>
      <x:c r="AB77" s="18" t="n">
        <x:v>-0.9</x:v>
      </x:c>
      <x:c r="AC77" s="18" t="str">
        <x:v>Some concerns</x:v>
      </x:c>
      <x:c r="AD77" s="18" t="n">
        <x:v>0</x:v>
      </x:c>
      <x:c r="AE77" s="18" t="n">
        <x:v>1</x:v>
      </x:c>
      <x:c r="AF77" s="18" t="n">
        <x:v>0</x:v>
      </x:c>
      <x:c r="AG77" s="18" t="str">
        <x:v>P1</x:v>
      </x:c>
      <x:c r="AH77" s="18" t="str">
        <x:v>RESOLVED_BY_PARTIAL_EXCLUSION</x:v>
      </x:c>
      <x:c r="AI77" s="18" t="str">
        <x:v>SENSITIVITY_MODEL</x:v>
      </x:c>
      <x:c r="AJ77" s="18"/>
      <x:c r="AK77" s="18"/>
      <x:c r="AL77" s="18" t="str">
        <x:v>No</x:v>
      </x:c>
      <x:c r="AM77" s="18" t="str">
        <x:v>PCA contains sufentanil + oxycodone; delivery count is not a single-opioid dose. 48-h counters remain P1 unresolved.</x:v>
      </x:c>
      <x:c r="AN77" s="18" t="str">
        <x:v>SOURCE-VERIFIED / AF-NORMALIZED</x:v>
      </x:c>
      <x:c r="AO77" s="18" t="str">
        <x:v>https://drive.google.com/file/d/1VgOxIOrGe7ZVevkKEVP7G-0V1DXPU0Gf/view?usp=drivesdk</x:v>
      </x:c>
    </x:row>
    <x:row r="78">
      <x:c r="A78" s="18" t="str">
        <x:v>F-PCA-003</x:v>
      </x:c>
      <x:c r="B78" s="18" t="str">
        <x:v>F-PCA</x:v>
      </x:c>
      <x:c r="C78" s="18" t="str">
        <x:v>F_PCA_behavior</x:v>
      </x:c>
      <x:c r="D78" s="18" t="str">
        <x:v>Ao 2021</x:v>
      </x:c>
      <x:c r="E78" s="18" t="str">
        <x:v>AO21_TEAS_vs_SHAM_PCA48</x:v>
      </x:c>
      <x:c r="F78" s="18" t="str">
        <x:v>Repeated perioperative TEAS</x:v>
      </x:c>
      <x:c r="G78" s="18" t="str">
        <x:v>Sham/no current</x:v>
      </x:c>
      <x:c r="H78" s="18" t="str">
        <x:v>Cumulative PCA solution consumption</x:v>
      </x:c>
      <x:c r="I78" s="18" t="str">
        <x:v>48 h</x:v>
      </x:c>
      <x:c r="J78" s="18" t="str">
        <x:v>Mean/SD</x:v>
      </x:c>
      <x:c r="K78" s="18" t="n">
        <x:v>32</x:v>
      </x:c>
      <x:c r="L78" s="18" t="n">
        <x:v>33</x:v>
      </x:c>
      <x:c r="M78" s="18" t="n">
        <x:v>102.8</x:v>
      </x:c>
      <x:c r="N78" s="18" t="n">
        <x:v>7.4</x:v>
      </x:c>
      <x:c r="O78" s="18"/>
      <x:c r="P78" s="18"/>
      <x:c r="Q78" s="18"/>
      <x:c r="R78" s="18"/>
      <x:c r="S78" s="18" t="n">
        <x:v>120.6</x:v>
      </x:c>
      <x:c r="T78" s="18" t="n">
        <x:v>9.2</x:v>
      </x:c>
      <x:c r="U78" s="18"/>
      <x:c r="V78" s="18"/>
      <x:c r="W78" s="18"/>
      <x:c r="X78" s="18"/>
      <x:c r="Y78" s="18" t="str">
        <x:v>mL PCA solution</x:v>
      </x:c>
      <x:c r="Z78" s="18" t="str">
        <x:v>NR</x:v>
      </x:c>
      <x:c r="AA78" s="18" t="str">
        <x:v>MD</x:v>
      </x:c>
      <x:c r="AB78" s="18" t="n">
        <x:v>-17.799999999999997</x:v>
      </x:c>
      <x:c r="AC78" s="18" t="str">
        <x:v>Some concerns</x:v>
      </x:c>
      <x:c r="AD78" s="18" t="n">
        <x:v>0</x:v>
      </x:c>
      <x:c r="AE78" s="18" t="n">
        <x:v>1</x:v>
      </x:c>
      <x:c r="AF78" s="18" t="n">
        <x:v>0</x:v>
      </x:c>
      <x:c r="AG78" s="18"/>
      <x:c r="AH78" s="18"/>
      <x:c r="AI78" s="18" t="str">
        <x:v>SENSITIVITY_MODEL</x:v>
      </x:c>
      <x:c r="AJ78" s="18"/>
      <x:c r="AK78" s="18"/>
      <x:c r="AL78" s="18" t="str">
        <x:v>No</x:v>
      </x:c>
      <x:c r="AM78" s="18" t="str">
        <x:v>Exact 24-h sufentanil total is not reported; the earlier 24-h VAS row is graph-digitized and remains derived.</x:v>
      </x:c>
      <x:c r="AN78" s="18" t="str">
        <x:v>SOURCE-VERIFIED / 48H ONLY</x:v>
      </x:c>
      <x:c r="AO78" s="18" t="str">
        <x:v>https://drive.google.com/file/d/1tNFnY0fJpx53hrtY4DIaE1RsNjE55Xvd/view?usp=drivesdk</x:v>
      </x:c>
    </x:row>
    <x:row r="79">
      <x:c r="A79" s="18" t="str">
        <x:v>F-PCA-004</x:v>
      </x:c>
      <x:c r="B79" s="18" t="str">
        <x:v>F-PCA</x:v>
      </x:c>
      <x:c r="C79" s="18" t="str">
        <x:v>F_PCA_behavior</x:v>
      </x:c>
      <x:c r="D79" s="18" t="str">
        <x:v>Liu 2021</x:v>
      </x:c>
      <x:c r="E79" s="18" t="str">
        <x:v>LIU21_TEAS_vs_CTRL_PCAPRESS24</x:v>
      </x:c>
      <x:c r="F79" s="18" t="str">
        <x:v>Perioperative TEAS</x:v>
      </x:c>
      <x:c r="G79" s="18" t="str">
        <x:v>Electrodes/no current</x:v>
      </x:c>
      <x:c r="H79" s="18" t="str">
        <x:v>PCA pump compressions</x:v>
      </x:c>
      <x:c r="I79" s="18" t="str">
        <x:v>0-24 h</x:v>
      </x:c>
      <x:c r="J79" s="18" t="str">
        <x:v>Mean/SD</x:v>
      </x:c>
      <x:c r="K79" s="18" t="n">
        <x:v>50</x:v>
      </x:c>
      <x:c r="L79" s="18" t="n">
        <x:v>50</x:v>
      </x:c>
      <x:c r="M79" s="18" t="n">
        <x:v>17.62</x:v>
      </x:c>
      <x:c r="N79" s="18" t="n">
        <x:v>2.687</x:v>
      </x:c>
      <x:c r="O79" s="18"/>
      <x:c r="P79" s="18"/>
      <x:c r="Q79" s="18"/>
      <x:c r="R79" s="18"/>
      <x:c r="S79" s="18" t="n">
        <x:v>17.38</x:v>
      </x:c>
      <x:c r="T79" s="18" t="n">
        <x:v>3.801</x:v>
      </x:c>
      <x:c r="U79" s="18"/>
      <x:c r="V79" s="18"/>
      <x:c r="W79" s="18"/>
      <x:c r="X79" s="18"/>
      <x:c r="Y79" s="18" t="str">
        <x:v>presses</x:v>
      </x:c>
      <x:c r="Z79" s="18" t="str">
        <x:v>0.716</x:v>
      </x:c>
      <x:c r="AA79" s="18" t="str">
        <x:v>MD</x:v>
      </x:c>
      <x:c r="AB79" s="18" t="n">
        <x:v>0.240000000000002</x:v>
      </x:c>
      <x:c r="AC79" s="18" t="str">
        <x:v>High</x:v>
      </x:c>
      <x:c r="AD79" s="18" t="n">
        <x:v>0</x:v>
      </x:c>
      <x:c r="AE79" s="18" t="n">
        <x:v>1</x:v>
      </x:c>
      <x:c r="AF79" s="18" t="n">
        <x:v>0</x:v>
      </x:c>
      <x:c r="AG79" s="18"/>
      <x:c r="AH79" s="18"/>
      <x:c r="AI79" s="18" t="str">
        <x:v>SENSITIVITY_MODEL</x:v>
      </x:c>
      <x:c r="AJ79" s="18"/>
      <x:c r="AK79" s="18"/>
      <x:c r="AL79" s="18" t="str">
        <x:v>No</x:v>
      </x:c>
      <x:c r="AM79" s="18" t="str">
        <x:v>Compressions may represent demands rather than successful boluses; do not convert to sufentanil mass</x:v>
      </x:c>
      <x:c r="AN79" s="18" t="str">
        <x:v>SOURCE-VERIFIED / DOSE NOT RECONSTRUCTABLE</x:v>
      </x:c>
      <x:c r="AO79" s="18" t="str">
        <x:v>https://drive.google.com/file/d/1TA4BstaUWY3EdQbDNEvvGxF35ekGanrm/view?usp=drivesdk</x:v>
      </x:c>
    </x:row>
    <x:row r="80">
      <x:c r="A80" s="18" t="str">
        <x:v>F-PCA-005</x:v>
      </x:c>
      <x:c r="B80" s="18" t="str">
        <x:v>F-PCA</x:v>
      </x:c>
      <x:c r="C80" s="18" t="str">
        <x:v>F_PCA_behavior</x:v>
      </x:c>
      <x:c r="D80" s="18" t="str">
        <x:v>Long 2025</x:v>
      </x:c>
      <x:c r="E80" s="18" t="str">
        <x:v>LONG25_TEAS_vs_CTRL_PCIAPRESS48</x:v>
      </x:c>
      <x:c r="F80" s="18" t="str">
        <x:v>Perioperative electrical acupoint stimulation</x:v>
      </x:c>
      <x:c r="G80" s="18" t="str">
        <x:v>Electrodes/no current</x:v>
      </x:c>
      <x:c r="H80" s="18" t="str">
        <x:v>PCIA compression count</x:v>
      </x:c>
      <x:c r="I80" s="18" t="str">
        <x:v>48 h</x:v>
      </x:c>
      <x:c r="J80" s="18" t="str">
        <x:v>Mean/SD</x:v>
      </x:c>
      <x:c r="K80" s="18" t="n">
        <x:v>27</x:v>
      </x:c>
      <x:c r="L80" s="18" t="n">
        <x:v>26</x:v>
      </x:c>
      <x:c r="M80" s="18" t="n">
        <x:v>7.11</x:v>
      </x:c>
      <x:c r="N80" s="18" t="n">
        <x:v>2.14</x:v>
      </x:c>
      <x:c r="O80" s="18"/>
      <x:c r="P80" s="18"/>
      <x:c r="Q80" s="18"/>
      <x:c r="R80" s="18"/>
      <x:c r="S80" s="18" t="n">
        <x:v>8.62</x:v>
      </x:c>
      <x:c r="T80" s="18" t="n">
        <x:v>1.84</x:v>
      </x:c>
      <x:c r="U80" s="18"/>
      <x:c r="V80" s="18"/>
      <x:c r="W80" s="18"/>
      <x:c r="X80" s="18"/>
      <x:c r="Y80" s="18" t="str">
        <x:v>presses</x:v>
      </x:c>
      <x:c r="Z80" s="18" t="str">
        <x:v>0.008</x:v>
      </x:c>
      <x:c r="AA80" s="18" t="str">
        <x:v>MD</x:v>
      </x:c>
      <x:c r="AB80" s="18" t="n">
        <x:v>-1.509999999999999</x:v>
      </x:c>
      <x:c r="AC80" s="18" t="str">
        <x:v>High</x:v>
      </x:c>
      <x:c r="AD80" s="18" t="n">
        <x:v>0</x:v>
      </x:c>
      <x:c r="AE80" s="18" t="n">
        <x:v>1</x:v>
      </x:c>
      <x:c r="AF80" s="18" t="n">
        <x:v>0</x:v>
      </x:c>
      <x:c r="AG80" s="18"/>
      <x:c r="AH80" s="18"/>
      <x:c r="AI80" s="18" t="str">
        <x:v>SENSITIVITY_MODEL</x:v>
      </x:c>
      <x:c r="AJ80" s="18"/>
      <x:c r="AK80" s="18"/>
      <x:c r="AL80" s="18" t="str">
        <x:v>No</x:v>
      </x:c>
      <x:c r="AM80" s="18" t="str">
        <x:v>Do not translate compression count into delivered sufentanil mass</x:v>
      </x:c>
      <x:c r="AN80" s="18" t="str">
        <x:v>SOURCE-VERIFIED</x:v>
      </x:c>
      <x:c r="AO80" s="18" t="str">
        <x:v>https://drive.google.com/file/d/1LDqtQLq9-kZLP0Vv_G3iiK8QKjy4pRXP/view?usp=drivesdk</x:v>
      </x:c>
    </x:row>
    <x:row r="81">
      <x:c r="A81" s="18" t="str">
        <x:v>F-PCA-006</x:v>
      </x:c>
      <x:c r="B81" s="18" t="str">
        <x:v>F-PCA</x:v>
      </x:c>
      <x:c r="C81" s="18" t="str">
        <x:v>F_PCA_behavior</x:v>
      </x:c>
      <x:c r="D81" s="18" t="str">
        <x:v>Zheng 2025</x:v>
      </x:c>
      <x:c r="E81" s="18" t="str">
        <x:v>ZHENG25_TEAS_vs_SHAM_PCA_PRESS</x:v>
      </x:c>
      <x:c r="F81" s="18" t="str">
        <x:v>Perioperative TEAS</x:v>
      </x:c>
      <x:c r="G81" s="18" t="str">
        <x:v>Sham/no current</x:v>
      </x:c>
      <x:c r="H81" s="18" t="str">
        <x:v>Total PCIA button presses</x:v>
      </x:c>
      <x:c r="I81" s="18" t="str">
        <x:v>Postoperative; exact pump duration NR</x:v>
      </x:c>
      <x:c r="J81" s="18" t="str">
        <x:v>Mean/SD</x:v>
      </x:c>
      <x:c r="K81" s="18" t="n">
        <x:v>42</x:v>
      </x:c>
      <x:c r="L81" s="18" t="n">
        <x:v>43</x:v>
      </x:c>
      <x:c r="M81" s="18" t="n">
        <x:v>6.3</x:v>
      </x:c>
      <x:c r="N81" s="18" t="n">
        <x:v>2.2</x:v>
      </x:c>
      <x:c r="O81" s="18"/>
      <x:c r="P81" s="18"/>
      <x:c r="Q81" s="18"/>
      <x:c r="R81" s="18"/>
      <x:c r="S81" s="18" t="n">
        <x:v>10.7</x:v>
      </x:c>
      <x:c r="T81" s="18" t="n">
        <x:v>3.9</x:v>
      </x:c>
      <x:c r="U81" s="18"/>
      <x:c r="V81" s="18"/>
      <x:c r="W81" s="18"/>
      <x:c r="X81" s="18"/>
      <x:c r="Y81" s="18" t="str">
        <x:v>presses</x:v>
      </x:c>
      <x:c r="Z81" s="18" t="str">
        <x:v>0.004</x:v>
      </x:c>
      <x:c r="AA81" s="18" t="str">
        <x:v>MD</x:v>
      </x:c>
      <x:c r="AB81" s="18" t="n">
        <x:v>-4.3999999999999995</x:v>
      </x:c>
      <x:c r="AC81" s="18" t="str">
        <x:v>Some concerns</x:v>
      </x:c>
      <x:c r="AD81" s="18" t="n">
        <x:v>0</x:v>
      </x:c>
      <x:c r="AE81" s="18" t="n">
        <x:v>0</x:v>
      </x:c>
      <x:c r="AF81" s="18" t="n">
        <x:v>1</x:v>
      </x:c>
      <x:c r="AG81" s="18" t="str">
        <x:v>P1</x:v>
      </x:c>
      <x:c r="AH81" s="18" t="str">
        <x:v>RESOLVED_BY_EXCLUSION</x:v>
      </x:c>
      <x:c r="AI81" s="18" t="str">
        <x:v>EXCLUDE_OR_NARRATIVE</x:v>
      </x:c>
      <x:c r="AJ81" s="18"/>
      <x:c r="AK81" s="18" t="str">
        <x:v>UNRESOLVED window</x:v>
      </x:c>
      <x:c r="AL81" s="18" t="str">
        <x:v>No</x:v>
      </x:c>
      <x:c r="AM81" s="18" t="str">
        <x:v>PCIA final volume/concentration is NR, so presses cannot be converted to sufentanil mass</x:v>
      </x:c>
      <x:c r="AN81" s="18" t="str">
        <x:v>SOURCE-VERIFIED / DOSE NOT RECONSTRUCTABLE</x:v>
      </x:c>
      <x:c r="AO81" s="18" t="str">
        <x:v>https://drive.google.com/file/d/1-JWKZgQXaQQQBZgMSDqyIP-vG9aAxBqb/view?usp=drivesdk</x:v>
      </x:c>
    </x:row>
    <x:row r="82">
      <x:c r="A82" s="18" t="str">
        <x:v>F-PCA-007</x:v>
      </x:c>
      <x:c r="B82" s="18" t="str">
        <x:v>F-PCA</x:v>
      </x:c>
      <x:c r="C82" s="18" t="str">
        <x:v>F_PCA_behavior</x:v>
      </x:c>
      <x:c r="D82" s="18" t="str">
        <x:v>Jin 2023</x:v>
      </x:c>
      <x:c r="E82" s="18" t="str">
        <x:v>JIN23_2HZ_vs_SHAM_NAPC48</x:v>
      </x:c>
      <x:c r="F82" s="18" t="str">
        <x:v>2-Hz postoperative EA</x:v>
      </x:c>
      <x:c r="G82" s="18" t="str">
        <x:v>Sham nonpenetrating EA/no current</x:v>
      </x:c>
      <x:c r="H82" s="18" t="str">
        <x:v>Cumulative analgesic pump compressions</x:v>
      </x:c>
      <x:c r="I82" s="18" t="str">
        <x:v>48 h</x:v>
      </x:c>
      <x:c r="J82" s="18" t="str">
        <x:v>Median/IQR</x:v>
      </x:c>
      <x:c r="K82" s="18" t="n">
        <x:v>53</x:v>
      </x:c>
      <x:c r="L82" s="18" t="n">
        <x:v>52</x:v>
      </x:c>
      <x:c r="M82" s="18"/>
      <x:c r="N82" s="18"/>
      <x:c r="O82" s="18" t="n">
        <x:v>1</x:v>
      </x:c>
      <x:c r="P82" s="18" t="n">
        <x:v>0</x:v>
      </x:c>
      <x:c r="Q82" s="18" t="n">
        <x:v>3</x:v>
      </x:c>
      <x:c r="R82" s="18"/>
      <x:c r="S82" s="18"/>
      <x:c r="T82" s="18"/>
      <x:c r="U82" s="18" t="n">
        <x:v>9</x:v>
      </x:c>
      <x:c r="V82" s="18" t="n">
        <x:v>4.3</x:v>
      </x:c>
      <x:c r="W82" s="18" t="n">
        <x:v>12</x:v>
      </x:c>
      <x:c r="X82" s="18"/>
      <x:c r="Y82" s="18" t="str">
        <x:v>pump compressions</x:v>
      </x:c>
      <x:c r="Z82" s="18" t="str">
        <x:v>&lt;0.001 vs sham</x:v>
      </x:c>
      <x:c r="AA82" s="18"/>
      <x:c r="AB82" s="18"/>
      <x:c r="AC82" s="18" t="str">
        <x:v>Some concerns</x:v>
      </x:c>
      <x:c r="AD82" s="18" t="n">
        <x:v>0</x:v>
      </x:c>
      <x:c r="AE82" s="18" t="n">
        <x:v>1</x:v>
      </x:c>
      <x:c r="AF82" s="18" t="n">
        <x:v>0</x:v>
      </x:c>
      <x:c r="AG82" s="18"/>
      <x:c r="AH82" s="18"/>
      <x:c r="AI82" s="18" t="str">
        <x:v>SENSITIVITY_MODEL</x:v>
      </x:c>
      <x:c r="AJ82" s="18"/>
      <x:c r="AK82" s="18"/>
      <x:c r="AL82" s="18" t="str">
        <x:v>Yes</x:v>
      </x:c>
      <x:c r="AM82" s="18" t="str">
        <x:v>174 randomized but outcome tables use only 158 completers; dropout reasons include 'unsatisfactory effects' despite ITT terminology</x:v>
      </x:c>
      <x:c r="AN82" s="18" t="str">
        <x:v>SOURCE-VERIFIED / COMPLETE-CASE + MULTI-ARM QC</x:v>
      </x:c>
      <x:c r="AO82" s="18" t="str">
        <x:v>https://drive.google.com/file/d/1fkNAFra0gZ9jkWkzp_S0TWy-5zVrXCtj/view?usp=drivesdk</x:v>
      </x:c>
    </x:row>
    <x:row r="83">
      <x:c r="A83" s="18" t="str">
        <x:v>F-PCA-007</x:v>
      </x:c>
      <x:c r="B83" s="18" t="str">
        <x:v>F-PCA</x:v>
      </x:c>
      <x:c r="C83" s="18" t="str">
        <x:v>F_PCA_behavior</x:v>
      </x:c>
      <x:c r="D83" s="18" t="str">
        <x:v>Jin 2023</x:v>
      </x:c>
      <x:c r="E83" s="18" t="str">
        <x:v>JIN23_20100_vs_SHAM_NAPC48</x:v>
      </x:c>
      <x:c r="F83" s="18" t="str">
        <x:v>20/100-Hz postoperative EA</x:v>
      </x:c>
      <x:c r="G83" s="18" t="str">
        <x:v>Sham nonpenetrating EA/no current</x:v>
      </x:c>
      <x:c r="H83" s="18" t="str">
        <x:v>Cumulative analgesic pump compressions</x:v>
      </x:c>
      <x:c r="I83" s="18" t="str">
        <x:v>48 h</x:v>
      </x:c>
      <x:c r="J83" s="18" t="str">
        <x:v>Median/IQR</x:v>
      </x:c>
      <x:c r="K83" s="18" t="n">
        <x:v>53</x:v>
      </x:c>
      <x:c r="L83" s="18" t="n">
        <x:v>52</x:v>
      </x:c>
      <x:c r="M83" s="18"/>
      <x:c r="N83" s="18"/>
      <x:c r="O83" s="18" t="n">
        <x:v>1</x:v>
      </x:c>
      <x:c r="P83" s="18" t="n">
        <x:v>0</x:v>
      </x:c>
      <x:c r="Q83" s="18" t="n">
        <x:v>4.5</x:v>
      </x:c>
      <x:c r="R83" s="18"/>
      <x:c r="S83" s="18"/>
      <x:c r="T83" s="18"/>
      <x:c r="U83" s="18" t="n">
        <x:v>9</x:v>
      </x:c>
      <x:c r="V83" s="18" t="n">
        <x:v>4.3</x:v>
      </x:c>
      <x:c r="W83" s="18" t="n">
        <x:v>12</x:v>
      </x:c>
      <x:c r="X83" s="18"/>
      <x:c r="Y83" s="18" t="str">
        <x:v>pump compressions</x:v>
      </x:c>
      <x:c r="Z83" s="18" t="str">
        <x:v>&lt;0.001 vs sham</x:v>
      </x:c>
      <x:c r="AA83" s="18"/>
      <x:c r="AB83" s="18"/>
      <x:c r="AC83" s="18" t="str">
        <x:v>Some concerns</x:v>
      </x:c>
      <x:c r="AD83" s="18" t="n">
        <x:v>0</x:v>
      </x:c>
      <x:c r="AE83" s="18" t="n">
        <x:v>1</x:v>
      </x:c>
      <x:c r="AF83" s="18" t="n">
        <x:v>0</x:v>
      </x:c>
      <x:c r="AG83" s="18"/>
      <x:c r="AH83" s="18"/>
      <x:c r="AI83" s="18" t="str">
        <x:v>SENSITIVITY_MODEL</x:v>
      </x:c>
      <x:c r="AJ83" s="18"/>
      <x:c r="AK83" s="18"/>
      <x:c r="AL83" s="18" t="str">
        <x:v>Yes</x:v>
      </x:c>
      <x:c r="AM83" s="18" t="str">
        <x:v>174 randomized but outcome tables use only 158 completers; dropout reasons include 'unsatisfactory effects' despite ITT terminology</x:v>
      </x:c>
      <x:c r="AN83" s="18" t="str">
        <x:v>SOURCE-VERIFIED / COMPLETE-CASE + MULTI-ARM QC</x:v>
      </x:c>
      <x:c r="AO83" s="18" t="str">
        <x:v>https://drive.google.com/file/d/1fkNAFra0gZ9jkWkzp_S0TWy-5zVrXCtj/view?usp=drivesdk</x:v>
      </x:c>
    </x:row>
    <x:row r="84">
      <x:c r="A84" s="18" t="str">
        <x:v>F-PCA-008</x:v>
      </x:c>
      <x:c r="B84" s="18" t="str">
        <x:v>F-PCA</x:v>
      </x:c>
      <x:c r="C84" s="18" t="str">
        <x:v>F_PCA_behavior</x:v>
      </x:c>
      <x:c r="D84" s="18" t="str">
        <x:v>Lee 2011</x:v>
      </x:c>
      <x:c r="E84" s="18" t="str">
        <x:v>LEE11_LOW_vs_SHAM_PCADEMAND24</x:v>
      </x:c>
      <x:c r="F84" s="18" t="str">
        <x:v>Low-frequency dense-sparse SSP</x:v>
      </x:c>
      <x:c r="G84" s="18" t="str">
        <x:v>Sham SSP</x:v>
      </x:c>
      <x:c r="H84" s="18" t="str">
        <x:v>Total PCA demands</x:v>
      </x:c>
      <x:c r="I84" s="18" t="str">
        <x:v>0-24 h</x:v>
      </x:c>
      <x:c r="J84" s="18" t="str">
        <x:v>Mean/SD</x:v>
      </x:c>
      <x:c r="K84" s="18" t="n">
        <x:v>10</x:v>
      </x:c>
      <x:c r="L84" s="18" t="n">
        <x:v>12</x:v>
      </x:c>
      <x:c r="M84" s="18" t="n">
        <x:v>41.6</x:v>
      </x:c>
      <x:c r="N84" s="18" t="n">
        <x:v>36.47</x:v>
      </x:c>
      <x:c r="O84" s="18"/>
      <x:c r="P84" s="18"/>
      <x:c r="Q84" s="18"/>
      <x:c r="R84" s="18"/>
      <x:c r="S84" s="18" t="n">
        <x:v>74.18</x:v>
      </x:c>
      <x:c r="T84" s="18" t="n">
        <x:v>39.33</x:v>
      </x:c>
      <x:c r="U84" s="18"/>
      <x:c r="V84" s="18"/>
      <x:c r="W84" s="18"/>
      <x:c r="X84" s="18"/>
      <x:c r="Y84" s="18" t="str">
        <x:v>PCA demands</x:v>
      </x:c>
      <x:c r="Z84" s="18" t="str">
        <x:v>Direct active-vs-sham pairwise P not reported</x:v>
      </x:c>
      <x:c r="AA84" s="18" t="str">
        <x:v>MD</x:v>
      </x:c>
      <x:c r="AB84" s="18" t="n">
        <x:v>-32.580000000000005</x:v>
      </x:c>
      <x:c r="AC84" s="18" t="str">
        <x:v>Some concerns</x:v>
      </x:c>
      <x:c r="AD84" s="18" t="n">
        <x:v>0</x:v>
      </x:c>
      <x:c r="AE84" s="18" t="n">
        <x:v>1</x:v>
      </x:c>
      <x:c r="AF84" s="18" t="n">
        <x:v>0</x:v>
      </x:c>
      <x:c r="AG84" s="18" t="str">
        <x:v>P2</x:v>
      </x:c>
      <x:c r="AH84" s="18"/>
      <x:c r="AI84" s="18" t="str">
        <x:v>SENSITIVITY_MODEL</x:v>
      </x:c>
      <x:c r="AJ84" s="18"/>
      <x:c r="AK84" s="18"/>
      <x:c r="AL84" s="18" t="str">
        <x:v>Yes</x:v>
      </x:c>
      <x:c r="AM84" s="18" t="str">
        <x:v>Four-arm study; preserve shared sham control. Two low-frequency participants excluded.</x:v>
      </x:c>
      <x:c r="AN84" s="18" t="str">
        <x:v>SOURCE-VERIFIED / AF-NORMALIZED</x:v>
      </x:c>
      <x:c r="AO84" s="18" t="str">
        <x:v>https://drive.google.com/file/d/1kQDSBtx3OpFOsim5oUMwhpfHOqaMy8Q9/view?usp=drivesdk</x:v>
      </x:c>
    </x:row>
    <x:row r="85">
      <x:c r="A85" s="18" t="str">
        <x:v>F-PCA-008</x:v>
      </x:c>
      <x:c r="B85" s="18" t="str">
        <x:v>F-PCA</x:v>
      </x:c>
      <x:c r="C85" s="18" t="str">
        <x:v>F_PCA_behavior</x:v>
      </x:c>
      <x:c r="D85" s="18" t="str">
        <x:v>Lee 2011</x:v>
      </x:c>
      <x:c r="E85" s="18" t="str">
        <x:v>LEE11_HIGH_vs_SHAM_PCADEMAND24</x:v>
      </x:c>
      <x:c r="F85" s="18" t="str">
        <x:v>100-Hz SSP</x:v>
      </x:c>
      <x:c r="G85" s="18" t="str">
        <x:v>Sham SSP</x:v>
      </x:c>
      <x:c r="H85" s="18" t="str">
        <x:v>Total PCA demands</x:v>
      </x:c>
      <x:c r="I85" s="18" t="str">
        <x:v>0-24 h</x:v>
      </x:c>
      <x:c r="J85" s="18" t="str">
        <x:v>Mean/SD</x:v>
      </x:c>
      <x:c r="K85" s="18" t="n">
        <x:v>12</x:v>
      </x:c>
      <x:c r="L85" s="18" t="n">
        <x:v>12</x:v>
      </x:c>
      <x:c r="M85" s="18" t="n">
        <x:v>52.17</x:v>
      </x:c>
      <x:c r="N85" s="18" t="n">
        <x:v>21.87</x:v>
      </x:c>
      <x:c r="O85" s="18"/>
      <x:c r="P85" s="18"/>
      <x:c r="Q85" s="18"/>
      <x:c r="R85" s="18"/>
      <x:c r="S85" s="18" t="n">
        <x:v>74.18</x:v>
      </x:c>
      <x:c r="T85" s="18" t="n">
        <x:v>39.33</x:v>
      </x:c>
      <x:c r="U85" s="18"/>
      <x:c r="V85" s="18"/>
      <x:c r="W85" s="18"/>
      <x:c r="X85" s="18"/>
      <x:c r="Y85" s="18" t="str">
        <x:v>PCA demands</x:v>
      </x:c>
      <x:c r="Z85" s="18" t="str">
        <x:v>Direct active-vs-sham pairwise P not reported</x:v>
      </x:c>
      <x:c r="AA85" s="18" t="str">
        <x:v>MD</x:v>
      </x:c>
      <x:c r="AB85" s="18" t="n">
        <x:v>-22.010000000000005</x:v>
      </x:c>
      <x:c r="AC85" s="18" t="str">
        <x:v>Some concerns</x:v>
      </x:c>
      <x:c r="AD85" s="18" t="n">
        <x:v>0</x:v>
      </x:c>
      <x:c r="AE85" s="18" t="n">
        <x:v>1</x:v>
      </x:c>
      <x:c r="AF85" s="18" t="n">
        <x:v>0</x:v>
      </x:c>
      <x:c r="AG85" s="18" t="str">
        <x:v>P2</x:v>
      </x:c>
      <x:c r="AH85" s="18"/>
      <x:c r="AI85" s="18" t="str">
        <x:v>SENSITIVITY_MODEL</x:v>
      </x:c>
      <x:c r="AJ85" s="18"/>
      <x:c r="AK85" s="18"/>
      <x:c r="AL85" s="18" t="str">
        <x:v>Yes</x:v>
      </x:c>
      <x:c r="AM85" s="18" t="str">
        <x:v>Four-arm study; preserve shared sham control. Two low-frequency participants excluded.</x:v>
      </x:c>
      <x:c r="AN85" s="18" t="str">
        <x:v>SOURCE-VERIFIED / AF-NORMALIZED</x:v>
      </x:c>
      <x:c r="AO85" s="18" t="str">
        <x:v>https://drive.google.com/file/d/1kQDSBtx3OpFOsim5oUMwhpfHOqaMy8Q9/view?usp=drivesdk</x:v>
      </x:c>
    </x:row>
    <x:row r="86">
      <x:c r="A86" s="18" t="str">
        <x:v>F-PCA-009</x:v>
      </x:c>
      <x:c r="B86" s="18" t="str">
        <x:v>F-PCA</x:v>
      </x:c>
      <x:c r="C86" s="18" t="str">
        <x:v>F_PCA_behavior</x:v>
      </x:c>
      <x:c r="D86" s="18" t="str">
        <x:v>Lu 2022</x:v>
      </x:c>
      <x:c r="E86" s="18" t="str">
        <x:v>LU22_TEAS_vs_CTRL_PCAATTEMPT24</x:v>
      </x:c>
      <x:c r="F86" s="18" t="str">
        <x:v>TEAS + ERAS</x:v>
      </x:c>
      <x:c r="G86" s="18" t="str">
        <x:v>No-current control + ERAS</x:v>
      </x:c>
      <x:c r="H86" s="18" t="str">
        <x:v>PCA attempts</x:v>
      </x:c>
      <x:c r="I86" s="18" t="str">
        <x:v>24 h</x:v>
      </x:c>
      <x:c r="J86" s="18" t="str">
        <x:v>Median/IQR</x:v>
      </x:c>
      <x:c r="K86" s="18" t="n">
        <x:v>47</x:v>
      </x:c>
      <x:c r="L86" s="18" t="n">
        <x:v>47</x:v>
      </x:c>
      <x:c r="M86" s="18"/>
      <x:c r="N86" s="18"/>
      <x:c r="O86" s="18" t="n">
        <x:v>8</x:v>
      </x:c>
      <x:c r="P86" s="18" t="n">
        <x:v>3</x:v>
      </x:c>
      <x:c r="Q86" s="18" t="n">
        <x:v>18</x:v>
      </x:c>
      <x:c r="R86" s="18"/>
      <x:c r="S86" s="18"/>
      <x:c r="T86" s="18"/>
      <x:c r="U86" s="18" t="n">
        <x:v>16.5</x:v>
      </x:c>
      <x:c r="V86" s="18" t="n">
        <x:v>8</x:v>
      </x:c>
      <x:c r="W86" s="18" t="n">
        <x:v>38</x:v>
      </x:c>
      <x:c r="X86" s="18"/>
      <x:c r="Y86" s="18" t="str">
        <x:v>attempts</x:v>
      </x:c>
      <x:c r="Z86" s="18" t="str">
        <x:v>0.001</x:v>
      </x:c>
      <x:c r="AA86" s="18"/>
      <x:c r="AB86" s="18"/>
      <x:c r="AC86" s="18" t="str">
        <x:v>High</x:v>
      </x:c>
      <x:c r="AD86" s="18" t="n">
        <x:v>0</x:v>
      </x:c>
      <x:c r="AE86" s="18" t="n">
        <x:v>1</x:v>
      </x:c>
      <x:c r="AF86" s="18" t="n">
        <x:v>0</x:v>
      </x:c>
      <x:c r="AG86" s="18" t="str">
        <x:v>P2</x:v>
      </x:c>
      <x:c r="AH86" s="18"/>
      <x:c r="AI86" s="18" t="str">
        <x:v>SENSITIVITY_MODEL</x:v>
      </x:c>
      <x:c r="AJ86" s="18"/>
      <x:c r="AK86" s="18"/>
      <x:c r="AL86" s="18" t="str">
        <x:v>No</x:v>
      </x:c>
      <x:c r="AM86" s="18" t="str">
        <x:v>PCA drug, bolus dose, concentration, basal infusion and lockout are not reported</x:v>
      </x:c>
      <x:c r="AN86" s="18" t="str">
        <x:v>SOURCE-VERIFIED / DOSE NOT RECONSTRUCTABLE</x:v>
      </x:c>
      <x:c r="AO86" s="18" t="str">
        <x:v>https://drive.google.com/file/d/12Y86huNMuLC8cPH-L2vwlEd7r1X1Qela/view?usp=drivesdk</x:v>
      </x:c>
    </x:row>
    <x:row r="87">
      <x:c r="A87" s="18" t="str">
        <x:v>F-PCA-009</x:v>
      </x:c>
      <x:c r="B87" s="18" t="str">
        <x:v>F-PCA</x:v>
      </x:c>
      <x:c r="C87" s="18" t="str">
        <x:v>F_PCA_behavior</x:v>
      </x:c>
      <x:c r="D87" s="18" t="str">
        <x:v>Lu 2022</x:v>
      </x:c>
      <x:c r="E87" s="18" t="str">
        <x:v>LU22_TEAS_vs_CTRL_PCADELIV24</x:v>
      </x:c>
      <x:c r="F87" s="18" t="str">
        <x:v>TEAS + ERAS</x:v>
      </x:c>
      <x:c r="G87" s="18" t="str">
        <x:v>No-current control + ERAS</x:v>
      </x:c>
      <x:c r="H87" s="18" t="str">
        <x:v>Successful PCA deliveries</x:v>
      </x:c>
      <x:c r="I87" s="18" t="str">
        <x:v>24 h</x:v>
      </x:c>
      <x:c r="J87" s="18" t="str">
        <x:v>Median/IQR</x:v>
      </x:c>
      <x:c r="K87" s="18" t="n">
        <x:v>47</x:v>
      </x:c>
      <x:c r="L87" s="18" t="n">
        <x:v>47</x:v>
      </x:c>
      <x:c r="M87" s="18"/>
      <x:c r="N87" s="18"/>
      <x:c r="O87" s="18" t="n">
        <x:v>5</x:v>
      </x:c>
      <x:c r="P87" s="18" t="n">
        <x:v>2</x:v>
      </x:c>
      <x:c r="Q87" s="18" t="n">
        <x:v>12</x:v>
      </x:c>
      <x:c r="R87" s="18"/>
      <x:c r="S87" s="18"/>
      <x:c r="T87" s="18"/>
      <x:c r="U87" s="18" t="n">
        <x:v>12</x:v>
      </x:c>
      <x:c r="V87" s="18" t="n">
        <x:v>6</x:v>
      </x:c>
      <x:c r="W87" s="18" t="n">
        <x:v>22</x:v>
      </x:c>
      <x:c r="X87" s="18"/>
      <x:c r="Y87" s="18" t="str">
        <x:v>deliveries</x:v>
      </x:c>
      <x:c r="Z87" s="18" t="str">
        <x:v>0.001</x:v>
      </x:c>
      <x:c r="AA87" s="18"/>
      <x:c r="AB87" s="18"/>
      <x:c r="AC87" s="18" t="str">
        <x:v>High</x:v>
      </x:c>
      <x:c r="AD87" s="18" t="n">
        <x:v>0</x:v>
      </x:c>
      <x:c r="AE87" s="18" t="n">
        <x:v>1</x:v>
      </x:c>
      <x:c r="AF87" s="18" t="n">
        <x:v>0</x:v>
      </x:c>
      <x:c r="AG87" s="18" t="str">
        <x:v>P2</x:v>
      </x:c>
      <x:c r="AH87" s="18"/>
      <x:c r="AI87" s="18" t="str">
        <x:v>SENSITIVITY_MODEL</x:v>
      </x:c>
      <x:c r="AJ87" s="18"/>
      <x:c r="AK87" s="18"/>
      <x:c r="AL87" s="18" t="str">
        <x:v>No</x:v>
      </x:c>
      <x:c r="AM87" s="18" t="str">
        <x:v>Do not convert successful deliveries into opioid dose because the PCA prescription is absent</x:v>
      </x:c>
      <x:c r="AN87" s="18" t="str">
        <x:v>SOURCE-VERIFIED / DOSE NOT RECONSTRUCTABLE</x:v>
      </x:c>
      <x:c r="AO87" s="18" t="str">
        <x:v>https://drive.google.com/file/d/12Y86huNMuLC8cPH-L2vwlEd7r1X1Qela/view?usp=drivesdk</x:v>
      </x:c>
    </x:row>
    <x:row r="88">
      <x:c r="A88" s="18" t="str">
        <x:v>F-PCA-009</x:v>
      </x:c>
      <x:c r="B88" s="18" t="str">
        <x:v>F-PCA</x:v>
      </x:c>
      <x:c r="C88" s="18" t="str">
        <x:v>F_PCA_behavior</x:v>
      </x:c>
      <x:c r="D88" s="18" t="str">
        <x:v>Lu 2022</x:v>
      </x:c>
      <x:c r="E88" s="18" t="str">
        <x:v>LU22_TEAS_vs_CTRL_PCAATTEMPT48</x:v>
      </x:c>
      <x:c r="F88" s="18" t="str">
        <x:v>TEAS + ERAS</x:v>
      </x:c>
      <x:c r="G88" s="18" t="str">
        <x:v>No-current control + ERAS</x:v>
      </x:c>
      <x:c r="H88" s="18" t="str">
        <x:v>PCA attempts</x:v>
      </x:c>
      <x:c r="I88" s="18" t="str">
        <x:v>48 h</x:v>
      </x:c>
      <x:c r="J88" s="18" t="str">
        <x:v>Median/IQR</x:v>
      </x:c>
      <x:c r="K88" s="18" t="n">
        <x:v>47</x:v>
      </x:c>
      <x:c r="L88" s="18" t="n">
        <x:v>47</x:v>
      </x:c>
      <x:c r="M88" s="18"/>
      <x:c r="N88" s="18"/>
      <x:c r="O88" s="18" t="n">
        <x:v>13</x:v>
      </x:c>
      <x:c r="P88" s="18" t="n">
        <x:v>5</x:v>
      </x:c>
      <x:c r="Q88" s="18" t="n">
        <x:v>22</x:v>
      </x:c>
      <x:c r="R88" s="18"/>
      <x:c r="S88" s="18"/>
      <x:c r="T88" s="18"/>
      <x:c r="U88" s="18" t="n">
        <x:v>26</x:v>
      </x:c>
      <x:c r="V88" s="18" t="n">
        <x:v>11.5</x:v>
      </x:c>
      <x:c r="W88" s="18" t="n">
        <x:v>45.5</x:v>
      </x:c>
      <x:c r="X88" s="18"/>
      <x:c r="Y88" s="18" t="str">
        <x:v>attempts</x:v>
      </x:c>
      <x:c r="Z88" s="18" t="str">
        <x:v>0.002</x:v>
      </x:c>
      <x:c r="AA88" s="18"/>
      <x:c r="AB88" s="18"/>
      <x:c r="AC88" s="18" t="str">
        <x:v>High</x:v>
      </x:c>
      <x:c r="AD88" s="18" t="n">
        <x:v>0</x:v>
      </x:c>
      <x:c r="AE88" s="18" t="n">
        <x:v>1</x:v>
      </x:c>
      <x:c r="AF88" s="18" t="n">
        <x:v>0</x:v>
      </x:c>
      <x:c r="AG88" s="18" t="str">
        <x:v>P2</x:v>
      </x:c>
      <x:c r="AH88" s="18"/>
      <x:c r="AI88" s="18" t="str">
        <x:v>SENSITIVITY_MODEL</x:v>
      </x:c>
      <x:c r="AJ88" s="18"/>
      <x:c r="AK88" s="18"/>
      <x:c r="AL88" s="18" t="str">
        <x:v>No</x:v>
      </x:c>
      <x:c r="AM88" s="18" t="str">
        <x:v>Patient blinding difficult; PCA drug/concentration/settings not reported, so do not convert to opioid dose.</x:v>
      </x:c>
      <x:c r="AN88" s="18" t="str">
        <x:v>SOURCE-VERIFIED / AF-NORMALIZED / HIGH ROB</x:v>
      </x:c>
      <x:c r="AO88" s="18" t="str">
        <x:v>https://drive.google.com/file/d/12Y86huNMuLC8cPH-L2vwlEd7r1X1Qela/view?usp=drivesdk</x:v>
      </x:c>
    </x:row>
    <x:row r="89">
      <x:c r="A89" s="18" t="str">
        <x:v>F-PCA-009</x:v>
      </x:c>
      <x:c r="B89" s="18" t="str">
        <x:v>F-PCA</x:v>
      </x:c>
      <x:c r="C89" s="18" t="str">
        <x:v>F_PCA_behavior</x:v>
      </x:c>
      <x:c r="D89" s="18" t="str">
        <x:v>Lu 2022</x:v>
      </x:c>
      <x:c r="E89" s="18" t="str">
        <x:v>LU22_TEAS_vs_CTRL_PCADELIV48</x:v>
      </x:c>
      <x:c r="F89" s="18" t="str">
        <x:v>TEAS + ERAS</x:v>
      </x:c>
      <x:c r="G89" s="18" t="str">
        <x:v>No-current control + ERAS</x:v>
      </x:c>
      <x:c r="H89" s="18" t="str">
        <x:v>Successful PCA deliveries</x:v>
      </x:c>
      <x:c r="I89" s="18" t="str">
        <x:v>48 h</x:v>
      </x:c>
      <x:c r="J89" s="18" t="str">
        <x:v>Median/IQR</x:v>
      </x:c>
      <x:c r="K89" s="18" t="n">
        <x:v>47</x:v>
      </x:c>
      <x:c r="L89" s="18" t="n">
        <x:v>47</x:v>
      </x:c>
      <x:c r="M89" s="18"/>
      <x:c r="N89" s="18"/>
      <x:c r="O89" s="18" t="n">
        <x:v>7</x:v>
      </x:c>
      <x:c r="P89" s="18" t="n">
        <x:v>3</x:v>
      </x:c>
      <x:c r="Q89" s="18" t="n">
        <x:v>14</x:v>
      </x:c>
      <x:c r="R89" s="18"/>
      <x:c r="S89" s="18"/>
      <x:c r="T89" s="18"/>
      <x:c r="U89" s="18" t="n">
        <x:v>16.5</x:v>
      </x:c>
      <x:c r="V89" s="18" t="n">
        <x:v>8</x:v>
      </x:c>
      <x:c r="W89" s="18" t="n">
        <x:v>35</x:v>
      </x:c>
      <x:c r="X89" s="18"/>
      <x:c r="Y89" s="18" t="str">
        <x:v>deliveries</x:v>
      </x:c>
      <x:c r="Z89" s="18" t="str">
        <x:v>0.001</x:v>
      </x:c>
      <x:c r="AA89" s="18"/>
      <x:c r="AB89" s="18"/>
      <x:c r="AC89" s="18" t="str">
        <x:v>High</x:v>
      </x:c>
      <x:c r="AD89" s="18" t="n">
        <x:v>0</x:v>
      </x:c>
      <x:c r="AE89" s="18" t="n">
        <x:v>1</x:v>
      </x:c>
      <x:c r="AF89" s="18" t="n">
        <x:v>0</x:v>
      </x:c>
      <x:c r="AG89" s="18" t="str">
        <x:v>P2</x:v>
      </x:c>
      <x:c r="AH89" s="18"/>
      <x:c r="AI89" s="18" t="str">
        <x:v>SENSITIVITY_MODEL</x:v>
      </x:c>
      <x:c r="AJ89" s="18"/>
      <x:c r="AK89" s="18"/>
      <x:c r="AL89" s="18" t="str">
        <x:v>No</x:v>
      </x:c>
      <x:c r="AM89" s="18" t="str">
        <x:v>Patient blinding difficult; PCA drug/concentration/settings not reported, so do not convert to opioid dose.</x:v>
      </x:c>
      <x:c r="AN89" s="18" t="str">
        <x:v>SOURCE-VERIFIED / AF-NORMALIZED / HIGH ROB</x:v>
      </x:c>
      <x:c r="AO89" s="18" t="str">
        <x:v>https://drive.google.com/file/d/12Y86huNMuLC8cPH-L2vwlEd7r1X1Qela/view?usp=drivesdk</x:v>
      </x:c>
    </x:row>
    <x:row r="90">
      <x:c r="A90" s="18" t="str">
        <x:v>F-PCA-009</x:v>
      </x:c>
      <x:c r="B90" s="18" t="str">
        <x:v>F-PCA</x:v>
      </x:c>
      <x:c r="C90" s="18" t="str">
        <x:v>F_PCA_behavior</x:v>
      </x:c>
      <x:c r="D90" s="18" t="str">
        <x:v>Lu 2022</x:v>
      </x:c>
      <x:c r="E90" s="18" t="str">
        <x:v>LU22_TEAS_vs_CTRL_PCAATTEMPT72</x:v>
      </x:c>
      <x:c r="F90" s="18" t="str">
        <x:v>TEAS + ERAS</x:v>
      </x:c>
      <x:c r="G90" s="18" t="str">
        <x:v>No-current control + ERAS</x:v>
      </x:c>
      <x:c r="H90" s="18" t="str">
        <x:v>PCA attempts</x:v>
      </x:c>
      <x:c r="I90" s="18" t="str">
        <x:v>72 h</x:v>
      </x:c>
      <x:c r="J90" s="18" t="str">
        <x:v>Median/IQR</x:v>
      </x:c>
      <x:c r="K90" s="18" t="n">
        <x:v>47</x:v>
      </x:c>
      <x:c r="L90" s="18" t="n">
        <x:v>47</x:v>
      </x:c>
      <x:c r="M90" s="18"/>
      <x:c r="N90" s="18"/>
      <x:c r="O90" s="18" t="n">
        <x:v>13</x:v>
      </x:c>
      <x:c r="P90" s="18" t="n">
        <x:v>5</x:v>
      </x:c>
      <x:c r="Q90" s="18" t="n">
        <x:v>24</x:v>
      </x:c>
      <x:c r="R90" s="18"/>
      <x:c r="S90" s="18"/>
      <x:c r="T90" s="18"/>
      <x:c r="U90" s="18" t="n">
        <x:v>24.5</x:v>
      </x:c>
      <x:c r="V90" s="18" t="n">
        <x:v>13</x:v>
      </x:c>
      <x:c r="W90" s="18" t="n">
        <x:v>46</x:v>
      </x:c>
      <x:c r="X90" s="18"/>
      <x:c r="Y90" s="18" t="str">
        <x:v>attempts</x:v>
      </x:c>
      <x:c r="Z90" s="18" t="str">
        <x:v>0.002</x:v>
      </x:c>
      <x:c r="AA90" s="18"/>
      <x:c r="AB90" s="18"/>
      <x:c r="AC90" s="18" t="str">
        <x:v>High</x:v>
      </x:c>
      <x:c r="AD90" s="18" t="n">
        <x:v>0</x:v>
      </x:c>
      <x:c r="AE90" s="18" t="n">
        <x:v>1</x:v>
      </x:c>
      <x:c r="AF90" s="18" t="n">
        <x:v>0</x:v>
      </x:c>
      <x:c r="AG90" s="18" t="str">
        <x:v>P2</x:v>
      </x:c>
      <x:c r="AH90" s="18"/>
      <x:c r="AI90" s="18" t="str">
        <x:v>SENSITIVITY_MODEL</x:v>
      </x:c>
      <x:c r="AJ90" s="18"/>
      <x:c r="AK90" s="18"/>
      <x:c r="AL90" s="18" t="str">
        <x:v>No</x:v>
      </x:c>
      <x:c r="AM90" s="18" t="str">
        <x:v>Patient blinding difficult; PCA drug/concentration/settings not reported, so do not convert to opioid dose.</x:v>
      </x:c>
      <x:c r="AN90" s="18" t="str">
        <x:v>SOURCE-VERIFIED / AF-NORMALIZED / HIGH ROB</x:v>
      </x:c>
      <x:c r="AO90" s="18" t="str">
        <x:v>https://drive.google.com/file/d/12Y86huNMuLC8cPH-L2vwlEd7r1X1Qela/view?usp=drivesdk</x:v>
      </x:c>
    </x:row>
    <x:row r="91">
      <x:c r="A91" s="18" t="str">
        <x:v>F-PCA-009</x:v>
      </x:c>
      <x:c r="B91" s="18" t="str">
        <x:v>F-PCA</x:v>
      </x:c>
      <x:c r="C91" s="18" t="str">
        <x:v>F_PCA_behavior</x:v>
      </x:c>
      <x:c r="D91" s="18" t="str">
        <x:v>Lu 2022</x:v>
      </x:c>
      <x:c r="E91" s="18" t="str">
        <x:v>LU22_TEAS_vs_CTRL_PCADELIV72</x:v>
      </x:c>
      <x:c r="F91" s="18" t="str">
        <x:v>TEAS + ERAS</x:v>
      </x:c>
      <x:c r="G91" s="18" t="str">
        <x:v>No-current control + ERAS</x:v>
      </x:c>
      <x:c r="H91" s="18" t="str">
        <x:v>Successful PCA deliveries</x:v>
      </x:c>
      <x:c r="I91" s="18" t="str">
        <x:v>72 h</x:v>
      </x:c>
      <x:c r="J91" s="18" t="str">
        <x:v>Median/IQR</x:v>
      </x:c>
      <x:c r="K91" s="18" t="n">
        <x:v>47</x:v>
      </x:c>
      <x:c r="L91" s="18" t="n">
        <x:v>47</x:v>
      </x:c>
      <x:c r="M91" s="18"/>
      <x:c r="N91" s="18"/>
      <x:c r="O91" s="18" t="n">
        <x:v>7</x:v>
      </x:c>
      <x:c r="P91" s="18" t="n">
        <x:v>3</x:v>
      </x:c>
      <x:c r="Q91" s="18" t="n">
        <x:v>20</x:v>
      </x:c>
      <x:c r="R91" s="18"/>
      <x:c r="S91" s="18"/>
      <x:c r="T91" s="18"/>
      <x:c r="U91" s="18" t="n">
        <x:v>16.5</x:v>
      </x:c>
      <x:c r="V91" s="18" t="n">
        <x:v>10</x:v>
      </x:c>
      <x:c r="W91" s="18" t="n">
        <x:v>36</x:v>
      </x:c>
      <x:c r="X91" s="18"/>
      <x:c r="Y91" s="18" t="str">
        <x:v>deliveries</x:v>
      </x:c>
      <x:c r="Z91" s="18" t="str">
        <x:v>0.003</x:v>
      </x:c>
      <x:c r="AA91" s="18"/>
      <x:c r="AB91" s="18"/>
      <x:c r="AC91" s="18" t="str">
        <x:v>High</x:v>
      </x:c>
      <x:c r="AD91" s="18" t="n">
        <x:v>0</x:v>
      </x:c>
      <x:c r="AE91" s="18" t="n">
        <x:v>1</x:v>
      </x:c>
      <x:c r="AF91" s="18" t="n">
        <x:v>0</x:v>
      </x:c>
      <x:c r="AG91" s="18" t="str">
        <x:v>P2</x:v>
      </x:c>
      <x:c r="AH91" s="18"/>
      <x:c r="AI91" s="18" t="str">
        <x:v>SENSITIVITY_MODEL</x:v>
      </x:c>
      <x:c r="AJ91" s="18"/>
      <x:c r="AK91" s="18"/>
      <x:c r="AL91" s="18" t="str">
        <x:v>No</x:v>
      </x:c>
      <x:c r="AM91" s="18" t="str">
        <x:v>Patient blinding difficult; PCA drug/concentration/settings not reported, so do not convert to opioid dose.</x:v>
      </x:c>
      <x:c r="AN91" s="18" t="str">
        <x:v>SOURCE-VERIFIED / AF-NORMALIZED / HIGH ROB</x:v>
      </x:c>
      <x:c r="AO91" s="18" t="str">
        <x:v>https://drive.google.com/file/d/12Y86huNMuLC8cPH-L2vwlEd7r1X1Qela/view?usp=drivesdk</x:v>
      </x:c>
    </x:row>
    <x:row r="92">
      <x:c r="A92" s="18" t="str">
        <x:v>F-PCA-010</x:v>
      </x:c>
      <x:c r="B92" s="18" t="str">
        <x:v>F-PCA</x:v>
      </x:c>
      <x:c r="C92" s="18" t="str">
        <x:v>F_PCA_behavior</x:v>
      </x:c>
      <x:c r="D92" s="18" t="str">
        <x:v>Yeh 2010</x:v>
      </x:c>
      <x:c r="E92" s="18" t="str">
        <x:v>YEH10_AES_vs_SHAM_PCAPUSH24</x:v>
      </x:c>
      <x:c r="F92" s="18" t="str">
        <x:v>True-acupoint AES</x:v>
      </x:c>
      <x:c r="G92" s="18" t="str">
        <x:v>Electrical sham/nonmeridian AES</x:v>
      </x:c>
      <x:c r="H92" s="18" t="str">
        <x:v>PCA button pushes</x:v>
      </x:c>
      <x:c r="I92" s="18" t="str">
        <x:v>0-24 h</x:v>
      </x:c>
      <x:c r="J92" s="18" t="str">
        <x:v>Mean/SD</x:v>
      </x:c>
      <x:c r="K92" s="18" t="n">
        <x:v>33</x:v>
      </x:c>
      <x:c r="L92" s="18" t="n">
        <x:v>30</x:v>
      </x:c>
      <x:c r="M92" s="18" t="n">
        <x:v>25.3</x:v>
      </x:c>
      <x:c r="N92" s="18" t="n">
        <x:v>28.5</x:v>
      </x:c>
      <x:c r="O92" s="18"/>
      <x:c r="P92" s="18"/>
      <x:c r="Q92" s="18"/>
      <x:c r="R92" s="18"/>
      <x:c r="S92" s="18" t="n">
        <x:v>47.4</x:v>
      </x:c>
      <x:c r="T92" s="18" t="n">
        <x:v>39.7</x:v>
      </x:c>
      <x:c r="U92" s="18"/>
      <x:c r="V92" s="18"/>
      <x:c r="W92" s="18"/>
      <x:c r="X92" s="18"/>
      <x:c r="Y92" s="18" t="str">
        <x:v>button pushes</x:v>
      </x:c>
      <x:c r="Z92" s="18" t="str">
        <x:v>Direct AES-vs-sham pairwise P not reported</x:v>
      </x:c>
      <x:c r="AA92" s="18" t="str">
        <x:v>MD</x:v>
      </x:c>
      <x:c r="AB92" s="18" t="n">
        <x:v>-22.1</x:v>
      </x:c>
      <x:c r="AC92" s="18" t="str">
        <x:v>Some concerns</x:v>
      </x:c>
      <x:c r="AD92" s="18" t="n">
        <x:v>0</x:v>
      </x:c>
      <x:c r="AE92" s="18" t="n">
        <x:v>0</x:v>
      </x:c>
      <x:c r="AF92" s="18" t="n">
        <x:v>1</x:v>
      </x:c>
      <x:c r="AG92" s="18" t="str">
        <x:v>P1</x:v>
      </x:c>
      <x:c r="AH92" s="18" t="str">
        <x:v>HARD_HOLD_DEPENDENCY</x:v>
      </x:c>
      <x:c r="AI92" s="18" t="str">
        <x:v>HARD_HOLD</x:v>
      </x:c>
      <x:c r="AJ92" s="18" t="str">
        <x:v>YEH_SPINE_AES_POSSIBLE_OVERLAP</x:v>
      </x:c>
      <x:c r="AK92" s="18" t="str">
        <x:v>HOLD overlap review</x:v>
      </x:c>
      <x:c r="AL92" s="18" t="str">
        <x:v>Yes</x:v>
      </x:c>
      <x:c r="AM92" s="18" t="str">
        <x:v>Potential overlapping publication family with Yeh2011; do not count both independently.</x:v>
      </x:c>
      <x:c r="AN92" s="18" t="str">
        <x:v>SOURCE-VERIFIED / AF-NORMALIZED / DUPLICATE-OVERLAP HOLD</x:v>
      </x:c>
      <x:c r="AO92" s="18" t="str">
        <x:v>https://drive.google.com/file/d/1a1s31PQPWGnaVkYUtNUxO22F3QFTcwmi/view?usp=drivesdk</x:v>
      </x:c>
    </x:row>
    <x:row r="93">
      <x:c r="A93" s="18" t="str">
        <x:v>F-PCA-011</x:v>
      </x:c>
      <x:c r="B93" s="18" t="str">
        <x:v>F-PCA</x:v>
      </x:c>
      <x:c r="C93" s="18" t="str">
        <x:v>F_PCA_behavior</x:v>
      </x:c>
      <x:c r="D93" s="18" t="str">
        <x:v>Lin 2002</x:v>
      </x:c>
      <x:c r="E93" s="18" t="str">
        <x:v>LIN02_HIGH_vs_SHAM_PCADEMAND24</x:v>
      </x:c>
      <x:c r="F93" s="18" t="str">
        <x:v>100-Hz EA</x:v>
      </x:c>
      <x:c r="G93" s="18" t="str">
        <x:v>Sham EA</x:v>
      </x:c>
      <x:c r="H93" s="18" t="str">
        <x:v>Total PCA demands</x:v>
      </x:c>
      <x:c r="I93" s="18" t="str">
        <x:v>Postoperative hour1 through hour24</x:v>
      </x:c>
      <x:c r="J93" s="18" t="str">
        <x:v>Mean/SD</x:v>
      </x:c>
      <x:c r="K93" s="18" t="n">
        <x:v>25</x:v>
      </x:c>
      <x:c r="L93" s="18" t="n">
        <x:v>25</x:v>
      </x:c>
      <x:c r="M93" s="18" t="n">
        <x:v>7.9</x:v>
      </x:c>
      <x:c r="N93" s="18" t="n">
        <x:v>5.9</x:v>
      </x:c>
      <x:c r="O93" s="18"/>
      <x:c r="P93" s="18"/>
      <x:c r="Q93" s="18"/>
      <x:c r="R93" s="18"/>
      <x:c r="S93" s="18" t="n">
        <x:v>16.1</x:v>
      </x:c>
      <x:c r="T93" s="18" t="n">
        <x:v>7.4</x:v>
      </x:c>
      <x:c r="U93" s="18"/>
      <x:c r="V93" s="18"/>
      <x:c r="W93" s="18"/>
      <x:c r="X93" s="18"/>
      <x:c r="Y93" s="18" t="str">
        <x:v>PCA demands</x:v>
      </x:c>
      <x:c r="Z93" s="18" t="str">
        <x:v>Pairwise P not reported</x:v>
      </x:c>
      <x:c r="AA93" s="18" t="str">
        <x:v>MD</x:v>
      </x:c>
      <x:c r="AB93" s="18" t="n">
        <x:v>-8.200000000000001</x:v>
      </x:c>
      <x:c r="AC93" s="18" t="str">
        <x:v>High</x:v>
      </x:c>
      <x:c r="AD93" s="18" t="n">
        <x:v>0</x:v>
      </x:c>
      <x:c r="AE93" s="18" t="n">
        <x:v>1</x:v>
      </x:c>
      <x:c r="AF93" s="18" t="n">
        <x:v>0</x:v>
      </x:c>
      <x:c r="AG93" s="18"/>
      <x:c r="AH93" s="18"/>
      <x:c r="AI93" s="18" t="str">
        <x:v>SENSITIVITY_MODEL</x:v>
      </x:c>
      <x:c r="AJ93" s="18"/>
      <x:c r="AK93" s="18"/>
      <x:c r="AL93" s="18" t="str">
        <x:v>Yes</x:v>
      </x:c>
      <x:c r="AM93" s="18" t="str">
        <x:v>Active electrical stimulation vs no-current sham may unmask patient-generated PCA behavior.</x:v>
      </x:c>
      <x:c r="AN93" s="18" t="str">
        <x:v>SOURCE-VERIFIED / AF-NORMALIZED / HIGH ROB</x:v>
      </x:c>
      <x:c r="AO93" s="18" t="str">
        <x:v>https://drive.google.com/file/d/1Q5dNOPkf4PB_ctbHu1_3v3UIMIJzKRw9/view?usp=drivesdk</x:v>
      </x:c>
    </x:row>
    <x:row r="94">
      <x:c r="A94" s="18" t="str">
        <x:v>F-PCA-011</x:v>
      </x:c>
      <x:c r="B94" s="18" t="str">
        <x:v>F-PCA</x:v>
      </x:c>
      <x:c r="C94" s="18" t="str">
        <x:v>F_PCA_behavior</x:v>
      </x:c>
      <x:c r="D94" s="18" t="str">
        <x:v>Lin 2002</x:v>
      </x:c>
      <x:c r="E94" s="18" t="str">
        <x:v>LIN02_LOW_vs_SHAM_PCADEMAND24</x:v>
      </x:c>
      <x:c r="F94" s="18" t="str">
        <x:v>2-Hz EA</x:v>
      </x:c>
      <x:c r="G94" s="18" t="str">
        <x:v>Sham EA</x:v>
      </x:c>
      <x:c r="H94" s="18" t="str">
        <x:v>Total PCA demands</x:v>
      </x:c>
      <x:c r="I94" s="18" t="str">
        <x:v>Postoperative hour1 through hour24</x:v>
      </x:c>
      <x:c r="J94" s="18" t="str">
        <x:v>Mean/SD</x:v>
      </x:c>
      <x:c r="K94" s="18" t="n">
        <x:v>25</x:v>
      </x:c>
      <x:c r="L94" s="18" t="n">
        <x:v>25</x:v>
      </x:c>
      <x:c r="M94" s="18" t="n">
        <x:v>11.7</x:v>
      </x:c>
      <x:c r="N94" s="18" t="n">
        <x:v>7.1</x:v>
      </x:c>
      <x:c r="O94" s="18"/>
      <x:c r="P94" s="18"/>
      <x:c r="Q94" s="18"/>
      <x:c r="R94" s="18"/>
      <x:c r="S94" s="18" t="n">
        <x:v>16.1</x:v>
      </x:c>
      <x:c r="T94" s="18" t="n">
        <x:v>7.4</x:v>
      </x:c>
      <x:c r="U94" s="18"/>
      <x:c r="V94" s="18"/>
      <x:c r="W94" s="18"/>
      <x:c r="X94" s="18"/>
      <x:c r="Y94" s="18" t="str">
        <x:v>PCA demands</x:v>
      </x:c>
      <x:c r="Z94" s="18" t="str">
        <x:v>Pairwise P not reported</x:v>
      </x:c>
      <x:c r="AA94" s="18" t="str">
        <x:v>MD</x:v>
      </x:c>
      <x:c r="AB94" s="18" t="n">
        <x:v>-4.400000000000002</x:v>
      </x:c>
      <x:c r="AC94" s="18" t="str">
        <x:v>High</x:v>
      </x:c>
      <x:c r="AD94" s="18" t="n">
        <x:v>0</x:v>
      </x:c>
      <x:c r="AE94" s="18" t="n">
        <x:v>1</x:v>
      </x:c>
      <x:c r="AF94" s="18" t="n">
        <x:v>0</x:v>
      </x:c>
      <x:c r="AG94" s="18"/>
      <x:c r="AH94" s="18"/>
      <x:c r="AI94" s="18" t="str">
        <x:v>SENSITIVITY_MODEL</x:v>
      </x:c>
      <x:c r="AJ94" s="18"/>
      <x:c r="AK94" s="18"/>
      <x:c r="AL94" s="18" t="str">
        <x:v>Yes</x:v>
      </x:c>
      <x:c r="AM94" s="18" t="str">
        <x:v>Active electrical stimulation vs no-current sham may unmask patient-generated PCA behavior.</x:v>
      </x:c>
      <x:c r="AN94" s="18" t="str">
        <x:v>SOURCE-VERIFIED / AF-NORMALIZED / HIGH ROB</x:v>
      </x:c>
      <x:c r="AO94" s="18" t="str">
        <x:v>https://drive.google.com/file/d/1Q5dNOPkf4PB_ctbHu1_3v3UIMIJzKRw9/view?usp=drivesdk</x:v>
      </x:c>
    </x:row>
    <x:row r="95">
      <x:c r="A95" s="18" t="str">
        <x:v>F-PCA-012</x:v>
      </x:c>
      <x:c r="B95" s="18" t="str">
        <x:v>F-PCA</x:v>
      </x:c>
      <x:c r="C95" s="18" t="str">
        <x:v>F_PCA_behavior</x:v>
      </x:c>
      <x:c r="D95" s="18" t="str">
        <x:v>Yeh 2011</x:v>
      </x:c>
      <x:c r="E95" s="18" t="str">
        <x:v>YEH11_AES_vs_SHAM_PCAPUSH24</x:v>
      </x:c>
      <x:c r="F95" s="18" t="str">
        <x:v>True-acupoint AES</x:v>
      </x:c>
      <x:c r="G95" s="18" t="str">
        <x:v>Electrical sham/nonacupoint AES</x:v>
      </x:c>
      <x:c r="H95" s="18" t="str">
        <x:v>PCA button pushes</x:v>
      </x:c>
      <x:c r="I95" s="18" t="str">
        <x:v>0-24 h</x:v>
      </x:c>
      <x:c r="J95" s="18" t="str">
        <x:v>Mean/SD</x:v>
      </x:c>
      <x:c r="K95" s="18" t="n">
        <x:v>30</x:v>
      </x:c>
      <x:c r="L95" s="18" t="n">
        <x:v>30</x:v>
      </x:c>
      <x:c r="M95" s="18" t="n">
        <x:v>24.9</x:v>
      </x:c>
      <x:c r="N95" s="18" t="n">
        <x:v>28.5</x:v>
      </x:c>
      <x:c r="O95" s="18"/>
      <x:c r="P95" s="18"/>
      <x:c r="Q95" s="18"/>
      <x:c r="R95" s="18"/>
      <x:c r="S95" s="18" t="n">
        <x:v>47.4</x:v>
      </x:c>
      <x:c r="T95" s="18" t="n">
        <x:v>39.7</x:v>
      </x:c>
      <x:c r="U95" s="18"/>
      <x:c r="V95" s="18"/>
      <x:c r="W95" s="18"/>
      <x:c r="X95" s="18"/>
      <x:c r="Y95" s="18" t="str">
        <x:v>button pushes</x:v>
      </x:c>
      <x:c r="Z95" s="18" t="str">
        <x:v>Direct AES-vs-sham pairwise P not reported</x:v>
      </x:c>
      <x:c r="AA95" s="18" t="str">
        <x:v>MD</x:v>
      </x:c>
      <x:c r="AB95" s="18" t="n">
        <x:v>-22.5</x:v>
      </x:c>
      <x:c r="AC95" s="18" t="str">
        <x:v>Some concerns</x:v>
      </x:c>
      <x:c r="AD95" s="18" t="n">
        <x:v>0</x:v>
      </x:c>
      <x:c r="AE95" s="18" t="n">
        <x:v>0</x:v>
      </x:c>
      <x:c r="AF95" s="18" t="n">
        <x:v>1</x:v>
      </x:c>
      <x:c r="AG95" s="18" t="str">
        <x:v>P1</x:v>
      </x:c>
      <x:c r="AH95" s="18" t="str">
        <x:v>HARD_HOLD_DEPENDENCY</x:v>
      </x:c>
      <x:c r="AI95" s="18" t="str">
        <x:v>HARD_HOLD</x:v>
      </x:c>
      <x:c r="AJ95" s="18" t="str">
        <x:v>YEH_SPINE_AES_POSSIBLE_OVERLAP</x:v>
      </x:c>
      <x:c r="AK95" s="18" t="str">
        <x:v>HOLD — potential overlap</x:v>
      </x:c>
      <x:c r="AL95" s="18" t="str">
        <x:v>Yes</x:v>
      </x:c>
      <x:c r="AM95" s="18" t="str">
        <x:v>Potential overlapping publication family with Yeh2010; do not count both independently.</x:v>
      </x:c>
      <x:c r="AN95" s="18" t="str">
        <x:v>SOURCE-VERIFIED / AF-NORMALIZED / DUPLICATE-OVERLAP HOLD</x:v>
      </x:c>
      <x:c r="AO95" s="18" t="str">
        <x:v>https://drive.google.com/file/d/1ZJ60ZvJ5Q7sRu1iptK_tLLfBXxZZ_Hwl/view?usp=drivesdk</x:v>
      </x:c>
    </x:row>
    <x:row r="96">
      <x:c r="A96" s="18" t="str">
        <x:v>F-postop-dose-001</x:v>
      </x:c>
      <x:c r="B96" s="18" t="str">
        <x:v>F-postop-dose</x:v>
      </x:c>
      <x:c r="C96" s="18" t="str">
        <x:v>F_postop_delivered_dose_or_solution</x:v>
      </x:c>
      <x:c r="D96" s="18" t="str">
        <x:v>Seevaunnamtum 2016</x:v>
      </x:c>
      <x:c r="E96" s="18" t="str">
        <x:v>SEEVA16_EA_vs_UC</x:v>
      </x:c>
      <x:c r="F96" s="18" t="str">
        <x:v>Intraoperative EA</x:v>
      </x:c>
      <x:c r="G96" s="18" t="str">
        <x:v>Standard care</x:v>
      </x:c>
      <x:c r="H96" s="18" t="str">
        <x:v>Cumulative IV PCA morphine requirement</x:v>
      </x:c>
      <x:c r="I96" s="18" t="str">
        <x:v>First 24 h postoperatively</x:v>
      </x:c>
      <x:c r="J96" s="18" t="str">
        <x:v>Mean/SD</x:v>
      </x:c>
      <x:c r="K96" s="18" t="n">
        <x:v>32</x:v>
      </x:c>
      <x:c r="L96" s="18" t="n">
        <x:v>32</x:v>
      </x:c>
      <x:c r="M96" s="18" t="n">
        <x:v>21.38</x:v>
      </x:c>
      <x:c r="N96" s="18" t="n">
        <x:v>14.38</x:v>
      </x:c>
      <x:c r="O96" s="18"/>
      <x:c r="P96" s="18"/>
      <x:c r="Q96" s="18"/>
      <x:c r="R96" s="18"/>
      <x:c r="S96" s="18" t="n">
        <x:v>33.94</x:v>
      </x:c>
      <x:c r="T96" s="18" t="n">
        <x:v>20.24</x:v>
      </x:c>
      <x:c r="U96" s="18"/>
      <x:c r="V96" s="18"/>
      <x:c r="W96" s="18"/>
      <x:c r="X96" s="18"/>
      <x:c r="Y96" s="18" t="str">
        <x:v>mg morphine</x:v>
      </x:c>
      <x:c r="Z96" s="18" t="str">
        <x:v>0.006</x:v>
      </x:c>
      <x:c r="AA96" s="18" t="str">
        <x:v>MD</x:v>
      </x:c>
      <x:c r="AB96" s="18" t="n">
        <x:v>-12.559999999999999</x:v>
      </x:c>
      <x:c r="AC96" s="18" t="str">
        <x:v>Some concerns</x:v>
      </x:c>
      <x:c r="AD96" s="18" t="n">
        <x:v>1</x:v>
      </x:c>
      <x:c r="AE96" s="18" t="n">
        <x:v>0</x:v>
      </x:c>
      <x:c r="AF96" s="18" t="n">
        <x:v>0</x:v>
      </x:c>
      <x:c r="AG96" s="18"/>
      <x:c r="AH96" s="18"/>
      <x:c r="AI96" s="18" t="str">
        <x:v>STRICT_MODEL</x:v>
      </x:c>
      <x:c r="AJ96" s="18"/>
      <x:c r="AK96" s="18"/>
      <x:c r="AL96" s="18" t="str">
        <x:v>No</x:v>
      </x:c>
      <x:c r="AM96" s="18" t="str">
        <x:v>No allocation-concealment method reported</x:v>
      </x:c>
      <x:c r="AN96" s="18" t="str">
        <x:v>SOURCE-VERIFIED</x:v>
      </x:c>
      <x:c r="AO96" s="18" t="str">
        <x:v>https://drive.google.com/file/d/1OhuqhDUCEmOij7fZFhHHCJNwfQ9xpMzd/view?usp=drivesdk</x:v>
      </x:c>
    </x:row>
    <x:row r="97">
      <x:c r="A97" s="18" t="str">
        <x:v>F-postop-dose-002</x:v>
      </x:c>
      <x:c r="B97" s="18" t="str">
        <x:v>F-postop-dose</x:v>
      </x:c>
      <x:c r="C97" s="18" t="str">
        <x:v>F_postop_delivered_dose_or_solution</x:v>
      </x:c>
      <x:c r="D97" s="18" t="str">
        <x:v>Lee 2011</x:v>
      </x:c>
      <x:c r="E97" s="18" t="str">
        <x:v>LEE11_LOW_vs_SHAM_MORPH24</x:v>
      </x:c>
      <x:c r="F97" s="18" t="str">
        <x:v>Low-frequency dense-sparse SSP</x:v>
      </x:c>
      <x:c r="G97" s="18" t="str">
        <x:v>Sham SSP</x:v>
      </x:c>
      <x:c r="H97" s="18" t="str">
        <x:v>Cumulative IV PCA morphine delivered</x:v>
      </x:c>
      <x:c r="I97" s="18" t="str">
        <x:v>First 24 postoperative hours</x:v>
      </x:c>
      <x:c r="J97" s="18" t="str">
        <x:v>Mean/SD</x:v>
      </x:c>
      <x:c r="K97" s="18" t="n">
        <x:v>10</x:v>
      </x:c>
      <x:c r="L97" s="18" t="n">
        <x:v>12</x:v>
      </x:c>
      <x:c r="M97" s="18" t="n">
        <x:v>29.29</x:v>
      </x:c>
      <x:c r="N97" s="18" t="n">
        <x:v>8.89</x:v>
      </x:c>
      <x:c r="O97" s="18"/>
      <x:c r="P97" s="18"/>
      <x:c r="Q97" s="18"/>
      <x:c r="R97" s="18"/>
      <x:c r="S97" s="18" t="n">
        <x:v>34.2</x:v>
      </x:c>
      <x:c r="T97" s="18" t="n">
        <x:v>6.4</x:v>
      </x:c>
      <x:c r="U97" s="18"/>
      <x:c r="V97" s="18"/>
      <x:c r="W97" s="18"/>
      <x:c r="X97" s="18"/>
      <x:c r="Y97" s="18" t="str">
        <x:v>mg IV morphine</x:v>
      </x:c>
      <x:c r="Z97" s="18" t="str">
        <x:v>Pairwise significance not clearly reported</x:v>
      </x:c>
      <x:c r="AA97" s="18" t="str">
        <x:v>MD</x:v>
      </x:c>
      <x:c r="AB97" s="18" t="n">
        <x:v>-4.910000000000004</x:v>
      </x:c>
      <x:c r="AC97" s="18" t="str">
        <x:v>Some concerns</x:v>
      </x:c>
      <x:c r="AD97" s="18" t="n">
        <x:v>1</x:v>
      </x:c>
      <x:c r="AE97" s="18" t="n">
        <x:v>0</x:v>
      </x:c>
      <x:c r="AF97" s="18" t="n">
        <x:v>0</x:v>
      </x:c>
      <x:c r="AG97" s="18" t="str">
        <x:v>P2</x:v>
      </x:c>
      <x:c r="AH97" s="18"/>
      <x:c r="AI97" s="18" t="str">
        <x:v>STRICT_MODEL</x:v>
      </x:c>
      <x:c r="AJ97" s="18"/>
      <x:c r="AK97" s="18"/>
      <x:c r="AL97" s="18" t="str">
        <x:v>Yes</x:v>
      </x:c>
      <x:c r="AM97" s="18" t="str">
        <x:v>Two of 12 low-frequency participants discontinued because they could not complete VAS; publication analyzed 47/49 with no ITT</x:v>
      </x:c>
      <x:c r="AN97" s="18" t="str">
        <x:v>SOURCE-VERIFIED / MULTI-ARM + ATTRITION QC</x:v>
      </x:c>
      <x:c r="AO97" s="18" t="str">
        <x:v>https://drive.google.com/file/d/1kQDSBtx3OpFOsim5oUMwhpfHOqaMy8Q9/view?usp=drivesdk</x:v>
      </x:c>
    </x:row>
    <x:row r="98">
      <x:c r="A98" s="18" t="str">
        <x:v>F-postop-dose-002</x:v>
      </x:c>
      <x:c r="B98" s="18" t="str">
        <x:v>F-postop-dose</x:v>
      </x:c>
      <x:c r="C98" s="18" t="str">
        <x:v>F_postop_delivered_dose_or_solution</x:v>
      </x:c>
      <x:c r="D98" s="18" t="str">
        <x:v>Lee 2011</x:v>
      </x:c>
      <x:c r="E98" s="18" t="str">
        <x:v>LEE11_HIGH_vs_SHAM_MORPH24</x:v>
      </x:c>
      <x:c r="F98" s="18" t="str">
        <x:v>100-Hz SSP</x:v>
      </x:c>
      <x:c r="G98" s="18" t="str">
        <x:v>Sham SSP</x:v>
      </x:c>
      <x:c r="H98" s="18" t="str">
        <x:v>Cumulative IV PCA morphine delivered</x:v>
      </x:c>
      <x:c r="I98" s="18" t="str">
        <x:v>First 24 postoperative hours</x:v>
      </x:c>
      <x:c r="J98" s="18" t="str">
        <x:v>Mean/SD</x:v>
      </x:c>
      <x:c r="K98" s="18" t="n">
        <x:v>12</x:v>
      </x:c>
      <x:c r="L98" s="18" t="n">
        <x:v>12</x:v>
      </x:c>
      <x:c r="M98" s="18" t="n">
        <x:v>31.14</x:v>
      </x:c>
      <x:c r="N98" s="18" t="n">
        <x:v>8.15</x:v>
      </x:c>
      <x:c r="O98" s="18"/>
      <x:c r="P98" s="18"/>
      <x:c r="Q98" s="18"/>
      <x:c r="R98" s="18"/>
      <x:c r="S98" s="18" t="n">
        <x:v>34.2</x:v>
      </x:c>
      <x:c r="T98" s="18" t="n">
        <x:v>6.4</x:v>
      </x:c>
      <x:c r="U98" s="18"/>
      <x:c r="V98" s="18"/>
      <x:c r="W98" s="18"/>
      <x:c r="X98" s="18"/>
      <x:c r="Y98" s="18" t="str">
        <x:v>mg IV morphine</x:v>
      </x:c>
      <x:c r="Z98" s="18" t="str">
        <x:v>Pairwise significance not clearly reported</x:v>
      </x:c>
      <x:c r="AA98" s="18" t="str">
        <x:v>MD</x:v>
      </x:c>
      <x:c r="AB98" s="18" t="n">
        <x:v>-3.0600000000000023</x:v>
      </x:c>
      <x:c r="AC98" s="18" t="str">
        <x:v>Some concerns</x:v>
      </x:c>
      <x:c r="AD98" s="18" t="n">
        <x:v>1</x:v>
      </x:c>
      <x:c r="AE98" s="18" t="n">
        <x:v>0</x:v>
      </x:c>
      <x:c r="AF98" s="18" t="n">
        <x:v>0</x:v>
      </x:c>
      <x:c r="AG98" s="18" t="str">
        <x:v>P2</x:v>
      </x:c>
      <x:c r="AH98" s="18"/>
      <x:c r="AI98" s="18" t="str">
        <x:v>STRICT_MODEL</x:v>
      </x:c>
      <x:c r="AJ98" s="18"/>
      <x:c r="AK98" s="18"/>
      <x:c r="AL98" s="18" t="str">
        <x:v>Yes</x:v>
      </x:c>
      <x:c r="AM98" s="18" t="str">
        <x:v>Four-arm RCT; do not reconstruct total dose by summing interval means</x:v>
      </x:c>
      <x:c r="AN98" s="18" t="str">
        <x:v>SOURCE-VERIFIED</x:v>
      </x:c>
      <x:c r="AO98" s="18" t="str">
        <x:v>https://drive.google.com/file/d/1kQDSBtx3OpFOsim5oUMwhpfHOqaMy8Q9/view?usp=drivesdk</x:v>
      </x:c>
    </x:row>
    <x:row r="99">
      <x:c r="A99" s="18" t="str">
        <x:v>F-postop-dose-003</x:v>
      </x:c>
      <x:c r="B99" s="18" t="str">
        <x:v>F-postop-dose</x:v>
      </x:c>
      <x:c r="C99" s="18" t="str">
        <x:v>F_postop_delivered_dose_or_solution</x:v>
      </x:c>
      <x:c r="D99" s="18" t="str">
        <x:v>Yeh 2010</x:v>
      </x:c>
      <x:c r="E99" s="18" t="str">
        <x:v>YEH10_AES_vs_SHAM_MORPH24</x:v>
      </x:c>
      <x:c r="F99" s="18" t="str">
        <x:v>True-acupoint AES</x:v>
      </x:c>
      <x:c r="G99" s="18" t="str">
        <x:v>Electrical sham/nonmeridian AES</x:v>
      </x:c>
      <x:c r="H99" s="18" t="str">
        <x:v>24-h morphine PCA dose</x:v>
      </x:c>
      <x:c r="I99" s="18" t="str">
        <x:v>First 24 postoperative hours</x:v>
      </x:c>
      <x:c r="J99" s="18" t="str">
        <x:v>Mean/SD</x:v>
      </x:c>
      <x:c r="K99" s="18" t="n">
        <x:v>33</x:v>
      </x:c>
      <x:c r="L99" s="18" t="n">
        <x:v>30</x:v>
      </x:c>
      <x:c r="M99" s="18" t="n">
        <x:v>18.6</x:v>
      </x:c>
      <x:c r="N99" s="18" t="n">
        <x:v>9.7</x:v>
      </x:c>
      <x:c r="O99" s="18"/>
      <x:c r="P99" s="18"/>
      <x:c r="Q99" s="18"/>
      <x:c r="R99" s="18"/>
      <x:c r="S99" s="18" t="n">
        <x:v>21.6</x:v>
      </x:c>
      <x:c r="T99" s="18" t="n">
        <x:v>13.1</x:v>
      </x:c>
      <x:c r="U99" s="18"/>
      <x:c r="V99" s="18"/>
      <x:c r="W99" s="18"/>
      <x:c r="X99" s="18"/>
      <x:c r="Y99" s="18" t="str">
        <x:v>mg morphine; source explicitly calls PCA epidural</x:v>
      </x:c>
      <x:c r="Z99" s="18" t="str">
        <x:v>AES-vs-sham pairwise significance NR</x:v>
      </x:c>
      <x:c r="AA99" s="18" t="str">
        <x:v>MD</x:v>
      </x:c>
      <x:c r="AB99" s="18" t="n">
        <x:v>-3</x:v>
      </x:c>
      <x:c r="AC99" s="18" t="str">
        <x:v>Some concerns</x:v>
      </x:c>
      <x:c r="AD99" s="18" t="n">
        <x:v>0</x:v>
      </x:c>
      <x:c r="AE99" s="18" t="n">
        <x:v>0</x:v>
      </x:c>
      <x:c r="AF99" s="18" t="n">
        <x:v>1</x:v>
      </x:c>
      <x:c r="AG99" s="18" t="str">
        <x:v>P1</x:v>
      </x:c>
      <x:c r="AH99" s="18" t="str">
        <x:v>HARD_HOLD_DEPENDENCY</x:v>
      </x:c>
      <x:c r="AI99" s="18" t="str">
        <x:v>HARD_HOLD</x:v>
      </x:c>
      <x:c r="AJ99" s="18" t="str">
        <x:v>YEH_SPINE_AES_POSSIBLE_OVERLAP</x:v>
      </x:c>
      <x:c r="AK99" s="18" t="str">
        <x:v>HOLD overlap review</x:v>
      </x:c>
      <x:c r="AL99" s="18" t="str">
        <x:v>Yes</x:v>
      </x:c>
      <x:c r="AM99" s="18" t="str">
        <x:v>Probable overlapping publication/cohort with Yeh 2011. Five of 99 entrants did not complete and randomized arm assignment of losses is NR. Do not treat both papers as independent.</x:v>
      </x:c>
      <x:c r="AN99" s="18" t="str">
        <x:v>SOURCE-VERIFIED / DUPLICATE-OVERLAP HOLD</x:v>
      </x:c>
      <x:c r="AO99" s="18" t="str">
        <x:v>https://drive.google.com/file/d/1a1s31PQPWGnaVkYUtNUxO22F3QFTcwmi/view?usp=drivesdk</x:v>
      </x:c>
    </x:row>
    <x:row r="100">
      <x:c r="A100" s="18" t="str">
        <x:v>F-postop-dose-004</x:v>
      </x:c>
      <x:c r="B100" s="18" t="str">
        <x:v>F-postop-dose</x:v>
      </x:c>
      <x:c r="C100" s="18" t="str">
        <x:v>F_postop_delivered_dose_or_solution</x:v>
      </x:c>
      <x:c r="D100" s="18" t="str">
        <x:v>Chen 1998</x:v>
      </x:c>
      <x:c r="E100" s="18" t="str">
        <x:v>CHEN98_ACU_vs_SHAM</x:v>
      </x:c>
      <x:c r="F100" s="18" t="str">
        <x:v>Active ST36 acupoint TENS</x:v>
      </x:c>
      <x:c r="G100" s="18" t="str">
        <x:v>Sham ST36 TENS (0 mA)</x:v>
      </x:c>
      <x:c r="H100" s="18" t="str">
        <x:v>Cumulative IV PCA hydromorphone</x:v>
      </x:c>
      <x:c r="I100" s="18" t="str">
        <x:v>First 24 h postoperatively</x:v>
      </x:c>
      <x:c r="J100" s="18" t="str">
        <x:v>Mean/SD</x:v>
      </x:c>
      <x:c r="K100" s="18" t="n">
        <x:v>25</x:v>
      </x:c>
      <x:c r="L100" s="18" t="n">
        <x:v>25</x:v>
      </x:c>
      <x:c r="M100" s="18" t="n">
        <x:v>6.5</x:v>
      </x:c>
      <x:c r="N100" s="18" t="n">
        <x:v>3.5</x:v>
      </x:c>
      <x:c r="O100" s="18"/>
      <x:c r="P100" s="18"/>
      <x:c r="Q100" s="18"/>
      <x:c r="R100" s="18"/>
      <x:c r="S100" s="18" t="n">
        <x:v>10.7</x:v>
      </x:c>
      <x:c r="T100" s="18" t="n">
        <x:v>5</x:v>
      </x:c>
      <x:c r="U100" s="18"/>
      <x:c r="V100" s="18"/>
      <x:c r="W100" s="18"/>
      <x:c r="X100" s="18"/>
      <x:c r="Y100" s="18" t="str">
        <x:v>mg hydromorphone</x:v>
      </x:c>
      <x:c r="Z100" s="18"/>
      <x:c r="AA100" s="18" t="str">
        <x:v>MD</x:v>
      </x:c>
      <x:c r="AB100" s="18" t="n">
        <x:v>-4.199999999999999</x:v>
      </x:c>
      <x:c r="AC100" s="18" t="str">
        <x:v>High</x:v>
      </x:c>
      <x:c r="AD100" s="18" t="n">
        <x:v>0</x:v>
      </x:c>
      <x:c r="AE100" s="18" t="n">
        <x:v>1</x:v>
      </x:c>
      <x:c r="AF100" s="18" t="n">
        <x:v>0</x:v>
      </x:c>
      <x:c r="AG100" s="18"/>
      <x:c r="AH100" s="18"/>
      <x:c r="AI100" s="18" t="str">
        <x:v>SENSITIVITY_MODEL</x:v>
      </x:c>
      <x:c r="AJ100" s="18"/>
      <x:c r="AK100" s="18"/>
      <x:c r="AL100" s="18" t="str">
        <x:v>Yes</x:v>
      </x:c>
      <x:c r="AM100" s="18" t="str">
        <x:v>Four-arm RCT; shared sham control must be handled correctly</x:v>
      </x:c>
      <x:c r="AN100" s="18" t="str">
        <x:v>SOURCE-VERIFIED</x:v>
      </x:c>
      <x:c r="AO100" s="18" t="str">
        <x:v>https://drive.google.com/file/d/1lUyYj9aN1CL9RpY86ZY0970To83Kb17s/view?usp=drivesdk</x:v>
      </x:c>
    </x:row>
    <x:row r="101">
      <x:c r="A101" s="18" t="str">
        <x:v>F-postop-dose-005</x:v>
      </x:c>
      <x:c r="B101" s="18" t="str">
        <x:v>F-postop-dose</x:v>
      </x:c>
      <x:c r="C101" s="18" t="str">
        <x:v>F_postop_delivered_dose_or_solution</x:v>
      </x:c>
      <x:c r="D101" s="18" t="str">
        <x:v>Lin 2002</x:v>
      </x:c>
      <x:c r="E101" s="18" t="str">
        <x:v>LIN02_HIGH_vs_SHAM</x:v>
      </x:c>
      <x:c r="F101" s="18" t="str">
        <x:v>100-Hz EA</x:v>
      </x:c>
      <x:c r="G101" s="18" t="str">
        <x:v>Sham EA</x:v>
      </x:c>
      <x:c r="H101" s="18" t="str">
        <x:v>Cumulative IV PCA morphine delivered during postoperative test period</x:v>
      </x:c>
      <x:c r="I101" s="18" t="str">
        <x:v>Postoperative hour 1 through next 23 h (published as 24-h test-period value)</x:v>
      </x:c>
      <x:c r="J101" s="18" t="str">
        <x:v>Mean/SD</x:v>
      </x:c>
      <x:c r="K101" s="18" t="n">
        <x:v>25</x:v>
      </x:c>
      <x:c r="L101" s="18" t="n">
        <x:v>25</x:v>
      </x:c>
      <x:c r="M101" s="18" t="n">
        <x:v>15</x:v>
      </x:c>
      <x:c r="N101" s="18" t="n">
        <x:v>10.7</x:v>
      </x:c>
      <x:c r="O101" s="18"/>
      <x:c r="P101" s="18"/>
      <x:c r="Q101" s="18"/>
      <x:c r="R101" s="18"/>
      <x:c r="S101" s="18" t="n">
        <x:v>30.2</x:v>
      </x:c>
      <x:c r="T101" s="18" t="n">
        <x:v>14.4</x:v>
      </x:c>
      <x:c r="U101" s="18"/>
      <x:c r="V101" s="18"/>
      <x:c r="W101" s="18"/>
      <x:c r="X101" s="18"/>
      <x:c r="Y101" s="18" t="str">
        <x:v>mg morphine</x:v>
      </x:c>
      <x:c r="Z101" s="18"/>
      <x:c r="AA101" s="18" t="str">
        <x:v>MD</x:v>
      </x:c>
      <x:c r="AB101" s="18" t="n">
        <x:v>-15.2</x:v>
      </x:c>
      <x:c r="AC101" s="18" t="str">
        <x:v>High</x:v>
      </x:c>
      <x:c r="AD101" s="18" t="n">
        <x:v>0</x:v>
      </x:c>
      <x:c r="AE101" s="18" t="n">
        <x:v>1</x:v>
      </x:c>
      <x:c r="AF101" s="18" t="n">
        <x:v>0</x:v>
      </x:c>
      <x:c r="AG101" s="18"/>
      <x:c r="AH101" s="18"/>
      <x:c r="AI101" s="18" t="str">
        <x:v>SENSITIVITY_MODEL</x:v>
      </x:c>
      <x:c r="AJ101" s="18"/>
      <x:c r="AK101" s="18"/>
      <x:c r="AL101" s="18" t="str">
        <x:v>Yes</x:v>
      </x:c>
      <x:c r="AM101" s="18" t="str">
        <x:v>First postoperative hour could include IM pethidine; group-specific pethidine exposure not reported</x:v>
      </x:c>
      <x:c r="AN101" s="18" t="str">
        <x:v>SOURCE-VERIFIED</x:v>
      </x:c>
      <x:c r="AO101" s="18" t="str">
        <x:v>https://drive.google.com/file/d/1Q5dNOPkf4PB_ctbHu1_3v3UIMIJzKRw9/view?usp=drivesdk</x:v>
      </x:c>
    </x:row>
    <x:row r="102">
      <x:c r="A102" s="18" t="str">
        <x:v>F-postop-dose-005</x:v>
      </x:c>
      <x:c r="B102" s="18" t="str">
        <x:v>F-postop-dose</x:v>
      </x:c>
      <x:c r="C102" s="18" t="str">
        <x:v>F_postop_delivered_dose_or_solution</x:v>
      </x:c>
      <x:c r="D102" s="18" t="str">
        <x:v>Lin 2002</x:v>
      </x:c>
      <x:c r="E102" s="18" t="str">
        <x:v>LIN02_LOW_vs_SHAM</x:v>
      </x:c>
      <x:c r="F102" s="18" t="str">
        <x:v>2-Hz EA</x:v>
      </x:c>
      <x:c r="G102" s="18" t="str">
        <x:v>Sham EA</x:v>
      </x:c>
      <x:c r="H102" s="18" t="str">
        <x:v>Cumulative IV PCA morphine delivered during postoperative test period</x:v>
      </x:c>
      <x:c r="I102" s="18" t="str">
        <x:v>Postoperative hour 1 through next 23 h (published as 24-h test-period value)</x:v>
      </x:c>
      <x:c r="J102" s="18" t="str">
        <x:v>Mean/SD</x:v>
      </x:c>
      <x:c r="K102" s="18" t="n">
        <x:v>25</x:v>
      </x:c>
      <x:c r="L102" s="18" t="n">
        <x:v>25</x:v>
      </x:c>
      <x:c r="M102" s="18" t="n">
        <x:v>21.8</x:v>
      </x:c>
      <x:c r="N102" s="18" t="n">
        <x:v>14.7</x:v>
      </x:c>
      <x:c r="O102" s="18"/>
      <x:c r="P102" s="18"/>
      <x:c r="Q102" s="18"/>
      <x:c r="R102" s="18"/>
      <x:c r="S102" s="18" t="n">
        <x:v>30.2</x:v>
      </x:c>
      <x:c r="T102" s="18" t="n">
        <x:v>14.4</x:v>
      </x:c>
      <x:c r="U102" s="18"/>
      <x:c r="V102" s="18"/>
      <x:c r="W102" s="18"/>
      <x:c r="X102" s="18"/>
      <x:c r="Y102" s="18" t="str">
        <x:v>mg morphine</x:v>
      </x:c>
      <x:c r="Z102" s="18"/>
      <x:c r="AA102" s="18" t="str">
        <x:v>MD</x:v>
      </x:c>
      <x:c r="AB102" s="18" t="n">
        <x:v>-8.399999999999999</x:v>
      </x:c>
      <x:c r="AC102" s="18" t="str">
        <x:v>High</x:v>
      </x:c>
      <x:c r="AD102" s="18" t="n">
        <x:v>0</x:v>
      </x:c>
      <x:c r="AE102" s="18" t="n">
        <x:v>1</x:v>
      </x:c>
      <x:c r="AF102" s="18" t="n">
        <x:v>0</x:v>
      </x:c>
      <x:c r="AG102" s="18"/>
      <x:c r="AH102" s="18"/>
      <x:c r="AI102" s="18" t="str">
        <x:v>SENSITIVITY_MODEL</x:v>
      </x:c>
      <x:c r="AJ102" s="18"/>
      <x:c r="AK102" s="18"/>
      <x:c r="AL102" s="18" t="str">
        <x:v>Yes</x:v>
      </x:c>
      <x:c r="AM102" s="18" t="str">
        <x:v>First postoperative hour could include IM pethidine; group-specific pethidine exposure not reported</x:v>
      </x:c>
      <x:c r="AN102" s="18" t="str">
        <x:v>SOURCE-VERIFIED</x:v>
      </x:c>
      <x:c r="AO102" s="18" t="str">
        <x:v>https://drive.google.com/file/d/1Q5dNOPkf4PB_ctbHu1_3v3UIMIJzKRw9/view?usp=drivesdk</x:v>
      </x:c>
    </x:row>
    <x:row r="103">
      <x:c r="A103" s="18" t="str">
        <x:v>F-postop-dose-006</x:v>
      </x:c>
      <x:c r="B103" s="18" t="str">
        <x:v>F-postop-dose</x:v>
      </x:c>
      <x:c r="C103" s="18" t="str">
        <x:v>F_postop_delivered_dose_or_solution</x:v>
      </x:c>
      <x:c r="D103" s="18" t="str">
        <x:v>Coura 2011</x:v>
      </x:c>
      <x:c r="E103" s="18" t="str">
        <x:v>COURA11_EA_vs_SHAM</x:v>
      </x:c>
      <x:c r="F103" s="18" t="str">
        <x:v>Preoperative EA</x:v>
      </x:c>
      <x:c r="G103" s="18" t="str">
        <x:v>Sham stimulation</x:v>
      </x:c>
      <x:c r="H103" s="18" t="str">
        <x:v>Cumulative fentanyl</x:v>
      </x:c>
      <x:c r="I103" s="18" t="str">
        <x:v>First 24 h postoperatively</x:v>
      </x:c>
      <x:c r="J103" s="18" t="str">
        <x:v>Mean/SD</x:v>
      </x:c>
      <x:c r="K103" s="18" t="n">
        <x:v>13</x:v>
      </x:c>
      <x:c r="L103" s="18" t="n">
        <x:v>9</x:v>
      </x:c>
      <x:c r="M103" s="18" t="n">
        <x:v>13.1</x:v>
      </x:c>
      <x:c r="N103" s="18" t="n">
        <x:v>2.2</x:v>
      </x:c>
      <x:c r="O103" s="18"/>
      <x:c r="P103" s="18"/>
      <x:c r="Q103" s="18"/>
      <x:c r="R103" s="18"/>
      <x:c r="S103" s="18" t="n">
        <x:v>16.3</x:v>
      </x:c>
      <x:c r="T103" s="18" t="n">
        <x:v>1.6</x:v>
      </x:c>
      <x:c r="U103" s="18"/>
      <x:c r="V103" s="18"/>
      <x:c r="W103" s="18"/>
      <x:c r="X103" s="18"/>
      <x:c r="Y103" s="18" t="str">
        <x:v>µg/kg fentanyl</x:v>
      </x:c>
      <x:c r="Z103" s="18"/>
      <x:c r="AA103" s="18" t="str">
        <x:v>MD</x:v>
      </x:c>
      <x:c r="AB103" s="18" t="n">
        <x:v>-3.200000000000001</x:v>
      </x:c>
      <x:c r="AC103" s="18" t="str">
        <x:v>High</x:v>
      </x:c>
      <x:c r="AD103" s="18" t="n">
        <x:v>0</x:v>
      </x:c>
      <x:c r="AE103" s="18" t="n">
        <x:v>1</x:v>
      </x:c>
      <x:c r="AF103" s="18" t="n">
        <x:v>0</x:v>
      </x:c>
      <x:c r="AG103" s="18"/>
      <x:c r="AH103" s="18"/>
      <x:c r="AI103" s="18" t="str">
        <x:v>SENSITIVITY_MODEL</x:v>
      </x:c>
      <x:c r="AJ103" s="18"/>
      <x:c r="AK103" s="18"/>
      <x:c r="AL103" s="18" t="str">
        <x:v>No</x:v>
      </x:c>
      <x:c r="AM103" s="18" t="str">
        <x:v>10/32 post-randomization exclusions; supplemental morphine/fentanyl inclusion unclear</x:v>
      </x:c>
      <x:c r="AN103" s="18" t="str">
        <x:v>SOURCE-VERIFIED / QC HOLD</x:v>
      </x:c>
      <x:c r="AO103" s="18" t="str">
        <x:v>https://drive.google.com/file/d/120NJxCmxsdiyqWTXzjmaUWAaVa1i8iZz/view?usp=drivesdk</x:v>
      </x:c>
    </x:row>
    <x:row r="104">
      <x:c r="A104" s="18" t="str">
        <x:v>F-postop-dose-007</x:v>
      </x:c>
      <x:c r="B104" s="18" t="str">
        <x:v>F-postop-dose</x:v>
      </x:c>
      <x:c r="C104" s="18" t="str">
        <x:v>F_postop_delivered_dose_or_solution</x:v>
      </x:c>
      <x:c r="D104" s="18" t="str">
        <x:v>El-Rakshy 2009</x:v>
      </x:c>
      <x:c r="E104" s="18" t="str">
        <x:v>ELR09_EA_vs_CTRL_MORPH24</x:v>
      </x:c>
      <x:c r="F104" s="18" t="str">
        <x:v>Intraoperative EA + PCA</x:v>
      </x:c>
      <x:c r="G104" s="18" t="str">
        <x:v>PCA alone/no acupuncture</x:v>
      </x:c>
      <x:c r="H104" s="18" t="str">
        <x:v>Total IV morphine analgesia</x:v>
      </x:c>
      <x:c r="I104" s="18" t="str">
        <x:v>First 24 h</x:v>
      </x:c>
      <x:c r="J104" s="18" t="str">
        <x:v>Mean/SD</x:v>
      </x:c>
      <x:c r="K104" s="18" t="n">
        <x:v>42</x:v>
      </x:c>
      <x:c r="L104" s="18" t="n">
        <x:v>53</x:v>
      </x:c>
      <x:c r="M104" s="18" t="n">
        <x:v>35.3</x:v>
      </x:c>
      <x:c r="N104" s="18" t="n">
        <x:v>18</x:v>
      </x:c>
      <x:c r="O104" s="18"/>
      <x:c r="P104" s="18"/>
      <x:c r="Q104" s="18"/>
      <x:c r="R104" s="18"/>
      <x:c r="S104" s="18" t="n">
        <x:v>36.9</x:v>
      </x:c>
      <x:c r="T104" s="18" t="n">
        <x:v>18</x:v>
      </x:c>
      <x:c r="U104" s="18"/>
      <x:c r="V104" s="18"/>
      <x:c r="W104" s="18"/>
      <x:c r="X104" s="18"/>
      <x:c r="Y104" s="18" t="str">
        <x:v>mg IV morphine</x:v>
      </x:c>
      <x:c r="Z104" s="18" t="str">
        <x:v>0.961</x:v>
      </x:c>
      <x:c r="AA104" s="18" t="str">
        <x:v>MD</x:v>
      </x:c>
      <x:c r="AB104" s="18" t="n">
        <x:v>-1.6000000000000014</x:v>
      </x:c>
      <x:c r="AC104" s="18" t="str">
        <x:v>High</x:v>
      </x:c>
      <x:c r="AD104" s="18" t="n">
        <x:v>0</x:v>
      </x:c>
      <x:c r="AE104" s="18" t="n">
        <x:v>1</x:v>
      </x:c>
      <x:c r="AF104" s="18" t="n">
        <x:v>0</x:v>
      </x:c>
      <x:c r="AG104" s="18" t="str">
        <x:v>P2</x:v>
      </x:c>
      <x:c r="AH104" s="18"/>
      <x:c r="AI104" s="18" t="str">
        <x:v>SENSITIVITY_MODEL</x:v>
      </x:c>
      <x:c r="AJ104" s="18"/>
      <x:c r="AK104" s="18"/>
      <x:c r="AL104" s="18" t="str">
        <x:v>No</x:v>
      </x:c>
      <x:c r="AM104" s="18" t="str">
        <x:v>Publication has irreconcilable allocation/analyzed group labels. Use Table 2 n=42 EA and n=53 control for this result; do not substitute overall study denominators.</x:v>
      </x:c>
      <x:c r="AN104" s="18" t="str">
        <x:v>SOURCE-VERIFIED / OUTCOME-SPECIFIC DENOMINATORS</x:v>
      </x:c>
      <x:c r="AO104" s="18" t="str">
        <x:v>https://drive.google.com/file/d/12AfIox-MgnMU15U-mdvZgaTKnukXKvAR/view?usp=drivesdk</x:v>
      </x:c>
    </x:row>
    <x:row r="105">
      <x:c r="A105" s="18" t="str">
        <x:v>F-postop-dose-008</x:v>
      </x:c>
      <x:c r="B105" s="18" t="str">
        <x:v>F-postop-dose</x:v>
      </x:c>
      <x:c r="C105" s="18" t="str">
        <x:v>F_postop_delivered_dose_or_solution</x:v>
      </x:c>
      <x:c r="D105" s="18" t="str">
        <x:v>Gu 2019</x:v>
      </x:c>
      <x:c r="E105" s="18" t="str">
        <x:v>GU19_LTEAS_vs_CTEAS_PCIA4</x:v>
      </x:c>
      <x:c r="F105" s="18" t="str">
        <x:v>Long-duration TEAS</x:v>
      </x:c>
      <x:c r="G105" s="18" t="str">
        <x:v>Sham/no-current TEAS</x:v>
      </x:c>
      <x:c r="H105" s="18" t="str">
        <x:v>Cumulative multimodal PCIA solution consumed</x:v>
      </x:c>
      <x:c r="I105" s="18" t="str">
        <x:v>4 h</x:v>
      </x:c>
      <x:c r="J105" s="18" t="str">
        <x:v>Mean/SD</x:v>
      </x:c>
      <x:c r="K105" s="18" t="n">
        <x:v>58</x:v>
      </x:c>
      <x:c r="L105" s="18" t="n">
        <x:v>59</x:v>
      </x:c>
      <x:c r="M105" s="18" t="n">
        <x:v>10.02</x:v>
      </x:c>
      <x:c r="N105" s="18" t="n">
        <x:v>2.26</x:v>
      </x:c>
      <x:c r="O105" s="18"/>
      <x:c r="P105" s="18"/>
      <x:c r="Q105" s="18"/>
      <x:c r="R105" s="18"/>
      <x:c r="S105" s="18" t="n">
        <x:v>13.38</x:v>
      </x:c>
      <x:c r="T105" s="18" t="n">
        <x:v>2.98</x:v>
      </x:c>
      <x:c r="U105" s="18"/>
      <x:c r="V105" s="18"/>
      <x:c r="W105" s="18"/>
      <x:c r="X105" s="18"/>
      <x:c r="Y105" s="18" t="str">
        <x:v>mL solution = numerically same µg sufentanil at 1 µg/mL</x:v>
      </x:c>
      <x:c r="Z105" s="18" t="str">
        <x:v>&lt;0.05</x:v>
      </x:c>
      <x:c r="AA105" s="18" t="str">
        <x:v>MD</x:v>
      </x:c>
      <x:c r="AB105" s="18" t="n">
        <x:v>-3.360000000000001</x:v>
      </x:c>
      <x:c r="AC105" s="18" t="str">
        <x:v>Some concerns</x:v>
      </x:c>
      <x:c r="AD105" s="18" t="n">
        <x:v>0</x:v>
      </x:c>
      <x:c r="AE105" s="18" t="n">
        <x:v>0</x:v>
      </x:c>
      <x:c r="AF105" s="18" t="n">
        <x:v>1</x:v>
      </x:c>
      <x:c r="AG105" s="18" t="str">
        <x:v>P1</x:v>
      </x:c>
      <x:c r="AH105" s="18" t="str">
        <x:v>RESOLVED_BY_TIMEPOINT_EXCLUSION</x:v>
      </x:c>
      <x:c r="AI105" s="18" t="str">
        <x:v>EXCLUDE_OR_NARRATIVE</x:v>
      </x:c>
      <x:c r="AJ105" s="18"/>
      <x:c r="AK105" s="18"/>
      <x:c r="AL105" s="18" t="str">
        <x:v>No</x:v>
      </x:c>
      <x:c r="AM105" s="18" t="str">
        <x:v>Pump also contains dexmedetomidine, flurbiprofen and palonosetron; exact 24-h value is graph-only</x:v>
      </x:c>
      <x:c r="AN105" s="18" t="str">
        <x:v>SOURCE-VERIFIED / MULTIMODAL PCIA</x:v>
      </x:c>
      <x:c r="AO105" s="18" t="str">
        <x:v>https://drive.google.com/file/d/1ipQFXfERgAVmgNKMpLkvaaecYJVSTDiw/view?usp=drivesdk</x:v>
      </x:c>
    </x:row>
    <x:row r="106">
      <x:c r="A106" s="18" t="str">
        <x:v>F-postop-dose-008</x:v>
      </x:c>
      <x:c r="B106" s="18" t="str">
        <x:v>F-postop-dose</x:v>
      </x:c>
      <x:c r="C106" s="18" t="str">
        <x:v>F_postop_delivered_dose_or_solution</x:v>
      </x:c>
      <x:c r="D106" s="18" t="str">
        <x:v>Gu 2019</x:v>
      </x:c>
      <x:c r="E106" s="18" t="str">
        <x:v>GU19_LTEAS_vs_CTEAS_PCIA8</x:v>
      </x:c>
      <x:c r="F106" s="18" t="str">
        <x:v>Long-duration TEAS</x:v>
      </x:c>
      <x:c r="G106" s="18" t="str">
        <x:v>Sham/no-current TEAS</x:v>
      </x:c>
      <x:c r="H106" s="18" t="str">
        <x:v>Cumulative multimodal PCIA solution consumed</x:v>
      </x:c>
      <x:c r="I106" s="18" t="str">
        <x:v>8 h</x:v>
      </x:c>
      <x:c r="J106" s="18" t="str">
        <x:v>Mean/SD</x:v>
      </x:c>
      <x:c r="K106" s="18" t="n">
        <x:v>58</x:v>
      </x:c>
      <x:c r="L106" s="18" t="n">
        <x:v>59</x:v>
      </x:c>
      <x:c r="M106" s="18" t="n">
        <x:v>20.55</x:v>
      </x:c>
      <x:c r="N106" s="18" t="n">
        <x:v>4.59</x:v>
      </x:c>
      <x:c r="O106" s="18"/>
      <x:c r="P106" s="18"/>
      <x:c r="Q106" s="18"/>
      <x:c r="R106" s="18"/>
      <x:c r="S106" s="18" t="n">
        <x:v>24.63</x:v>
      </x:c>
      <x:c r="T106" s="18" t="n">
        <x:v>3.94</x:v>
      </x:c>
      <x:c r="U106" s="18"/>
      <x:c r="V106" s="18"/>
      <x:c r="W106" s="18"/>
      <x:c r="X106" s="18"/>
      <x:c r="Y106" s="18" t="str">
        <x:v>mL solution = numerically same µg sufentanil at 1 µg/mL</x:v>
      </x:c>
      <x:c r="Z106" s="18" t="str">
        <x:v>&lt;0.05</x:v>
      </x:c>
      <x:c r="AA106" s="18" t="str">
        <x:v>MD</x:v>
      </x:c>
      <x:c r="AB106" s="18" t="n">
        <x:v>-4.079999999999998</x:v>
      </x:c>
      <x:c r="AC106" s="18" t="str">
        <x:v>Some concerns</x:v>
      </x:c>
      <x:c r="AD106" s="18" t="n">
        <x:v>0</x:v>
      </x:c>
      <x:c r="AE106" s="18" t="n">
        <x:v>0</x:v>
      </x:c>
      <x:c r="AF106" s="18" t="n">
        <x:v>1</x:v>
      </x:c>
      <x:c r="AG106" s="18" t="str">
        <x:v>P1</x:v>
      </x:c>
      <x:c r="AH106" s="18" t="str">
        <x:v>RESOLVED_BY_TIMEPOINT_EXCLUSION</x:v>
      </x:c>
      <x:c r="AI106" s="18" t="str">
        <x:v>EXCLUDE_OR_NARRATIVE</x:v>
      </x:c>
      <x:c r="AJ106" s="18"/>
      <x:c r="AK106" s="18"/>
      <x:c r="AL106" s="18" t="str">
        <x:v>No</x:v>
      </x:c>
      <x:c r="AM106" s="18" t="str">
        <x:v>Pump also contains dexmedetomidine, flurbiprofen and palonosetron; exact 24-h value is graph-only</x:v>
      </x:c>
      <x:c r="AN106" s="18" t="str">
        <x:v>SOURCE-VERIFIED / MULTIMODAL PCIA</x:v>
      </x:c>
      <x:c r="AO106" s="18" t="str">
        <x:v>https://drive.google.com/file/d/1ipQFXfERgAVmgNKMpLkvaaecYJVSTDiw/view?usp=drivesdk</x:v>
      </x:c>
    </x:row>
    <x:row r="107">
      <x:c r="A107" s="18" t="str">
        <x:v>F-postop-dose-008</x:v>
      </x:c>
      <x:c r="B107" s="18" t="str">
        <x:v>F-postop-dose</x:v>
      </x:c>
      <x:c r="C107" s="18" t="str">
        <x:v>F_postop_delivered_dose_or_solution</x:v>
      </x:c>
      <x:c r="D107" s="18" t="str">
        <x:v>Gu 2019</x:v>
      </x:c>
      <x:c r="E107" s="18" t="str">
        <x:v>GU19_LTEAS_vs_CTEAS_PCIA36</x:v>
      </x:c>
      <x:c r="F107" s="18" t="str">
        <x:v>Long-duration TEAS</x:v>
      </x:c>
      <x:c r="G107" s="18" t="str">
        <x:v>Sham/no-current TEAS</x:v>
      </x:c>
      <x:c r="H107" s="18" t="str">
        <x:v>Cumulative multimodal PCIA solution consumed</x:v>
      </x:c>
      <x:c r="I107" s="18" t="str">
        <x:v>36 h</x:v>
      </x:c>
      <x:c r="J107" s="18" t="str">
        <x:v>Mean/SD</x:v>
      </x:c>
      <x:c r="K107" s="18" t="n">
        <x:v>58</x:v>
      </x:c>
      <x:c r="L107" s="18" t="n">
        <x:v>59</x:v>
      </x:c>
      <x:c r="M107" s="18" t="n">
        <x:v>72.64</x:v>
      </x:c>
      <x:c r="N107" s="18" t="n">
        <x:v>9.74</x:v>
      </x:c>
      <x:c r="O107" s="18"/>
      <x:c r="P107" s="18"/>
      <x:c r="Q107" s="18"/>
      <x:c r="R107" s="18"/>
      <x:c r="S107" s="18" t="n">
        <x:v>76.01</x:v>
      </x:c>
      <x:c r="T107" s="18" t="n">
        <x:v>10.43</x:v>
      </x:c>
      <x:c r="U107" s="18"/>
      <x:c r="V107" s="18"/>
      <x:c r="W107" s="18"/>
      <x:c r="X107" s="18"/>
      <x:c r="Y107" s="18" t="str">
        <x:v>mL solution = numerically same µg sufentanil at 1 µg/mL</x:v>
      </x:c>
      <x:c r="Z107" s="18" t="str">
        <x:v>&lt;0.05</x:v>
      </x:c>
      <x:c r="AA107" s="18" t="str">
        <x:v>MD</x:v>
      </x:c>
      <x:c r="AB107" s="18" t="n">
        <x:v>-3.3700000000000045</x:v>
      </x:c>
      <x:c r="AC107" s="18" t="str">
        <x:v>Some concerns</x:v>
      </x:c>
      <x:c r="AD107" s="18" t="n">
        <x:v>0</x:v>
      </x:c>
      <x:c r="AE107" s="18" t="n">
        <x:v>0</x:v>
      </x:c>
      <x:c r="AF107" s="18" t="n">
        <x:v>1</x:v>
      </x:c>
      <x:c r="AG107" s="18" t="str">
        <x:v>P1</x:v>
      </x:c>
      <x:c r="AH107" s="18" t="str">
        <x:v>RESOLVED_BY_TIMEPOINT_EXCLUSION</x:v>
      </x:c>
      <x:c r="AI107" s="18" t="str">
        <x:v>EXCLUDE_OR_NARRATIVE</x:v>
      </x:c>
      <x:c r="AJ107" s="18"/>
      <x:c r="AK107" s="18"/>
      <x:c r="AL107" s="18" t="str">
        <x:v>No</x:v>
      </x:c>
      <x:c r="AM107" s="18" t="str">
        <x:v>Pump also contains dexmedetomidine, flurbiprofen and palonosetron; exact 24-h value is graph-only</x:v>
      </x:c>
      <x:c r="AN107" s="18" t="str">
        <x:v>SOURCE-VERIFIED / MULTIMODAL PCIA</x:v>
      </x:c>
      <x:c r="AO107" s="18" t="str">
        <x:v>https://drive.google.com/file/d/1ipQFXfERgAVmgNKMpLkvaaecYJVSTDiw/view?usp=drivesdk</x:v>
      </x:c>
    </x:row>
    <x:row r="108">
      <x:c r="A108" s="18" t="str">
        <x:v>F-postop-dose-009</x:v>
      </x:c>
      <x:c r="B108" s="18" t="str">
        <x:v>F-postop-dose</x:v>
      </x:c>
      <x:c r="C108" s="18" t="str">
        <x:v>F_postop_delivered_dose_or_solution</x:v>
      </x:c>
      <x:c r="D108" s="18" t="str">
        <x:v>Huang 2024</x:v>
      </x:c>
      <x:c r="E108" s="18" t="str">
        <x:v>HUANG24_CONTRA_vs_SHAM_PCA_D2</x:v>
      </x:c>
      <x:c r="F108" s="18" t="str">
        <x:v>Contralateral EA</x:v>
      </x:c>
      <x:c r="G108" s="18" t="str">
        <x:v>Bilateral sham EA</x:v>
      </x:c>
      <x:c r="H108" s="18" t="str">
        <x:v>Additional PCA dose/release</x:v>
      </x:c>
      <x:c r="I108" s="18" t="str">
        <x:v>POD2; 24 h after first EA session, not necessarily 24 h after surgery</x:v>
      </x:c>
      <x:c r="J108" s="18" t="str">
        <x:v>Median/IQR</x:v>
      </x:c>
      <x:c r="K108" s="18" t="n">
        <x:v>38</x:v>
      </x:c>
      <x:c r="L108" s="18" t="n">
        <x:v>38</x:v>
      </x:c>
      <x:c r="M108" s="18"/>
      <x:c r="N108" s="18"/>
      <x:c r="O108" s="18" t="n">
        <x:v>0</x:v>
      </x:c>
      <x:c r="P108" s="18" t="n">
        <x:v>0</x:v>
      </x:c>
      <x:c r="Q108" s="18" t="n">
        <x:v>2</x:v>
      </x:c>
      <x:c r="R108" s="18"/>
      <x:c r="S108" s="18"/>
      <x:c r="T108" s="18"/>
      <x:c r="U108" s="18" t="n">
        <x:v>2</x:v>
      </x:c>
      <x:c r="V108" s="18" t="n">
        <x:v>2</x:v>
      </x:c>
      <x:c r="W108" s="18" t="n">
        <x:v>4</x:v>
      </x:c>
      <x:c r="X108" s="18"/>
      <x:c r="Y108" s="18" t="str">
        <x:v>source unit not reported</x:v>
      </x:c>
      <x:c r="Z108" s="18" t="str">
        <x:v>P&lt;0.001</x:v>
      </x:c>
      <x:c r="AA108" s="18"/>
      <x:c r="AB108" s="18"/>
      <x:c r="AC108" s="18" t="str">
        <x:v>Some concerns</x:v>
      </x:c>
      <x:c r="AD108" s="18" t="n">
        <x:v>0</x:v>
      </x:c>
      <x:c r="AE108" s="18" t="n">
        <x:v>0</x:v>
      </x:c>
      <x:c r="AF108" s="18" t="n">
        <x:v>1</x:v>
      </x:c>
      <x:c r="AG108" s="18" t="str">
        <x:v>P1</x:v>
      </x:c>
      <x:c r="AH108" s="18" t="str">
        <x:v>RESOLVED_BY_EXCLUSION</x:v>
      </x:c>
      <x:c r="AI108" s="18" t="str">
        <x:v>EXCLUDE_OR_NARRATIVE</x:v>
      </x:c>
      <x:c r="AJ108" s="18"/>
      <x:c r="AK108" s="18" t="str">
        <x:v>UNRESOLVED unit</x:v>
      </x:c>
      <x:c r="AL108" s="18" t="str">
        <x:v>Yes</x:v>
      </x:c>
      <x:c r="AM108" s="18" t="str">
        <x:v>PCA drug, dose per release and outcome unit are not reported; timing is 24 h after first EA rather than explicitly 24 h after surgery</x:v>
      </x:c>
      <x:c r="AN108" s="18" t="str">
        <x:v>SOURCE-VERIFIED / UNIT + TIMEPOINT QC</x:v>
      </x:c>
      <x:c r="AO108" s="18" t="str">
        <x:v>https://drive.google.com/file/d/1z-76QoxqmtMRV32wOpem7jAyDnuD6fb8/view?usp=drivesdk</x:v>
      </x:c>
    </x:row>
    <x:row r="109">
      <x:c r="A109" s="18" t="str">
        <x:v>F-postop-dose-010</x:v>
      </x:c>
      <x:c r="B109" s="18" t="str">
        <x:v>F-postop-dose</x:v>
      </x:c>
      <x:c r="C109" s="18" t="str">
        <x:v>F_postop_delivered_dose_or_solution</x:v>
      </x:c>
      <x:c r="D109" s="18" t="str">
        <x:v>Yeh 2011</x:v>
      </x:c>
      <x:c r="E109" s="18" t="str">
        <x:v>YEH11_AES_vs_SHAM_MORPH24</x:v>
      </x:c>
      <x:c r="F109" s="18" t="str">
        <x:v>True-acupoint AES</x:v>
      </x:c>
      <x:c r="G109" s="18" t="str">
        <x:v>Electrical sham/nonacupoint AES</x:v>
      </x:c>
      <x:c r="H109" s="18" t="str">
        <x:v>24-h IV morphine PCA dose</x:v>
      </x:c>
      <x:c r="I109" s="18" t="str">
        <x:v>First 24 postoperative hours</x:v>
      </x:c>
      <x:c r="J109" s="18" t="str">
        <x:v>Mean/SD</x:v>
      </x:c>
      <x:c r="K109" s="18" t="n">
        <x:v>30</x:v>
      </x:c>
      <x:c r="L109" s="18" t="n">
        <x:v>30</x:v>
      </x:c>
      <x:c r="M109" s="18" t="n">
        <x:v>19.3</x:v>
      </x:c>
      <x:c r="N109" s="18" t="n">
        <x:v>9.7</x:v>
      </x:c>
      <x:c r="O109" s="18"/>
      <x:c r="P109" s="18"/>
      <x:c r="Q109" s="18"/>
      <x:c r="R109" s="18"/>
      <x:c r="S109" s="18" t="n">
        <x:v>21.6</x:v>
      </x:c>
      <x:c r="T109" s="18" t="n">
        <x:v>13.1</x:v>
      </x:c>
      <x:c r="U109" s="18"/>
      <x:c r="V109" s="18"/>
      <x:c r="W109" s="18"/>
      <x:c r="X109" s="18"/>
      <x:c r="Y109" s="18" t="str">
        <x:v>mg IV morphine</x:v>
      </x:c>
      <x:c r="Z109" s="18" t="str">
        <x:v>AES-vs-sham pairwise significance NR</x:v>
      </x:c>
      <x:c r="AA109" s="18" t="str">
        <x:v>MD</x:v>
      </x:c>
      <x:c r="AB109" s="18" t="n">
        <x:v>-2.3000000000000007</x:v>
      </x:c>
      <x:c r="AC109" s="18" t="str">
        <x:v>Some concerns</x:v>
      </x:c>
      <x:c r="AD109" s="18" t="n">
        <x:v>0</x:v>
      </x:c>
      <x:c r="AE109" s="18" t="n">
        <x:v>0</x:v>
      </x:c>
      <x:c r="AF109" s="18" t="n">
        <x:v>1</x:v>
      </x:c>
      <x:c r="AG109" s="18" t="str">
        <x:v>P1</x:v>
      </x:c>
      <x:c r="AH109" s="18" t="str">
        <x:v>HARD_HOLD_DEPENDENCY</x:v>
      </x:c>
      <x:c r="AI109" s="18" t="str">
        <x:v>HARD_HOLD</x:v>
      </x:c>
      <x:c r="AJ109" s="18" t="str">
        <x:v>YEH_SPINE_AES_POSSIBLE_OVERLAP</x:v>
      </x:c>
      <x:c r="AK109" s="18" t="str">
        <x:v>HOLD — potential overlap</x:v>
      </x:c>
      <x:c r="AL109" s="18" t="str">
        <x:v>Yes</x:v>
      </x:c>
      <x:c r="AM109" s="18" t="str">
        <x:v>Highly similar to Yeh 2010 in population, acupoints, comparator and 24-h opioid values; do not count independently until cohort/publication linkage is adjudicated.</x:v>
      </x:c>
      <x:c r="AN109" s="18" t="str">
        <x:v>SOURCE-VERIFIED / DUPLICATE-OVERLAP HOLD</x:v>
      </x:c>
      <x:c r="AO109" s="18" t="str">
        <x:v>https://drive.google.com/file/d/1ZJ60ZvJ5Q7sRu1iptK_tLLfBXxZZ_Hwl/view?usp=drivesdk</x:v>
      </x:c>
    </x:row>
  </x:sheetData>
  <x:conditionalFormatting sqref="AE2:AE109">
    <x:cfRule type="expression" dxfId="78" priority="1">
      <x:formula>AE2="STRICT_MODEL"</x:formula>
    </x:cfRule>
    <x:cfRule type="expression" dxfId="79" priority="2">
      <x:formula>AE2="SENSITIVITY_MODEL"</x:formula>
    </x:cfRule>
    <x:cfRule type="expression" dxfId="80" priority="3">
      <x:formula>OR(AE2="HARD_HOLD",AE2="EXCLUDE_OR_NARRATIVE")</x:formula>
    </x:cfRule>
  </x:conditionalFormatting>
  <x:pageMargins left="0.7" right="0.7" top="0.75" bottom="0.75" header="0.3" footer="0.3"/>
  <x:tableParts count="1">
    <x:tablePart xmlns:r="http://schemas.openxmlformats.org/officeDocument/2006/relationships" r:id="R725afdfbb8864ca5"/>
  </x:tableParts>
</x:worksheet>
</file>

<file path=xl/worksheets/sheet26.xml><?xml version="1.0" encoding="utf-8"?>
<x:worksheet xmlns:x="http://schemas.openxmlformats.org/spreadsheetml/2006/main">
  <x:sheetFormatPr defaultRowHeight="15"/>
  <x:cols>
    <x:col min="1" max="1" width="34" hidden="0" customWidth="1"/>
    <x:col min="2" max="2" width="32" hidden="0" customWidth="1"/>
    <x:col min="3" max="3" width="28" hidden="0" customWidth="1"/>
    <x:col min="4" max="4" width="28" hidden="0" customWidth="1"/>
    <x:col min="5" max="5" width="36" hidden="0" customWidth="1"/>
    <x:col min="6" max="6" width="24" hidden="0" customWidth="1"/>
    <x:col min="7" max="7" width="16" hidden="0" customWidth="1"/>
    <x:col min="8" max="8" width="10" hidden="0" customWidth="1"/>
    <x:col min="9" max="9" width="10"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24" hidden="0" customWidth="1"/>
    <x:col min="23" max="23" width="32" hidden="0" customWidth="1"/>
    <x:col min="24" max="24" width="14" hidden="0" customWidth="1"/>
    <x:col min="25" max="25" width="16" hidden="0" customWidth="1"/>
    <x:col min="26" max="26" width="12" hidden="0" customWidth="1"/>
    <x:col min="27" max="27" width="18" hidden="0" customWidth="1"/>
    <x:col min="28" max="28" width="46" hidden="0" customWidth="1"/>
    <x:col min="29" max="29" width="38" hidden="0" customWidth="1"/>
    <x:col min="30" max="30" width="42" hidden="0" customWidth="1"/>
    <x:col min="31" max="31" width="48" hidden="0" customWidth="1"/>
    <x:col min="32" max="32" width="46" hidden="0" customWidth="1"/>
  </x:cols>
  <x:sheetData>
    <x:row r="1">
      <x:c r="A1" s="81" t="str">
        <x:v>study_unit</x:v>
      </x:c>
      <x:c r="B1" s="81" t="str">
        <x:v>comparison_id</x:v>
      </x:c>
      <x:c r="C1" s="81" t="str">
        <x:v>intervention</x:v>
      </x:c>
      <x:c r="D1" s="81" t="str">
        <x:v>comparator</x:v>
      </x:c>
      <x:c r="E1" s="81" t="str">
        <x:v>outcome</x:v>
      </x:c>
      <x:c r="F1" s="81" t="str">
        <x:v>time_window</x:v>
      </x:c>
      <x:c r="G1" s="81" t="str">
        <x:v>data_type</x:v>
      </x:c>
      <x:c r="H1" s="81" t="str">
        <x:v>n_i</x:v>
      </x:c>
      <x:c r="I1" s="81" t="str">
        <x:v>n_c</x:v>
      </x:c>
      <x:c r="J1" s="81" t="str">
        <x:v>mean_i</x:v>
      </x:c>
      <x:c r="K1" s="81" t="str">
        <x:v>sd_i</x:v>
      </x:c>
      <x:c r="L1" s="81" t="str">
        <x:v>median_i</x:v>
      </x:c>
      <x:c r="M1" s="81" t="str">
        <x:v>q1_i</x:v>
      </x:c>
      <x:c r="N1" s="81" t="str">
        <x:v>q3_i</x:v>
      </x:c>
      <x:c r="O1" s="81" t="str">
        <x:v>events_i</x:v>
      </x:c>
      <x:c r="P1" s="81" t="str">
        <x:v>mean_c</x:v>
      </x:c>
      <x:c r="Q1" s="81" t="str">
        <x:v>sd_c</x:v>
      </x:c>
      <x:c r="R1" s="81" t="str">
        <x:v>median_c</x:v>
      </x:c>
      <x:c r="S1" s="81" t="str">
        <x:v>q1_c</x:v>
      </x:c>
      <x:c r="T1" s="81" t="str">
        <x:v>q3_c</x:v>
      </x:c>
      <x:c r="U1" s="81" t="str">
        <x:v>events_c</x:v>
      </x:c>
      <x:c r="V1" s="81" t="str">
        <x:v>unit</x:v>
      </x:c>
      <x:c r="W1" s="81" t="str">
        <x:v>v20_primary_decision</x:v>
      </x:c>
      <x:c r="X1" s="81" t="str">
        <x:v>provisional_primary_include</x:v>
      </x:c>
      <x:c r="Y1" s="81" t="str">
        <x:v>provisional_sensitivity_include</x:v>
      </x:c>
      <x:c r="Z1" s="81" t="str">
        <x:v>hard_hold</x:v>
      </x:c>
      <x:c r="AA1" s="81" t="str">
        <x:v>rob_overall</x:v>
      </x:c>
      <x:c r="AB1" s="81" t="str">
        <x:v>conversion_needed</x:v>
      </x:c>
      <x:c r="AC1" s="81" t="str">
        <x:v>sensitivity_flag</x:v>
      </x:c>
      <x:c r="AD1" s="81" t="str">
        <x:v>duplicate_multiarm_handling</x:v>
      </x:c>
      <x:c r="AE1" s="81" t="str">
        <x:v>source_qc</x:v>
      </x:c>
      <x:c r="AF1" s="81" t="str">
        <x:v>source_url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21.38</x:v>
      </x:c>
      <x:c r="K2" s="18" t="n">
        <x:v>14.38</x:v>
      </x:c>
      <x:c r="L2" s="18"/>
      <x:c r="M2" s="18"/>
      <x:c r="N2" s="18"/>
      <x:c r="O2" s="18"/>
      <x:c r="P2" s="18" t="n">
        <x:v>33.94</x:v>
      </x:c>
      <x:c r="Q2" s="18" t="n">
        <x:v>20.24</x:v>
      </x:c>
      <x:c r="R2" s="18"/>
      <x:c r="S2" s="18"/>
      <x:c r="T2" s="18"/>
      <x:c r="U2" s="18"/>
      <x:c r="V2" s="18" t="str">
        <x:v>mg morphine</x:v>
      </x:c>
      <x:c r="W2" s="18" t="str">
        <x:v>INCLUDE IN PRIMARY</x:v>
      </x:c>
      <x:c r="X2" s="18" t="n">
        <x:v>1</x:v>
      </x:c>
      <x:c r="Y2" s="18" t="n">
        <x:v>0</x:v>
      </x:c>
      <x:c r="Z2" s="18" t="n">
        <x:v>0</x:v>
      </x:c>
      <x:c r="AA2" s="18" t="str">
        <x:v>Some concerns</x:v>
      </x:c>
      <x:c r="AB2" s="18" t="str">
        <x:v>None</x:v>
      </x:c>
      <x:c r="AC2" s="18"/>
      <x:c r="AD2" s="18" t="str">
        <x:v>Count this study once per synthesis unless a valid multi-arm method is used.</x:v>
      </x:c>
      <x:c r="AE2" s="18" t="str">
        <x:v>No allocation-concealment method reported</x:v>
      </x:c>
      <x:c r="AF2" s="18" t="str">
        <x:v>https://drive.google.com/file/d/1OhuqhDUCEmOij7fZFhHHCJNwfQ9xpMzd/view?usp=drivesdk</x:v>
      </x:c>
    </x:row>
    <x:row r="3">
      <x:c r="A3" s="18" t="str">
        <x:v>Chen 1998</x:v>
      </x:c>
      <x:c r="B3" s="18" t="str">
        <x:v>CHEN98_ACU_vs_SHAM</x:v>
      </x:c>
      <x:c r="C3" s="18" t="str">
        <x:v>Active ST36 acupoint TENS</x:v>
      </x:c>
      <x:c r="D3" s="18" t="str">
        <x:v>Sham ST36 TENS (0 mA)</x:v>
      </x:c>
      <x:c r="E3" s="18" t="str">
        <x:v>Cumulative IV PCA hydromorphone</x:v>
      </x:c>
      <x:c r="F3" s="18" t="str">
        <x:v>First 24 h postoperatively</x:v>
      </x:c>
      <x:c r="G3" s="18" t="str">
        <x:v>Mean/SD</x:v>
      </x:c>
      <x:c r="H3" s="18" t="n">
        <x:v>25</x:v>
      </x:c>
      <x:c r="I3" s="18" t="n">
        <x:v>25</x:v>
      </x:c>
      <x:c r="J3" s="18" t="n">
        <x:v>6.5</x:v>
      </x:c>
      <x:c r="K3" s="18" t="n">
        <x:v>3.5</x:v>
      </x:c>
      <x:c r="L3" s="18"/>
      <x:c r="M3" s="18"/>
      <x:c r="N3" s="18"/>
      <x:c r="O3" s="18"/>
      <x:c r="P3" s="18" t="n">
        <x:v>10.7</x:v>
      </x:c>
      <x:c r="Q3" s="18" t="n">
        <x:v>5</x:v>
      </x:c>
      <x:c r="R3" s="18"/>
      <x:c r="S3" s="18"/>
      <x:c r="T3" s="18"/>
      <x:c r="U3" s="18"/>
      <x:c r="V3" s="18" t="str">
        <x:v>mg hydromorphone</x:v>
      </x:c>
      <x:c r="W3" s="18" t="str">
        <x:v>INCLUDE IN PRIMARY</x:v>
      </x:c>
      <x:c r="X3" s="18" t="n">
        <x:v>1</x:v>
      </x:c>
      <x:c r="Y3" s="18" t="n">
        <x:v>0</x:v>
      </x:c>
      <x:c r="Z3" s="18" t="n">
        <x:v>0</x:v>
      </x:c>
      <x:c r="AA3" s="18" t="str">
        <x:v>Some concerns</x:v>
      </x:c>
      <x:c r="AB3" s="18" t="str">
        <x:v>Opioid/MME conversion required using prespecified review conversion</x:v>
      </x:c>
      <x:c r="AC3" s="18" t="str">
        <x:v>Four-arm study; alternative active-site contrasts belong in sensitivity/mechanistic analyses.</x:v>
      </x:c>
      <x:c r="AD3" s="18" t="str">
        <x:v>Use one Chen 1998 contrast in a simple pairwise meta-analysis, or use a valid multi-arm method.</x:v>
      </x:c>
      <x:c r="AE3" s="18" t="str">
        <x:v>Four-arm RCT; shared sham control must be handled correctly</x:v>
      </x:c>
      <x:c r="AF3" s="18" t="str">
        <x:v>https://drive.google.com/file/d/1lUyYj9aN1CL9RpY86ZY0970To83Kb17s/view?usp=drivesdk</x:v>
      </x:c>
    </x:row>
    <x:row r="4">
      <x:c r="A4" s="18" t="str">
        <x:v>Chen 2020</x:v>
      </x:c>
      <x:c r="B4" s="18" t="str">
        <x:v>CHEN20_TEAS_vs_SHAM</x:v>
      </x:c>
      <x:c r="C4" s="18" t="str">
        <x:v>Perioperative TEAS</x:v>
      </x:c>
      <x:c r="D4" s="18" t="str">
        <x:v>Sham low/zero-current protocol</x:v>
      </x:c>
      <x:c r="E4" s="18" t="str">
        <x:v>Cumulative sufentanil</x:v>
      </x:c>
      <x:c r="F4" s="18" t="str">
        <x:v>24 h postoperatively</x:v>
      </x:c>
      <x:c r="G4" s="18" t="str">
        <x:v>Mean/SD</x:v>
      </x:c>
      <x:c r="H4" s="18" t="n">
        <x:v>40</x:v>
      </x:c>
      <x:c r="I4" s="18" t="n">
        <x:v>40</x:v>
      </x:c>
      <x:c r="J4" s="18" t="n">
        <x:v>72.43</x:v>
      </x:c>
      <x:c r="K4" s="18" t="n">
        <x:v>4.78</x:v>
      </x:c>
      <x:c r="L4" s="18"/>
      <x:c r="M4" s="18"/>
      <x:c r="N4" s="18"/>
      <x:c r="O4" s="18"/>
      <x:c r="P4" s="18" t="n">
        <x:v>100.62</x:v>
      </x:c>
      <x:c r="Q4" s="18" t="n">
        <x:v>10.2</x:v>
      </x:c>
      <x:c r="R4" s="18"/>
      <x:c r="S4" s="18"/>
      <x:c r="T4" s="18"/>
      <x:c r="U4" s="18"/>
      <x:c r="V4" s="18" t="str">
        <x:v>µg sufentanil</x:v>
      </x:c>
      <x:c r="W4" s="18" t="str">
        <x:v>INCLUDE IN PRIMARY</x:v>
      </x:c>
      <x:c r="X4" s="18" t="n">
        <x:v>1</x:v>
      </x:c>
      <x:c r="Y4" s="18" t="n">
        <x:v>0</x:v>
      </x:c>
      <x:c r="Z4" s="18" t="n">
        <x:v>0</x:v>
      </x:c>
      <x:c r="AA4" s="18" t="str">
        <x:v>Some concerns</x:v>
      </x:c>
      <x:c r="AB4" s="18" t="str">
        <x:v>Opioid/MME conversion required using prespecified review conversion</x:v>
      </x:c>
      <x:c r="AC4" s="18"/>
      <x:c r="AD4" s="18" t="str">
        <x:v>Count this study once per synthesis unless a valid multi-arm method is used.</x:v>
      </x:c>
      <x:c r="AE4" s="18" t="str">
        <x:v>Sham was 4 mA pre/postoperatively but 0 mA intraoperatively; preserve this nuance</x:v>
      </x:c>
      <x:c r="AF4" s="18" t="str">
        <x:v>https://drive.google.com/file/d/1y0_cC1NCl5g2vYxDMOtYmxVA_YEE-rsR/view?usp=drivesdk</x:v>
      </x:c>
    </x:row>
    <x:row r="5">
      <x:c r="A5" s="18" t="str">
        <x:v>Yang 2024</x:v>
      </x:c>
      <x:c r="B5" s="18" t="str">
        <x:v>YANG24_EA_vs_UC_MORPH24</x:v>
      </x:c>
      <x:c r="C5" s="18" t="str">
        <x:v>Perioperative EA + usual care</x:v>
      </x:c>
      <x:c r="D5" s="18" t="str">
        <x:v>Usual care</x:v>
      </x:c>
      <x:c r="E5" s="18" t="str">
        <x:v>Morphine use via IV PCA</x:v>
      </x:c>
      <x:c r="F5" s="18" t="str">
        <x:v>First 24 h / POD1</x:v>
      </x:c>
      <x:c r="G5" s="18" t="str">
        <x:v>Mean/SD</x:v>
      </x:c>
      <x:c r="H5" s="18" t="n">
        <x:v>90</x:v>
      </x:c>
      <x:c r="I5" s="18" t="n">
        <x:v>90</x:v>
      </x:c>
      <x:c r="J5" s="18" t="n">
        <x:v>43.7</x:v>
      </x:c>
      <x:c r="K5" s="18" t="n">
        <x:v>4.7</x:v>
      </x:c>
      <x:c r="L5" s="18"/>
      <x:c r="M5" s="18"/>
      <x:c r="N5" s="18"/>
      <x:c r="O5" s="18"/>
      <x:c r="P5" s="18" t="n">
        <x:v>44</x:v>
      </x:c>
      <x:c r="Q5" s="18" t="n">
        <x:v>4.9</x:v>
      </x:c>
      <x:c r="R5" s="18"/>
      <x:c r="S5" s="18"/>
      <x:c r="T5" s="18"/>
      <x:c r="U5" s="18"/>
      <x:c r="V5" s="18" t="str">
        <x:v>mg morphine</x:v>
      </x:c>
      <x:c r="W5" s="18" t="str">
        <x:v>INCLUDE IN PRIMARY</x:v>
      </x:c>
      <x:c r="X5" s="18" t="n">
        <x:v>1</x:v>
      </x:c>
      <x:c r="Y5" s="18" t="n">
        <x:v>0</x:v>
      </x:c>
      <x:c r="Z5" s="18" t="n">
        <x:v>0</x:v>
      </x:c>
      <x:c r="AA5" s="18" t="str">
        <x:v>Some concerns</x:v>
      </x:c>
      <x:c r="AB5" s="18" t="str">
        <x:v>None</x:v>
      </x:c>
      <x:c r="AC5" s="18"/>
      <x:c r="AD5" s="18" t="str">
        <x:v>Count this study once per synthesis unless a valid multi-arm method is used.</x:v>
      </x:c>
      <x:c r="AE5" s="18" t="str">
        <x:v>All 180 randomized participants retained in ITT; open-label patients but objective PCA drug-use record</x:v>
      </x:c>
      <x:c r="AF5" s="18" t="str">
        <x:v>https://drive.google.com/file/d/160N3psd5tLEphwXHJzUEZ3uJfaIXcs5V/view?usp=drivesdk</x:v>
      </x:c>
    </x:row>
    <x:row r="6">
      <x:c r="A6" s="18" t="str">
        <x:v>He 2026 (hepatectomy/JIS)</x:v>
      </x:c>
      <x:c r="B6" s="18" t="str">
        <x:v>HEJIS26_TEAS_vs_CTRL_MME24</x:v>
      </x:c>
      <x:c r="C6" s="18" t="str">
        <x:v>Intraoperative PC6 TEAS</x:v>
      </x:c>
      <x:c r="D6" s="18" t="str">
        <x:v>No-current PC6 control</x:v>
      </x:c>
      <x:c r="E6" s="18" t="str">
        <x:v>Total postoperative opioid consumption in morphine equivalents</x:v>
      </x:c>
      <x:c r="F6" s="18" t="str">
        <x:v>0-24 h</x:v>
      </x:c>
      <x:c r="G6" s="18" t="str">
        <x:v>Mean/SD</x:v>
      </x:c>
      <x:c r="H6" s="18" t="n">
        <x:v>80</x:v>
      </x:c>
      <x:c r="I6" s="18" t="n">
        <x:v>79</x:v>
      </x:c>
      <x:c r="J6" s="18" t="n">
        <x:v>20</x:v>
      </x:c>
      <x:c r="K6" s="18" t="n">
        <x:v>2.5</x:v>
      </x:c>
      <x:c r="L6" s="18"/>
      <x:c r="M6" s="18"/>
      <x:c r="N6" s="18"/>
      <x:c r="O6" s="18"/>
      <x:c r="P6" s="18" t="n">
        <x:v>20.6</x:v>
      </x:c>
      <x:c r="Q6" s="18" t="n">
        <x:v>4.5</x:v>
      </x:c>
      <x:c r="R6" s="18"/>
      <x:c r="S6" s="18"/>
      <x:c r="T6" s="18"/>
      <x:c r="U6" s="18"/>
      <x:c r="V6" s="18" t="str">
        <x:v>mg MME</x:v>
      </x:c>
      <x:c r="W6" s="18" t="str">
        <x:v>INCLUDE IN PRIMARY</x:v>
      </x:c>
      <x:c r="X6" s="18" t="n">
        <x:v>1</x:v>
      </x:c>
      <x:c r="Y6" s="18" t="n">
        <x:v>0</x:v>
      </x:c>
      <x:c r="Z6" s="18" t="n">
        <x:v>0</x:v>
      </x:c>
      <x:c r="AA6" s="18" t="str">
        <x:v>Some concerns</x:v>
      </x:c>
      <x:c r="AB6" s="18" t="str">
        <x:v>None</x:v>
      </x:c>
      <x:c r="AC6" s="18"/>
      <x:c r="AD6" s="18" t="str">
        <x:v>Count this study once per synthesis unless a valid multi-arm method is used.</x:v>
      </x:c>
      <x:c r="AE6" s="18" t="str">
        <x:v>Supplemental eTable 1 directly reports MME; mITT excludes one canceled surgery and one consent withdrawal after randomization</x:v>
      </x:c>
      <x:c r="AF6" s="18" t="str">
        <x:v>https://drive.google.com/file/d/1VgOxIOrGe7ZVevkKEVP7G-0V1DXPU0Gf/view?usp=drivesdk</x:v>
      </x:c>
    </x:row>
    <x:row r="7">
      <x:c r="A7" s="18" t="str">
        <x:v>El-Rakshy 2009</x:v>
      </x:c>
      <x:c r="B7" s="18" t="str">
        <x:v>ELR09_EA_vs_CTRL_MORPH24</x:v>
      </x:c>
      <x:c r="C7" s="18" t="str">
        <x:v>Intraoperative EA + PCA</x:v>
      </x:c>
      <x:c r="D7" s="18" t="str">
        <x:v>PCA alone/no acupuncture</x:v>
      </x:c>
      <x:c r="E7" s="18" t="str">
        <x:v>Total IV morphine analgesia</x:v>
      </x:c>
      <x:c r="F7" s="18" t="str">
        <x:v>First 24 h</x:v>
      </x:c>
      <x:c r="G7" s="18" t="str">
        <x:v>Mean/SD</x:v>
      </x:c>
      <x:c r="H7" s="18" t="n">
        <x:v>42</x:v>
      </x:c>
      <x:c r="I7" s="18" t="n">
        <x:v>53</x:v>
      </x:c>
      <x:c r="J7" s="18" t="n">
        <x:v>35.3</x:v>
      </x:c>
      <x:c r="K7" s="18" t="n">
        <x:v>18</x:v>
      </x:c>
      <x:c r="L7" s="18"/>
      <x:c r="M7" s="18"/>
      <x:c r="N7" s="18"/>
      <x:c r="O7" s="18"/>
      <x:c r="P7" s="18" t="n">
        <x:v>36.9</x:v>
      </x:c>
      <x:c r="Q7" s="18" t="n">
        <x:v>18</x:v>
      </x:c>
      <x:c r="R7" s="18"/>
      <x:c r="S7" s="18"/>
      <x:c r="T7" s="18"/>
      <x:c r="U7" s="18"/>
      <x:c r="V7" s="18" t="str">
        <x:v>mg IV morphine</x:v>
      </x:c>
      <x:c r="W7" s="18" t="str">
        <x:v>INCLUDE IN PRIMARY WITH SENSITIVITY EXCLUSION</x:v>
      </x:c>
      <x:c r="X7" s="18" t="n">
        <x:v>1</x:v>
      </x:c>
      <x:c r="Y7" s="18" t="n">
        <x:v>1</x:v>
      </x:c>
      <x:c r="Z7" s="18" t="n">
        <x:v>0</x:v>
      </x:c>
      <x:c r="AA7" s="18" t="str">
        <x:v>High</x:v>
      </x:c>
      <x:c r="AB7" s="18" t="str">
        <x:v>Use native IV morphine; convert to review-standard MME only per prespecified rule</x:v>
      </x:c>
      <x:c r="AC7" s="18" t="str">
        <x:v>High RoB / denominator inconsistency: rerun meta-analysis excluding this study.</x:v>
      </x:c>
      <x:c r="AD7" s="18" t="str">
        <x:v>Count this study once per synthesis unless a valid multi-arm method is used.</x:v>
      </x:c>
      <x:c r="AE7" s="18" t="str">
        <x:v>Publication has irreconcilable allocation/analyzed group labels. Use Table 2 n=42 EA and n=53 control for this result; do not substitute overall study denominators.</x:v>
      </x:c>
      <x:c r="AF7" s="18" t="str">
        <x:v>https://drive.google.com/file/d/12AfIox-MgnMU15U-mdvZgaTKnukXKvAR/view?usp=drivesdk</x:v>
      </x:c>
    </x:row>
    <x:row r="8">
      <x:c r="A8" s="18" t="str">
        <x:v>Coura 2011</x:v>
      </x:c>
      <x:c r="B8" s="18" t="str">
        <x:v>COURA11_EA_vs_SHAM</x:v>
      </x:c>
      <x:c r="C8" s="18" t="str">
        <x:v>Preoperative EA</x:v>
      </x:c>
      <x:c r="D8" s="18" t="str">
        <x:v>Sham stimulation</x:v>
      </x:c>
      <x:c r="E8" s="18" t="str">
        <x:v>Cumulative fentanyl</x:v>
      </x:c>
      <x:c r="F8" s="18" t="str">
        <x:v>First 24 h postoperatively</x:v>
      </x:c>
      <x:c r="G8" s="18" t="str">
        <x:v>Mean/SD</x:v>
      </x:c>
      <x:c r="H8" s="18" t="n">
        <x:v>13</x:v>
      </x:c>
      <x:c r="I8" s="18" t="n">
        <x:v>9</x:v>
      </x:c>
      <x:c r="J8" s="18" t="n">
        <x:v>13.1</x:v>
      </x:c>
      <x:c r="K8" s="18" t="n">
        <x:v>2.2</x:v>
      </x:c>
      <x:c r="L8" s="18"/>
      <x:c r="M8" s="18"/>
      <x:c r="N8" s="18"/>
      <x:c r="O8" s="18"/>
      <x:c r="P8" s="18" t="n">
        <x:v>16.3</x:v>
      </x:c>
      <x:c r="Q8" s="18" t="n">
        <x:v>1.6</x:v>
      </x:c>
      <x:c r="R8" s="18"/>
      <x:c r="S8" s="18"/>
      <x:c r="T8" s="18"/>
      <x:c r="U8" s="18"/>
      <x:c r="V8" s="18" t="str">
        <x:v>µg/kg fentanyl</x:v>
      </x:c>
      <x:c r="W8" s="18" t="str">
        <x:v>CONDITIONAL — CONVERSION/ATTRITION</x:v>
      </x:c>
      <x:c r="X8" s="18" t="n">
        <x:v>0</x:v>
      </x:c>
      <x:c r="Y8" s="18" t="n">
        <x:v>1</x:v>
      </x:c>
      <x:c r="Z8" s="18" t="n">
        <x:v>0</x:v>
      </x:c>
      <x:c r="AA8" s="18" t="str">
        <x:v>High</x:v>
      </x:c>
      <x:c r="AB8" s="18" t="str">
        <x:v>Opioid/MME conversion required using prespecified review conversion</x:v>
      </x:c>
      <x:c r="AC8" s="18" t="str">
        <x:v>High RoB; include only if the protocol prespecifies handling of weight-normalized opioid doses.</x:v>
      </x:c>
      <x:c r="AD8" s="18" t="str">
        <x:v>Count this study once per synthesis unless a valid multi-arm method is used.</x:v>
      </x:c>
      <x:c r="AE8" s="18" t="str">
        <x:v>10/32 post-randomization exclusions; supplemental morphine/fentanyl inclusion unclear</x:v>
      </x:c>
      <x:c r="AF8" s="18" t="str">
        <x:v>https://drive.google.com/file/d/120NJxCmxsdiyqWTXzjmaUWAaVa1i8iZz/view?usp=drivesdk</x:v>
      </x:c>
    </x:row>
    <x:row r="9">
      <x:c r="A9" s="18" t="str">
        <x:v>Zhang 2025</x:v>
      </x:c>
      <x:c r="B9" s="18" t="str">
        <x:v>ZHANG25_TEAS_vs_SHAM_SUFPOD1</x:v>
      </x:c>
      <x:c r="C9" s="18" t="str">
        <x:v>Perioperative TEAS</x:v>
      </x:c>
      <x:c r="D9" s="18" t="str">
        <x:v>Sub-sensory sham</x:v>
      </x:c>
      <x:c r="E9" s="18" t="str">
        <x:v>Total sufentanil consumption</x:v>
      </x:c>
      <x:c r="F9" s="18" t="str">
        <x:v>POD1; approximately 24 h but exact clock window not explicit</x:v>
      </x:c>
      <x:c r="G9" s="18" t="str">
        <x:v>Mean/SD</x:v>
      </x:c>
      <x:c r="H9" s="18" t="n">
        <x:v>45</x:v>
      </x:c>
      <x:c r="I9" s="18" t="n">
        <x:v>48</x:v>
      </x:c>
      <x:c r="J9" s="18" t="n">
        <x:v>50.53</x:v>
      </x:c>
      <x:c r="K9" s="18" t="n">
        <x:v>4.46</x:v>
      </x:c>
      <x:c r="L9" s="18"/>
      <x:c r="M9" s="18"/>
      <x:c r="N9" s="18"/>
      <x:c r="O9" s="18"/>
      <x:c r="P9" s="18" t="n">
        <x:v>53.79</x:v>
      </x:c>
      <x:c r="Q9" s="18" t="n">
        <x:v>5.14</x:v>
      </x:c>
      <x:c r="R9" s="18"/>
      <x:c r="S9" s="18"/>
      <x:c r="T9" s="18"/>
      <x:c r="U9" s="18"/>
      <x:c r="V9" s="18" t="str">
        <x:v>µg sufentanil</x:v>
      </x:c>
      <x:c r="W9" s="18" t="str">
        <x:v>CONDITIONAL — POD1 ≠ STRICT CLOCK 24H</x:v>
      </x:c>
      <x:c r="X9" s="18" t="n">
        <x:v>0</x:v>
      </x:c>
      <x:c r="Y9" s="18" t="n">
        <x:v>1</x:v>
      </x:c>
      <x:c r="Z9" s="18" t="n">
        <x:v>0</x:v>
      </x:c>
      <x:c r="AA9" s="18" t="str">
        <x:v>High</x:v>
      </x:c>
      <x:c r="AB9" s="18" t="str">
        <x:v>Opioid/MME conversion required using prespecified review conversion</x:v>
      </x:c>
      <x:c r="AC9" s="18" t="str">
        <x:v>High RoB from post-randomization exclusions; use only if POD1 is accepted as the 24-h window.</x:v>
      </x:c>
      <x:c r="AD9" s="18" t="str">
        <x:v>Count this study once per synthesis unless a valid multi-arm method is used.</x:v>
      </x:c>
      <x:c r="AE9" s="18" t="str">
        <x:v>Endpoint is directly reported as POD1, not explicitly clock-defined 0-24 h; 15/108 excluded after randomization</x:v>
      </x:c>
      <x:c r="AF9" s="18" t="str">
        <x:v>https://drive.google.com/file/d/1eHx6Hk16vmIfMgoiZ5eNae4zmCR5ktwJ/view?usp=drivesdk</x:v>
      </x:c>
    </x:row>
    <x:row r="10">
      <x:c r="A10" s="18" t="str">
        <x:v>Sim 2002</x:v>
      </x:c>
      <x:c r="B10" s="18" t="str">
        <x:v>SIM02_PREOP_vs_PLACEBO_MORPH24</x:v>
      </x:c>
      <x:c r="C10" s="18" t="str">
        <x:v>Preoperative EA</x:v>
      </x:c>
      <x:c r="D10" s="18" t="str">
        <x:v>Placebo EA</x:v>
      </x:c>
      <x:c r="E10" s="18" t="str">
        <x:v>Cumulative postoperative IV PCA morphine</x:v>
      </x:c>
      <x:c r="F10" s="18" t="str">
        <x:v>0-24 h</x:v>
      </x:c>
      <x:c r="G10" s="18" t="str">
        <x:v>Mean/SD</x:v>
      </x:c>
      <x:c r="H10" s="18" t="n">
        <x:v>30</x:v>
      </x:c>
      <x:c r="I10" s="18" t="n">
        <x:v>30</x:v>
      </x:c>
      <x:c r="J10" s="18" t="n">
        <x:v>0.52</x:v>
      </x:c>
      <x:c r="K10" s="18" t="n">
        <x:v>0.19</x:v>
      </x:c>
      <x:c r="L10" s="18"/>
      <x:c r="M10" s="18"/>
      <x:c r="N10" s="18"/>
      <x:c r="O10" s="18"/>
      <x:c r="P10" s="18" t="n">
        <x:v>0.68</x:v>
      </x:c>
      <x:c r="Q10" s="18" t="n">
        <x:v>0.38</x:v>
      </x:c>
      <x:c r="R10" s="18"/>
      <x:c r="S10" s="18"/>
      <x:c r="T10" s="18"/>
      <x:c r="U10" s="18"/>
      <x:c r="V10" s="18" t="str">
        <x:v>mg/kg morphine</x:v>
      </x:c>
      <x:c r="W10" s="18" t="str">
        <x:v>CONDITIONAL — WEIGHT-NORMALIZED + MULTI-ARM</x:v>
      </x:c>
      <x:c r="X10" s="18" t="n">
        <x:v>0</x:v>
      </x:c>
      <x:c r="Y10" s="18" t="n">
        <x:v>1</x:v>
      </x:c>
      <x:c r="Z10" s="18" t="n">
        <x:v>0</x:v>
      </x:c>
      <x:c r="AA10" s="18" t="str">
        <x:v>Some concerns</x:v>
      </x:c>
      <x:c r="AB10" s="18" t="str">
        <x:v>Weight-normalized endpoint; do not reconstruct absolute dose from group mean weight</x:v>
      </x:c>
      <x:c r="AC10" s="18" t="str">
        <x:v>Do not reconstruct absolute mg from mean body weight.</x:v>
      </x:c>
      <x:c r="AD10" s="18" t="str">
        <x:v>Choose a prespecified timing arm or apply a multi-arm model; do not count both active timing arms as separate studies.</x:v>
      </x:c>
      <x:c r="AE10" s="18" t="str">
        <x:v>Do not convert mg/kg to absolute mg using group mean body weight; aggregate means cannot reconstruct individual absolute dose</x:v>
      </x:c>
      <x:c r="AF10" s="18" t="str">
        <x:v>https://drive.google.com/file/d/1YsNHL-J3Kgfu8mCanRrNu_bHk_roj0w6/view?usp=drivesdk</x:v>
      </x:c>
    </x:row>
    <x:row r="11">
      <x:c r="A11" s="18" t="str">
        <x:v>Chen 2015</x:v>
      </x:c>
      <x:c r="B11" s="18" t="str">
        <x:v>CHEN15Q_TEAS_vs_CTRL_RESCUEMORPH24</x:v>
      </x:c>
      <x:c r="C11" s="18" t="str">
        <x:v>Preoperative TEAS</x:v>
      </x:c>
      <x:c r="D11" s="18" t="str">
        <x:v>Electrodes/device with no stimulation</x:v>
      </x:c>
      <x:c r="E11" s="18" t="str">
        <x:v>Cumulative rescue IV morphine dose derived from fixed 2-mg rescue administrations</x:v>
      </x:c>
      <x:c r="F11" s="18" t="str">
        <x:v>0-24 h</x:v>
      </x:c>
      <x:c r="G11" s="18" t="str">
        <x:v>Median/IQR</x:v>
      </x:c>
      <x:c r="H11" s="18" t="n">
        <x:v>41</x:v>
      </x:c>
      <x:c r="I11" s="18" t="n">
        <x:v>42</x:v>
      </x:c>
      <x:c r="J11" s="18"/>
      <x:c r="K11" s="18"/>
      <x:c r="L11" s="18" t="n">
        <x:v>2</x:v>
      </x:c>
      <x:c r="M11" s="18" t="n">
        <x:v>2</x:v>
      </x:c>
      <x:c r="N11" s="18" t="n">
        <x:v>6</x:v>
      </x:c>
      <x:c r="O11" s="18"/>
      <x:c r="P11" s="18"/>
      <x:c r="Q11" s="18"/>
      <x:c r="R11" s="18" t="n">
        <x:v>7</x:v>
      </x:c>
      <x:c r="S11" s="18" t="n">
        <x:v>4</x:v>
      </x:c>
      <x:c r="T11" s="18" t="n">
        <x:v>14</x:v>
      </x:c>
      <x:c r="U11" s="18"/>
      <x:c r="V11" s="18" t="str">
        <x:v>mg IV morphine</x:v>
      </x:c>
      <x:c r="W11" s="18" t="str">
        <x:v>CONDITIONAL — DERIVED MEDIAN/IQR</x:v>
      </x:c>
      <x:c r="X11" s="18" t="n">
        <x:v>0</x:v>
      </x:c>
      <x:c r="Y11" s="18" t="n">
        <x:v>1</x:v>
      </x:c>
      <x:c r="Z11" s="18" t="n">
        <x:v>0</x:v>
      </x:c>
      <x:c r="AA11" s="18" t="str">
        <x:v>High</x:v>
      </x:c>
      <x:c r="AB11" s="18" t="str">
        <x:v>Use native IV morphine; convert to review-standard MME only per prespecified rule</x:v>
      </x:c>
      <x:c r="AC11" s="18" t="str">
        <x:v>Use only if derived dose endpoints are permitted and median/IQR synthesis is prespecified.</x:v>
      </x:c>
      <x:c r="AD11" s="18" t="str">
        <x:v>Count this study once per synthesis unless a valid multi-arm method is used.</x:v>
      </x:c>
      <x:c r="AE11" s="18" t="str">
        <x:v>Source reports rescue-administration count 1 (1-3) vs 3.5 (2-7); each rescue administration was fixed at morphine 2 mg. Linear conversion to mg is exact, but the source itself reports counts rather than dose.</x:v>
      </x:c>
      <x:c r="AF11" s="18" t="str">
        <x:v>https://drive.google.com/file/d/1ZtE8GImDcpDJH1tOvzqazoh_S4Gd67oH/view?usp=drivesdk</x:v>
      </x:c>
    </x:row>
    <x:row r="12">
      <x:c r="A12" s="18" t="str">
        <x:v>Chen 2015 (Hyperalgesia)</x:v>
      </x:c>
      <x:c r="B12" s="18" t="str">
        <x:v>CHEN15H_TEAS_vs_SHAM_SUFKG24</x:v>
      </x:c>
      <x:c r="C12" s="18" t="str">
        <x:v>Preoperative TEAS</x:v>
      </x:c>
      <x:c r="D12" s="18" t="str">
        <x:v>Electrodes/no-current sham</x:v>
      </x:c>
      <x:c r="E12" s="18" t="str">
        <x:v>Derived cumulative sufentanil dose from fixed 0.05 µg/kg bolus</x:v>
      </x:c>
      <x:c r="F12" s="18" t="str">
        <x:v>0-24 h</x:v>
      </x:c>
      <x:c r="G12" s="18" t="str">
        <x:v>Median/IQR</x:v>
      </x:c>
      <x:c r="H12" s="18" t="n">
        <x:v>29</x:v>
      </x:c>
      <x:c r="I12" s="18" t="n">
        <x:v>30</x:v>
      </x:c>
      <x:c r="J12" s="18"/>
      <x:c r="K12" s="18"/>
      <x:c r="L12" s="18" t="n">
        <x:v>0.15</x:v>
      </x:c>
      <x:c r="M12" s="18" t="n">
        <x:v>0.1</x:v>
      </x:c>
      <x:c r="N12" s="18" t="n">
        <x:v>0.2</x:v>
      </x:c>
      <x:c r="O12" s="18"/>
      <x:c r="P12" s="18"/>
      <x:c r="Q12" s="18"/>
      <x:c r="R12" s="18" t="n">
        <x:v>0.35</x:v>
      </x:c>
      <x:c r="S12" s="18" t="n">
        <x:v>0.3</x:v>
      </x:c>
      <x:c r="T12" s="18" t="n">
        <x:v>0.4</x:v>
      </x:c>
      <x:c r="U12" s="18"/>
      <x:c r="V12" s="18" t="str">
        <x:v>µg/kg sufentanil</x:v>
      </x:c>
      <x:c r="W12" s="18" t="str">
        <x:v>CONDITIONAL — WEIGHT-NORMALIZED DERIVED</x:v>
      </x:c>
      <x:c r="X12" s="18" t="n">
        <x:v>0</x:v>
      </x:c>
      <x:c r="Y12" s="18" t="n">
        <x:v>1</x:v>
      </x:c>
      <x:c r="Z12" s="18" t="n">
        <x:v>0</x:v>
      </x:c>
      <x:c r="AA12" s="18" t="str">
        <x:v>Some concerns</x:v>
      </x:c>
      <x:c r="AB12" s="18" t="str">
        <x:v>Opioid/MME conversion required using prespecified review conversion</x:v>
      </x:c>
      <x:c r="AC12" s="18" t="str">
        <x:v>Do not convert to absolute µg/MME using group-average weight.</x:v>
      </x:c>
      <x:c r="AD12" s="18" t="str">
        <x:v>Count this study once per synthesis unless a valid multi-arm method is used.</x:v>
      </x:c>
      <x:c r="AE12" s="18" t="str">
        <x:v>Exact linear conversion from 0.05 µg/kg per bolus × reported bolus count. Do not convert to absolute µg or MME without individual body weights.</x:v>
      </x:c>
      <x:c r="AF12" s="18" t="str">
        <x:v>https://drive.google.com/file/d/13YKAZZsc2VQEPqkw1Ye40BYDZSRpI6N3/view?usp=drivesdk</x:v>
      </x:c>
    </x:row>
    <x:row r="13">
      <x:c r="A13" s="18" t="str">
        <x:v>Zhou 2021</x:v>
      </x:c>
      <x:c r="B13" s="18" t="str">
        <x:v>ZHOU21_TEAS_vs_UC_OPIOIDUSE</x:v>
      </x:c>
      <x:c r="C13" s="18" t="str">
        <x:v>Postoperative TEAS + ERAS</x:v>
      </x:c>
      <x:c r="D13" s="18" t="str">
        <x:v>ERAS/usual care</x:v>
      </x:c>
      <x:c r="E13" s="18" t="str">
        <x:v>Any postoperative opioid use</x:v>
      </x:c>
      <x:c r="F13" s="18" t="str">
        <x:v>Postoperative window not clearly defined as 0-24 h</x:v>
      </x:c>
      <x:c r="G13" s="18" t="str">
        <x:v>Events/total</x:v>
      </x:c>
      <x:c r="H13" s="18" t="n">
        <x:v>41</x:v>
      </x:c>
      <x:c r="I13" s="18" t="n">
        <x:v>40</x:v>
      </x:c>
      <x:c r="J13" s="18"/>
      <x:c r="K13" s="18"/>
      <x:c r="L13" s="18"/>
      <x:c r="M13" s="18"/>
      <x:c r="N13" s="18"/>
      <x:c r="O13" s="18" t="n">
        <x:v>18</x:v>
      </x:c>
      <x:c r="P13" s="18"/>
      <x:c r="Q13" s="18"/>
      <x:c r="R13" s="18"/>
      <x:c r="S13" s="18"/>
      <x:c r="T13" s="18"/>
      <x:c r="U13" s="18" t="n">
        <x:v>30</x:v>
      </x:c>
      <x:c r="V13" s="18" t="str">
        <x:v>participants</x:v>
      </x:c>
      <x:c r="W13" s="18" t="str">
        <x:v>EXCLUDE FROM CONTINUOUS DOSE; USE SEPARATE BINARY ANALYSIS</x:v>
      </x:c>
      <x:c r="X13" s="18" t="n">
        <x:v>0</x:v>
      </x:c>
      <x:c r="Y13" s="18" t="n">
        <x:v>0</x:v>
      </x:c>
      <x:c r="Z13" s="18" t="n">
        <x:v>0</x:v>
      </x:c>
      <x:c r="AA13" s="18" t="str">
        <x:v>High</x:v>
      </x:c>
      <x:c r="AB13" s="18" t="str">
        <x:v>None</x:v>
      </x:c>
      <x:c r="AC13" s="18" t="str">
        <x:v>Can be analyzed separately as binary opioid-use incidence.</x:v>
      </x:c>
      <x:c r="AD13" s="18" t="str">
        <x:v>Count this study once per synthesis unless a valid multi-arm method is used.</x:v>
      </x:c>
      <x:c r="AE13" s="18" t="str">
        <x:v>Exact postoperative time window is not clearly stated</x:v>
      </x:c>
      <x:c r="AF13" s="18" t="str">
        <x:v>https://drive.google.com/file/d/1PxYyULBv_ZjWeqAm_bNYkDn_j2_lNYLq/view?usp=drivesdk</x:v>
      </x:c>
    </x:row>
    <x:row r="14">
      <x:c r="A14" s="18" t="str">
        <x:v>Luo 2026</x:v>
      </x:c>
      <x:c r="B14" s="18" t="str">
        <x:v>LUO26_TEAS_vs_SHAM_OPIOIDEQUIV</x:v>
      </x:c>
      <x:c r="C14" s="18" t="str">
        <x:v>Intraoperative PC6 TEAS + standard antiemetics</x:v>
      </x:c>
      <x:c r="D14" s="18" t="str">
        <x:v>Sham/no current + standard antiemetics</x:v>
      </x:c>
      <x:c r="E14" s="18" t="str">
        <x:v>Published 'sufentanil equivalents' metric</x:v>
      </x:c>
      <x:c r="F14" s="18" t="str">
        <x:v>Perioperative</x:v>
      </x:c>
      <x:c r="G14" s="18" t="str">
        <x:v>Mean/SD</x:v>
      </x:c>
      <x:c r="H14" s="18" t="n">
        <x:v>138</x:v>
      </x:c>
      <x:c r="I14" s="18" t="n">
        <x:v>139</x:v>
      </x:c>
      <x:c r="J14" s="18" t="n">
        <x:v>15.86</x:v>
      </x:c>
      <x:c r="K14" s="18" t="n">
        <x:v>5.11</x:v>
      </x:c>
      <x:c r="L14" s="18"/>
      <x:c r="M14" s="18"/>
      <x:c r="N14" s="18"/>
      <x:c r="O14" s="18"/>
      <x:c r="P14" s="18" t="n">
        <x:v>15.18</x:v>
      </x:c>
      <x:c r="Q14" s="18" t="n">
        <x:v>4.95</x:v>
      </x:c>
      <x:c r="R14" s="18"/>
      <x:c r="S14" s="18"/>
      <x:c r="T14" s="18"/>
      <x:c r="U14" s="18"/>
      <x:c r="V14" s="18" t="str">
        <x:v>published as mg; definition/unit unresolved</x:v>
      </x:c>
      <x:c r="W14" s="18" t="str">
        <x:v>EXCLUDE UNTIL UNIT/DEFINITION RESOLVED</x:v>
      </x:c>
      <x:c r="X14" s="18" t="n">
        <x:v>0</x:v>
      </x:c>
      <x:c r="Y14" s="18" t="n">
        <x:v>0</x:v>
      </x:c>
      <x:c r="Z14" s="18" t="n">
        <x:v>1</x:v>
      </x:c>
      <x:c r="AA14" s="18" t="str">
        <x:v>Some concerns</x:v>
      </x:c>
      <x:c r="AB14" s="18" t="str">
        <x:v>None</x:v>
      </x:c>
      <x:c r="AC14" s="18"/>
      <x:c r="AD14" s="18" t="str">
        <x:v>Count this study once per synthesis unless a valid multi-arm method is used.</x:v>
      </x:c>
      <x:c r="AE14" s="18" t="str">
        <x:v>Source labels approximately 15-16 as 'sufentanil equivalents (mg)' without explaining conversion; preserve verbatim</x:v>
      </x:c>
      <x:c r="AF14" s="18" t="str">
        <x:v>https://drive.google.com/file/d/1xxZle6mPpcnmHLblJbsy1kA4CyQHpvm2/view?usp=drivesdk</x:v>
      </x:c>
    </x:row>
    <x:row r="15">
      <x:c r="A15" s="18" t="str">
        <x:v>Jin 2023</x:v>
      </x:c>
      <x:c r="B15" s="18" t="str">
        <x:v>JIN23_2HZ_vs_SHAM_VOL24</x:v>
      </x:c>
      <x:c r="C15" s="18" t="str">
        <x:v>2-Hz postoperative EA</x:v>
      </x:c>
      <x:c r="D15" s="18" t="str">
        <x:v>Sham nonpenetrating EA/no current</x:v>
      </x:c>
      <x:c r="E15" s="18" t="str">
        <x:v>Published 'fentanyl consumption' / PCIA solution volume</x:v>
      </x:c>
      <x:c r="F15" s="18" t="str">
        <x:v>24 h</x:v>
      </x:c>
      <x:c r="G15" s="18" t="str">
        <x:v>Mean/SD</x:v>
      </x:c>
      <x:c r="H15" s="18" t="n">
        <x:v>53</x:v>
      </x:c>
      <x:c r="I15" s="18" t="n">
        <x:v>52</x:v>
      </x:c>
      <x:c r="J15" s="18" t="n">
        <x:v>39.31</x:v>
      </x:c>
      <x:c r="K15" s="18" t="n">
        <x:v>15.58</x:v>
      </x:c>
      <x:c r="L15" s="18"/>
      <x:c r="M15" s="18"/>
      <x:c r="N15" s="18"/>
      <x:c r="O15" s="18"/>
      <x:c r="P15" s="18" t="n">
        <x:v>56.54</x:v>
      </x:c>
      <x:c r="Q15" s="18" t="n">
        <x:v>12.5</x:v>
      </x:c>
      <x:c r="R15" s="18"/>
      <x:c r="S15" s="18"/>
      <x:c r="T15" s="18"/>
      <x:c r="U15" s="18"/>
      <x:c r="V15" s="18" t="str">
        <x:v>mL PCIA solution</x:v>
      </x:c>
      <x:c r="W15" s="18" t="str">
        <x:v>EXCLUDE FROM DOSE; PCA VOLUME PROXY ONLY</x:v>
      </x:c>
      <x:c r="X15" s="18" t="n">
        <x:v>0</x:v>
      </x:c>
      <x:c r="Y15" s="18" t="n">
        <x:v>0</x:v>
      </x:c>
      <x:c r="Z15" s="18" t="n">
        <x:v>0</x:v>
      </x:c>
      <x:c r="AA15" s="18" t="str">
        <x:v>High</x:v>
      </x:c>
      <x:c r="AB15" s="18" t="str">
        <x:v>Do not convert unless concentration and delivered dose are fully known</x:v>
      </x:c>
      <x:c r="AC15" s="18"/>
      <x:c r="AD15" s="18" t="str">
        <x:v>Three-arm frequency trial with shared sham; if used as a proxy, apply multi-arm handling.</x:v>
      </x:c>
      <x:c r="AE15" s="18" t="str">
        <x:v>Main article does not report fentanyl concentration. Do not convert mL to µg/mg/MME. 2-Hz vs 20/100-Hz inferential statistics conflict between table and prose</x:v>
      </x:c>
      <x:c r="AF15" s="18" t="str">
        <x:v>https://drive.google.com/file/d/1fkNAFra0gZ9jkWkzp_S0TWy-5zVrXCtj/view?usp=drivesdk</x:v>
      </x:c>
    </x:row>
    <x:row r="16">
      <x:c r="A16" s="18" t="str">
        <x:v>Yeh lumbar-spine publication family — ONE study unit pending overlap adjudication</x:v>
      </x:c>
      <x:c r="B16" s="18" t="str">
        <x:v>YEH11_AES_vs_SHAM_MORPH24</x:v>
      </x:c>
      <x:c r="C16" s="18" t="str">
        <x:v>True-acupoint AES</x:v>
      </x:c>
      <x:c r="D16" s="18" t="str">
        <x:v>Electrical sham/nonacupoint AES</x:v>
      </x:c>
      <x:c r="E16" s="18" t="str">
        <x:v>24-h IV morphine PCA dose</x:v>
      </x:c>
      <x:c r="F16" s="18" t="str">
        <x:v>First 24 postoperative hours</x:v>
      </x:c>
      <x:c r="G16" s="18" t="str">
        <x:v>Mean/SD</x:v>
      </x:c>
      <x:c r="H16" s="18" t="n">
        <x:v>30</x:v>
      </x:c>
      <x:c r="I16" s="18" t="n">
        <x:v>30</x:v>
      </x:c>
      <x:c r="J16" s="18" t="n">
        <x:v>19.3</x:v>
      </x:c>
      <x:c r="K16" s="18" t="n">
        <x:v>9.7</x:v>
      </x:c>
      <x:c r="L16" s="18"/>
      <x:c r="M16" s="18"/>
      <x:c r="N16" s="18"/>
      <x:c r="O16" s="18"/>
      <x:c r="P16" s="18" t="n">
        <x:v>21.6</x:v>
      </x:c>
      <x:c r="Q16" s="18" t="n">
        <x:v>13.1</x:v>
      </x:c>
      <x:c r="R16" s="18"/>
      <x:c r="S16" s="18"/>
      <x:c r="T16" s="18"/>
      <x:c r="U16" s="18"/>
      <x:c r="V16" s="18" t="str">
        <x:v>mg IV morphine</x:v>
      </x:c>
      <x:c r="W16" s="18" t="str">
        <x:v>HOLD — OVERLAPPING PUBLICATIONS</x:v>
      </x:c>
      <x:c r="X16" s="18" t="n">
        <x:v>0</x:v>
      </x:c>
      <x:c r="Y16" s="18" t="n">
        <x:v>0</x:v>
      </x:c>
      <x:c r="Z16" s="18" t="n">
        <x:v>1</x:v>
      </x:c>
      <x:c r="AA16" s="18" t="str">
        <x:v>Some concerns</x:v>
      </x:c>
      <x:c r="AB16" s="18" t="str">
        <x:v>Use native IV morphine; convert to review-standard MME only per prespecified rule</x:v>
      </x:c>
      <x:c r="AC16" s="18" t="str">
        <x:v>Do not include either report until the publication/cohort linkage is adjudicated.</x:v>
      </x:c>
      <x:c r="AD16" s="18" t="str">
        <x:v>Treat Yeh 2010 + Yeh 2011 as one unresolved study unit, not two independent RCTs.</x:v>
      </x:c>
      <x:c r="AE16" s="18" t="str">
        <x:v>Highly similar to Yeh 2010 in population, acupoints, comparator and 24-h opioid values; do not count independently until cohort/publication linkage is adjudicated.</x:v>
      </x:c>
      <x:c r="AF16" s="18" t="str">
        <x:v>https://drive.google.com/file/d/1ZJ60ZvJ5Q7sRu1iptK_tLLfBXxZZ_Hwl/view?usp=drivesdk</x:v>
      </x:c>
    </x:row>
  </x:sheetData>
  <x:conditionalFormatting sqref="X2:X16">
    <x:cfRule type="expression" dxfId="81" priority="1">
      <x:formula>X2=1</x:formula>
    </x:cfRule>
  </x:conditionalFormatting>
  <x:conditionalFormatting sqref="Z2:Z16">
    <x:cfRule type="expression" dxfId="82" priority="2">
      <x:formula>Z2=1</x:formula>
    </x:cfRule>
  </x:conditionalFormatting>
  <x:pageMargins left="0.7" right="0.7" top="0.75" bottom="0.75" header="0.3" footer="0.3"/>
  <x:tableParts count="1">
    <x:tablePart xmlns:r="http://schemas.openxmlformats.org/officeDocument/2006/relationships" r:id="R260676e41e0c46f9"/>
  </x:tableParts>
</x:worksheet>
</file>

<file path=xl/worksheets/sheet27.xml><?xml version="1.0" encoding="utf-8"?>
<x:worksheet xmlns:x="http://schemas.openxmlformats.org/spreadsheetml/2006/main">
  <x:sheetFormatPr defaultRowHeight="15"/>
  <x:cols>
    <x:col min="1" max="1" width="32" hidden="0" customWidth="1"/>
    <x:col min="2" max="2" width="18" hidden="0" customWidth="1"/>
    <x:col min="3" max="3" width="34" hidden="0" customWidth="1"/>
    <x:col min="4" max="4" width="24" hidden="0" customWidth="1"/>
    <x:col min="5" max="5" width="14" hidden="0" customWidth="1"/>
    <x:col min="6" max="6" width="16" hidden="0" customWidth="1"/>
    <x:col min="7" max="7" width="58" hidden="0" customWidth="1"/>
    <x:col min="8" max="8" width="58" hidden="0" customWidth="1"/>
    <x:col min="9" max="9" width="58" hidden="0" customWidth="1"/>
    <x:col min="10" max="10" width="42" hidden="0" customWidth="1"/>
  </x:cols>
  <x:sheetData>
    <x:row r="1">
      <x:c r="A1" s="81" t="str">
        <x:v>analysis_id</x:v>
      </x:c>
      <x:c r="B1" s="81" t="str">
        <x:v>analysis_group</x:v>
      </x:c>
      <x:c r="C1" s="81" t="str">
        <x:v>endpoint_stratum</x:v>
      </x:c>
      <x:c r="D1" s="81" t="str">
        <x:v>provisional_status</x:v>
      </x:c>
      <x:c r="E1" s="81" t="str">
        <x:v>strict_k_lock_items</x:v>
      </x:c>
      <x:c r="F1" s="81" t="str">
        <x:v>sensitivity_k_lock_items</x:v>
      </x:c>
      <x:c r="G1" s="81" t="str">
        <x:v>effect_data_rule</x:v>
      </x:c>
      <x:c r="H1" s="81" t="str">
        <x:v>pooling_rule</x:v>
      </x:c>
      <x:c r="I1" s="81" t="str">
        <x:v>mandatory_sensitivity_or_hold</x:v>
      </x:c>
      <x:c r="J1" s="81" t="str">
        <x:v>notes</x:v>
      </x:c>
    </x:row>
    <x:row r="2">
      <x:c r="A2" s="18" t="str">
        <x:v>OPIOID24_PRIMARY</x:v>
      </x:c>
      <x:c r="B2" s="18" t="str">
        <x:v>Primary outcome</x:v>
      </x:c>
      <x:c r="C2" s="18" t="str">
        <x:v>0-24 h cumulative systemic postoperative opioid</x:v>
      </x:c>
      <x:c r="D2" s="18" t="str">
        <x:v>PROVISIONAL READY</x:v>
      </x:c>
      <x:c r="E2" s="18" t="n">
        <x:v>6</x:v>
      </x:c>
      <x:c r="F2" s="18" t="n">
        <x:v>6</x:v>
      </x:c>
      <x:c r="G2" s="18" t="str">
        <x:v>Use native group mean/SD or prespecified transform only; convert opioid dose to review-standard IV MME using the prespecified conversion table before pooling.</x:v>
      </x:c>
      <x:c r="H2" s="18" t="str">
        <x:v>One independent study unit per trial/publication family; sham-controlled principal analysis; usual-care/supportive comparisons separate.</x:v>
      </x:c>
      <x:c r="I2" s="18" t="str">
        <x:v>Run high-RoB / denominator sensitivity excluding El-Rakshy 2009; Yeh family remains held; conditional/weight-normalized/derived rows stay outside primary unless prespecified.</x:v>
      </x:c>
      <x:c r="J2" s="18" t="str">
        <x:v>This sheet is inherited from v20 and is not replaced by Targets A-F.</x:v>
      </x:c>
    </x:row>
    <x:row r="3">
      <x:c r="A3" s="18" t="str">
        <x:v>A_0-48H_CUMULATIVE_OPIOID</x:v>
      </x:c>
      <x:c r="B3" s="18" t="str">
        <x:v>Target A</x:v>
      </x:c>
      <x:c r="C3" s="18" t="str">
        <x:v>A_0-48h_cumulative_opioid</x:v>
      </x:c>
      <x:c r="D3" s="18" t="str">
        <x:v>PROVISIONAL READY</x:v>
      </x:c>
      <x:c r="E3" s="18" t="n">
        <x:v>3</x:v>
      </x:c>
      <x:c r="F3" s="18" t="n">
        <x:v>1</x:v>
      </x:c>
      <x:c r="G3" s="18" t="str">
        <x:v>Continuous dose; harmonize to IV MME only with prespecified conversions.</x:v>
      </x:c>
      <x:c r="H3" s="18" t="str">
        <x:v>Strict primary = clean cumulative 0-48 h; broader-window studies sensitivity only.</x:v>
      </x:c>
      <x:c r="I3" s="18" t="str">
        <x:v>Mandatory sensitivity excluding An 2014; Xie 2014 broader-window only.</x:v>
      </x:c>
      <x:c r="J3" s="18" t="str">
        <x:v>Narrative/hold lock items: 6.</x:v>
      </x:c>
    </x:row>
    <x:row r="4">
      <x:c r="A4" s="18" t="str">
        <x:v>B_0-72H_CUMULATIVE_OPIOID</x:v>
      </x:c>
      <x:c r="B4" s="18" t="str">
        <x:v>Target B</x:v>
      </x:c>
      <x:c r="C4" s="18" t="str">
        <x:v>B_0-72h_cumulative_opioid</x:v>
      </x:c>
      <x:c r="D4" s="18" t="str">
        <x:v>DESCRIPTIVE / k SMALL</x:v>
      </x:c>
      <x:c r="E4" s="18" t="n">
        <x:v>1</x:v>
      </x:c>
      <x:c r="F4" s="18" t="n">
        <x:v>1</x:v>
      </x:c>
      <x:c r="G4" s="18" t="str">
        <x:v>Continuous cumulative dose; preserve native distributions.</x:v>
      </x:c>
      <x:c r="H4" s="18" t="str">
        <x:v>Pool only if ≥2 genuinely compatible exact 0-72 h studies.</x:v>
      </x:c>
      <x:c r="I4" s="18" t="str">
        <x:v>Wong first-three-days is approximate sensitivity; strict exact set may be k=1.</x:v>
      </x:c>
      <x:c r="J4" s="18" t="str">
        <x:v>Narrative/hold lock items: 2.</x:v>
      </x:c>
    </x:row>
    <x:row r="5">
      <x:c r="A5" s="18" t="str">
        <x:v>C_REST_PAIN_~24H</x:v>
      </x:c>
      <x:c r="B5" s="18" t="str">
        <x:v>Target C</x:v>
      </x:c>
      <x:c r="C5" s="18" t="str">
        <x:v>C_rest_pain_~24h</x:v>
      </x:c>
      <x:c r="D5" s="18" t="str">
        <x:v>PROVISIONAL READY</x:v>
      </x:c>
      <x:c r="E5" s="18" t="n">
        <x:v>2</x:v>
      </x:c>
      <x:c r="F5" s="18" t="n">
        <x:v>0</x:v>
      </x:c>
      <x:c r="G5" s="18" t="str">
        <x:v>Continuous pain scale; use MD if same 0-10 scale, otherwise prespecified SMD.</x:v>
      </x:c>
      <x:c r="H5" s="18" t="str">
        <x:v>Only pain explicitly at rest around 24 h.</x:v>
      </x:c>
      <x:c r="I5" s="18" t="str">
        <x:v>Both currently eligible strict results have High result-level RoB; interpret/sensitivity accordingly.</x:v>
      </x:c>
      <x:c r="J5" s="18" t="str">
        <x:v>Narrative/hold lock items: 7.</x:v>
      </x:c>
    </x:row>
    <x:row r="6">
      <x:c r="A6" s="18" t="str">
        <x:v>D_PONV_0-24H</x:v>
      </x:c>
      <x:c r="B6" s="18" t="str">
        <x:v>Target D</x:v>
      </x:c>
      <x:c r="C6" s="18" t="str">
        <x:v>D_PONV_0-24h</x:v>
      </x:c>
      <x:c r="D6" s="18" t="str">
        <x:v>PROVISIONAL READY</x:v>
      </x:c>
      <x:c r="E6" s="18" t="n">
        <x:v>2</x:v>
      </x:c>
      <x:c r="F6" s="18" t="n">
        <x:v>0</x:v>
      </x:c>
      <x:c r="G6" s="18" t="str">
        <x:v>Binary events/total -&gt; RR with 95% CI.</x:v>
      </x:c>
      <x:c r="H6" s="18" t="str">
        <x:v>Do not mix nausea-only or vomiting-only with composite PONV.</x:v>
      </x:c>
      <x:c r="I6" s="18" t="str">
        <x:v>POD1 proxy results sensitivity if not explicit 0-24 h.</x:v>
      </x:c>
      <x:c r="J6" s="18" t="str">
        <x:v>Narrative/hold lock items: 0.</x:v>
      </x:c>
    </x:row>
    <x:row r="7">
      <x:c r="A7" s="18" t="str">
        <x:v>D_PONV_0-48H</x:v>
      </x:c>
      <x:c r="B7" s="18" t="str">
        <x:v>Target D</x:v>
      </x:c>
      <x:c r="C7" s="18" t="str">
        <x:v>D_PONV_0-48h</x:v>
      </x:c>
      <x:c r="D7" s="18" t="str">
        <x:v>PROVISIONAL READY</x:v>
      </x:c>
      <x:c r="E7" s="18" t="n">
        <x:v>2</x:v>
      </x:c>
      <x:c r="F7" s="18" t="n">
        <x:v>0</x:v>
      </x:c>
      <x:c r="G7" s="18" t="str">
        <x:v>Binary events/total -&gt; RR with 95% CI.</x:v>
      </x:c>
      <x:c r="H7" s="18" t="str">
        <x:v>Composite PONV only.</x:v>
      </x:c>
      <x:c r="I7" s="18" t="str">
        <x:v>Keep 24-h and 48-h separate.</x:v>
      </x:c>
      <x:c r="J7" s="18" t="str">
        <x:v>Narrative/hold lock items: 0.</x:v>
      </x:c>
    </x:row>
    <x:row r="8">
      <x:c r="A8" s="18" t="str">
        <x:v>D_PONV_OTHER</x:v>
      </x:c>
      <x:c r="B8" s="18" t="str">
        <x:v>A-F</x:v>
      </x:c>
      <x:c r="C8" s="18" t="str">
        <x:v>D_PONV_other</x:v>
      </x:c>
      <x:c r="D8" s="18" t="str">
        <x:v>PROVISIONAL</x:v>
      </x:c>
      <x:c r="E8" s="18" t="n">
        <x:v>0</x:v>
      </x:c>
      <x:c r="F8" s="18" t="n">
        <x:v>1</x:v>
      </x:c>
      <x:c r="G8" s="18" t="str">
        <x:v>Preserve native source data.</x:v>
      </x:c>
      <x:c r="H8" s="18" t="str">
        <x:v>Pool only compatible estimands.</x:v>
      </x:c>
      <x:c r="I8" s="18" t="str">
        <x:v>Follow AF lock flags.</x:v>
      </x:c>
      <x:c r="J8" s="18" t="str">
        <x:v>Narrative/hold lock items: 0.</x:v>
      </x:c>
    </x:row>
    <x:row r="9">
      <x:c r="A9" s="18" t="str">
        <x:v>D_NAUSEA_0-24H</x:v>
      </x:c>
      <x:c r="B9" s="18" t="str">
        <x:v>Target D</x:v>
      </x:c>
      <x:c r="C9" s="18" t="str">
        <x:v>D_nausea_0-24h</x:v>
      </x:c>
      <x:c r="D9" s="18" t="str">
        <x:v>PROVISIONAL READY</x:v>
      </x:c>
      <x:c r="E9" s="18" t="n">
        <x:v>2</x:v>
      </x:c>
      <x:c r="F9" s="18" t="n">
        <x:v>0</x:v>
      </x:c>
      <x:c r="G9" s="18" t="str">
        <x:v>Binary events/total -&gt; RR.</x:v>
      </x:c>
      <x:c r="H9" s="18" t="str">
        <x:v>Nausea-only stratum.</x:v>
      </x:c>
      <x:c r="I9" s="18" t="str">
        <x:v>Do not combine with vomiting/composite.</x:v>
      </x:c>
      <x:c r="J9" s="18" t="str">
        <x:v>Narrative/hold lock items: 0.</x:v>
      </x:c>
    </x:row>
    <x:row r="10">
      <x:c r="A10" s="18" t="str">
        <x:v>D_NAUSEA_0-48H</x:v>
      </x:c>
      <x:c r="B10" s="18" t="str">
        <x:v>Target D</x:v>
      </x:c>
      <x:c r="C10" s="18" t="str">
        <x:v>D_nausea_0-48h</x:v>
      </x:c>
      <x:c r="D10" s="18" t="str">
        <x:v>PROVISIONAL READY</x:v>
      </x:c>
      <x:c r="E10" s="18" t="n">
        <x:v>1</x:v>
      </x:c>
      <x:c r="F10" s="18" t="n">
        <x:v>0</x:v>
      </x:c>
      <x:c r="G10" s="18" t="str">
        <x:v>Binary events/total -&gt; RR.</x:v>
      </x:c>
      <x:c r="H10" s="18" t="str">
        <x:v>Nausea-only 48-h.</x:v>
      </x:c>
      <x:c r="I10" s="18" t="str">
        <x:v>Do not combine with 24-h.</x:v>
      </x:c>
      <x:c r="J10" s="18" t="str">
        <x:v>Narrative/hold lock items: 0.</x:v>
      </x:c>
    </x:row>
    <x:row r="11">
      <x:c r="A11" s="18" t="str">
        <x:v>D_VOMITING_0-24H</x:v>
      </x:c>
      <x:c r="B11" s="18" t="str">
        <x:v>Target D</x:v>
      </x:c>
      <x:c r="C11" s="18" t="str">
        <x:v>D_vomiting_0-24h</x:v>
      </x:c>
      <x:c r="D11" s="18" t="str">
        <x:v>PROVISIONAL READY</x:v>
      </x:c>
      <x:c r="E11" s="18" t="n">
        <x:v>2</x:v>
      </x:c>
      <x:c r="F11" s="18" t="n">
        <x:v>0</x:v>
      </x:c>
      <x:c r="G11" s="18" t="str">
        <x:v>Binary events/total -&gt; RR.</x:v>
      </x:c>
      <x:c r="H11" s="18" t="str">
        <x:v>Vomiting-only stratum.</x:v>
      </x:c>
      <x:c r="I11" s="18" t="str">
        <x:v>Do not combine with nausea/composite.</x:v>
      </x:c>
      <x:c r="J11" s="18" t="str">
        <x:v>Narrative/hold lock items: 0.</x:v>
      </x:c>
    </x:row>
    <x:row r="12">
      <x:c r="A12" s="18" t="str">
        <x:v>D_VOMITING_0-48H</x:v>
      </x:c>
      <x:c r="B12" s="18" t="str">
        <x:v>Target D</x:v>
      </x:c>
      <x:c r="C12" s="18" t="str">
        <x:v>D_vomiting_0-48h</x:v>
      </x:c>
      <x:c r="D12" s="18" t="str">
        <x:v>PROVISIONAL READY</x:v>
      </x:c>
      <x:c r="E12" s="18" t="n">
        <x:v>1</x:v>
      </x:c>
      <x:c r="F12" s="18" t="n">
        <x:v>0</x:v>
      </x:c>
      <x:c r="G12" s="18" t="str">
        <x:v>Binary events/total -&gt; RR.</x:v>
      </x:c>
      <x:c r="H12" s="18" t="str">
        <x:v>Vomiting-only 48-h.</x:v>
      </x:c>
      <x:c r="I12" s="18" t="str">
        <x:v>Do not combine with 24-h.</x:v>
      </x:c>
      <x:c r="J12" s="18" t="str">
        <x:v>Narrative/hold lock items: 0.</x:v>
      </x:c>
    </x:row>
    <x:row r="13">
      <x:c r="A13" s="18" t="str">
        <x:v>D_VOMITING_OTHER</x:v>
      </x:c>
      <x:c r="B13" s="18" t="str">
        <x:v>A-F</x:v>
      </x:c>
      <x:c r="C13" s="18" t="str">
        <x:v>D_vomiting_other</x:v>
      </x:c>
      <x:c r="D13" s="18" t="str">
        <x:v>PROVISIONAL</x:v>
      </x:c>
      <x:c r="E13" s="18" t="n">
        <x:v>0</x:v>
      </x:c>
      <x:c r="F13" s="18" t="n">
        <x:v>0</x:v>
      </x:c>
      <x:c r="G13" s="18" t="str">
        <x:v>Preserve native source data.</x:v>
      </x:c>
      <x:c r="H13" s="18" t="str">
        <x:v>Pool only compatible estimands.</x:v>
      </x:c>
      <x:c r="I13" s="18" t="str">
        <x:v>Follow AF lock flags.</x:v>
      </x:c>
      <x:c r="J13" s="18" t="str">
        <x:v>Narrative/hold lock items: 5.</x:v>
      </x:c>
    </x:row>
    <x:row r="14">
      <x:c r="A14" s="18" t="str">
        <x:v>E_TIME_TO_FIRST_FLATUS</x:v>
      </x:c>
      <x:c r="B14" s="18" t="str">
        <x:v>Target E</x:v>
      </x:c>
      <x:c r="C14" s="18" t="str">
        <x:v>E_time_to_first_flatus</x:v>
      </x:c>
      <x:c r="D14" s="18" t="str">
        <x:v>READY</x:v>
      </x:c>
      <x:c r="E14" s="18" t="n">
        <x:v>6</x:v>
      </x:c>
      <x:c r="F14" s="18" t="n">
        <x:v>0</x:v>
      </x:c>
      <x:c r="G14" s="18" t="str">
        <x:v>Time-to-event summary data; preserve mean/SD vs median/IQR; do not coerce distributions without a prespecified method.</x:v>
      </x:c>
      <x:c r="H14" s="18" t="str">
        <x:v>Pool only under a distribution-compatible method and consistent time origin.</x:v>
      </x:c>
      <x:c r="I14" s="18" t="str">
        <x:v>Retain existing timing/ascertainment sensitivity notes for eligible studies; Yu Wang JAMA Surgery 2023 is excluded for wrong outcomes and is not part of this stratum.</x:v>
      </x:c>
      <x:c r="J14" s="18" t="str">
        <x:v>Narrative/hold lock items: 1.</x:v>
      </x:c>
    </x:row>
    <x:row r="15">
      <x:c r="A15" s="18" t="str">
        <x:v>F_PCA_BEHAVIOR</x:v>
      </x:c>
      <x:c r="B15" s="18" t="str">
        <x:v>Target F</x:v>
      </x:c>
      <x:c r="C15" s="18" t="str">
        <x:v>F_PCA_behavior</x:v>
      </x:c>
      <x:c r="D15" s="18" t="str">
        <x:v>EXPLORATORY</x:v>
      </x:c>
      <x:c r="E15" s="18" t="n">
        <x:v>0</x:v>
      </x:c>
      <x:c r="F15" s="18" t="n">
        <x:v>9</x:v>
      </x:c>
      <x:c r="G15" s="18" t="str">
        <x:v>PCA attempts/deliveries/presses are behavioral/device-use outcomes.</x:v>
      </x:c>
      <x:c r="H15" s="18" t="str">
        <x:v>Do not treat as cumulative opioid dose.</x:v>
      </x:c>
      <x:c r="I15" s="18" t="str">
        <x:v>High RoB common where participant masking failed; keep native time windows.</x:v>
      </x:c>
      <x:c r="J15" s="18" t="str">
        <x:v>Narrative/hold lock items: 3.</x:v>
      </x:c>
    </x:row>
    <x:row r="16">
      <x:c r="A16" s="18" t="str">
        <x:v>F_INTRAOP_FIXED_OR_UNCLEAR_EXPOSURE</x:v>
      </x:c>
      <x:c r="B16" s="18" t="str">
        <x:v>Target F</x:v>
      </x:c>
      <x:c r="C16" s="18" t="str">
        <x:v>F_intraop_fixed_or_unclear_exposure</x:v>
      </x:c>
      <x:c r="D16" s="18" t="str">
        <x:v>DESCRIPTIVE / SEPARATE</x:v>
      </x:c>
      <x:c r="E16" s="18" t="n">
        <x:v>0</x:v>
      </x:c>
      <x:c r="F16" s="18" t="n">
        <x:v>4</x:v>
      </x:c>
      <x:c r="G16" s="18" t="str">
        <x:v>Native intraoperative exposure only.</x:v>
      </x:c>
      <x:c r="H16" s="18" t="str">
        <x:v>Do not pool with titrated requirement.</x:v>
      </x:c>
      <x:c r="I16" s="18" t="str">
        <x:v>Jiang/Li/Chen-fixed/Xie/Ntritsou/Sun remain separate exposure stratum.</x:v>
      </x:c>
      <x:c r="J16" s="18" t="str">
        <x:v>Narrative/hold lock items: 3.</x:v>
      </x:c>
    </x:row>
    <x:row r="17">
      <x:c r="A17" s="18" t="str">
        <x:v>F_INTRAOP_TITRATED_REQUIREMENT</x:v>
      </x:c>
      <x:c r="B17" s="18" t="str">
        <x:v>Target F</x:v>
      </x:c>
      <x:c r="C17" s="18" t="str">
        <x:v>F_intraop_titrated_requirement</x:v>
      </x:c>
      <x:c r="D17" s="18" t="str">
        <x:v>EXPLORATORY</x:v>
      </x:c>
      <x:c r="E17" s="18" t="n">
        <x:v>6</x:v>
      </x:c>
      <x:c r="F17" s="18" t="n">
        <x:v>6</x:v>
      </x:c>
      <x:c r="G17" s="18" t="str">
        <x:v>Continuous intraoperative opioid requirement; harmonize units/drugs only by prespecified conversion.</x:v>
      </x:c>
      <x:c r="H17" s="18" t="str">
        <x:v>Pool only genuinely titrated clinician-controlled opioid requirement results; fixed exposure separate.</x:v>
      </x:c>
      <x:c r="I17" s="18" t="str">
        <x:v>Unblinded titrators/high attrition sensitivity analyses.</x:v>
      </x:c>
      <x:c r="J17" s="18" t="str">
        <x:v>Narrative/hold lock items: 1.</x:v>
      </x:c>
    </x:row>
    <x:row r="18">
      <x:c r="A18" s="18" t="str">
        <x:v>F_POSTOP_DELIVERED_DOSE_OR_SOLUTION</x:v>
      </x:c>
      <x:c r="B18" s="18" t="str">
        <x:v>Target F</x:v>
      </x:c>
      <x:c r="C18" s="18" t="str">
        <x:v>F_postop_delivered_dose_or_solution</x:v>
      </x:c>
      <x:c r="D18" s="18" t="str">
        <x:v>EXPLORATORY</x:v>
      </x:c>
      <x:c r="E18" s="18" t="n">
        <x:v>2</x:v>
      </x:c>
      <x:c r="F18" s="18" t="n">
        <x:v>4</x:v>
      </x:c>
      <x:c r="G18" s="18" t="str">
        <x:v>Delivered dose can be quantitative; mixed solution volume stays native volume.</x:v>
      </x:c>
      <x:c r="H18" s="18" t="str">
        <x:v>Pool only compatible drugs/units after prespecified conversion; volume proxies separate.</x:v>
      </x:c>
      <x:c r="I18" s="18" t="str">
        <x:v>Yeh duplicate family hold; high-RoB older trials sensitivity.</x:v>
      </x:c>
      <x:c r="J18" s="18" t="str">
        <x:v>Narrative/hold lock items: 4.</x:v>
      </x:c>
    </x:row>
    <x:row r="19">
      <x:c r="A19" s="18" t="str">
        <x:v>F_RESCUE_MIXED_OR_UNDEFINED</x:v>
      </x:c>
      <x:c r="B19" s="18" t="str">
        <x:v>Target F</x:v>
      </x:c>
      <x:c r="C19" s="18" t="str">
        <x:v>F_rescue_mixed_or_undefined</x:v>
      </x:c>
      <x:c r="D19" s="18" t="str">
        <x:v>NARRATIVE / HOLD</x:v>
      </x:c>
      <x:c r="E19" s="18" t="n">
        <x:v>0</x:v>
      </x:c>
      <x:c r="F19" s="18" t="n">
        <x:v>1</x:v>
      </x:c>
      <x:c r="G19" s="18" t="str">
        <x:v>Preserve raw source metric only.</x:v>
      </x:c>
      <x:c r="H19" s="18" t="str">
        <x:v>No pooled opioid effect until drug/unit/window are known.</x:v>
      </x:c>
      <x:c r="I19" s="18" t="str">
        <x:v>Zhang2025, Liang2021, Zhou2021 etc remain excluded from opioid-specific models.</x:v>
      </x:c>
      <x:c r="J19" s="18" t="str">
        <x:v>Narrative/hold lock items: 6.</x:v>
      </x:c>
    </x:row>
    <x:row r="20">
      <x:c r="A20" s="18" t="str">
        <x:v>F_RESCUE_NONOPIOID</x:v>
      </x:c>
      <x:c r="B20" s="18" t="str">
        <x:v>Target F</x:v>
      </x:c>
      <x:c r="C20" s="18" t="str">
        <x:v>F_rescue_nonopioid</x:v>
      </x:c>
      <x:c r="D20" s="18" t="str">
        <x:v>EXPLORATORY / SEPARATE</x:v>
      </x:c>
      <x:c r="E20" s="18" t="n">
        <x:v>0</x:v>
      </x:c>
      <x:c r="F20" s="18" t="n">
        <x:v>1</x:v>
      </x:c>
      <x:c r="G20" s="18" t="str">
        <x:v>Binary or medication-specific native metric.</x:v>
      </x:c>
      <x:c r="H20" s="18" t="str">
        <x:v>Never relabel as opioid rescue.</x:v>
      </x:c>
      <x:c r="I20" s="18" t="str">
        <x:v>Keep drug-specific/non-opioid strata.</x:v>
      </x:c>
      <x:c r="J20" s="18" t="str">
        <x:v>Narrative/hold lock items: 3.</x:v>
      </x:c>
    </x:row>
    <x:row r="21">
      <x:c r="A21" s="18" t="str">
        <x:v>F_RESCUE_OPIOID</x:v>
      </x:c>
      <x:c r="B21" s="18" t="str">
        <x:v>Target F</x:v>
      </x:c>
      <x:c r="C21" s="18" t="str">
        <x:v>F_rescue_opioid</x:v>
      </x:c>
      <x:c r="D21" s="18" t="str">
        <x:v>EXPLORATORY</x:v>
      </x:c>
      <x:c r="E21" s="18" t="n">
        <x:v>6</x:v>
      </x:c>
      <x:c r="F21" s="18" t="n">
        <x:v>0</x:v>
      </x:c>
      <x:c r="G21" s="18" t="str">
        <x:v>Binary incidence -&gt; RR; counts/median-IQR remain separate count estimands.</x:v>
      </x:c>
      <x:c r="H21" s="18" t="str">
        <x:v>Do not pool incidence with administration counts or different undefined windows.</x:v>
      </x:c>
      <x:c r="I21" s="18" t="str">
        <x:v>Use raw events when publication P conflicts; undefined windows remain separate.</x:v>
      </x:c>
      <x:c r="J21" s="18" t="str">
        <x:v>Narrative/hold lock items: 3.</x:v>
      </x:c>
    </x:row>
    <x:row r="22">
      <x:c r="A22" s="18" t="str">
        <x:v>STATA EXPORT RULES</x:v>
      </x:c>
      <x:c r="B22" s="18"/>
      <x:c r="C22" s="18"/>
      <x:c r="D22" s="18"/>
      <x:c r="E22" s="18"/>
      <x:c r="F22" s="18"/>
      <x:c r="G22" s="18"/>
      <x:c r="H22" s="18"/>
      <x:c r="I22" s="18"/>
      <x:c r="J22" s="18"/>
    </x:row>
    <x:row r="23">
      <x:c r="A23" s="18" t="str">
        <x:v>1</x:v>
      </x:c>
      <x:c r="B23" s="18" t="str">
        <x:v>No imputation of unreported values.</x:v>
      </x:c>
      <x:c r="C23" s="18"/>
      <x:c r="D23" s="18"/>
      <x:c r="E23" s="18"/>
      <x:c r="F23" s="18"/>
      <x:c r="G23" s="18"/>
      <x:c r="H23" s="18"/>
      <x:c r="I23" s="18"/>
      <x:c r="J23" s="18"/>
    </x:row>
    <x:row r="24">
      <x:c r="A24" s="91" t="str">
        <x:v>2</x:v>
      </x:c>
      <x:c r="B24" s="91" t="str">
        <x:v>No conversion of PCA volume/presses/counts into opioid dose without an explicit source-supported concentration and prespecified conversion.</x:v>
      </x:c>
      <x:c r="C24" s="91"/>
      <x:c r="D24" s="91"/>
      <x:c r="E24" s="91"/>
      <x:c r="F24" s="91"/>
      <x:c r="G24" s="91"/>
      <x:c r="H24" s="91"/>
      <x:c r="I24" s="91"/>
      <x:c r="J24" s="91"/>
    </x:row>
    <x:row r="25">
      <x:c r="A25" s="18" t="str">
        <x:v>3</x:v>
      </x:c>
      <x:c r="B25" s="18" t="str">
        <x:v>Use events/denominators—not conflicting publication P values—for binary meta-analysis.</x:v>
      </x:c>
      <x:c r="C25" s="18"/>
      <x:c r="D25" s="18"/>
      <x:c r="E25" s="18"/>
      <x:c r="F25" s="18"/>
      <x:c r="G25" s="18"/>
      <x:c r="H25" s="18"/>
      <x:c r="I25" s="18"/>
      <x:c r="J25" s="18"/>
    </x:row>
    <x:row r="26">
      <x:c r="A26" s="18" t="str">
        <x:v>4</x:v>
      </x:c>
      <x:c r="B26" s="18" t="str">
        <x:v>Preserve medians/IQR as medians/IQR unless the statistical analysis plan explicitly specifies a valid method.</x:v>
      </x:c>
      <x:c r="C26" s="18"/>
      <x:c r="D26" s="18"/>
      <x:c r="E26" s="18"/>
      <x:c r="F26" s="18"/>
      <x:c r="G26" s="18"/>
      <x:c r="H26" s="18"/>
      <x:c r="I26" s="18"/>
      <x:c r="J26" s="18"/>
    </x:row>
    <x:row r="27">
      <x:c r="A27" s="18" t="str">
        <x:v>5</x:v>
      </x:c>
      <x:c r="B27" s="18" t="str">
        <x:v>Final publication dataset remains held for the JAMA Surgery colorectal-EA scope/completeness adjudication.</x:v>
      </x:c>
      <x:c r="C27" s="18"/>
      <x:c r="D27" s="18"/>
      <x:c r="E27" s="18"/>
      <x:c r="F27" s="18"/>
      <x:c r="G27" s="18"/>
      <x:c r="H27" s="18"/>
      <x:c r="I27" s="18"/>
      <x:c r="J27" s="18"/>
    </x:row>
    <x:row r="28">
      <x:c r="A28" s="18"/>
      <x:c r="B28" s="18"/>
      <x:c r="C28" s="18"/>
      <x:c r="D28" s="18"/>
      <x:c r="E28" s="18"/>
      <x:c r="F28" s="18"/>
      <x:c r="G28" s="18"/>
      <x:c r="H28" s="18"/>
      <x:c r="I28" s="18"/>
      <x:c r="J28" s="18"/>
    </x:row>
    <x:row r="29">
      <x:c r="A29" s="18"/>
      <x:c r="B29" s="18"/>
      <x:c r="C29" s="18"/>
      <x:c r="D29" s="18"/>
      <x:c r="E29" s="18"/>
      <x:c r="F29" s="18"/>
      <x:c r="G29" s="18"/>
      <x:c r="H29" s="18"/>
      <x:c r="I29" s="18"/>
      <x:c r="J29" s="18"/>
    </x:row>
    <x:row r="30">
      <x:c r="A30" s="18" t="str">
        <x:v>STATA EXPORT RULES</x:v>
      </x:c>
      <x:c r="B30" s="18"/>
      <x:c r="C30" s="18"/>
      <x:c r="D30" s="18"/>
      <x:c r="E30" s="18"/>
      <x:c r="F30" s="18"/>
      <x:c r="G30" s="18"/>
      <x:c r="H30" s="18"/>
      <x:c r="I30" s="18"/>
      <x:c r="J30" s="18"/>
    </x:row>
    <x:row r="31">
      <x:c r="A31" s="18" t="str">
        <x:v>1</x:v>
      </x:c>
      <x:c r="B31" s="18" t="str">
        <x:v>No imputation of unreported values.</x:v>
      </x:c>
      <x:c r="C31" s="18" t="str"/>
      <x:c r="D31" s="18" t="str"/>
      <x:c r="E31" s="18" t="str"/>
      <x:c r="F31" s="18" t="str"/>
      <x:c r="G31" s="18" t="str"/>
      <x:c r="H31" s="18" t="str"/>
      <x:c r="I31" s="18" t="str"/>
      <x:c r="J31" s="18" t="str"/>
    </x:row>
    <x:row r="32">
      <x:c r="A32" s="18" t="str">
        <x:v>2</x:v>
      </x:c>
      <x:c r="B32" s="18" t="str">
        <x:v>No conversion of PCA volume/presses/counts into opioid dose without explicit source-supported concentration and prespecified conversion.</x:v>
      </x:c>
      <x:c r="C32" s="18" t="str"/>
      <x:c r="D32" s="18" t="str"/>
      <x:c r="E32" s="18" t="str"/>
      <x:c r="F32" s="18" t="str"/>
      <x:c r="G32" s="18" t="str"/>
      <x:c r="H32" s="18" t="str"/>
      <x:c r="I32" s="18" t="str"/>
      <x:c r="J32" s="18" t="str"/>
    </x:row>
    <x:row r="33">
      <x:c r="A33" s="18" t="str">
        <x:v>3</x:v>
      </x:c>
      <x:c r="B33" s="18" t="str">
        <x:v>Use events/denominators—not conflicting publication P values—for binary meta-analysis.</x:v>
      </x:c>
      <x:c r="C33" s="18" t="str"/>
      <x:c r="D33" s="18" t="str"/>
      <x:c r="E33" s="18" t="str"/>
      <x:c r="F33" s="18" t="str"/>
      <x:c r="G33" s="18" t="str"/>
      <x:c r="H33" s="18" t="str"/>
      <x:c r="I33" s="18" t="str"/>
      <x:c r="J33" s="18" t="str"/>
    </x:row>
    <x:row r="34">
      <x:c r="A34" s="18" t="str">
        <x:v>4</x:v>
      </x:c>
      <x:c r="B34" s="18" t="str">
        <x:v>Preserve medians/IQR as medians/IQR unless the statistical analysis plan explicitly specifies a valid method.</x:v>
      </x:c>
      <x:c r="C34" s="18" t="str"/>
      <x:c r="D34" s="18" t="str"/>
      <x:c r="E34" s="18" t="str"/>
      <x:c r="F34" s="18" t="str"/>
      <x:c r="G34" s="18" t="str"/>
      <x:c r="H34" s="18" t="str"/>
      <x:c r="I34" s="18" t="str"/>
      <x:c r="J34" s="18" t="str"/>
    </x:row>
    <x:row r="35">
      <x:c r="A35" s="18" t="str">
        <x:v>5</x:v>
      </x:c>
      <x:c r="B35" s="18" t="str">
        <x:v>Dataset completeness hold resolved: Yu Wang JAMA Surgery 2023 was excluded at full text for wrong outcomes.</x:v>
      </x:c>
      <x:c r="C35" s="18" t="str"/>
      <x:c r="D35" s="18" t="str"/>
      <x:c r="E35" s="18" t="str"/>
      <x:c r="F35" s="18" t="str"/>
      <x:c r="G35" s="18" t="str"/>
      <x:c r="H35" s="18" t="str"/>
      <x:c r="I35" s="18" t="str"/>
      <x:c r="J35" s="18" t="str"/>
    </x:row>
  </x:sheetData>
  <x:pageMargins left="0.7" right="0.7" top="0.75" bottom="0.75" header="0.3" footer="0.3"/>
  <x:tableParts count="1">
    <x:tablePart xmlns:r="http://schemas.openxmlformats.org/officeDocument/2006/relationships" r:id="R6a76757b006946d7"/>
  </x:tableParts>
</x:worksheet>
</file>

<file path=xl/worksheets/sheet28.xml><?xml version="1.0" encoding="utf-8"?>
<x:worksheet xmlns:x="http://schemas.openxmlformats.org/spreadsheetml/2006/main">
  <x:sheetFormatPr defaultRowHeight="15"/>
  <x:cols>
    <x:col min="1" max="1" width="15" hidden="0" customWidth="1"/>
    <x:col min="2" max="2" width="15" hidden="0" customWidth="1"/>
    <x:col min="3" max="3" width="28" hidden="0" customWidth="1"/>
    <x:col min="4" max="4" width="42" hidden="0" customWidth="1"/>
    <x:col min="5" max="5" width="14" hidden="0" customWidth="1"/>
    <x:col min="6" max="6" width="34" hidden="0" customWidth="1"/>
    <x:col min="7" max="7" width="14" hidden="0" customWidth="1"/>
    <x:col min="8" max="8" width="16" hidden="0" customWidth="1"/>
    <x:col min="9" max="9" width="12" hidden="0" customWidth="1"/>
    <x:col min="10" max="10" width="28" hidden="0" customWidth="1"/>
  </x:cols>
  <x:sheetData>
    <x:row r="1">
      <x:c r="A1" s="81" t="str">
        <x:v>Lock ID</x:v>
      </x:c>
      <x:c r="B1" s="81" t="str">
        <x:v>Target</x:v>
      </x:c>
      <x:c r="C1" s="81" t="str">
        <x:v>Study</x:v>
      </x:c>
      <x:c r="D1" s="81" t="str">
        <x:v>Outcome / estimand</x:v>
      </x:c>
      <x:c r="E1" s="81" t="str">
        <x:v>Correct priority</x:v>
      </x:c>
      <x:c r="F1" s="81" t="str">
        <x:v>P1 disposition</x:v>
      </x:c>
      <x:c r="G1" s="81" t="str">
        <x:v>Include strict</x:v>
      </x:c>
      <x:c r="H1" s="81" t="str">
        <x:v>Include sensitivity</x:v>
      </x:c>
      <x:c r="I1" s="81" t="str">
        <x:v>Narrative</x:v>
      </x:c>
      <x:c r="J1" s="81" t="str">
        <x:v>QA status</x:v>
      </x:c>
    </x:row>
    <x:row r="2">
      <x:c r="A2" s="18" t="str">
        <x:v>A-001</x:v>
      </x:c>
      <x:c r="B2" s="18" t="str">
        <x:v>A</x:v>
      </x:c>
      <x:c r="C2" s="18" t="str">
        <x:v>Chen 2020</x:v>
      </x:c>
      <x:c r="D2" s="18" t="str">
        <x:v>Cumulative postoperative sufentanil</x:v>
      </x:c>
      <x:c r="E2" s="18"/>
      <x:c r="F2" s="18"/>
      <x:c r="G2" s="18" t="n">
        <x:v>1</x:v>
      </x:c>
      <x:c r="H2" s="18" t="n">
        <x:v>0</x:v>
      </x:c>
      <x:c r="I2" s="18" t="n">
        <x:v>0</x:v>
      </x:c>
      <x:c r="J2" s="18" t="str">
        <x:v>PASS — result-specific mapping</x:v>
      </x:c>
    </x:row>
    <x:row r="3">
      <x:c r="A3" s="18" t="str">
        <x:v>A-002</x:v>
      </x:c>
      <x:c r="B3" s="18" t="str">
        <x:v>A</x:v>
      </x:c>
      <x:c r="C3" s="18" t="str">
        <x:v>Zhang 2023</x:v>
      </x:c>
      <x:c r="D3" s="18" t="str">
        <x:v>Post-surgery opioid dose, IV MME</x:v>
      </x:c>
      <x:c r="E3" s="18" t="str">
        <x:v>P2</x:v>
      </x:c>
      <x:c r="F3" s="18"/>
      <x:c r="G3" s="18" t="n">
        <x:v>1</x:v>
      </x:c>
      <x:c r="H3" s="18" t="n">
        <x:v>0</x:v>
      </x:c>
      <x:c r="I3" s="18" t="n">
        <x:v>0</x:v>
      </x:c>
      <x:c r="J3" s="18" t="str">
        <x:v>PASS — result-specific mapping</x:v>
      </x:c>
    </x:row>
    <x:row r="4">
      <x:c r="A4" s="18" t="str">
        <x:v>A-003</x:v>
      </x:c>
      <x:c r="B4" s="18" t="str">
        <x:v>A</x:v>
      </x:c>
      <x:c r="C4" s="18" t="str">
        <x:v>An 2014</x:v>
      </x:c>
      <x:c r="D4" s="18" t="str">
        <x:v>Total fentanyl PCIA dose</x:v>
      </x:c>
      <x:c r="E4" s="18" t="str">
        <x:v>P1</x:v>
      </x:c>
      <x:c r="F4" s="18" t="str">
        <x:v>RESOLVED_BY_MANDATORY_SENSITIVITY</x:v>
      </x:c>
      <x:c r="G4" s="18" t="n">
        <x:v>1</x:v>
      </x:c>
      <x:c r="H4" s="18" t="n">
        <x:v>0</x:v>
      </x:c>
      <x:c r="I4" s="18" t="n">
        <x:v>0</x:v>
      </x:c>
      <x:c r="J4" s="18" t="str">
        <x:v>PASS — result-specific mapping</x:v>
      </x:c>
    </x:row>
    <x:row r="5">
      <x:c r="A5" s="18" t="str">
        <x:v>A-004</x:v>
      </x:c>
      <x:c r="B5" s="18" t="str">
        <x:v>A</x:v>
      </x:c>
      <x:c r="C5" s="18" t="str">
        <x:v>Xie 2014</x:v>
      </x:c>
      <x:c r="D5" s="18" t="str">
        <x:v>Total sufentanil</x:v>
      </x:c>
      <x:c r="E5" s="18" t="str">
        <x:v>P1</x:v>
      </x:c>
      <x:c r="F5" s="18" t="str">
        <x:v>RESOLVED_BY_SENSITIVITY</x:v>
      </x:c>
      <x:c r="G5" s="18" t="n">
        <x:v>0</x:v>
      </x:c>
      <x:c r="H5" s="18" t="n">
        <x:v>1</x:v>
      </x:c>
      <x:c r="I5" s="18" t="n">
        <x:v>0</x:v>
      </x:c>
      <x:c r="J5" s="18" t="str">
        <x:v>PASS — result-specific mapping</x:v>
      </x:c>
    </x:row>
    <x:row r="6">
      <x:c r="A6" s="18" t="str">
        <x:v>A-005</x:v>
      </x:c>
      <x:c r="B6" s="18" t="str">
        <x:v>A</x:v>
      </x:c>
      <x:c r="C6" s="18" t="str">
        <x:v>He 2026 (breast/WJCO)</x:v>
      </x:c>
      <x:c r="D6" s="18" t="str">
        <x:v>Eligibility audit</x:v>
      </x:c>
      <x:c r="E6" s="18"/>
      <x:c r="F6" s="18"/>
      <x:c r="G6" s="18" t="n">
        <x:v>0</x:v>
      </x:c>
      <x:c r="H6" s="18" t="n">
        <x:v>0</x:v>
      </x:c>
      <x:c r="I6" s="18" t="n">
        <x:v>1</x:v>
      </x:c>
      <x:c r="J6" s="18" t="str">
        <x:v>PASS — result-specific mapping</x:v>
      </x:c>
    </x:row>
    <x:row r="7">
      <x:c r="A7" s="18" t="str">
        <x:v>A-006</x:v>
      </x:c>
      <x:c r="B7" s="18" t="str">
        <x:v>A</x:v>
      </x:c>
      <x:c r="C7" s="18" t="str">
        <x:v>Wong 2006</x:v>
      </x:c>
      <x:c r="D7" s="18" t="str">
        <x:v>Eligibility audit</x:v>
      </x:c>
      <x:c r="E7" s="18"/>
      <x:c r="F7" s="18"/>
      <x:c r="G7" s="18" t="n">
        <x:v>0</x:v>
      </x:c>
      <x:c r="H7" s="18" t="n">
        <x:v>0</x:v>
      </x:c>
      <x:c r="I7" s="18" t="n">
        <x:v>1</x:v>
      </x:c>
      <x:c r="J7" s="18" t="str">
        <x:v>PASS — result-specific mapping</x:v>
      </x:c>
    </x:row>
    <x:row r="8">
      <x:c r="A8" s="18" t="str">
        <x:v>A-007</x:v>
      </x:c>
      <x:c r="B8" s="18" t="str">
        <x:v>A</x:v>
      </x:c>
      <x:c r="C8" s="18" t="str">
        <x:v>Hou 2023</x:v>
      </x:c>
      <x:c r="D8" s="18" t="str">
        <x:v>Eligibility audit</x:v>
      </x:c>
      <x:c r="E8" s="18"/>
      <x:c r="F8" s="18"/>
      <x:c r="G8" s="18" t="n">
        <x:v>0</x:v>
      </x:c>
      <x:c r="H8" s="18" t="n">
        <x:v>0</x:v>
      </x:c>
      <x:c r="I8" s="18" t="n">
        <x:v>1</x:v>
      </x:c>
      <x:c r="J8" s="18" t="str">
        <x:v>PASS — result-specific mapping</x:v>
      </x:c>
    </x:row>
    <x:row r="9">
      <x:c r="A9" s="18" t="str">
        <x:v>A-008</x:v>
      </x:c>
      <x:c r="B9" s="18" t="str">
        <x:v>A</x:v>
      </x:c>
      <x:c r="C9" s="18" t="str">
        <x:v>Yao 2015</x:v>
      </x:c>
      <x:c r="D9" s="18" t="str">
        <x:v>Eligibility audit</x:v>
      </x:c>
      <x:c r="E9" s="18"/>
      <x:c r="F9" s="18"/>
      <x:c r="G9" s="18" t="n">
        <x:v>0</x:v>
      </x:c>
      <x:c r="H9" s="18" t="n">
        <x:v>0</x:v>
      </x:c>
      <x:c r="I9" s="18" t="n">
        <x:v>1</x:v>
      </x:c>
      <x:c r="J9" s="18" t="str">
        <x:v>PASS — result-specific mapping</x:v>
      </x:c>
    </x:row>
    <x:row r="10">
      <x:c r="A10" s="18" t="str">
        <x:v>A-009</x:v>
      </x:c>
      <x:c r="B10" s="18" t="str">
        <x:v>A</x:v>
      </x:c>
      <x:c r="C10" s="18" t="str">
        <x:v>Lin 2002</x:v>
      </x:c>
      <x:c r="D10" s="18" t="str">
        <x:v>Eligibility audit</x:v>
      </x:c>
      <x:c r="E10" s="18"/>
      <x:c r="F10" s="18"/>
      <x:c r="G10" s="18" t="n">
        <x:v>0</x:v>
      </x:c>
      <x:c r="H10" s="18" t="n">
        <x:v>0</x:v>
      </x:c>
      <x:c r="I10" s="18" t="n">
        <x:v>1</x:v>
      </x:c>
      <x:c r="J10" s="18" t="str">
        <x:v>PASS — result-specific mapping</x:v>
      </x:c>
    </x:row>
    <x:row r="11">
      <x:c r="A11" s="18" t="str">
        <x:v>A-010</x:v>
      </x:c>
      <x:c r="B11" s="18" t="str">
        <x:v>A</x:v>
      </x:c>
      <x:c r="C11" s="18" t="str">
        <x:v>Zhang 2025</x:v>
      </x:c>
      <x:c r="D11" s="18" t="str">
        <x:v>Eligibility audit</x:v>
      </x:c>
      <x:c r="E11" s="18"/>
      <x:c r="F11" s="18"/>
      <x:c r="G11" s="18" t="n">
        <x:v>0</x:v>
      </x:c>
      <x:c r="H11" s="18" t="n">
        <x:v>0</x:v>
      </x:c>
      <x:c r="I11" s="18" t="n">
        <x:v>1</x:v>
      </x:c>
      <x:c r="J11" s="18" t="str">
        <x:v>PASS — result-specific mapping</x:v>
      </x:c>
    </x:row>
    <x:row r="12">
      <x:c r="A12" s="18" t="str">
        <x:v>B-001</x:v>
      </x:c>
      <x:c r="B12" s="18" t="str">
        <x:v>B</x:v>
      </x:c>
      <x:c r="C12" s="18" t="str">
        <x:v>Yang 2024</x:v>
      </x:c>
      <x:c r="D12" s="18" t="str">
        <x:v>Cumulative postoperative morphine</x:v>
      </x:c>
      <x:c r="E12" s="18"/>
      <x:c r="F12" s="18"/>
      <x:c r="G12" s="18" t="n">
        <x:v>1</x:v>
      </x:c>
      <x:c r="H12" s="18" t="n">
        <x:v>0</x:v>
      </x:c>
      <x:c r="I12" s="18" t="n">
        <x:v>0</x:v>
      </x:c>
      <x:c r="J12" s="18" t="str">
        <x:v>PASS — result-specific mapping</x:v>
      </x:c>
    </x:row>
    <x:row r="13">
      <x:c r="A13" s="18" t="str">
        <x:v>B-002</x:v>
      </x:c>
      <x:c r="B13" s="18" t="str">
        <x:v>B</x:v>
      </x:c>
      <x:c r="C13" s="18" t="str">
        <x:v>Wong 2006</x:v>
      </x:c>
      <x:c r="D13" s="18" t="str">
        <x:v>Total PCA morphine</x:v>
      </x:c>
      <x:c r="E13" s="18"/>
      <x:c r="F13" s="18"/>
      <x:c r="G13" s="18" t="n">
        <x:v>0</x:v>
      </x:c>
      <x:c r="H13" s="18" t="n">
        <x:v>1</x:v>
      </x:c>
      <x:c r="I13" s="18" t="n">
        <x:v>0</x:v>
      </x:c>
      <x:c r="J13" s="18" t="str">
        <x:v>PASS — result-specific mapping</x:v>
      </x:c>
    </x:row>
    <x:row r="14">
      <x:c r="A14" s="18" t="str">
        <x:v>B-003</x:v>
      </x:c>
      <x:c r="B14" s="18" t="str">
        <x:v>B</x:v>
      </x:c>
      <x:c r="C14" s="18" t="str">
        <x:v>Zhang 2025</x:v>
      </x:c>
      <x:c r="D14" s="18" t="str">
        <x:v>Eligibility audit</x:v>
      </x:c>
      <x:c r="E14" s="18"/>
      <x:c r="F14" s="18"/>
      <x:c r="G14" s="18" t="n">
        <x:v>0</x:v>
      </x:c>
      <x:c r="H14" s="18" t="n">
        <x:v>0</x:v>
      </x:c>
      <x:c r="I14" s="18" t="n">
        <x:v>1</x:v>
      </x:c>
      <x:c r="J14" s="18" t="str">
        <x:v>PASS — result-specific mapping</x:v>
      </x:c>
    </x:row>
    <x:row r="15">
      <x:c r="A15" s="18" t="str">
        <x:v>B-004</x:v>
      </x:c>
      <x:c r="B15" s="18" t="str">
        <x:v>B</x:v>
      </x:c>
      <x:c r="C15" s="18" t="str">
        <x:v>Xie 2014</x:v>
      </x:c>
      <x:c r="D15" s="18" t="str">
        <x:v>Eligibility audit</x:v>
      </x:c>
      <x:c r="E15" s="18"/>
      <x:c r="F15" s="18"/>
      <x:c r="G15" s="18" t="n">
        <x:v>0</x:v>
      </x:c>
      <x:c r="H15" s="18" t="n">
        <x:v>0</x:v>
      </x:c>
      <x:c r="I15" s="18" t="n">
        <x:v>1</x:v>
      </x:c>
      <x:c r="J15" s="18" t="str">
        <x:v>PASS — result-specific mapping</x:v>
      </x:c>
    </x:row>
    <x:row r="16">
      <x:c r="A16" s="18" t="str">
        <x:v>C-001</x:v>
      </x:c>
      <x:c r="B16" s="18" t="str">
        <x:v>C</x:v>
      </x:c>
      <x:c r="C16" s="18" t="str">
        <x:v>Xing 2022</x:v>
      </x:c>
      <x:c r="D16" s="18" t="str">
        <x:v>Pain intensity at rest</x:v>
      </x:c>
      <x:c r="E16" s="18"/>
      <x:c r="F16" s="18"/>
      <x:c r="G16" s="18" t="n">
        <x:v>1</x:v>
      </x:c>
      <x:c r="H16" s="18" t="n">
        <x:v>0</x:v>
      </x:c>
      <x:c r="I16" s="18" t="n">
        <x:v>0</x:v>
      </x:c>
      <x:c r="J16" s="18" t="str">
        <x:v>PASS — result-specific mapping</x:v>
      </x:c>
    </x:row>
    <x:row r="17">
      <x:c r="A17" s="18" t="str">
        <x:v>C-002</x:v>
      </x:c>
      <x:c r="B17" s="18" t="str">
        <x:v>C</x:v>
      </x:c>
      <x:c r="C17" s="18" t="str">
        <x:v>Liu 2021</x:v>
      </x:c>
      <x:c r="D17" s="18" t="str">
        <x:v>Pain intensity at rest</x:v>
      </x:c>
      <x:c r="E17" s="18"/>
      <x:c r="F17" s="18"/>
      <x:c r="G17" s="18" t="n">
        <x:v>1</x:v>
      </x:c>
      <x:c r="H17" s="18" t="n">
        <x:v>0</x:v>
      </x:c>
      <x:c r="I17" s="18" t="n">
        <x:v>0</x:v>
      </x:c>
      <x:c r="J17" s="18" t="str">
        <x:v>PASS — result-specific mapping</x:v>
      </x:c>
    </x:row>
    <x:row r="18">
      <x:c r="A18" s="18" t="str">
        <x:v>C-003</x:v>
      </x:c>
      <x:c r="B18" s="18" t="str">
        <x:v>C</x:v>
      </x:c>
      <x:c r="C18" s="18" t="str">
        <x:v>Zhou 2021</x:v>
      </x:c>
      <x:c r="D18" s="18" t="str">
        <x:v>Eligibility audit</x:v>
      </x:c>
      <x:c r="E18" s="18"/>
      <x:c r="F18" s="18"/>
      <x:c r="G18" s="18" t="n">
        <x:v>0</x:v>
      </x:c>
      <x:c r="H18" s="18" t="n">
        <x:v>0</x:v>
      </x:c>
      <x:c r="I18" s="18" t="n">
        <x:v>1</x:v>
      </x:c>
      <x:c r="J18" s="18" t="str">
        <x:v>PASS — result-specific mapping</x:v>
      </x:c>
    </x:row>
    <x:row r="19">
      <x:c r="A19" s="18" t="str">
        <x:v>C-004</x:v>
      </x:c>
      <x:c r="B19" s="18" t="str">
        <x:v>C</x:v>
      </x:c>
      <x:c r="C19" s="18" t="str">
        <x:v>Wu 2022</x:v>
      </x:c>
      <x:c r="D19" s="18" t="str">
        <x:v>Eligibility audit</x:v>
      </x:c>
      <x:c r="E19" s="18"/>
      <x:c r="F19" s="18"/>
      <x:c r="G19" s="18" t="n">
        <x:v>0</x:v>
      </x:c>
      <x:c r="H19" s="18" t="n">
        <x:v>0</x:v>
      </x:c>
      <x:c r="I19" s="18" t="n">
        <x:v>1</x:v>
      </x:c>
      <x:c r="J19" s="18" t="str">
        <x:v>PASS — result-specific mapping</x:v>
      </x:c>
    </x:row>
    <x:row r="20">
      <x:c r="A20" s="18" t="str">
        <x:v>C-005</x:v>
      </x:c>
      <x:c r="B20" s="18" t="str">
        <x:v>C</x:v>
      </x:c>
      <x:c r="C20" s="18" t="str">
        <x:v>Wu 2025</x:v>
      </x:c>
      <x:c r="D20" s="18" t="str">
        <x:v>Eligibility audit</x:v>
      </x:c>
      <x:c r="E20" s="18"/>
      <x:c r="F20" s="18"/>
      <x:c r="G20" s="18" t="n">
        <x:v>0</x:v>
      </x:c>
      <x:c r="H20" s="18" t="n">
        <x:v>0</x:v>
      </x:c>
      <x:c r="I20" s="18" t="n">
        <x:v>1</x:v>
      </x:c>
      <x:c r="J20" s="18" t="str">
        <x:v>PASS — result-specific mapping</x:v>
      </x:c>
    </x:row>
    <x:row r="21">
      <x:c r="A21" s="18" t="str">
        <x:v>C-006</x:v>
      </x:c>
      <x:c r="B21" s="18" t="str">
        <x:v>C</x:v>
      </x:c>
      <x:c r="C21" s="18" t="str">
        <x:v>Ng 2013</x:v>
      </x:c>
      <x:c r="D21" s="18" t="str">
        <x:v>Eligibility audit</x:v>
      </x:c>
      <x:c r="E21" s="18"/>
      <x:c r="F21" s="18"/>
      <x:c r="G21" s="18" t="n">
        <x:v>0</x:v>
      </x:c>
      <x:c r="H21" s="18" t="n">
        <x:v>0</x:v>
      </x:c>
      <x:c r="I21" s="18" t="n">
        <x:v>1</x:v>
      </x:c>
      <x:c r="J21" s="18" t="str">
        <x:v>PASS — result-specific mapping</x:v>
      </x:c>
    </x:row>
    <x:row r="22">
      <x:c r="A22" s="18" t="str">
        <x:v>C-007</x:v>
      </x:c>
      <x:c r="B22" s="18" t="str">
        <x:v>C</x:v>
      </x:c>
      <x:c r="C22" s="18" t="str">
        <x:v>Luo 2026</x:v>
      </x:c>
      <x:c r="D22" s="18" t="str">
        <x:v>Eligibility audit</x:v>
      </x:c>
      <x:c r="E22" s="18"/>
      <x:c r="F22" s="18"/>
      <x:c r="G22" s="18" t="n">
        <x:v>0</x:v>
      </x:c>
      <x:c r="H22" s="18" t="n">
        <x:v>0</x:v>
      </x:c>
      <x:c r="I22" s="18" t="n">
        <x:v>1</x:v>
      </x:c>
      <x:c r="J22" s="18" t="str">
        <x:v>PASS — result-specific mapping</x:v>
      </x:c>
    </x:row>
    <x:row r="23">
      <x:c r="A23" s="18" t="str">
        <x:v>C-008</x:v>
      </x:c>
      <x:c r="B23" s="18" t="str">
        <x:v>C</x:v>
      </x:c>
      <x:c r="C23" s="18" t="str">
        <x:v>Long 2025</x:v>
      </x:c>
      <x:c r="D23" s="18" t="str">
        <x:v>Eligibility audit</x:v>
      </x:c>
      <x:c r="E23" s="18"/>
      <x:c r="F23" s="18"/>
      <x:c r="G23" s="18" t="n">
        <x:v>0</x:v>
      </x:c>
      <x:c r="H23" s="18" t="n">
        <x:v>0</x:v>
      </x:c>
      <x:c r="I23" s="18" t="n">
        <x:v>1</x:v>
      </x:c>
      <x:c r="J23" s="18" t="str">
        <x:v>PASS — result-specific mapping</x:v>
      </x:c>
    </x:row>
    <x:row r="24">
      <x:c r="A24" s="18" t="str">
        <x:v>C-009</x:v>
      </x:c>
      <x:c r="B24" s="18" t="str">
        <x:v>C</x:v>
      </x:c>
      <x:c r="C24" s="18" t="str">
        <x:v>Liu 2026 (ESD)</x:v>
      </x:c>
      <x:c r="D24" s="18" t="str">
        <x:v>Eligibility audit</x:v>
      </x:c>
      <x:c r="E24" s="18"/>
      <x:c r="F24" s="18"/>
      <x:c r="G24" s="18" t="n">
        <x:v>0</x:v>
      </x:c>
      <x:c r="H24" s="18" t="n">
        <x:v>0</x:v>
      </x:c>
      <x:c r="I24" s="18" t="n">
        <x:v>1</x:v>
      </x:c>
      <x:c r="J24" s="18" t="str">
        <x:v>PASS — result-specific mapping</x:v>
      </x:c>
    </x:row>
    <x:row r="25">
      <x:c r="A25" s="18" t="str">
        <x:v>D-001</x:v>
      </x:c>
      <x:c r="B25" s="18" t="str">
        <x:v>D</x:v>
      </x:c>
      <x:c r="C25" s="18" t="str">
        <x:v>Zheng 2025</x:v>
      </x:c>
      <x:c r="D25" s="18" t="str">
        <x:v>Composite PONV incidence</x:v>
      </x:c>
      <x:c r="E25" s="18"/>
      <x:c r="F25" s="18"/>
      <x:c r="G25" s="18" t="n">
        <x:v>1</x:v>
      </x:c>
      <x:c r="H25" s="18" t="n">
        <x:v>0</x:v>
      </x:c>
      <x:c r="I25" s="18" t="n">
        <x:v>0</x:v>
      </x:c>
      <x:c r="J25" s="18" t="str">
        <x:v>PASS — result-specific mapping</x:v>
      </x:c>
    </x:row>
    <x:row r="26">
      <x:c r="A26" s="18" t="str">
        <x:v>D-002</x:v>
      </x:c>
      <x:c r="B26" s="18" t="str">
        <x:v>D</x:v>
      </x:c>
      <x:c r="C26" s="18" t="str">
        <x:v>Lu 2021</x:v>
      </x:c>
      <x:c r="D26" s="18" t="str">
        <x:v>Composite PONV incidence</x:v>
      </x:c>
      <x:c r="E26" s="18"/>
      <x:c r="F26" s="18"/>
      <x:c r="G26" s="18" t="n">
        <x:v>1</x:v>
      </x:c>
      <x:c r="H26" s="18" t="n">
        <x:v>0</x:v>
      </x:c>
      <x:c r="I26" s="18" t="n">
        <x:v>0</x:v>
      </x:c>
      <x:c r="J26" s="18" t="str">
        <x:v>PASS — result-specific mapping</x:v>
      </x:c>
    </x:row>
    <x:row r="27">
      <x:c r="A27" s="18" t="str">
        <x:v>D-003</x:v>
      </x:c>
      <x:c r="B27" s="18" t="str">
        <x:v>D</x:v>
      </x:c>
      <x:c r="C27" s="18" t="str">
        <x:v>Xiong 2021</x:v>
      </x:c>
      <x:c r="D27" s="18" t="str">
        <x:v>Composite PONV incidence</x:v>
      </x:c>
      <x:c r="E27" s="18"/>
      <x:c r="F27" s="18"/>
      <x:c r="G27" s="18" t="n">
        <x:v>1</x:v>
      </x:c>
      <x:c r="H27" s="18" t="n">
        <x:v>0</x:v>
      </x:c>
      <x:c r="I27" s="18" t="n">
        <x:v>0</x:v>
      </x:c>
      <x:c r="J27" s="18" t="str">
        <x:v>PASS — result-specific mapping</x:v>
      </x:c>
    </x:row>
    <x:row r="28">
      <x:c r="A28" s="18" t="str">
        <x:v>D-004</x:v>
      </x:c>
      <x:c r="B28" s="18" t="str">
        <x:v>D</x:v>
      </x:c>
      <x:c r="C28" s="18" t="str">
        <x:v>Xing 2022</x:v>
      </x:c>
      <x:c r="D28" s="18" t="str">
        <x:v>Composite PONV incidence</x:v>
      </x:c>
      <x:c r="E28" s="18"/>
      <x:c r="F28" s="18"/>
      <x:c r="G28" s="18" t="n">
        <x:v>1</x:v>
      </x:c>
      <x:c r="H28" s="18" t="n">
        <x:v>0</x:v>
      </x:c>
      <x:c r="I28" s="18" t="n">
        <x:v>0</x:v>
      </x:c>
      <x:c r="J28" s="18" t="str">
        <x:v>PASS — result-specific mapping</x:v>
      </x:c>
    </x:row>
    <x:row r="29">
      <x:c r="A29" s="18" t="str">
        <x:v>D-005</x:v>
      </x:c>
      <x:c r="B29" s="18" t="str">
        <x:v>D</x:v>
      </x:c>
      <x:c r="C29" s="18" t="str">
        <x:v>Zhou 2025</x:v>
      </x:c>
      <x:c r="D29" s="18" t="str">
        <x:v>Composite PONV incidence</x:v>
      </x:c>
      <x:c r="E29" s="18" t="str">
        <x:v>P2</x:v>
      </x:c>
      <x:c r="F29" s="18"/>
      <x:c r="G29" s="18" t="n">
        <x:v>0</x:v>
      </x:c>
      <x:c r="H29" s="18" t="n">
        <x:v>1</x:v>
      </x:c>
      <x:c r="I29" s="18" t="n">
        <x:v>0</x:v>
      </x:c>
      <x:c r="J29" s="18" t="str">
        <x:v>PASS — result-specific mapping</x:v>
      </x:c>
    </x:row>
    <x:row r="30">
      <x:c r="A30" s="18" t="str">
        <x:v>D-006</x:v>
      </x:c>
      <x:c r="B30" s="18" t="str">
        <x:v>D</x:v>
      </x:c>
      <x:c r="C30" s="18" t="str">
        <x:v>Yang 2024</x:v>
      </x:c>
      <x:c r="D30" s="18" t="str">
        <x:v>Nausea incidence</x:v>
      </x:c>
      <x:c r="E30" s="18"/>
      <x:c r="F30" s="18"/>
      <x:c r="G30" s="18" t="n">
        <x:v>1</x:v>
      </x:c>
      <x:c r="H30" s="18" t="n">
        <x:v>0</x:v>
      </x:c>
      <x:c r="I30" s="18" t="n">
        <x:v>0</x:v>
      </x:c>
      <x:c r="J30" s="18" t="str">
        <x:v>PASS — result-specific mapping</x:v>
      </x:c>
    </x:row>
    <x:row r="31">
      <x:c r="A31" s="18" t="str">
        <x:v>D-007</x:v>
      </x:c>
      <x:c r="B31" s="18" t="str">
        <x:v>D</x:v>
      </x:c>
      <x:c r="C31" s="18" t="str">
        <x:v>Ma 2026</x:v>
      </x:c>
      <x:c r="D31" s="18" t="str">
        <x:v>Nausea incidence</x:v>
      </x:c>
      <x:c r="E31" s="18"/>
      <x:c r="F31" s="18"/>
      <x:c r="G31" s="18" t="n">
        <x:v>1</x:v>
      </x:c>
      <x:c r="H31" s="18" t="n">
        <x:v>0</x:v>
      </x:c>
      <x:c r="I31" s="18" t="n">
        <x:v>0</x:v>
      </x:c>
      <x:c r="J31" s="18" t="str">
        <x:v>PASS — result-specific mapping</x:v>
      </x:c>
    </x:row>
    <x:row r="32">
      <x:c r="A32" s="18" t="str">
        <x:v>D-008</x:v>
      </x:c>
      <x:c r="B32" s="18" t="str">
        <x:v>D</x:v>
      </x:c>
      <x:c r="C32" s="18" t="str">
        <x:v>Luo 2026</x:v>
      </x:c>
      <x:c r="D32" s="18" t="str">
        <x:v>Nausea incidence</x:v>
      </x:c>
      <x:c r="E32" s="18"/>
      <x:c r="F32" s="18"/>
      <x:c r="G32" s="18" t="n">
        <x:v>1</x:v>
      </x:c>
      <x:c r="H32" s="18" t="n">
        <x:v>0</x:v>
      </x:c>
      <x:c r="I32" s="18" t="n">
        <x:v>0</x:v>
      </x:c>
      <x:c r="J32" s="18" t="str">
        <x:v>PASS — result-specific mapping</x:v>
      </x:c>
    </x:row>
    <x:row r="33">
      <x:c r="A33" s="18" t="str">
        <x:v>D-009</x:v>
      </x:c>
      <x:c r="B33" s="18" t="str">
        <x:v>D</x:v>
      </x:c>
      <x:c r="C33" s="18" t="str">
        <x:v>Yang 2024</x:v>
      </x:c>
      <x:c r="D33" s="18" t="str">
        <x:v>Vomiting incidence</x:v>
      </x:c>
      <x:c r="E33" s="18"/>
      <x:c r="F33" s="18"/>
      <x:c r="G33" s="18" t="n">
        <x:v>1</x:v>
      </x:c>
      <x:c r="H33" s="18" t="n">
        <x:v>0</x:v>
      </x:c>
      <x:c r="I33" s="18" t="n">
        <x:v>0</x:v>
      </x:c>
      <x:c r="J33" s="18" t="str">
        <x:v>PASS — result-specific mapping</x:v>
      </x:c>
    </x:row>
    <x:row r="34">
      <x:c r="A34" s="18" t="str">
        <x:v>D-010</x:v>
      </x:c>
      <x:c r="B34" s="18" t="str">
        <x:v>D</x:v>
      </x:c>
      <x:c r="C34" s="18" t="str">
        <x:v>Ma 2026</x:v>
      </x:c>
      <x:c r="D34" s="18" t="str">
        <x:v>Vomiting incidence</x:v>
      </x:c>
      <x:c r="E34" s="18"/>
      <x:c r="F34" s="18"/>
      <x:c r="G34" s="18" t="n">
        <x:v>1</x:v>
      </x:c>
      <x:c r="H34" s="18" t="n">
        <x:v>0</x:v>
      </x:c>
      <x:c r="I34" s="18" t="n">
        <x:v>0</x:v>
      </x:c>
      <x:c r="J34" s="18" t="str">
        <x:v>PASS — result-specific mapping</x:v>
      </x:c>
    </x:row>
    <x:row r="35">
      <x:c r="A35" s="18" t="str">
        <x:v>D-011</x:v>
      </x:c>
      <x:c r="B35" s="18" t="str">
        <x:v>D</x:v>
      </x:c>
      <x:c r="C35" s="18" t="str">
        <x:v>Luo 2026</x:v>
      </x:c>
      <x:c r="D35" s="18" t="str">
        <x:v>Vomiting incidence</x:v>
      </x:c>
      <x:c r="E35" s="18"/>
      <x:c r="F35" s="18"/>
      <x:c r="G35" s="18" t="n">
        <x:v>1</x:v>
      </x:c>
      <x:c r="H35" s="18" t="n">
        <x:v>0</x:v>
      </x:c>
      <x:c r="I35" s="18" t="n">
        <x:v>0</x:v>
      </x:c>
      <x:c r="J35" s="18" t="str">
        <x:v>PASS — result-specific mapping</x:v>
      </x:c>
    </x:row>
    <x:row r="36">
      <x:c r="A36" s="18" t="str">
        <x:v>D-012</x:v>
      </x:c>
      <x:c r="B36" s="18" t="str">
        <x:v>D</x:v>
      </x:c>
      <x:c r="C36" s="18" t="str">
        <x:v>Zhu 2022</x:v>
      </x:c>
      <x:c r="D36" s="18" t="str">
        <x:v>Eligibility audit</x:v>
      </x:c>
      <x:c r="E36" s="18"/>
      <x:c r="F36" s="18"/>
      <x:c r="G36" s="18" t="n">
        <x:v>0</x:v>
      </x:c>
      <x:c r="H36" s="18" t="n">
        <x:v>0</x:v>
      </x:c>
      <x:c r="I36" s="18" t="n">
        <x:v>1</x:v>
      </x:c>
      <x:c r="J36" s="18" t="str">
        <x:v>PASS — result-specific mapping</x:v>
      </x:c>
    </x:row>
    <x:row r="37">
      <x:c r="A37" s="18" t="str">
        <x:v>D-013</x:v>
      </x:c>
      <x:c r="B37" s="18" t="str">
        <x:v>D</x:v>
      </x:c>
      <x:c r="C37" s="18" t="str">
        <x:v>Zhang 2014</x:v>
      </x:c>
      <x:c r="D37" s="18" t="str">
        <x:v>Eligibility audit</x:v>
      </x:c>
      <x:c r="E37" s="18"/>
      <x:c r="F37" s="18"/>
      <x:c r="G37" s="18" t="n">
        <x:v>0</x:v>
      </x:c>
      <x:c r="H37" s="18" t="n">
        <x:v>0</x:v>
      </x:c>
      <x:c r="I37" s="18" t="n">
        <x:v>1</x:v>
      </x:c>
      <x:c r="J37" s="18" t="str">
        <x:v>PASS — result-specific mapping</x:v>
      </x:c>
    </x:row>
    <x:row r="38">
      <x:c r="A38" s="18" t="str">
        <x:v>D-014</x:v>
      </x:c>
      <x:c r="B38" s="18" t="str">
        <x:v>D</x:v>
      </x:c>
      <x:c r="C38" s="18" t="str">
        <x:v>Wang 2024</x:v>
      </x:c>
      <x:c r="D38" s="18" t="str">
        <x:v>Eligibility audit</x:v>
      </x:c>
      <x:c r="E38" s="18" t="str">
        <x:v>P3</x:v>
      </x:c>
      <x:c r="F38" s="18"/>
      <x:c r="G38" s="18" t="n">
        <x:v>0</x:v>
      </x:c>
      <x:c r="H38" s="18" t="n">
        <x:v>0</x:v>
      </x:c>
      <x:c r="I38" s="18" t="n">
        <x:v>1</x:v>
      </x:c>
      <x:c r="J38" s="18" t="str">
        <x:v>PASS — result-specific mapping</x:v>
      </x:c>
    </x:row>
    <x:row r="39">
      <x:c r="A39" s="18" t="str">
        <x:v>D-015</x:v>
      </x:c>
      <x:c r="B39" s="18" t="str">
        <x:v>D</x:v>
      </x:c>
      <x:c r="C39" s="18" t="str">
        <x:v>Long 2025</x:v>
      </x:c>
      <x:c r="D39" s="18" t="str">
        <x:v>Eligibility audit</x:v>
      </x:c>
      <x:c r="E39" s="18" t="str">
        <x:v>P3</x:v>
      </x:c>
      <x:c r="F39" s="18"/>
      <x:c r="G39" s="18" t="n">
        <x:v>0</x:v>
      </x:c>
      <x:c r="H39" s="18" t="n">
        <x:v>0</x:v>
      </x:c>
      <x:c r="I39" s="18" t="n">
        <x:v>1</x:v>
      </x:c>
      <x:c r="J39" s="18" t="str">
        <x:v>PASS — result-specific mapping</x:v>
      </x:c>
    </x:row>
    <x:row r="40">
      <x:c r="A40" s="18" t="str">
        <x:v>D-016</x:v>
      </x:c>
      <x:c r="B40" s="18" t="str">
        <x:v>D</x:v>
      </x:c>
      <x:c r="C40" s="18" t="str">
        <x:v>Liu 2026 (ESD)</x:v>
      </x:c>
      <x:c r="D40" s="18" t="str">
        <x:v>Eligibility audit</x:v>
      </x:c>
      <x:c r="E40" s="18" t="str">
        <x:v>P3</x:v>
      </x:c>
      <x:c r="F40" s="18"/>
      <x:c r="G40" s="18" t="n">
        <x:v>0</x:v>
      </x:c>
      <x:c r="H40" s="18" t="n">
        <x:v>0</x:v>
      </x:c>
      <x:c r="I40" s="18" t="n">
        <x:v>1</x:v>
      </x:c>
      <x:c r="J40" s="18" t="str">
        <x:v>PASS — result-specific mapping</x:v>
      </x:c>
    </x:row>
    <x:row r="41">
      <x:c r="A41" s="18" t="str">
        <x:v>E-001</x:v>
      </x:c>
      <x:c r="B41" s="18" t="str">
        <x:v>E</x:v>
      </x:c>
      <x:c r="C41" s="18" t="str">
        <x:v>Zhou 2025</x:v>
      </x:c>
      <x:c r="D41" s="18" t="str">
        <x:v>Time to first postoperative flatus</x:v>
      </x:c>
      <x:c r="E41" s="18" t="str">
        <x:v>P2</x:v>
      </x:c>
      <x:c r="F41" s="18"/>
      <x:c r="G41" s="18" t="n">
        <x:v>1</x:v>
      </x:c>
      <x:c r="H41" s="18" t="n">
        <x:v>0</x:v>
      </x:c>
      <x:c r="I41" s="18" t="n">
        <x:v>0</x:v>
      </x:c>
      <x:c r="J41" s="18" t="str">
        <x:v>PASS — result-specific mapping</x:v>
      </x:c>
    </x:row>
    <x:row r="42">
      <x:c r="A42" s="18" t="str">
        <x:v>E-002</x:v>
      </x:c>
      <x:c r="B42" s="18" t="str">
        <x:v>E</x:v>
      </x:c>
      <x:c r="C42" s="18" t="str">
        <x:v>Yang 2020</x:v>
      </x:c>
      <x:c r="D42" s="18" t="str">
        <x:v>Time to first postoperative flatus</x:v>
      </x:c>
      <x:c r="E42" s="18" t="str">
        <x:v>P2</x:v>
      </x:c>
      <x:c r="F42" s="18"/>
      <x:c r="G42" s="18" t="n">
        <x:v>1</x:v>
      </x:c>
      <x:c r="H42" s="18" t="n">
        <x:v>0</x:v>
      </x:c>
      <x:c r="I42" s="18" t="n">
        <x:v>0</x:v>
      </x:c>
      <x:c r="J42" s="18" t="str">
        <x:v>PASS — result-specific mapping</x:v>
      </x:c>
    </x:row>
    <x:row r="43">
      <x:c r="A43" s="18" t="str">
        <x:v>E-003</x:v>
      </x:c>
      <x:c r="B43" s="18" t="str">
        <x:v>E</x:v>
      </x:c>
      <x:c r="C43" s="18" t="str">
        <x:v>Yang 2024</x:v>
      </x:c>
      <x:c r="D43" s="18" t="str">
        <x:v>Time to first postoperative flatus</x:v>
      </x:c>
      <x:c r="E43" s="18"/>
      <x:c r="F43" s="18"/>
      <x:c r="G43" s="18" t="n">
        <x:v>1</x:v>
      </x:c>
      <x:c r="H43" s="18" t="n">
        <x:v>0</x:v>
      </x:c>
      <x:c r="I43" s="18" t="n">
        <x:v>0</x:v>
      </x:c>
      <x:c r="J43" s="18" t="str">
        <x:v>PASS — result-specific mapping</x:v>
      </x:c>
    </x:row>
    <x:row r="44">
      <x:c r="A44" s="18" t="str">
        <x:v>E-004</x:v>
      </x:c>
      <x:c r="B44" s="18" t="str">
        <x:v>E</x:v>
      </x:c>
      <x:c r="C44" s="18" t="str">
        <x:v>Xing 2022</x:v>
      </x:c>
      <x:c r="D44" s="18" t="str">
        <x:v>Time to first postoperative flatus</x:v>
      </x:c>
      <x:c r="E44" s="18" t="str">
        <x:v>P2</x:v>
      </x:c>
      <x:c r="F44" s="18"/>
      <x:c r="G44" s="18" t="n">
        <x:v>1</x:v>
      </x:c>
      <x:c r="H44" s="18" t="n">
        <x:v>0</x:v>
      </x:c>
      <x:c r="I44" s="18" t="n">
        <x:v>0</x:v>
      </x:c>
      <x:c r="J44" s="18" t="str">
        <x:v>PASS — result-specific mapping</x:v>
      </x:c>
    </x:row>
    <x:row r="45">
      <x:c r="A45" s="18" t="str">
        <x:v>E-005</x:v>
      </x:c>
      <x:c r="B45" s="18" t="str">
        <x:v>E</x:v>
      </x:c>
      <x:c r="C45" s="18" t="str">
        <x:v>Wang 2023</x:v>
      </x:c>
      <x:c r="D45" s="18" t="str">
        <x:v>Time to first postoperative flatus</x:v>
      </x:c>
      <x:c r="E45" s="18"/>
      <x:c r="F45" s="18" t="str">
        <x:v>RESOLVED_BY_SCREENING_EXCLUSION</x:v>
      </x:c>
      <x:c r="G45" s="18" t="n">
        <x:v>0</x:v>
      </x:c>
      <x:c r="H45" s="18" t="n">
        <x:v>0</x:v>
      </x:c>
      <x:c r="I45" s="18" t="n">
        <x:v>0</x:v>
      </x:c>
      <x:c r="J45" s="18" t="str">
        <x:v>PASS — excluded for wrong outcomes; no unresolved priority</x:v>
      </x:c>
    </x:row>
    <x:row r="46">
      <x:c r="A46" s="18" t="str">
        <x:v>E-006</x:v>
      </x:c>
      <x:c r="B46" s="18" t="str">
        <x:v>E</x:v>
      </x:c>
      <x:c r="C46" s="18" t="str">
        <x:v>Lu 2022</x:v>
      </x:c>
      <x:c r="D46" s="18" t="str">
        <x:v>Time to first postoperative flatus</x:v>
      </x:c>
      <x:c r="E46" s="18" t="str">
        <x:v>P2</x:v>
      </x:c>
      <x:c r="F46" s="18"/>
      <x:c r="G46" s="18" t="n">
        <x:v>1</x:v>
      </x:c>
      <x:c r="H46" s="18" t="n">
        <x:v>0</x:v>
      </x:c>
      <x:c r="I46" s="18" t="n">
        <x:v>0</x:v>
      </x:c>
      <x:c r="J46" s="18" t="str">
        <x:v>PASS — result-specific mapping</x:v>
      </x:c>
    </x:row>
    <x:row r="47">
      <x:c r="A47" s="18" t="str">
        <x:v>E-007</x:v>
      </x:c>
      <x:c r="B47" s="18" t="str">
        <x:v>E</x:v>
      </x:c>
      <x:c r="C47" s="18" t="str">
        <x:v>Ng 2013</x:v>
      </x:c>
      <x:c r="D47" s="18" t="str">
        <x:v>Time to first postoperative flatus</x:v>
      </x:c>
      <x:c r="E47" s="18" t="str">
        <x:v>P2</x:v>
      </x:c>
      <x:c r="F47" s="18"/>
      <x:c r="G47" s="18" t="n">
        <x:v>1</x:v>
      </x:c>
      <x:c r="H47" s="18" t="n">
        <x:v>0</x:v>
      </x:c>
      <x:c r="I47" s="18" t="n">
        <x:v>0</x:v>
      </x:c>
      <x:c r="J47" s="18" t="str">
        <x:v>PASS — result-specific mapping</x:v>
      </x:c>
    </x:row>
    <x:row r="48">
      <x:c r="A48" s="18" t="str">
        <x:v>F-intra-001</x:v>
      </x:c>
      <x:c r="B48" s="18" t="str">
        <x:v>F-intra</x:v>
      </x:c>
      <x:c r="C48" s="18" t="str">
        <x:v>Liu 2026 (burn)</x:v>
      </x:c>
      <x:c r="D48" s="18" t="str">
        <x:v>remifentanil</x:v>
      </x:c>
      <x:c r="E48" s="18" t="str">
        <x:v>P1</x:v>
      </x:c>
      <x:c r="F48" s="18" t="str">
        <x:v>RESOLVED_BY_SOURCE_HIERARCHY</x:v>
      </x:c>
      <x:c r="G48" s="18" t="n">
        <x:v>0</x:v>
      </x:c>
      <x:c r="H48" s="18" t="n">
        <x:v>0</x:v>
      </x:c>
      <x:c r="I48" s="18" t="n">
        <x:v>1</x:v>
      </x:c>
      <x:c r="J48" s="18" t="str">
        <x:v>PASS — result-specific mapping</x:v>
      </x:c>
    </x:row>
    <x:row r="49">
      <x:c r="A49" s="18" t="str">
        <x:v>F-intra-002</x:v>
      </x:c>
      <x:c r="B49" s="18" t="str">
        <x:v>F-intra</x:v>
      </x:c>
      <x:c r="C49" s="18" t="str">
        <x:v>Hou 2023</x:v>
      </x:c>
      <x:c r="D49" s="18" t="str">
        <x:v>remifentanil</x:v>
      </x:c>
      <x:c r="E49" s="18"/>
      <x:c r="F49" s="18"/>
      <x:c r="G49" s="18" t="n">
        <x:v>1</x:v>
      </x:c>
      <x:c r="H49" s="18" t="n">
        <x:v>0</x:v>
      </x:c>
      <x:c r="I49" s="18" t="n">
        <x:v>0</x:v>
      </x:c>
      <x:c r="J49" s="18" t="str">
        <x:v>PASS — result-specific mapping</x:v>
      </x:c>
    </x:row>
    <x:row r="50">
      <x:c r="A50" s="18" t="str">
        <x:v>F-intra-003</x:v>
      </x:c>
      <x:c r="B50" s="18" t="str">
        <x:v>F-intra</x:v>
      </x:c>
      <x:c r="C50" s="18" t="str">
        <x:v>Zhang 2014</x:v>
      </x:c>
      <x:c r="D50" s="18" t="str">
        <x:v>remifentanil</x:v>
      </x:c>
      <x:c r="E50" s="18" t="str">
        <x:v>P3</x:v>
      </x:c>
      <x:c r="F50" s="18"/>
      <x:c r="G50" s="18" t="n">
        <x:v>1</x:v>
      </x:c>
      <x:c r="H50" s="18" t="n">
        <x:v>0</x:v>
      </x:c>
      <x:c r="I50" s="18" t="n">
        <x:v>0</x:v>
      </x:c>
      <x:c r="J50" s="18" t="str">
        <x:v>PASS — result-specific mapping</x:v>
      </x:c>
    </x:row>
    <x:row r="51">
      <x:c r="A51" s="18" t="str">
        <x:v>F-intra-004</x:v>
      </x:c>
      <x:c r="B51" s="18" t="str">
        <x:v>F-intra</x:v>
      </x:c>
      <x:c r="C51" s="18" t="str">
        <x:v>Huang 2017</x:v>
      </x:c>
      <x:c r="D51" s="18" t="str">
        <x:v>remifentanil-equivalent opioid</x:v>
      </x:c>
      <x:c r="E51" s="18" t="str">
        <x:v>P2</x:v>
      </x:c>
      <x:c r="F51" s="18"/>
      <x:c r="G51" s="18" t="n">
        <x:v>0</x:v>
      </x:c>
      <x:c r="H51" s="18" t="n">
        <x:v>1</x:v>
      </x:c>
      <x:c r="I51" s="18" t="n">
        <x:v>0</x:v>
      </x:c>
      <x:c r="J51" s="18" t="str">
        <x:v>PASS — result-specific mapping</x:v>
      </x:c>
    </x:row>
    <x:row r="52">
      <x:c r="A52" s="18" t="str">
        <x:v>F-intra-005</x:v>
      </x:c>
      <x:c r="B52" s="18" t="str">
        <x:v>F-intra</x:v>
      </x:c>
      <x:c r="C52" s="18" t="str">
        <x:v>Sim 2002</x:v>
      </x:c>
      <x:c r="D52" s="18" t="str">
        <x:v>alfentanil</x:v>
      </x:c>
      <x:c r="E52" s="18"/>
      <x:c r="F52" s="18"/>
      <x:c r="G52" s="18" t="n">
        <x:v>1</x:v>
      </x:c>
      <x:c r="H52" s="18" t="n">
        <x:v>0</x:v>
      </x:c>
      <x:c r="I52" s="18" t="n">
        <x:v>0</x:v>
      </x:c>
      <x:c r="J52" s="18" t="str">
        <x:v>PASS — result-specific mapping</x:v>
      </x:c>
    </x:row>
    <x:row r="53">
      <x:c r="A53" s="18" t="str">
        <x:v>F-intra-006</x:v>
      </x:c>
      <x:c r="B53" s="18" t="str">
        <x:v>F-intra</x:v>
      </x:c>
      <x:c r="C53" s="18" t="str">
        <x:v>Wu 2022</x:v>
      </x:c>
      <x:c r="D53" s="18" t="str">
        <x:v>remifentanil</x:v>
      </x:c>
      <x:c r="E53" s="18"/>
      <x:c r="F53" s="18"/>
      <x:c r="G53" s="18" t="n">
        <x:v>0</x:v>
      </x:c>
      <x:c r="H53" s="18" t="n">
        <x:v>1</x:v>
      </x:c>
      <x:c r="I53" s="18" t="n">
        <x:v>0</x:v>
      </x:c>
      <x:c r="J53" s="18" t="str">
        <x:v>PASS — result-specific mapping</x:v>
      </x:c>
    </x:row>
    <x:row r="54">
      <x:c r="A54" s="18" t="str">
        <x:v>F-intra-007</x:v>
      </x:c>
      <x:c r="B54" s="18" t="str">
        <x:v>F-intra</x:v>
      </x:c>
      <x:c r="C54" s="18" t="str">
        <x:v>Xing 2022</x:v>
      </x:c>
      <x:c r="D54" s="18" t="str">
        <x:v>remifentanil</x:v>
      </x:c>
      <x:c r="E54" s="18"/>
      <x:c r="F54" s="18"/>
      <x:c r="G54" s="18" t="n">
        <x:v>1</x:v>
      </x:c>
      <x:c r="H54" s="18" t="n">
        <x:v>0</x:v>
      </x:c>
      <x:c r="I54" s="18" t="n">
        <x:v>0</x:v>
      </x:c>
      <x:c r="J54" s="18" t="str">
        <x:v>PASS — result-specific mapping</x:v>
      </x:c>
    </x:row>
    <x:row r="55">
      <x:c r="A55" s="18" t="str">
        <x:v>F-intra-008</x:v>
      </x:c>
      <x:c r="B55" s="18" t="str">
        <x:v>F-intra</x:v>
      </x:c>
      <x:c r="C55" s="18" t="str">
        <x:v>Lu 2021</x:v>
      </x:c>
      <x:c r="D55" s="18" t="str">
        <x:v>remifentanil</x:v>
      </x:c>
      <x:c r="E55" s="18"/>
      <x:c r="F55" s="18"/>
      <x:c r="G55" s="18" t="n">
        <x:v>1</x:v>
      </x:c>
      <x:c r="H55" s="18" t="n">
        <x:v>0</x:v>
      </x:c>
      <x:c r="I55" s="18" t="n">
        <x:v>0</x:v>
      </x:c>
      <x:c r="J55" s="18" t="str">
        <x:v>PASS — result-specific mapping</x:v>
      </x:c>
    </x:row>
    <x:row r="56">
      <x:c r="A56" s="18" t="str">
        <x:v>F-intra-009</x:v>
      </x:c>
      <x:c r="B56" s="18" t="str">
        <x:v>F-intra</x:v>
      </x:c>
      <x:c r="C56" s="18" t="str">
        <x:v>Zheng 2025</x:v>
      </x:c>
      <x:c r="D56" s="18" t="str">
        <x:v>remifentanil</x:v>
      </x:c>
      <x:c r="E56" s="18"/>
      <x:c r="F56" s="18"/>
      <x:c r="G56" s="18" t="n">
        <x:v>0</x:v>
      </x:c>
      <x:c r="H56" s="18" t="n">
        <x:v>1</x:v>
      </x:c>
      <x:c r="I56" s="18" t="n">
        <x:v>0</x:v>
      </x:c>
      <x:c r="J56" s="18" t="str">
        <x:v>PASS — result-specific mapping</x:v>
      </x:c>
    </x:row>
    <x:row r="57">
      <x:c r="A57" s="18" t="str">
        <x:v>F-intra-010</x:v>
      </x:c>
      <x:c r="B57" s="18" t="str">
        <x:v>F-intra</x:v>
      </x:c>
      <x:c r="C57" s="18" t="str">
        <x:v>Guo 2023</x:v>
      </x:c>
      <x:c r="D57" s="18" t="str">
        <x:v>remifentanil</x:v>
      </x:c>
      <x:c r="E57" s="18"/>
      <x:c r="F57" s="18"/>
      <x:c r="G57" s="18" t="n">
        <x:v>0</x:v>
      </x:c>
      <x:c r="H57" s="18" t="n">
        <x:v>1</x:v>
      </x:c>
      <x:c r="I57" s="18" t="n">
        <x:v>0</x:v>
      </x:c>
      <x:c r="J57" s="18" t="str">
        <x:v>PASS — result-specific mapping</x:v>
      </x:c>
    </x:row>
    <x:row r="58">
      <x:c r="A58" s="18" t="str">
        <x:v>F-intra-011</x:v>
      </x:c>
      <x:c r="B58" s="18" t="str">
        <x:v>F-intra</x:v>
      </x:c>
      <x:c r="C58" s="18" t="str">
        <x:v>Yang 2024</x:v>
      </x:c>
      <x:c r="D58" s="18" t="str">
        <x:v>remifentanil</x:v>
      </x:c>
      <x:c r="E58" s="18"/>
      <x:c r="F58" s="18"/>
      <x:c r="G58" s="18" t="n">
        <x:v>1</x:v>
      </x:c>
      <x:c r="H58" s="18" t="n">
        <x:v>0</x:v>
      </x:c>
      <x:c r="I58" s="18" t="n">
        <x:v>0</x:v>
      </x:c>
      <x:c r="J58" s="18" t="str">
        <x:v>PASS — result-specific mapping</x:v>
      </x:c>
    </x:row>
    <x:row r="59">
      <x:c r="A59" s="18" t="str">
        <x:v>F-intra-012</x:v>
      </x:c>
      <x:c r="B59" s="18" t="str">
        <x:v>F-intra</x:v>
      </x:c>
      <x:c r="C59" s="18" t="str">
        <x:v>Liang 2021</x:v>
      </x:c>
      <x:c r="D59" s="18" t="str">
        <x:v>remifentanil</x:v>
      </x:c>
      <x:c r="E59" s="18"/>
      <x:c r="F59" s="18"/>
      <x:c r="G59" s="18" t="n">
        <x:v>0</x:v>
      </x:c>
      <x:c r="H59" s="18" t="n">
        <x:v>1</x:v>
      </x:c>
      <x:c r="I59" s="18" t="n">
        <x:v>0</x:v>
      </x:c>
      <x:c r="J59" s="18" t="str">
        <x:v>PASS — result-specific mapping</x:v>
      </x:c>
    </x:row>
    <x:row r="60">
      <x:c r="A60" s="18" t="str">
        <x:v>F-intra-013</x:v>
      </x:c>
      <x:c r="B60" s="18" t="str">
        <x:v>F-intra</x:v>
      </x:c>
      <x:c r="C60" s="18" t="str">
        <x:v>Pan 2023</x:v>
      </x:c>
      <x:c r="D60" s="18" t="str">
        <x:v>remifentanil</x:v>
      </x:c>
      <x:c r="E60" s="18"/>
      <x:c r="F60" s="18"/>
      <x:c r="G60" s="18" t="n">
        <x:v>0</x:v>
      </x:c>
      <x:c r="H60" s="18" t="n">
        <x:v>1</x:v>
      </x:c>
      <x:c r="I60" s="18" t="n">
        <x:v>0</x:v>
      </x:c>
      <x:c r="J60" s="18" t="str">
        <x:v>PASS — result-specific mapping</x:v>
      </x:c>
    </x:row>
    <x:row r="61">
      <x:c r="A61" s="18" t="str">
        <x:v>F-exposure-001</x:v>
      </x:c>
      <x:c r="B61" s="18" t="str">
        <x:v>F-exposure</x:v>
      </x:c>
      <x:c r="C61" s="18" t="str">
        <x:v>Li 2022</x:v>
      </x:c>
      <x:c r="D61" s="18" t="str">
        <x:v>Fixed-rate remifentanil exposure</x:v>
      </x:c>
      <x:c r="E61" s="18"/>
      <x:c r="F61" s="18"/>
      <x:c r="G61" s="18" t="n">
        <x:v>0</x:v>
      </x:c>
      <x:c r="H61" s="18" t="n">
        <x:v>0</x:v>
      </x:c>
      <x:c r="I61" s="18" t="n">
        <x:v>1</x:v>
      </x:c>
      <x:c r="J61" s="18" t="str">
        <x:v>PASS — result-specific mapping</x:v>
      </x:c>
    </x:row>
    <x:row r="62">
      <x:c r="A62" s="18" t="str">
        <x:v>F-exposure-002</x:v>
      </x:c>
      <x:c r="B62" s="18" t="str">
        <x:v>F-exposure</x:v>
      </x:c>
      <x:c r="C62" s="18" t="str">
        <x:v>Chen 2015 (Hyperalgesia)</x:v>
      </x:c>
      <x:c r="D62" s="18" t="str">
        <x:v>Fixed-target remifentanil exposure</x:v>
      </x:c>
      <x:c r="E62" s="18"/>
      <x:c r="F62" s="18"/>
      <x:c r="G62" s="18" t="n">
        <x:v>0</x:v>
      </x:c>
      <x:c r="H62" s="18" t="n">
        <x:v>0</x:v>
      </x:c>
      <x:c r="I62" s="18" t="n">
        <x:v>1</x:v>
      </x:c>
      <x:c r="J62" s="18" t="str">
        <x:v>PASS — result-specific mapping</x:v>
      </x:c>
    </x:row>
    <x:row r="63">
      <x:c r="A63" s="18" t="str">
        <x:v>F-exposure-003</x:v>
      </x:c>
      <x:c r="B63" s="18" t="str">
        <x:v>F-exposure</x:v>
      </x:c>
      <x:c r="C63" s="18" t="str">
        <x:v>Xie 2014</x:v>
      </x:c>
      <x:c r="D63" s="18" t="str">
        <x:v>Intraoperative remifentanil exposure</x:v>
      </x:c>
      <x:c r="E63" s="18"/>
      <x:c r="F63" s="18"/>
      <x:c r="G63" s="18" t="n">
        <x:v>0</x:v>
      </x:c>
      <x:c r="H63" s="18" t="n">
        <x:v>1</x:v>
      </x:c>
      <x:c r="I63" s="18" t="n">
        <x:v>0</x:v>
      </x:c>
      <x:c r="J63" s="18" t="str">
        <x:v>PASS — result-specific mapping</x:v>
      </x:c>
    </x:row>
    <x:row r="64">
      <x:c r="A64" s="18" t="str">
        <x:v>F-exposure-004</x:v>
      </x:c>
      <x:c r="B64" s="18" t="str">
        <x:v>F-exposure</x:v>
      </x:c>
      <x:c r="C64" s="18" t="str">
        <x:v>Ntritsou 2014</x:v>
      </x:c>
      <x:c r="D64" s="18" t="str">
        <x:v>Intraoperative remifentanil exposure</x:v>
      </x:c>
      <x:c r="E64" s="18"/>
      <x:c r="F64" s="18"/>
      <x:c r="G64" s="18" t="n">
        <x:v>0</x:v>
      </x:c>
      <x:c r="H64" s="18" t="n">
        <x:v>1</x:v>
      </x:c>
      <x:c r="I64" s="18" t="n">
        <x:v>0</x:v>
      </x:c>
      <x:c r="J64" s="18" t="str">
        <x:v>PASS — result-specific mapping</x:v>
      </x:c>
    </x:row>
    <x:row r="65">
      <x:c r="A65" s="18" t="str">
        <x:v>F-exposure-005</x:v>
      </x:c>
      <x:c r="B65" s="18" t="str">
        <x:v>F-exposure</x:v>
      </x:c>
      <x:c r="C65" s="18" t="str">
        <x:v>Sun 2017</x:v>
      </x:c>
      <x:c r="D65" s="18" t="str">
        <x:v>Author-defined morphine-equivalent intraoperative opioid</x:v>
      </x:c>
      <x:c r="E65" s="18"/>
      <x:c r="F65" s="18"/>
      <x:c r="G65" s="18" t="n">
        <x:v>0</x:v>
      </x:c>
      <x:c r="H65" s="18" t="n">
        <x:v>1</x:v>
      </x:c>
      <x:c r="I65" s="18" t="n">
        <x:v>0</x:v>
      </x:c>
      <x:c r="J65" s="18" t="str">
        <x:v>PASS — result-specific mapping</x:v>
      </x:c>
    </x:row>
    <x:row r="66">
      <x:c r="A66" s="18" t="str">
        <x:v>F-exposure-006</x:v>
      </x:c>
      <x:c r="B66" s="18" t="str">
        <x:v>F-exposure</x:v>
      </x:c>
      <x:c r="C66" s="18" t="str">
        <x:v>Jiang 2026</x:v>
      </x:c>
      <x:c r="D66" s="18" t="str">
        <x:v>Intraoperative remifentanil + sufentanil exposure</x:v>
      </x:c>
      <x:c r="E66" s="18" t="str">
        <x:v>P1</x:v>
      </x:c>
      <x:c r="F66" s="18" t="str">
        <x:v>RESOLVED_BY_STRATIFICATION</x:v>
      </x:c>
      <x:c r="G66" s="18" t="n">
        <x:v>0</x:v>
      </x:c>
      <x:c r="H66" s="18" t="n">
        <x:v>1</x:v>
      </x:c>
      <x:c r="I66" s="18" t="n">
        <x:v>0</x:v>
      </x:c>
      <x:c r="J66" s="18" t="str">
        <x:v>PASS — result-specific mapping</x:v>
      </x:c>
    </x:row>
    <x:row r="67">
      <x:c r="A67" s="18" t="str">
        <x:v>F-exposure-007</x:v>
      </x:c>
      <x:c r="B67" s="18" t="str">
        <x:v>F-exposure</x:v>
      </x:c>
      <x:c r="C67" s="18" t="str">
        <x:v>Wu 2025</x:v>
      </x:c>
      <x:c r="D67" s="18" t="str">
        <x:v>Pre-intervention intraoperative opioid exposure</x:v>
      </x:c>
      <x:c r="E67" s="18"/>
      <x:c r="F67" s="18"/>
      <x:c r="G67" s="18" t="n">
        <x:v>0</x:v>
      </x:c>
      <x:c r="H67" s="18" t="n">
        <x:v>0</x:v>
      </x:c>
      <x:c r="I67" s="18" t="n">
        <x:v>1</x:v>
      </x:c>
      <x:c r="J67" s="18" t="str">
        <x:v>PASS — result-specific mapping</x:v>
      </x:c>
    </x:row>
    <x:row r="68">
      <x:c r="A68" s="18" t="str">
        <x:v>F-rescue-opioid-001</x:v>
      </x:c>
      <x:c r="B68" s="18" t="str">
        <x:v>F-rescue-opioid</x:v>
      </x:c>
      <x:c r="C68" s="18" t="str">
        <x:v>Yao 2015</x:v>
      </x:c>
      <x:c r="D68" s="18" t="str">
        <x:v>Rescue sufentanil administration count</x:v>
      </x:c>
      <x:c r="E68" s="18" t="str">
        <x:v>P1</x:v>
      </x:c>
      <x:c r="F68" s="18" t="str">
        <x:v>RESOLVED_BY_NATIVE_DATA_RULE</x:v>
      </x:c>
      <x:c r="G68" s="18" t="n">
        <x:v>0</x:v>
      </x:c>
      <x:c r="H68" s="18" t="n">
        <x:v>0</x:v>
      </x:c>
      <x:c r="I68" s="18" t="n">
        <x:v>1</x:v>
      </x:c>
      <x:c r="J68" s="18" t="str">
        <x:v>PASS — result-specific mapping</x:v>
      </x:c>
    </x:row>
    <x:row r="69">
      <x:c r="A69" s="18" t="str">
        <x:v>F-rescue-opioid-002</x:v>
      </x:c>
      <x:c r="B69" s="18" t="str">
        <x:v>F-rescue-opioid</x:v>
      </x:c>
      <x:c r="C69" s="18" t="str">
        <x:v>Chen 2015 (Hyperalgesia)</x:v>
      </x:c>
      <x:c r="D69" s="18" t="str">
        <x:v>Rescue sufentanil count</x:v>
      </x:c>
      <x:c r="E69" s="18"/>
      <x:c r="F69" s="18"/>
      <x:c r="G69" s="18" t="n">
        <x:v>1</x:v>
      </x:c>
      <x:c r="H69" s="18" t="n">
        <x:v>0</x:v>
      </x:c>
      <x:c r="I69" s="18" t="n">
        <x:v>0</x:v>
      </x:c>
      <x:c r="J69" s="18" t="str">
        <x:v>PASS — result-specific mapping</x:v>
      </x:c>
    </x:row>
    <x:row r="70">
      <x:c r="A70" s="18" t="str">
        <x:v>F-rescue-opioid-003</x:v>
      </x:c>
      <x:c r="B70" s="18" t="str">
        <x:v>F-rescue-opioid</x:v>
      </x:c>
      <x:c r="C70" s="18" t="str">
        <x:v>Chen 2015</x:v>
      </x:c>
      <x:c r="D70" s="18" t="str">
        <x:v>Rescue morphine count</x:v>
      </x:c>
      <x:c r="E70" s="18"/>
      <x:c r="F70" s="18"/>
      <x:c r="G70" s="18" t="n">
        <x:v>1</x:v>
      </x:c>
      <x:c r="H70" s="18" t="n">
        <x:v>0</x:v>
      </x:c>
      <x:c r="I70" s="18" t="n">
        <x:v>0</x:v>
      </x:c>
      <x:c r="J70" s="18" t="str">
        <x:v>PASS — result-specific mapping</x:v>
      </x:c>
    </x:row>
    <x:row r="71">
      <x:c r="A71" s="18" t="str">
        <x:v>F-rescue-opioid-004</x:v>
      </x:c>
      <x:c r="B71" s="18" t="str">
        <x:v>F-rescue-opioid</x:v>
      </x:c>
      <x:c r="C71" s="18" t="str">
        <x:v>Xie 2014</x:v>
      </x:c>
      <x:c r="D71" s="18" t="str">
        <x:v>Rescue dezocine incidence</x:v>
      </x:c>
      <x:c r="E71" s="18"/>
      <x:c r="F71" s="18"/>
      <x:c r="G71" s="18" t="n">
        <x:v>1</x:v>
      </x:c>
      <x:c r="H71" s="18" t="n">
        <x:v>0</x:v>
      </x:c>
      <x:c r="I71" s="18" t="n">
        <x:v>0</x:v>
      </x:c>
      <x:c r="J71" s="18" t="str">
        <x:v>PASS — result-specific mapping</x:v>
      </x:c>
    </x:row>
    <x:row r="72">
      <x:c r="A72" s="18" t="str">
        <x:v>F-rescue-opioid-005</x:v>
      </x:c>
      <x:c r="B72" s="18" t="str">
        <x:v>F-rescue-opioid</x:v>
      </x:c>
      <x:c r="C72" s="18" t="str">
        <x:v>Ntritsou 2014</x:v>
      </x:c>
      <x:c r="D72" s="18" t="str">
        <x:v>Tramadol→morphine rescue</x:v>
      </x:c>
      <x:c r="E72" s="18" t="str">
        <x:v>P1</x:v>
      </x:c>
      <x:c r="F72" s="18" t="str">
        <x:v>RESOLVED_BY_NARRATIVE_ONLY</x:v>
      </x:c>
      <x:c r="G72" s="18" t="n">
        <x:v>0</x:v>
      </x:c>
      <x:c r="H72" s="18" t="n">
        <x:v>0</x:v>
      </x:c>
      <x:c r="I72" s="18" t="n">
        <x:v>1</x:v>
      </x:c>
      <x:c r="J72" s="18" t="str">
        <x:v>PASS — result-specific mapping</x:v>
      </x:c>
    </x:row>
    <x:row r="73">
      <x:c r="A73" s="18" t="str">
        <x:v>F-rescue-opioid-006</x:v>
      </x:c>
      <x:c r="B73" s="18" t="str">
        <x:v>F-rescue-opioid</x:v>
      </x:c>
      <x:c r="C73" s="18" t="str">
        <x:v>Yu 2020</x:v>
      </x:c>
      <x:c r="D73" s="18" t="str">
        <x:v>Rescue sufentanil incidence</x:v>
      </x:c>
      <x:c r="E73" s="18"/>
      <x:c r="F73" s="18"/>
      <x:c r="G73" s="18" t="n">
        <x:v>1</x:v>
      </x:c>
      <x:c r="H73" s="18" t="n">
        <x:v>0</x:v>
      </x:c>
      <x:c r="I73" s="18" t="n">
        <x:v>0</x:v>
      </x:c>
      <x:c r="J73" s="18" t="str">
        <x:v>PASS — result-specific mapping</x:v>
      </x:c>
    </x:row>
    <x:row r="74">
      <x:c r="A74" s="18" t="str">
        <x:v>F-rescue-opioid-007</x:v>
      </x:c>
      <x:c r="B74" s="18" t="str">
        <x:v>F-rescue-opioid</x:v>
      </x:c>
      <x:c r="C74" s="18" t="str">
        <x:v>Tu 2024</x:v>
      </x:c>
      <x:c r="D74" s="18" t="str">
        <x:v>Rescue tramadol incidence</x:v>
      </x:c>
      <x:c r="E74" s="18"/>
      <x:c r="F74" s="18"/>
      <x:c r="G74" s="18" t="n">
        <x:v>1</x:v>
      </x:c>
      <x:c r="H74" s="18" t="n">
        <x:v>0</x:v>
      </x:c>
      <x:c r="I74" s="18" t="n">
        <x:v>0</x:v>
      </x:c>
      <x:c r="J74" s="18" t="str">
        <x:v>PASS — result-specific mapping</x:v>
      </x:c>
    </x:row>
    <x:row r="75">
      <x:c r="A75" s="18" t="str">
        <x:v>F-rescue-opioid-008</x:v>
      </x:c>
      <x:c r="B75" s="18" t="str">
        <x:v>F-rescue-opioid</x:v>
      </x:c>
      <x:c r="C75" s="18" t="str">
        <x:v>Liu 2026 (burn)</x:v>
      </x:c>
      <x:c r="D75" s="18" t="str">
        <x:v>Rescue dezocine incidence</x:v>
      </x:c>
      <x:c r="E75" s="18" t="str">
        <x:v>P1</x:v>
      </x:c>
      <x:c r="F75" s="18" t="str">
        <x:v>RESOLVED_BY_RAW_DATA_RULE</x:v>
      </x:c>
      <x:c r="G75" s="18" t="n">
        <x:v>0</x:v>
      </x:c>
      <x:c r="H75" s="18" t="n">
        <x:v>0</x:v>
      </x:c>
      <x:c r="I75" s="18" t="n">
        <x:v>1</x:v>
      </x:c>
      <x:c r="J75" s="18" t="str">
        <x:v>PASS — result-specific mapping</x:v>
      </x:c>
    </x:row>
    <x:row r="76">
      <x:c r="A76" s="18" t="str">
        <x:v>F-rescue-opioid-009</x:v>
      </x:c>
      <x:c r="B76" s="18" t="str">
        <x:v>F-rescue-opioid</x:v>
      </x:c>
      <x:c r="C76" s="18" t="str">
        <x:v>Zhou 2025</x:v>
      </x:c>
      <x:c r="D76" s="18" t="str">
        <x:v>Rescue tramadol incidence</x:v>
      </x:c>
      <x:c r="E76" s="18"/>
      <x:c r="F76" s="18"/>
      <x:c r="G76" s="18" t="n">
        <x:v>1</x:v>
      </x:c>
      <x:c r="H76" s="18" t="n">
        <x:v>0</x:v>
      </x:c>
      <x:c r="I76" s="18" t="n">
        <x:v>0</x:v>
      </x:c>
      <x:c r="J76" s="18" t="str">
        <x:v>PASS — result-specific mapping</x:v>
      </x:c>
    </x:row>
    <x:row r="77">
      <x:c r="A77" s="18" t="str">
        <x:v>F-rescue-nonopioid-001</x:v>
      </x:c>
      <x:c r="B77" s="18" t="str">
        <x:v>F-rescue-nonopioid</x:v>
      </x:c>
      <x:c r="C77" s="18" t="str">
        <x:v>Li 2022</x:v>
      </x:c>
      <x:c r="D77" s="18" t="str">
        <x:v>Rescue flurbiprofen incidence</x:v>
      </x:c>
      <x:c r="E77" s="18"/>
      <x:c r="F77" s="18"/>
      <x:c r="G77" s="18" t="n">
        <x:v>0</x:v>
      </x:c>
      <x:c r="H77" s="18" t="n">
        <x:v>0</x:v>
      </x:c>
      <x:c r="I77" s="18" t="n">
        <x:v>1</x:v>
      </x:c>
      <x:c r="J77" s="18" t="str">
        <x:v>PASS — result-specific mapping</x:v>
      </x:c>
    </x:row>
    <x:row r="78">
      <x:c r="A78" s="18" t="str">
        <x:v>F-rescue-nonopioid-002</x:v>
      </x:c>
      <x:c r="B78" s="18" t="str">
        <x:v>F-rescue-nonopioid</x:v>
      </x:c>
      <x:c r="C78" s="18" t="str">
        <x:v>Hou 2023</x:v>
      </x:c>
      <x:c r="D78" s="18" t="str">
        <x:v>Rescue flurbiprofen incidence</x:v>
      </x:c>
      <x:c r="E78" s="18"/>
      <x:c r="F78" s="18"/>
      <x:c r="G78" s="18" t="n">
        <x:v>0</x:v>
      </x:c>
      <x:c r="H78" s="18" t="n">
        <x:v>0</x:v>
      </x:c>
      <x:c r="I78" s="18" t="n">
        <x:v>1</x:v>
      </x:c>
      <x:c r="J78" s="18" t="str">
        <x:v>PASS — result-specific mapping</x:v>
      </x:c>
    </x:row>
    <x:row r="79">
      <x:c r="A79" s="18" t="str">
        <x:v>F-rescue-nonopioid-003</x:v>
      </x:c>
      <x:c r="B79" s="18" t="str">
        <x:v>F-rescue-nonopioid</x:v>
      </x:c>
      <x:c r="C79" s="18" t="str">
        <x:v>Sun 2017</x:v>
      </x:c>
      <x:c r="D79" s="18" t="str">
        <x:v>Supplemental flurbiprofen incidence</x:v>
      </x:c>
      <x:c r="E79" s="18"/>
      <x:c r="F79" s="18"/>
      <x:c r="G79" s="18" t="n">
        <x:v>0</x:v>
      </x:c>
      <x:c r="H79" s="18" t="n">
        <x:v>1</x:v>
      </x:c>
      <x:c r="I79" s="18" t="n">
        <x:v>0</x:v>
      </x:c>
      <x:c r="J79" s="18" t="str">
        <x:v>PASS — result-specific mapping</x:v>
      </x:c>
    </x:row>
    <x:row r="80">
      <x:c r="A80" s="18" t="str">
        <x:v>F-rescue-nonopioid-004</x:v>
      </x:c>
      <x:c r="B80" s="18" t="str">
        <x:v>F-rescue-nonopioid</x:v>
      </x:c>
      <x:c r="C80" s="18" t="str">
        <x:v>Lu 2021</x:v>
      </x:c>
      <x:c r="D80" s="18" t="str">
        <x:v>Rescue parecoxib incidence</x:v>
      </x:c>
      <x:c r="E80" s="18" t="str">
        <x:v>P1</x:v>
      </x:c>
      <x:c r="F80" s="18" t="str">
        <x:v>RESOLVED_BY_RAW_DATA_RULE</x:v>
      </x:c>
      <x:c r="G80" s="18" t="n">
        <x:v>0</x:v>
      </x:c>
      <x:c r="H80" s="18" t="n">
        <x:v>0</x:v>
      </x:c>
      <x:c r="I80" s="18" t="n">
        <x:v>1</x:v>
      </x:c>
      <x:c r="J80" s="18" t="str">
        <x:v>PASS — result-specific mapping</x:v>
      </x:c>
    </x:row>
    <x:row r="81">
      <x:c r="A81" s="18" t="str">
        <x:v>F-mixed/undefined-001</x:v>
      </x:c>
      <x:c r="B81" s="18" t="str">
        <x:v>F-mixed/undefined</x:v>
      </x:c>
      <x:c r="C81" s="18" t="str">
        <x:v>Wang 2023</x:v>
      </x:c>
      <x:c r="D81" s="18" t="str">
        <x:v>Mixed/undefined analgesic use</x:v>
      </x:c>
      <x:c r="E81" s="18" t="str">
        <x:v>P1</x:v>
      </x:c>
      <x:c r="F81" s="18" t="str">
        <x:v>RESOLVED_BY_EXCLUSION</x:v>
      </x:c>
      <x:c r="G81" s="18" t="n">
        <x:v>0</x:v>
      </x:c>
      <x:c r="H81" s="18" t="n">
        <x:v>0</x:v>
      </x:c>
      <x:c r="I81" s="18" t="n">
        <x:v>1</x:v>
      </x:c>
      <x:c r="J81" s="18" t="str">
        <x:v>PASS — result-specific mapping</x:v>
      </x:c>
    </x:row>
    <x:row r="82">
      <x:c r="A82" s="18" t="str">
        <x:v>F-mixed/undefined-002</x:v>
      </x:c>
      <x:c r="B82" s="18" t="str">
        <x:v>F-mixed/undefined</x:v>
      </x:c>
      <x:c r="C82" s="18" t="str">
        <x:v>Zhang 2025</x:v>
      </x:c>
      <x:c r="D82" s="18" t="str">
        <x:v>Mixed/undefined analgesic use</x:v>
      </x:c>
      <x:c r="E82" s="18" t="str">
        <x:v>P1</x:v>
      </x:c>
      <x:c r="F82" s="18" t="str">
        <x:v>RESOLVED_BY_EXCLUSION</x:v>
      </x:c>
      <x:c r="G82" s="18" t="n">
        <x:v>0</x:v>
      </x:c>
      <x:c r="H82" s="18" t="n">
        <x:v>0</x:v>
      </x:c>
      <x:c r="I82" s="18" t="n">
        <x:v>1</x:v>
      </x:c>
      <x:c r="J82" s="18" t="str">
        <x:v>PASS — result-specific mapping</x:v>
      </x:c>
    </x:row>
    <x:row r="83">
      <x:c r="A83" s="18" t="str">
        <x:v>F-mixed/undefined-003</x:v>
      </x:c>
      <x:c r="B83" s="18" t="str">
        <x:v>F-mixed/undefined</x:v>
      </x:c>
      <x:c r="C83" s="18" t="str">
        <x:v>Wu 2025</x:v>
      </x:c>
      <x:c r="D83" s="18" t="str">
        <x:v>Mixed/undefined analgesic use</x:v>
      </x:c>
      <x:c r="E83" s="18"/>
      <x:c r="F83" s="18"/>
      <x:c r="G83" s="18" t="n">
        <x:v>0</x:v>
      </x:c>
      <x:c r="H83" s="18" t="n">
        <x:v>1</x:v>
      </x:c>
      <x:c r="I83" s="18" t="n">
        <x:v>0</x:v>
      </x:c>
      <x:c r="J83" s="18" t="str">
        <x:v>PASS — result-specific mapping</x:v>
      </x:c>
    </x:row>
    <x:row r="84">
      <x:c r="A84" s="18" t="str">
        <x:v>F-mixed/undefined-004</x:v>
      </x:c>
      <x:c r="B84" s="18" t="str">
        <x:v>F-mixed/undefined</x:v>
      </x:c>
      <x:c r="C84" s="18" t="str">
        <x:v>Liang 2021</x:v>
      </x:c>
      <x:c r="D84" s="18" t="str">
        <x:v>Mixed/undefined analgesic use</x:v>
      </x:c>
      <x:c r="E84" s="18" t="str">
        <x:v>P1</x:v>
      </x:c>
      <x:c r="F84" s="18" t="str">
        <x:v>RESOLVED_BY_EXCLUSION</x:v>
      </x:c>
      <x:c r="G84" s="18" t="n">
        <x:v>0</x:v>
      </x:c>
      <x:c r="H84" s="18" t="n">
        <x:v>0</x:v>
      </x:c>
      <x:c r="I84" s="18" t="n">
        <x:v>1</x:v>
      </x:c>
      <x:c r="J84" s="18" t="str">
        <x:v>PASS — result-specific mapping</x:v>
      </x:c>
    </x:row>
    <x:row r="85">
      <x:c r="A85" s="18" t="str">
        <x:v>F-mixed/undefined-005</x:v>
      </x:c>
      <x:c r="B85" s="18" t="str">
        <x:v>F-mixed/undefined</x:v>
      </x:c>
      <x:c r="C85" s="18" t="str">
        <x:v>Yang 2020</x:v>
      </x:c>
      <x:c r="D85" s="18" t="str">
        <x:v>Mixed/undefined analgesic use</x:v>
      </x:c>
      <x:c r="E85" s="18" t="str">
        <x:v>P2</x:v>
      </x:c>
      <x:c r="F85" s="18"/>
      <x:c r="G85" s="18" t="n">
        <x:v>0</x:v>
      </x:c>
      <x:c r="H85" s="18" t="n">
        <x:v>0</x:v>
      </x:c>
      <x:c r="I85" s="18" t="n">
        <x:v>1</x:v>
      </x:c>
      <x:c r="J85" s="18" t="str">
        <x:v>PASS — result-specific mapping</x:v>
      </x:c>
    </x:row>
    <x:row r="86">
      <x:c r="A86" s="18" t="str">
        <x:v>F-mixed/undefined-006</x:v>
      </x:c>
      <x:c r="B86" s="18" t="str">
        <x:v>F-mixed/undefined</x:v>
      </x:c>
      <x:c r="C86" s="18" t="str">
        <x:v>Yang 2024</x:v>
      </x:c>
      <x:c r="D86" s="18" t="str">
        <x:v>Mixed/undefined analgesic use</x:v>
      </x:c>
      <x:c r="E86" s="18" t="str">
        <x:v>P2</x:v>
      </x:c>
      <x:c r="F86" s="18"/>
      <x:c r="G86" s="18" t="n">
        <x:v>0</x:v>
      </x:c>
      <x:c r="H86" s="18" t="n">
        <x:v>0</x:v>
      </x:c>
      <x:c r="I86" s="18" t="n">
        <x:v>1</x:v>
      </x:c>
      <x:c r="J86" s="18" t="str">
        <x:v>PASS — result-specific mapping</x:v>
      </x:c>
    </x:row>
    <x:row r="87">
      <x:c r="A87" s="18" t="str">
        <x:v>F-mixed/undefined-007</x:v>
      </x:c>
      <x:c r="B87" s="18" t="str">
        <x:v>F-mixed/undefined</x:v>
      </x:c>
      <x:c r="C87" s="18" t="str">
        <x:v>Zhou 2021</x:v>
      </x:c>
      <x:c r="D87" s="18" t="str">
        <x:v>Mixed/undefined analgesic use</x:v>
      </x:c>
      <x:c r="E87" s="18" t="str">
        <x:v>P1</x:v>
      </x:c>
      <x:c r="F87" s="18" t="str">
        <x:v>RESOLVED_BY_EXCLUSION</x:v>
      </x:c>
      <x:c r="G87" s="18" t="n">
        <x:v>0</x:v>
      </x:c>
      <x:c r="H87" s="18" t="n">
        <x:v>0</x:v>
      </x:c>
      <x:c r="I87" s="18" t="n">
        <x:v>1</x:v>
      </x:c>
      <x:c r="J87" s="18" t="str">
        <x:v>PASS — result-specific mapping</x:v>
      </x:c>
    </x:row>
    <x:row r="88">
      <x:c r="A88" s="18" t="str">
        <x:v>F-PCA-001</x:v>
      </x:c>
      <x:c r="B88" s="18" t="str">
        <x:v>F-PCA</x:v>
      </x:c>
      <x:c r="C88" s="18" t="str">
        <x:v>Chen 2020</x:v>
      </x:c>
      <x:c r="D88" s="18" t="str">
        <x:v>PCIA total/effective attempts</x:v>
      </x:c>
      <x:c r="E88" s="18"/>
      <x:c r="F88" s="18"/>
      <x:c r="G88" s="18" t="n">
        <x:v>0</x:v>
      </x:c>
      <x:c r="H88" s="18" t="n">
        <x:v>1</x:v>
      </x:c>
      <x:c r="I88" s="18" t="n">
        <x:v>0</x:v>
      </x:c>
      <x:c r="J88" s="18" t="str">
        <x:v>PASS — result-specific mapping</x:v>
      </x:c>
    </x:row>
    <x:row r="89">
      <x:c r="A89" s="18" t="str">
        <x:v>F-PCA-002</x:v>
      </x:c>
      <x:c r="B89" s="18" t="str">
        <x:v>F-PCA</x:v>
      </x:c>
      <x:c r="C89" s="18" t="str">
        <x:v>He 2026 (hepatectomy/JIS)</x:v>
      </x:c>
      <x:c r="D89" s="18" t="str">
        <x:v>PCA attempts/effective deliveries</x:v>
      </x:c>
      <x:c r="E89" s="18" t="str">
        <x:v>P1</x:v>
      </x:c>
      <x:c r="F89" s="18" t="str">
        <x:v>RESOLVED_BY_PARTIAL_EXCLUSION</x:v>
      </x:c>
      <x:c r="G89" s="18" t="n">
        <x:v>0</x:v>
      </x:c>
      <x:c r="H89" s="18" t="n">
        <x:v>1</x:v>
      </x:c>
      <x:c r="I89" s="18" t="n">
        <x:v>0</x:v>
      </x:c>
      <x:c r="J89" s="18" t="str">
        <x:v>PASS — result-specific mapping</x:v>
      </x:c>
    </x:row>
    <x:row r="90">
      <x:c r="A90" s="18" t="str">
        <x:v>F-PCA-003</x:v>
      </x:c>
      <x:c r="B90" s="18" t="str">
        <x:v>F-PCA</x:v>
      </x:c>
      <x:c r="C90" s="18" t="str">
        <x:v>Ao 2021</x:v>
      </x:c>
      <x:c r="D90" s="18" t="str">
        <x:v>PCA solution use/effective presses</x:v>
      </x:c>
      <x:c r="E90" s="18"/>
      <x:c r="F90" s="18"/>
      <x:c r="G90" s="18" t="n">
        <x:v>0</x:v>
      </x:c>
      <x:c r="H90" s="18" t="n">
        <x:v>1</x:v>
      </x:c>
      <x:c r="I90" s="18" t="n">
        <x:v>0</x:v>
      </x:c>
      <x:c r="J90" s="18" t="str">
        <x:v>PASS — result-specific mapping</x:v>
      </x:c>
    </x:row>
    <x:row r="91">
      <x:c r="A91" s="18" t="str">
        <x:v>F-PCA-004</x:v>
      </x:c>
      <x:c r="B91" s="18" t="str">
        <x:v>F-PCA</x:v>
      </x:c>
      <x:c r="C91" s="18" t="str">
        <x:v>Liu 2021</x:v>
      </x:c>
      <x:c r="D91" s="18" t="str">
        <x:v>PCA compressions</x:v>
      </x:c>
      <x:c r="E91" s="18"/>
      <x:c r="F91" s="18"/>
      <x:c r="G91" s="18" t="n">
        <x:v>0</x:v>
      </x:c>
      <x:c r="H91" s="18" t="n">
        <x:v>1</x:v>
      </x:c>
      <x:c r="I91" s="18" t="n">
        <x:v>0</x:v>
      </x:c>
      <x:c r="J91" s="18" t="str">
        <x:v>PASS — result-specific mapping</x:v>
      </x:c>
    </x:row>
    <x:row r="92">
      <x:c r="A92" s="18" t="str">
        <x:v>F-PCA-005</x:v>
      </x:c>
      <x:c r="B92" s="18" t="str">
        <x:v>F-PCA</x:v>
      </x:c>
      <x:c r="C92" s="18" t="str">
        <x:v>Long 2025</x:v>
      </x:c>
      <x:c r="D92" s="18" t="str">
        <x:v>PCIA compressions</x:v>
      </x:c>
      <x:c r="E92" s="18"/>
      <x:c r="F92" s="18"/>
      <x:c r="G92" s="18" t="n">
        <x:v>0</x:v>
      </x:c>
      <x:c r="H92" s="18" t="n">
        <x:v>1</x:v>
      </x:c>
      <x:c r="I92" s="18" t="n">
        <x:v>0</x:v>
      </x:c>
      <x:c r="J92" s="18" t="str">
        <x:v>PASS — result-specific mapping</x:v>
      </x:c>
    </x:row>
    <x:row r="93">
      <x:c r="A93" s="18" t="str">
        <x:v>F-PCA-006</x:v>
      </x:c>
      <x:c r="B93" s="18" t="str">
        <x:v>F-PCA</x:v>
      </x:c>
      <x:c r="C93" s="18" t="str">
        <x:v>Zheng 2025</x:v>
      </x:c>
      <x:c r="D93" s="18" t="str">
        <x:v>Total/effective PCIA use</x:v>
      </x:c>
      <x:c r="E93" s="18" t="str">
        <x:v>P1</x:v>
      </x:c>
      <x:c r="F93" s="18" t="str">
        <x:v>RESOLVED_BY_EXCLUSION</x:v>
      </x:c>
      <x:c r="G93" s="18" t="n">
        <x:v>0</x:v>
      </x:c>
      <x:c r="H93" s="18" t="n">
        <x:v>0</x:v>
      </x:c>
      <x:c r="I93" s="18" t="n">
        <x:v>1</x:v>
      </x:c>
      <x:c r="J93" s="18" t="str">
        <x:v>PASS — result-specific mapping</x:v>
      </x:c>
    </x:row>
    <x:row r="94">
      <x:c r="A94" s="18" t="str">
        <x:v>F-PCA-007</x:v>
      </x:c>
      <x:c r="B94" s="18" t="str">
        <x:v>F-PCA</x:v>
      </x:c>
      <x:c r="C94" s="18" t="str">
        <x:v>Jin 2023</x:v>
      </x:c>
      <x:c r="D94" s="18" t="str">
        <x:v>Analgesic pump compressions</x:v>
      </x:c>
      <x:c r="E94" s="18"/>
      <x:c r="F94" s="18"/>
      <x:c r="G94" s="18" t="n">
        <x:v>0</x:v>
      </x:c>
      <x:c r="H94" s="18" t="n">
        <x:v>1</x:v>
      </x:c>
      <x:c r="I94" s="18" t="n">
        <x:v>0</x:v>
      </x:c>
      <x:c r="J94" s="18" t="str">
        <x:v>PASS — result-specific mapping</x:v>
      </x:c>
    </x:row>
    <x:row r="95">
      <x:c r="A95" s="18" t="str">
        <x:v>F-PCA-008</x:v>
      </x:c>
      <x:c r="B95" s="18" t="str">
        <x:v>F-PCA</x:v>
      </x:c>
      <x:c r="C95" s="18" t="str">
        <x:v>Lee 2011</x:v>
      </x:c>
      <x:c r="D95" s="18" t="str">
        <x:v>PCA demands</x:v>
      </x:c>
      <x:c r="E95" s="18" t="str">
        <x:v>P2</x:v>
      </x:c>
      <x:c r="F95" s="18"/>
      <x:c r="G95" s="18" t="n">
        <x:v>0</x:v>
      </x:c>
      <x:c r="H95" s="18" t="n">
        <x:v>1</x:v>
      </x:c>
      <x:c r="I95" s="18" t="n">
        <x:v>0</x:v>
      </x:c>
      <x:c r="J95" s="18" t="str">
        <x:v>PASS — result-specific mapping</x:v>
      </x:c>
    </x:row>
    <x:row r="96">
      <x:c r="A96" s="18" t="str">
        <x:v>F-PCA-009</x:v>
      </x:c>
      <x:c r="B96" s="18" t="str">
        <x:v>F-PCA</x:v>
      </x:c>
      <x:c r="C96" s="18" t="str">
        <x:v>Lu 2022</x:v>
      </x:c>
      <x:c r="D96" s="18" t="str">
        <x:v>PCA attempts/deliveries</x:v>
      </x:c>
      <x:c r="E96" s="18" t="str">
        <x:v>P2</x:v>
      </x:c>
      <x:c r="F96" s="18"/>
      <x:c r="G96" s="18" t="n">
        <x:v>0</x:v>
      </x:c>
      <x:c r="H96" s="18" t="n">
        <x:v>1</x:v>
      </x:c>
      <x:c r="I96" s="18" t="n">
        <x:v>0</x:v>
      </x:c>
      <x:c r="J96" s="18" t="str">
        <x:v>PASS — result-specific mapping</x:v>
      </x:c>
    </x:row>
    <x:row r="97">
      <x:c r="A97" s="18" t="str">
        <x:v>F-PCA-010</x:v>
      </x:c>
      <x:c r="B97" s="18" t="str">
        <x:v>F-PCA</x:v>
      </x:c>
      <x:c r="C97" s="18" t="str">
        <x:v>Yeh 2010</x:v>
      </x:c>
      <x:c r="D97" s="18" t="str">
        <x:v>PCA button pushes</x:v>
      </x:c>
      <x:c r="E97" s="18" t="str">
        <x:v>P1</x:v>
      </x:c>
      <x:c r="F97" s="18" t="str">
        <x:v>HARD_HOLD_DEPENDENCY</x:v>
      </x:c>
      <x:c r="G97" s="18" t="n">
        <x:v>0</x:v>
      </x:c>
      <x:c r="H97" s="18" t="n">
        <x:v>0</x:v>
      </x:c>
      <x:c r="I97" s="18" t="n">
        <x:v>1</x:v>
      </x:c>
      <x:c r="J97" s="18" t="str">
        <x:v>PASS — result-specific mapping</x:v>
      </x:c>
    </x:row>
    <x:row r="98">
      <x:c r="A98" s="18" t="str">
        <x:v>F-PCA-011</x:v>
      </x:c>
      <x:c r="B98" s="18" t="str">
        <x:v>F-PCA</x:v>
      </x:c>
      <x:c r="C98" s="18" t="str">
        <x:v>Lin 2002</x:v>
      </x:c>
      <x:c r="D98" s="18" t="str">
        <x:v>PCA demands</x:v>
      </x:c>
      <x:c r="E98" s="18"/>
      <x:c r="F98" s="18"/>
      <x:c r="G98" s="18" t="n">
        <x:v>0</x:v>
      </x:c>
      <x:c r="H98" s="18" t="n">
        <x:v>1</x:v>
      </x:c>
      <x:c r="I98" s="18" t="n">
        <x:v>0</x:v>
      </x:c>
      <x:c r="J98" s="18" t="str">
        <x:v>PASS — result-specific mapping</x:v>
      </x:c>
    </x:row>
    <x:row r="99">
      <x:c r="A99" s="18" t="str">
        <x:v>F-PCA-012</x:v>
      </x:c>
      <x:c r="B99" s="18" t="str">
        <x:v>F-PCA</x:v>
      </x:c>
      <x:c r="C99" s="18" t="str">
        <x:v>Yeh 2011</x:v>
      </x:c>
      <x:c r="D99" s="18" t="str">
        <x:v>PCA button pushes</x:v>
      </x:c>
      <x:c r="E99" s="18" t="str">
        <x:v>P1</x:v>
      </x:c>
      <x:c r="F99" s="18" t="str">
        <x:v>HARD_HOLD_DEPENDENCY</x:v>
      </x:c>
      <x:c r="G99" s="18" t="n">
        <x:v>0</x:v>
      </x:c>
      <x:c r="H99" s="18" t="n">
        <x:v>0</x:v>
      </x:c>
      <x:c r="I99" s="18" t="n">
        <x:v>1</x:v>
      </x:c>
      <x:c r="J99" s="18" t="str">
        <x:v>PASS — result-specific mapping</x:v>
      </x:c>
    </x:row>
    <x:row r="100">
      <x:c r="A100" s="18" t="str">
        <x:v>F-postop-dose-001</x:v>
      </x:c>
      <x:c r="B100" s="18" t="str">
        <x:v>F-postop-dose</x:v>
      </x:c>
      <x:c r="C100" s="18" t="str">
        <x:v>Seevaunnamtum 2016</x:v>
      </x:c>
      <x:c r="D100" s="18" t="str">
        <x:v>Total morphine incl PCAM + IV rescue</x:v>
      </x:c>
      <x:c r="E100" s="18"/>
      <x:c r="F100" s="18"/>
      <x:c r="G100" s="18" t="n">
        <x:v>1</x:v>
      </x:c>
      <x:c r="H100" s="18" t="n">
        <x:v>0</x:v>
      </x:c>
      <x:c r="I100" s="18" t="n">
        <x:v>0</x:v>
      </x:c>
      <x:c r="J100" s="18" t="str">
        <x:v>PASS — result-specific mapping</x:v>
      </x:c>
    </x:row>
    <x:row r="101">
      <x:c r="A101" s="18" t="str">
        <x:v>F-postop-dose-002</x:v>
      </x:c>
      <x:c r="B101" s="18" t="str">
        <x:v>F-postop-dose</x:v>
      </x:c>
      <x:c r="C101" s="18" t="str">
        <x:v>Lee 2011</x:v>
      </x:c>
      <x:c r="D101" s="18" t="str">
        <x:v>Delivered morphine</x:v>
      </x:c>
      <x:c r="E101" s="18" t="str">
        <x:v>P2</x:v>
      </x:c>
      <x:c r="F101" s="18"/>
      <x:c r="G101" s="18" t="n">
        <x:v>1</x:v>
      </x:c>
      <x:c r="H101" s="18" t="n">
        <x:v>0</x:v>
      </x:c>
      <x:c r="I101" s="18" t="n">
        <x:v>0</x:v>
      </x:c>
      <x:c r="J101" s="18" t="str">
        <x:v>PASS — result-specific mapping</x:v>
      </x:c>
    </x:row>
    <x:row r="102">
      <x:c r="A102" s="18" t="str">
        <x:v>F-postop-dose-003</x:v>
      </x:c>
      <x:c r="B102" s="18" t="str">
        <x:v>F-postop-dose</x:v>
      </x:c>
      <x:c r="C102" s="18" t="str">
        <x:v>Yeh 2010</x:v>
      </x:c>
      <x:c r="D102" s="18" t="str">
        <x:v>Delivered morphine</x:v>
      </x:c>
      <x:c r="E102" s="18" t="str">
        <x:v>P1</x:v>
      </x:c>
      <x:c r="F102" s="18" t="str">
        <x:v>HARD_HOLD_DEPENDENCY</x:v>
      </x:c>
      <x:c r="G102" s="18" t="n">
        <x:v>0</x:v>
      </x:c>
      <x:c r="H102" s="18" t="n">
        <x:v>0</x:v>
      </x:c>
      <x:c r="I102" s="18" t="n">
        <x:v>1</x:v>
      </x:c>
      <x:c r="J102" s="18" t="str">
        <x:v>PASS — result-specific mapping</x:v>
      </x:c>
    </x:row>
    <x:row r="103">
      <x:c r="A103" s="18" t="str">
        <x:v>F-postop-dose-004</x:v>
      </x:c>
      <x:c r="B103" s="18" t="str">
        <x:v>F-postop-dose</x:v>
      </x:c>
      <x:c r="C103" s="18" t="str">
        <x:v>Chen 1998</x:v>
      </x:c>
      <x:c r="D103" s="18" t="str">
        <x:v>Hydromorphone PCA dose</x:v>
      </x:c>
      <x:c r="E103" s="18"/>
      <x:c r="F103" s="18"/>
      <x:c r="G103" s="18" t="n">
        <x:v>0</x:v>
      </x:c>
      <x:c r="H103" s="18" t="n">
        <x:v>1</x:v>
      </x:c>
      <x:c r="I103" s="18" t="n">
        <x:v>0</x:v>
      </x:c>
      <x:c r="J103" s="18" t="str">
        <x:v>PASS — result-specific mapping</x:v>
      </x:c>
    </x:row>
    <x:row r="104">
      <x:c r="A104" s="18" t="str">
        <x:v>F-postop-dose-005</x:v>
      </x:c>
      <x:c r="B104" s="18" t="str">
        <x:v>F-postop-dose</x:v>
      </x:c>
      <x:c r="C104" s="18" t="str">
        <x:v>Lin 2002</x:v>
      </x:c>
      <x:c r="D104" s="18" t="str">
        <x:v>Morphine PCA dose</x:v>
      </x:c>
      <x:c r="E104" s="18"/>
      <x:c r="F104" s="18"/>
      <x:c r="G104" s="18" t="n">
        <x:v>0</x:v>
      </x:c>
      <x:c r="H104" s="18" t="n">
        <x:v>1</x:v>
      </x:c>
      <x:c r="I104" s="18" t="n">
        <x:v>0</x:v>
      </x:c>
      <x:c r="J104" s="18" t="str">
        <x:v>PASS — result-specific mapping</x:v>
      </x:c>
    </x:row>
    <x:row r="105">
      <x:c r="A105" s="18" t="str">
        <x:v>F-postop-dose-006</x:v>
      </x:c>
      <x:c r="B105" s="18" t="str">
        <x:v>F-postop-dose</x:v>
      </x:c>
      <x:c r="C105" s="18" t="str">
        <x:v>Coura 2011</x:v>
      </x:c>
      <x:c r="D105" s="18" t="str">
        <x:v>Total fentanyl</x:v>
      </x:c>
      <x:c r="E105" s="18"/>
      <x:c r="F105" s="18"/>
      <x:c r="G105" s="18" t="n">
        <x:v>0</x:v>
      </x:c>
      <x:c r="H105" s="18" t="n">
        <x:v>1</x:v>
      </x:c>
      <x:c r="I105" s="18" t="n">
        <x:v>0</x:v>
      </x:c>
      <x:c r="J105" s="18" t="str">
        <x:v>PASS — result-specific mapping</x:v>
      </x:c>
    </x:row>
    <x:row r="106">
      <x:c r="A106" s="18" t="str">
        <x:v>F-postop-dose-007</x:v>
      </x:c>
      <x:c r="B106" s="18" t="str">
        <x:v>F-postop-dose</x:v>
      </x:c>
      <x:c r="C106" s="18" t="str">
        <x:v>El-Rakshy 2009</x:v>
      </x:c>
      <x:c r="D106" s="18" t="str">
        <x:v>Morphine/total analgesia</x:v>
      </x:c>
      <x:c r="E106" s="18" t="str">
        <x:v>P2</x:v>
      </x:c>
      <x:c r="F106" s="18"/>
      <x:c r="G106" s="18" t="n">
        <x:v>0</x:v>
      </x:c>
      <x:c r="H106" s="18" t="n">
        <x:v>1</x:v>
      </x:c>
      <x:c r="I106" s="18" t="n">
        <x:v>0</x:v>
      </x:c>
      <x:c r="J106" s="18" t="str">
        <x:v>PASS — result-specific mapping</x:v>
      </x:c>
    </x:row>
    <x:row r="107">
      <x:c r="A107" s="18" t="str">
        <x:v>F-postop-dose-008</x:v>
      </x:c>
      <x:c r="B107" s="18" t="str">
        <x:v>F-postop-dose</x:v>
      </x:c>
      <x:c r="C107" s="18" t="str">
        <x:v>Gu 2019</x:v>
      </x:c>
      <x:c r="D107" s="18" t="str">
        <x:v>Mixed PCIA solution consumption</x:v>
      </x:c>
      <x:c r="E107" s="18" t="str">
        <x:v>P1</x:v>
      </x:c>
      <x:c r="F107" s="18" t="str">
        <x:v>RESOLVED_BY_TIMEPOINT_EXCLUSION</x:v>
      </x:c>
      <x:c r="G107" s="18" t="n">
        <x:v>0</x:v>
      </x:c>
      <x:c r="H107" s="18" t="n">
        <x:v>0</x:v>
      </x:c>
      <x:c r="I107" s="18" t="n">
        <x:v>1</x:v>
      </x:c>
      <x:c r="J107" s="18" t="str">
        <x:v>PASS — result-specific mapping</x:v>
      </x:c>
    </x:row>
    <x:row r="108">
      <x:c r="A108" s="18" t="str">
        <x:v>F-postop-dose-009</x:v>
      </x:c>
      <x:c r="B108" s="18" t="str">
        <x:v>F-postop-dose</x:v>
      </x:c>
      <x:c r="C108" s="18" t="str">
        <x:v>Huang 2024 TKA</x:v>
      </x:c>
      <x:c r="D108" s="18" t="str">
        <x:v>Additional PCA dose released</x:v>
      </x:c>
      <x:c r="E108" s="18" t="str">
        <x:v>P1</x:v>
      </x:c>
      <x:c r="F108" s="18" t="str">
        <x:v>RESOLVED_BY_EXCLUSION</x:v>
      </x:c>
      <x:c r="G108" s="18" t="n">
        <x:v>0</x:v>
      </x:c>
      <x:c r="H108" s="18" t="n">
        <x:v>0</x:v>
      </x:c>
      <x:c r="I108" s="18" t="n">
        <x:v>1</x:v>
      </x:c>
      <x:c r="J108" s="18" t="str">
        <x:v>PASS — result-specific mapping</x:v>
      </x:c>
    </x:row>
    <x:row r="109">
      <x:c r="A109" s="18" t="str">
        <x:v>F-postop-dose-010</x:v>
      </x:c>
      <x:c r="B109" s="18" t="str">
        <x:v>F-postop-dose</x:v>
      </x:c>
      <x:c r="C109" s="18" t="str">
        <x:v>Yeh 2011</x:v>
      </x:c>
      <x:c r="D109" s="18" t="str">
        <x:v>Delivered morphine</x:v>
      </x:c>
      <x:c r="E109" s="18" t="str">
        <x:v>P1</x:v>
      </x:c>
      <x:c r="F109" s="18" t="str">
        <x:v>HARD_HOLD_DEPENDENCY</x:v>
      </x:c>
      <x:c r="G109" s="18" t="n">
        <x:v>0</x:v>
      </x:c>
      <x:c r="H109" s="18" t="n">
        <x:v>0</x:v>
      </x:c>
      <x:c r="I109" s="18" t="n">
        <x:v>1</x:v>
      </x:c>
      <x:c r="J109" s="18" t="str">
        <x:v>PASS — result-specific mapping</x:v>
      </x:c>
    </x:row>
  </x:sheetData>
  <x:pageMargins left="0.7" right="0.7" top="0.75" bottom="0.75" header="0.3" footer="0.3"/>
  <x:tableParts count="1">
    <x:tablePart xmlns:r="http://schemas.openxmlformats.org/officeDocument/2006/relationships" r:id="R5551cbd4b6a640cd"/>
  </x:tableParts>
</x:worksheet>
</file>

<file path=xl/worksheets/sheet29.xml><?xml version="1.0" encoding="utf-8"?>
<x:worksheet xmlns:x="http://schemas.openxmlformats.org/spreadsheetml/2006/main">
  <x:sheetFormatPr defaultRowHeight="15"/>
  <x:cols>
    <x:col min="1" max="1" width="34" hidden="0" customWidth="1"/>
    <x:col min="2" max="2" width="38" hidden="0" customWidth="1"/>
    <x:col min="3" max="3" width="16" hidden="0" customWidth="1"/>
    <x:col min="4" max="4" width="14" hidden="0" customWidth="1"/>
    <x:col min="5" max="5" width="24" hidden="0" customWidth="1"/>
    <x:col min="6" max="6" width="58" hidden="0" customWidth="1"/>
  </x:cols>
  <x:sheetData>
    <x:row r="1">
      <x:c r="A1" s="96" t="str">
        <x:v>Study</x:v>
      </x:c>
      <x:c r="B1" s="96" t="str">
        <x:v>Citation / identifier</x:v>
      </x:c>
      <x:c r="C1" s="96" t="str">
        <x:v>Screening stage</x:v>
      </x:c>
      <x:c r="D1" s="96" t="str">
        <x:v>Decision</x:v>
      </x:c>
      <x:c r="E1" s="96" t="str">
        <x:v>Reason</x:v>
      </x:c>
      <x:c r="F1" s="96" t="str">
        <x:v>Dataset consequence</x:v>
      </x:c>
    </x:row>
    <x:row r="2">
      <x:c r="A2" s="18" t="str">
        <x:v>Yu Wang et al. JAMA Surgery 2023</x:v>
      </x:c>
      <x:c r="B2" s="18" t="str">
        <x:v>DOI 10.1001/jamasurg.2022.5674</x:v>
      </x:c>
      <x:c r="C2" s="18" t="str">
        <x:v>Full text</x:v>
      </x:c>
      <x:c r="D2" s="18" t="str">
        <x:v>EXCLUDE</x:v>
      </x:c>
      <x:c r="E2" s="18" t="str">
        <x:v>Wrong outcomes</x:v>
      </x:c>
      <x:c r="F2" s="18" t="str">
        <x:v>Not added to canonical included-study dataset; no Target-E result row; prior scope hold resolved.</x:v>
      </x:c>
    </x:row>
  </x:sheetData>
  <x:pageMargins left="0.7" right="0.7" top="0.75" bottom="0.75" header="0.3" footer="0.3"/>
</x:worksheet>
</file>